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antigravity\config\Excel\"/>
    </mc:Choice>
  </mc:AlternateContent>
  <xr:revisionPtr revIDLastSave="0" documentId="13_ncr:1_{B67F3DBE-654C-42D4-9290-47B44FA833F0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53" i="1" l="1"/>
  <c r="Q353" i="1"/>
  <c r="P353" i="1"/>
  <c r="O353" i="1"/>
  <c r="N353" i="1"/>
  <c r="M353" i="1"/>
  <c r="L353" i="1"/>
  <c r="K353" i="1"/>
  <c r="J353" i="1"/>
  <c r="I353" i="1"/>
  <c r="H353" i="1"/>
  <c r="G353" i="1"/>
  <c r="F353" i="1"/>
  <c r="E353" i="1"/>
  <c r="D353" i="1"/>
  <c r="C353" i="1"/>
  <c r="B353" i="1"/>
  <c r="R352" i="1"/>
  <c r="Q352" i="1"/>
  <c r="P352" i="1"/>
  <c r="O352" i="1"/>
  <c r="N352" i="1"/>
  <c r="M352" i="1"/>
  <c r="L352" i="1"/>
  <c r="K352" i="1"/>
  <c r="J352" i="1"/>
  <c r="I352" i="1"/>
  <c r="H352" i="1"/>
  <c r="G352" i="1"/>
  <c r="F352" i="1"/>
  <c r="E352" i="1"/>
  <c r="D352" i="1"/>
  <c r="C352" i="1"/>
  <c r="B352" i="1"/>
  <c r="R351" i="1"/>
  <c r="Q351" i="1"/>
  <c r="P351" i="1"/>
  <c r="O351" i="1"/>
  <c r="N351" i="1"/>
  <c r="M351" i="1"/>
  <c r="L351" i="1"/>
  <c r="K351" i="1"/>
  <c r="J351" i="1"/>
  <c r="I351" i="1"/>
  <c r="H351" i="1"/>
  <c r="G351" i="1"/>
  <c r="F351" i="1"/>
  <c r="E351" i="1"/>
  <c r="D351" i="1"/>
  <c r="C351" i="1"/>
  <c r="B351" i="1"/>
  <c r="R350" i="1"/>
  <c r="Q350" i="1"/>
  <c r="P350" i="1"/>
  <c r="O350" i="1"/>
  <c r="N350" i="1"/>
  <c r="M350" i="1"/>
  <c r="L350" i="1"/>
  <c r="K350" i="1"/>
  <c r="J350" i="1"/>
  <c r="I350" i="1"/>
  <c r="H350" i="1"/>
  <c r="G350" i="1"/>
  <c r="F350" i="1"/>
  <c r="E350" i="1"/>
  <c r="D350" i="1"/>
  <c r="C350" i="1"/>
  <c r="B350" i="1"/>
  <c r="R349" i="1"/>
  <c r="Q349" i="1"/>
  <c r="P349" i="1"/>
  <c r="O349" i="1"/>
  <c r="N349" i="1"/>
  <c r="M349" i="1"/>
  <c r="L349" i="1"/>
  <c r="K349" i="1"/>
  <c r="J349" i="1"/>
  <c r="I349" i="1"/>
  <c r="H349" i="1"/>
  <c r="G349" i="1"/>
  <c r="F349" i="1"/>
  <c r="E349" i="1"/>
  <c r="D349" i="1"/>
  <c r="C349" i="1"/>
  <c r="B349" i="1"/>
  <c r="R348" i="1"/>
  <c r="Q348" i="1"/>
  <c r="P348" i="1"/>
  <c r="O348" i="1"/>
  <c r="N348" i="1"/>
  <c r="M348" i="1"/>
  <c r="L348" i="1"/>
  <c r="K348" i="1"/>
  <c r="J348" i="1"/>
  <c r="I348" i="1"/>
  <c r="H348" i="1"/>
  <c r="G348" i="1"/>
  <c r="F348" i="1"/>
  <c r="E348" i="1"/>
  <c r="D348" i="1"/>
  <c r="C348" i="1"/>
  <c r="B348" i="1"/>
  <c r="R347" i="1"/>
  <c r="Q347" i="1"/>
  <c r="P347" i="1"/>
  <c r="O347" i="1"/>
  <c r="N347" i="1"/>
  <c r="M347" i="1"/>
  <c r="L347" i="1"/>
  <c r="K347" i="1"/>
  <c r="J347" i="1"/>
  <c r="I347" i="1"/>
  <c r="H347" i="1"/>
  <c r="G347" i="1"/>
  <c r="F347" i="1"/>
  <c r="E347" i="1"/>
  <c r="D347" i="1"/>
  <c r="C347" i="1"/>
  <c r="B347" i="1"/>
  <c r="R346" i="1"/>
  <c r="Q346" i="1"/>
  <c r="P346" i="1"/>
  <c r="O346" i="1"/>
  <c r="N346" i="1"/>
  <c r="M346" i="1"/>
  <c r="L346" i="1"/>
  <c r="K346" i="1"/>
  <c r="J346" i="1"/>
  <c r="I346" i="1"/>
  <c r="H346" i="1"/>
  <c r="G346" i="1"/>
  <c r="F346" i="1"/>
  <c r="E346" i="1"/>
  <c r="D346" i="1"/>
  <c r="C346" i="1"/>
  <c r="B346" i="1"/>
  <c r="R345" i="1"/>
  <c r="Q345" i="1"/>
  <c r="P345" i="1"/>
  <c r="O345" i="1"/>
  <c r="N345" i="1"/>
  <c r="M345" i="1"/>
  <c r="L345" i="1"/>
  <c r="K345" i="1"/>
  <c r="J345" i="1"/>
  <c r="I345" i="1"/>
  <c r="H345" i="1"/>
  <c r="G345" i="1"/>
  <c r="F345" i="1"/>
  <c r="E345" i="1"/>
  <c r="D345" i="1"/>
  <c r="C345" i="1"/>
  <c r="B345" i="1"/>
  <c r="R344" i="1"/>
  <c r="Q344" i="1"/>
  <c r="P344" i="1"/>
  <c r="O344" i="1"/>
  <c r="N344" i="1"/>
  <c r="M344" i="1"/>
  <c r="L344" i="1"/>
  <c r="K344" i="1"/>
  <c r="J344" i="1"/>
  <c r="I344" i="1"/>
  <c r="H344" i="1"/>
  <c r="G344" i="1"/>
  <c r="F344" i="1"/>
  <c r="E344" i="1"/>
  <c r="D344" i="1"/>
  <c r="C344" i="1"/>
  <c r="B344" i="1"/>
  <c r="R343" i="1"/>
  <c r="Q343" i="1"/>
  <c r="P343" i="1"/>
  <c r="O343" i="1"/>
  <c r="N343" i="1"/>
  <c r="M343" i="1"/>
  <c r="L343" i="1"/>
  <c r="K343" i="1"/>
  <c r="J343" i="1"/>
  <c r="I343" i="1"/>
  <c r="H343" i="1"/>
  <c r="G343" i="1"/>
  <c r="F343" i="1"/>
  <c r="E343" i="1"/>
  <c r="D343" i="1"/>
  <c r="C343" i="1"/>
  <c r="B343" i="1"/>
  <c r="R342" i="1"/>
  <c r="Q342" i="1"/>
  <c r="P342" i="1"/>
  <c r="O342" i="1"/>
  <c r="N342" i="1"/>
  <c r="M342" i="1"/>
  <c r="L342" i="1"/>
  <c r="K342" i="1"/>
  <c r="J342" i="1"/>
  <c r="I342" i="1"/>
  <c r="H342" i="1"/>
  <c r="G342" i="1"/>
  <c r="F342" i="1"/>
  <c r="E342" i="1"/>
  <c r="D342" i="1"/>
  <c r="C342" i="1"/>
  <c r="B342" i="1"/>
  <c r="R341" i="1"/>
  <c r="Q341" i="1"/>
  <c r="P341" i="1"/>
  <c r="O341" i="1"/>
  <c r="N341" i="1"/>
  <c r="M341" i="1"/>
  <c r="L341" i="1"/>
  <c r="K341" i="1"/>
  <c r="J341" i="1"/>
  <c r="I341" i="1"/>
  <c r="H341" i="1"/>
  <c r="G341" i="1"/>
  <c r="F341" i="1"/>
  <c r="E341" i="1"/>
  <c r="D341" i="1"/>
  <c r="C341" i="1"/>
  <c r="B341" i="1"/>
  <c r="R340" i="1"/>
  <c r="Q340" i="1"/>
  <c r="P340" i="1"/>
  <c r="O340" i="1"/>
  <c r="N340" i="1"/>
  <c r="M340" i="1"/>
  <c r="L340" i="1"/>
  <c r="K340" i="1"/>
  <c r="J340" i="1"/>
  <c r="I340" i="1"/>
  <c r="H340" i="1"/>
  <c r="G340" i="1"/>
  <c r="F340" i="1"/>
  <c r="E340" i="1"/>
  <c r="D340" i="1"/>
  <c r="C340" i="1"/>
  <c r="B340" i="1"/>
  <c r="R339" i="1"/>
  <c r="Q339" i="1"/>
  <c r="P339" i="1"/>
  <c r="O339" i="1"/>
  <c r="N339" i="1"/>
  <c r="M339" i="1"/>
  <c r="L339" i="1"/>
  <c r="K339" i="1"/>
  <c r="J339" i="1"/>
  <c r="I339" i="1"/>
  <c r="H339" i="1"/>
  <c r="G339" i="1"/>
  <c r="F339" i="1"/>
  <c r="E339" i="1"/>
  <c r="D339" i="1"/>
  <c r="C339" i="1"/>
  <c r="B339" i="1"/>
  <c r="R338" i="1"/>
  <c r="Q338" i="1"/>
  <c r="P338" i="1"/>
  <c r="O338" i="1"/>
  <c r="N338" i="1"/>
  <c r="M338" i="1"/>
  <c r="L338" i="1"/>
  <c r="K338" i="1"/>
  <c r="J338" i="1"/>
  <c r="I338" i="1"/>
  <c r="H338" i="1"/>
  <c r="G338" i="1"/>
  <c r="F338" i="1"/>
  <c r="E338" i="1"/>
  <c r="D338" i="1"/>
  <c r="C338" i="1"/>
  <c r="B338" i="1"/>
  <c r="R337" i="1"/>
  <c r="Q337" i="1"/>
  <c r="P337" i="1"/>
  <c r="O337" i="1"/>
  <c r="N337" i="1"/>
  <c r="M337" i="1"/>
  <c r="L337" i="1"/>
  <c r="K337" i="1"/>
  <c r="J337" i="1"/>
  <c r="I337" i="1"/>
  <c r="H337" i="1"/>
  <c r="G337" i="1"/>
  <c r="F337" i="1"/>
  <c r="E337" i="1"/>
  <c r="D337" i="1"/>
  <c r="C337" i="1"/>
  <c r="B337" i="1"/>
  <c r="R336" i="1"/>
  <c r="Q336" i="1"/>
  <c r="P336" i="1"/>
  <c r="O336" i="1"/>
  <c r="N336" i="1"/>
  <c r="M336" i="1"/>
  <c r="L336" i="1"/>
  <c r="K336" i="1"/>
  <c r="J336" i="1"/>
  <c r="I336" i="1"/>
  <c r="H336" i="1"/>
  <c r="G336" i="1"/>
  <c r="F336" i="1"/>
  <c r="E336" i="1"/>
  <c r="D336" i="1"/>
  <c r="C336" i="1"/>
  <c r="B336" i="1"/>
  <c r="R335" i="1"/>
  <c r="Q335" i="1"/>
  <c r="P335" i="1"/>
  <c r="O335" i="1"/>
  <c r="N335" i="1"/>
  <c r="M335" i="1"/>
  <c r="L335" i="1"/>
  <c r="K335" i="1"/>
  <c r="J335" i="1"/>
  <c r="I335" i="1"/>
  <c r="H335" i="1"/>
  <c r="G335" i="1"/>
  <c r="F335" i="1"/>
  <c r="E335" i="1"/>
  <c r="D335" i="1"/>
  <c r="C335" i="1"/>
  <c r="B335" i="1"/>
  <c r="R334" i="1"/>
  <c r="Q334" i="1"/>
  <c r="P334" i="1"/>
  <c r="O334" i="1"/>
  <c r="N334" i="1"/>
  <c r="M334" i="1"/>
  <c r="L334" i="1"/>
  <c r="K334" i="1"/>
  <c r="J334" i="1"/>
  <c r="I334" i="1"/>
  <c r="H334" i="1"/>
  <c r="G334" i="1"/>
  <c r="F334" i="1"/>
  <c r="E334" i="1"/>
  <c r="D334" i="1"/>
  <c r="C334" i="1"/>
  <c r="B334" i="1"/>
  <c r="R333" i="1"/>
  <c r="Q333" i="1"/>
  <c r="P333" i="1"/>
  <c r="O333" i="1"/>
  <c r="N333" i="1"/>
  <c r="M333" i="1"/>
  <c r="L333" i="1"/>
  <c r="K333" i="1"/>
  <c r="J333" i="1"/>
  <c r="I333" i="1"/>
  <c r="H333" i="1"/>
  <c r="G333" i="1"/>
  <c r="F333" i="1"/>
  <c r="E333" i="1"/>
  <c r="D333" i="1"/>
  <c r="C333" i="1"/>
  <c r="B333" i="1"/>
  <c r="R332" i="1"/>
  <c r="Q332" i="1"/>
  <c r="P332" i="1"/>
  <c r="O332" i="1"/>
  <c r="N332" i="1"/>
  <c r="M332" i="1"/>
  <c r="L332" i="1"/>
  <c r="K332" i="1"/>
  <c r="J332" i="1"/>
  <c r="I332" i="1"/>
  <c r="H332" i="1"/>
  <c r="G332" i="1"/>
  <c r="F332" i="1"/>
  <c r="E332" i="1"/>
  <c r="D332" i="1"/>
  <c r="C332" i="1"/>
  <c r="B332" i="1"/>
  <c r="R331" i="1"/>
  <c r="Q331" i="1"/>
  <c r="P331" i="1"/>
  <c r="O331" i="1"/>
  <c r="N331" i="1"/>
  <c r="M331" i="1"/>
  <c r="L331" i="1"/>
  <c r="K331" i="1"/>
  <c r="J331" i="1"/>
  <c r="I331" i="1"/>
  <c r="H331" i="1"/>
  <c r="G331" i="1"/>
  <c r="F331" i="1"/>
  <c r="E331" i="1"/>
  <c r="D331" i="1"/>
  <c r="C331" i="1"/>
  <c r="B331" i="1"/>
  <c r="R330" i="1"/>
  <c r="Q330" i="1"/>
  <c r="P330" i="1"/>
  <c r="O330" i="1"/>
  <c r="N330" i="1"/>
  <c r="M330" i="1"/>
  <c r="L330" i="1"/>
  <c r="K330" i="1"/>
  <c r="J330" i="1"/>
  <c r="I330" i="1"/>
  <c r="H330" i="1"/>
  <c r="G330" i="1"/>
  <c r="F330" i="1"/>
  <c r="E330" i="1"/>
  <c r="D330" i="1"/>
  <c r="C330" i="1"/>
  <c r="B330" i="1"/>
  <c r="R329" i="1"/>
  <c r="Q329" i="1"/>
  <c r="P329" i="1"/>
  <c r="O329" i="1"/>
  <c r="N329" i="1"/>
  <c r="M329" i="1"/>
  <c r="L329" i="1"/>
  <c r="K329" i="1"/>
  <c r="J329" i="1"/>
  <c r="I329" i="1"/>
  <c r="H329" i="1"/>
  <c r="G329" i="1"/>
  <c r="F329" i="1"/>
  <c r="E329" i="1"/>
  <c r="D329" i="1"/>
  <c r="C329" i="1"/>
  <c r="B329" i="1"/>
  <c r="R328" i="1"/>
  <c r="Q328" i="1"/>
  <c r="P328" i="1"/>
  <c r="O328" i="1"/>
  <c r="N328" i="1"/>
  <c r="M328" i="1"/>
  <c r="L328" i="1"/>
  <c r="K328" i="1"/>
  <c r="J328" i="1"/>
  <c r="I328" i="1"/>
  <c r="H328" i="1"/>
  <c r="G328" i="1"/>
  <c r="F328" i="1"/>
  <c r="E328" i="1"/>
  <c r="D328" i="1"/>
  <c r="C328" i="1"/>
  <c r="B328" i="1"/>
  <c r="R327" i="1"/>
  <c r="Q327" i="1"/>
  <c r="P327" i="1"/>
  <c r="O327" i="1"/>
  <c r="N327" i="1"/>
  <c r="M327" i="1"/>
  <c r="L327" i="1"/>
  <c r="K327" i="1"/>
  <c r="J327" i="1"/>
  <c r="I327" i="1"/>
  <c r="H327" i="1"/>
  <c r="G327" i="1"/>
  <c r="F327" i="1"/>
  <c r="E327" i="1"/>
  <c r="D327" i="1"/>
  <c r="C327" i="1"/>
  <c r="B327" i="1"/>
  <c r="R326" i="1"/>
  <c r="Q326" i="1"/>
  <c r="P326" i="1"/>
  <c r="O326" i="1"/>
  <c r="N326" i="1"/>
  <c r="M326" i="1"/>
  <c r="L326" i="1"/>
  <c r="K326" i="1"/>
  <c r="J326" i="1"/>
  <c r="I326" i="1"/>
  <c r="H326" i="1"/>
  <c r="G326" i="1"/>
  <c r="F326" i="1"/>
  <c r="E326" i="1"/>
  <c r="D326" i="1"/>
  <c r="C326" i="1"/>
  <c r="B326" i="1"/>
  <c r="R325" i="1"/>
  <c r="Q325" i="1"/>
  <c r="P325" i="1"/>
  <c r="O325" i="1"/>
  <c r="N325" i="1"/>
  <c r="M325" i="1"/>
  <c r="L325" i="1"/>
  <c r="K325" i="1"/>
  <c r="J325" i="1"/>
  <c r="I325" i="1"/>
  <c r="H325" i="1"/>
  <c r="G325" i="1"/>
  <c r="F325" i="1"/>
  <c r="E325" i="1"/>
  <c r="D325" i="1"/>
  <c r="C325" i="1"/>
  <c r="B325" i="1"/>
  <c r="R324" i="1"/>
  <c r="Q324" i="1"/>
  <c r="P324" i="1"/>
  <c r="O324" i="1"/>
  <c r="N324" i="1"/>
  <c r="M324" i="1"/>
  <c r="L324" i="1"/>
  <c r="K324" i="1"/>
  <c r="J324" i="1"/>
  <c r="I324" i="1"/>
  <c r="H324" i="1"/>
  <c r="G324" i="1"/>
  <c r="F324" i="1"/>
  <c r="E324" i="1"/>
  <c r="D324" i="1"/>
  <c r="C324" i="1"/>
  <c r="B324" i="1"/>
  <c r="R323" i="1"/>
  <c r="Q323" i="1"/>
  <c r="P323" i="1"/>
  <c r="O323" i="1"/>
  <c r="N323" i="1"/>
  <c r="M323" i="1"/>
  <c r="L323" i="1"/>
  <c r="K323" i="1"/>
  <c r="J323" i="1"/>
  <c r="I323" i="1"/>
  <c r="H323" i="1"/>
  <c r="G323" i="1"/>
  <c r="F323" i="1"/>
  <c r="E323" i="1"/>
  <c r="D323" i="1"/>
  <c r="C323" i="1"/>
  <c r="B323" i="1"/>
  <c r="R322" i="1"/>
  <c r="Q322" i="1"/>
  <c r="P322" i="1"/>
  <c r="O322" i="1"/>
  <c r="N322" i="1"/>
  <c r="M322" i="1"/>
  <c r="L322" i="1"/>
  <c r="K322" i="1"/>
  <c r="J322" i="1"/>
  <c r="I322" i="1"/>
  <c r="H322" i="1"/>
  <c r="G322" i="1"/>
  <c r="F322" i="1"/>
  <c r="E322" i="1"/>
  <c r="D322" i="1"/>
  <c r="C322" i="1"/>
  <c r="B322" i="1"/>
  <c r="R321" i="1"/>
  <c r="Q321" i="1"/>
  <c r="P321" i="1"/>
  <c r="O321" i="1"/>
  <c r="N321" i="1"/>
  <c r="M321" i="1"/>
  <c r="L321" i="1"/>
  <c r="K321" i="1"/>
  <c r="J321" i="1"/>
  <c r="I321" i="1"/>
  <c r="H321" i="1"/>
  <c r="G321" i="1"/>
  <c r="F321" i="1"/>
  <c r="E321" i="1"/>
  <c r="D321" i="1"/>
  <c r="C321" i="1"/>
  <c r="B321" i="1"/>
  <c r="R320" i="1"/>
  <c r="Q320" i="1"/>
  <c r="P320" i="1"/>
  <c r="O320" i="1"/>
  <c r="N320" i="1"/>
  <c r="M320" i="1"/>
  <c r="L320" i="1"/>
  <c r="K320" i="1"/>
  <c r="J320" i="1"/>
  <c r="I320" i="1"/>
  <c r="H320" i="1"/>
  <c r="G320" i="1"/>
  <c r="F320" i="1"/>
  <c r="E320" i="1"/>
  <c r="D320" i="1"/>
  <c r="C320" i="1"/>
  <c r="B320" i="1"/>
  <c r="R319" i="1"/>
  <c r="Q319" i="1"/>
  <c r="P319" i="1"/>
  <c r="O319" i="1"/>
  <c r="N319" i="1"/>
  <c r="M319" i="1"/>
  <c r="L319" i="1"/>
  <c r="K319" i="1"/>
  <c r="J319" i="1"/>
  <c r="I319" i="1"/>
  <c r="H319" i="1"/>
  <c r="G319" i="1"/>
  <c r="F319" i="1"/>
  <c r="E319" i="1"/>
  <c r="D319" i="1"/>
  <c r="C319" i="1"/>
  <c r="B319" i="1"/>
  <c r="R318" i="1"/>
  <c r="Q318" i="1"/>
  <c r="P318" i="1"/>
  <c r="O318" i="1"/>
  <c r="N318" i="1"/>
  <c r="M318" i="1"/>
  <c r="L318" i="1"/>
  <c r="K318" i="1"/>
  <c r="J318" i="1"/>
  <c r="I318" i="1"/>
  <c r="H318" i="1"/>
  <c r="G318" i="1"/>
  <c r="F318" i="1"/>
  <c r="E318" i="1"/>
  <c r="D318" i="1"/>
  <c r="C318" i="1"/>
  <c r="B318" i="1"/>
  <c r="R317" i="1"/>
  <c r="Q317" i="1"/>
  <c r="P317" i="1"/>
  <c r="O317" i="1"/>
  <c r="N317" i="1"/>
  <c r="M317" i="1"/>
  <c r="L317" i="1"/>
  <c r="K317" i="1"/>
  <c r="J317" i="1"/>
  <c r="I317" i="1"/>
  <c r="H317" i="1"/>
  <c r="G317" i="1"/>
  <c r="F317" i="1"/>
  <c r="E317" i="1"/>
  <c r="D317" i="1"/>
  <c r="C317" i="1"/>
  <c r="B317" i="1"/>
  <c r="R316" i="1"/>
  <c r="Q316" i="1"/>
  <c r="P316" i="1"/>
  <c r="O316" i="1"/>
  <c r="N316" i="1"/>
  <c r="M316" i="1"/>
  <c r="L316" i="1"/>
  <c r="K316" i="1"/>
  <c r="J316" i="1"/>
  <c r="I316" i="1"/>
  <c r="H316" i="1"/>
  <c r="G316" i="1"/>
  <c r="F316" i="1"/>
  <c r="E316" i="1"/>
  <c r="D316" i="1"/>
  <c r="C316" i="1"/>
  <c r="B316" i="1"/>
  <c r="R315" i="1"/>
  <c r="Q315" i="1"/>
  <c r="P315" i="1"/>
  <c r="O315" i="1"/>
  <c r="N315" i="1"/>
  <c r="M315" i="1"/>
  <c r="L315" i="1"/>
  <c r="K315" i="1"/>
  <c r="J315" i="1"/>
  <c r="I315" i="1"/>
  <c r="H315" i="1"/>
  <c r="G315" i="1"/>
  <c r="F315" i="1"/>
  <c r="E315" i="1"/>
  <c r="D315" i="1"/>
  <c r="C315" i="1"/>
  <c r="B315" i="1"/>
  <c r="R314" i="1"/>
  <c r="Q314" i="1"/>
  <c r="P314" i="1"/>
  <c r="O314" i="1"/>
  <c r="N314" i="1"/>
  <c r="M314" i="1"/>
  <c r="L314" i="1"/>
  <c r="K314" i="1"/>
  <c r="J314" i="1"/>
  <c r="I314" i="1"/>
  <c r="H314" i="1"/>
  <c r="G314" i="1"/>
  <c r="F314" i="1"/>
  <c r="E314" i="1"/>
  <c r="D314" i="1"/>
  <c r="C314" i="1"/>
  <c r="B314" i="1"/>
  <c r="R313" i="1"/>
  <c r="Q313" i="1"/>
  <c r="P313" i="1"/>
  <c r="O313" i="1"/>
  <c r="N313" i="1"/>
  <c r="M313" i="1"/>
  <c r="L313" i="1"/>
  <c r="K313" i="1"/>
  <c r="J313" i="1"/>
  <c r="I313" i="1"/>
  <c r="H313" i="1"/>
  <c r="G313" i="1"/>
  <c r="F313" i="1"/>
  <c r="E313" i="1"/>
  <c r="D313" i="1"/>
  <c r="C313" i="1"/>
  <c r="B313" i="1"/>
  <c r="R312" i="1"/>
  <c r="Q312" i="1"/>
  <c r="P312" i="1"/>
  <c r="O312" i="1"/>
  <c r="N312" i="1"/>
  <c r="M312" i="1"/>
  <c r="L312" i="1"/>
  <c r="K312" i="1"/>
  <c r="J312" i="1"/>
  <c r="I312" i="1"/>
  <c r="H312" i="1"/>
  <c r="G312" i="1"/>
  <c r="F312" i="1"/>
  <c r="E312" i="1"/>
  <c r="D312" i="1"/>
  <c r="C312" i="1"/>
  <c r="B312" i="1"/>
  <c r="R311" i="1"/>
  <c r="Q311" i="1"/>
  <c r="P311" i="1"/>
  <c r="O311" i="1"/>
  <c r="N311" i="1"/>
  <c r="M311" i="1"/>
  <c r="L311" i="1"/>
  <c r="K311" i="1"/>
  <c r="J311" i="1"/>
  <c r="I311" i="1"/>
  <c r="H311" i="1"/>
  <c r="G311" i="1"/>
  <c r="F311" i="1"/>
  <c r="E311" i="1"/>
  <c r="D311" i="1"/>
  <c r="C311" i="1"/>
  <c r="B311" i="1"/>
  <c r="R310" i="1"/>
  <c r="Q310" i="1"/>
  <c r="P310" i="1"/>
  <c r="O310" i="1"/>
  <c r="N310" i="1"/>
  <c r="M310" i="1"/>
  <c r="L310" i="1"/>
  <c r="K310" i="1"/>
  <c r="J310" i="1"/>
  <c r="I310" i="1"/>
  <c r="H310" i="1"/>
  <c r="G310" i="1"/>
  <c r="F310" i="1"/>
  <c r="E310" i="1"/>
  <c r="D310" i="1"/>
  <c r="C310" i="1"/>
  <c r="B310" i="1"/>
  <c r="R309" i="1"/>
  <c r="Q309" i="1"/>
  <c r="P309" i="1"/>
  <c r="O309" i="1"/>
  <c r="N309" i="1"/>
  <c r="M309" i="1"/>
  <c r="L309" i="1"/>
  <c r="K309" i="1"/>
  <c r="J309" i="1"/>
  <c r="I309" i="1"/>
  <c r="H309" i="1"/>
  <c r="G309" i="1"/>
  <c r="F309" i="1"/>
  <c r="E309" i="1"/>
  <c r="D309" i="1"/>
  <c r="C309" i="1"/>
  <c r="B309" i="1"/>
  <c r="R308" i="1"/>
  <c r="Q308" i="1"/>
  <c r="P308" i="1"/>
  <c r="O308" i="1"/>
  <c r="N308" i="1"/>
  <c r="M308" i="1"/>
  <c r="L308" i="1"/>
  <c r="K308" i="1"/>
  <c r="J308" i="1"/>
  <c r="I308" i="1"/>
  <c r="H308" i="1"/>
  <c r="G308" i="1"/>
  <c r="F308" i="1"/>
  <c r="E308" i="1"/>
  <c r="D308" i="1"/>
  <c r="C308" i="1"/>
  <c r="B308" i="1"/>
  <c r="R307" i="1"/>
  <c r="Q307" i="1"/>
  <c r="P307" i="1"/>
  <c r="O307" i="1"/>
  <c r="N307" i="1"/>
  <c r="M307" i="1"/>
  <c r="L307" i="1"/>
  <c r="K307" i="1"/>
  <c r="J307" i="1"/>
  <c r="I307" i="1"/>
  <c r="H307" i="1"/>
  <c r="G307" i="1"/>
  <c r="F307" i="1"/>
  <c r="E307" i="1"/>
  <c r="D307" i="1"/>
  <c r="C307" i="1"/>
  <c r="B307" i="1"/>
  <c r="R306" i="1"/>
  <c r="Q306" i="1"/>
  <c r="P306" i="1"/>
  <c r="O306" i="1"/>
  <c r="N306" i="1"/>
  <c r="M306" i="1"/>
  <c r="L306" i="1"/>
  <c r="K306" i="1"/>
  <c r="J306" i="1"/>
  <c r="I306" i="1"/>
  <c r="H306" i="1"/>
  <c r="G306" i="1"/>
  <c r="F306" i="1"/>
  <c r="E306" i="1"/>
  <c r="D306" i="1"/>
  <c r="C306" i="1"/>
  <c r="B306" i="1"/>
  <c r="R305" i="1"/>
  <c r="Q305" i="1"/>
  <c r="P305" i="1"/>
  <c r="O305" i="1"/>
  <c r="N305" i="1"/>
  <c r="M305" i="1"/>
  <c r="L305" i="1"/>
  <c r="K305" i="1"/>
  <c r="J305" i="1"/>
  <c r="I305" i="1"/>
  <c r="H305" i="1"/>
  <c r="G305" i="1"/>
  <c r="F305" i="1"/>
  <c r="E305" i="1"/>
  <c r="D305" i="1"/>
  <c r="C305" i="1"/>
  <c r="B305" i="1"/>
  <c r="R304" i="1"/>
  <c r="Q304" i="1"/>
  <c r="P304" i="1"/>
  <c r="O304" i="1"/>
  <c r="N304" i="1"/>
  <c r="M304" i="1"/>
  <c r="L304" i="1"/>
  <c r="K304" i="1"/>
  <c r="J304" i="1"/>
  <c r="I304" i="1"/>
  <c r="H304" i="1"/>
  <c r="G304" i="1"/>
  <c r="F304" i="1"/>
  <c r="E304" i="1"/>
  <c r="D304" i="1"/>
  <c r="C304" i="1"/>
  <c r="B304" i="1"/>
  <c r="R303" i="1"/>
  <c r="Q303" i="1"/>
  <c r="P303" i="1"/>
  <c r="O303" i="1"/>
  <c r="N303" i="1"/>
  <c r="M303" i="1"/>
  <c r="L303" i="1"/>
  <c r="K303" i="1"/>
  <c r="J303" i="1"/>
  <c r="I303" i="1"/>
  <c r="H303" i="1"/>
  <c r="G303" i="1"/>
  <c r="F303" i="1"/>
  <c r="E303" i="1"/>
  <c r="D303" i="1"/>
  <c r="C303" i="1"/>
  <c r="B303" i="1"/>
  <c r="R302" i="1"/>
  <c r="Q302" i="1"/>
  <c r="P302" i="1"/>
  <c r="O302" i="1"/>
  <c r="N302" i="1"/>
  <c r="M302" i="1"/>
  <c r="L302" i="1"/>
  <c r="K302" i="1"/>
  <c r="J302" i="1"/>
  <c r="I302" i="1"/>
  <c r="H302" i="1"/>
  <c r="G302" i="1"/>
  <c r="F302" i="1"/>
  <c r="E302" i="1"/>
  <c r="D302" i="1"/>
  <c r="C302" i="1"/>
  <c r="B302" i="1"/>
  <c r="R301" i="1"/>
  <c r="Q301" i="1"/>
  <c r="P301" i="1"/>
  <c r="O301" i="1"/>
  <c r="N301" i="1"/>
  <c r="M301" i="1"/>
  <c r="L301" i="1"/>
  <c r="K301" i="1"/>
  <c r="J301" i="1"/>
  <c r="I301" i="1"/>
  <c r="H301" i="1"/>
  <c r="G301" i="1"/>
  <c r="F301" i="1"/>
  <c r="E301" i="1"/>
  <c r="D301" i="1"/>
  <c r="C301" i="1"/>
  <c r="B301" i="1"/>
  <c r="R300" i="1"/>
  <c r="Q300" i="1"/>
  <c r="P300" i="1"/>
  <c r="O300" i="1"/>
  <c r="N300" i="1"/>
  <c r="M300" i="1"/>
  <c r="L300" i="1"/>
  <c r="K300" i="1"/>
  <c r="J300" i="1"/>
  <c r="I300" i="1"/>
  <c r="H300" i="1"/>
  <c r="G300" i="1"/>
  <c r="F300" i="1"/>
  <c r="E300" i="1"/>
  <c r="D300" i="1"/>
  <c r="C300" i="1"/>
  <c r="B300" i="1"/>
  <c r="R299" i="1"/>
  <c r="Q299" i="1"/>
  <c r="P299" i="1"/>
  <c r="O299" i="1"/>
  <c r="N299" i="1"/>
  <c r="M299" i="1"/>
  <c r="L299" i="1"/>
  <c r="K299" i="1"/>
  <c r="J299" i="1"/>
  <c r="I299" i="1"/>
  <c r="H299" i="1"/>
  <c r="G299" i="1"/>
  <c r="F299" i="1"/>
  <c r="E299" i="1"/>
  <c r="D299" i="1"/>
  <c r="C299" i="1"/>
  <c r="B299" i="1"/>
  <c r="R298" i="1"/>
  <c r="Q298" i="1"/>
  <c r="P298" i="1"/>
  <c r="O298" i="1"/>
  <c r="N298" i="1"/>
  <c r="M298" i="1"/>
  <c r="L298" i="1"/>
  <c r="K298" i="1"/>
  <c r="J298" i="1"/>
  <c r="I298" i="1"/>
  <c r="H298" i="1"/>
  <c r="G298" i="1"/>
  <c r="F298" i="1"/>
  <c r="E298" i="1"/>
  <c r="D298" i="1"/>
  <c r="C298" i="1"/>
  <c r="B298" i="1"/>
  <c r="R297" i="1"/>
  <c r="Q297" i="1"/>
  <c r="P297" i="1"/>
  <c r="O297" i="1"/>
  <c r="N297" i="1"/>
  <c r="M297" i="1"/>
  <c r="L297" i="1"/>
  <c r="K297" i="1"/>
  <c r="J297" i="1"/>
  <c r="I297" i="1"/>
  <c r="H297" i="1"/>
  <c r="G297" i="1"/>
  <c r="F297" i="1"/>
  <c r="E297" i="1"/>
  <c r="D297" i="1"/>
  <c r="C297" i="1"/>
  <c r="B297" i="1"/>
  <c r="R296" i="1"/>
  <c r="Q296" i="1"/>
  <c r="P296" i="1"/>
  <c r="O296" i="1"/>
  <c r="N296" i="1"/>
  <c r="M296" i="1"/>
  <c r="L296" i="1"/>
  <c r="K296" i="1"/>
  <c r="J296" i="1"/>
  <c r="I296" i="1"/>
  <c r="H296" i="1"/>
  <c r="G296" i="1"/>
  <c r="F296" i="1"/>
  <c r="E296" i="1"/>
  <c r="D296" i="1"/>
  <c r="C296" i="1"/>
  <c r="B296" i="1"/>
  <c r="R295" i="1"/>
  <c r="Q295" i="1"/>
  <c r="P295" i="1"/>
  <c r="O295" i="1"/>
  <c r="N295" i="1"/>
  <c r="M295" i="1"/>
  <c r="L295" i="1"/>
  <c r="K295" i="1"/>
  <c r="J295" i="1"/>
  <c r="I295" i="1"/>
  <c r="H295" i="1"/>
  <c r="G295" i="1"/>
  <c r="F295" i="1"/>
  <c r="E295" i="1"/>
  <c r="D295" i="1"/>
  <c r="C295" i="1"/>
  <c r="B295" i="1"/>
  <c r="R294" i="1"/>
  <c r="Q294" i="1"/>
  <c r="P294" i="1"/>
  <c r="O294" i="1"/>
  <c r="N294" i="1"/>
  <c r="M294" i="1"/>
  <c r="L294" i="1"/>
  <c r="K294" i="1"/>
  <c r="J294" i="1"/>
  <c r="I294" i="1"/>
  <c r="H294" i="1"/>
  <c r="G294" i="1"/>
  <c r="F294" i="1"/>
  <c r="E294" i="1"/>
  <c r="D294" i="1"/>
  <c r="C294" i="1"/>
  <c r="B294" i="1"/>
  <c r="R293" i="1"/>
  <c r="Q293" i="1"/>
  <c r="P293" i="1"/>
  <c r="O293" i="1"/>
  <c r="N293" i="1"/>
  <c r="M293" i="1"/>
  <c r="L293" i="1"/>
  <c r="K293" i="1"/>
  <c r="J293" i="1"/>
  <c r="I293" i="1"/>
  <c r="H293" i="1"/>
  <c r="G293" i="1"/>
  <c r="F293" i="1"/>
  <c r="E293" i="1"/>
  <c r="D293" i="1"/>
  <c r="C293" i="1"/>
  <c r="B293" i="1"/>
  <c r="R292" i="1"/>
  <c r="Q292" i="1"/>
  <c r="P292" i="1"/>
  <c r="O292" i="1"/>
  <c r="N292" i="1"/>
  <c r="M292" i="1"/>
  <c r="L292" i="1"/>
  <c r="K292" i="1"/>
  <c r="J292" i="1"/>
  <c r="I292" i="1"/>
  <c r="H292" i="1"/>
  <c r="G292" i="1"/>
  <c r="F292" i="1"/>
  <c r="E292" i="1"/>
  <c r="D292" i="1"/>
  <c r="C292" i="1"/>
  <c r="B292" i="1"/>
  <c r="R291" i="1"/>
  <c r="Q291" i="1"/>
  <c r="P291" i="1"/>
  <c r="O291" i="1"/>
  <c r="N291" i="1"/>
  <c r="M291" i="1"/>
  <c r="L291" i="1"/>
  <c r="K291" i="1"/>
  <c r="J291" i="1"/>
  <c r="I291" i="1"/>
  <c r="H291" i="1"/>
  <c r="G291" i="1"/>
  <c r="F291" i="1"/>
  <c r="E291" i="1"/>
  <c r="D291" i="1"/>
  <c r="C291" i="1"/>
  <c r="B291" i="1"/>
  <c r="R290" i="1"/>
  <c r="Q290" i="1"/>
  <c r="P290" i="1"/>
  <c r="O290" i="1"/>
  <c r="N290" i="1"/>
  <c r="M290" i="1"/>
  <c r="L290" i="1"/>
  <c r="K290" i="1"/>
  <c r="J290" i="1"/>
  <c r="I290" i="1"/>
  <c r="H290" i="1"/>
  <c r="G290" i="1"/>
  <c r="F290" i="1"/>
  <c r="E290" i="1"/>
  <c r="D290" i="1"/>
  <c r="C290" i="1"/>
  <c r="B290" i="1"/>
  <c r="R289" i="1"/>
  <c r="Q289" i="1"/>
  <c r="P289" i="1"/>
  <c r="O289" i="1"/>
  <c r="N289" i="1"/>
  <c r="M289" i="1"/>
  <c r="L289" i="1"/>
  <c r="K289" i="1"/>
  <c r="J289" i="1"/>
  <c r="I289" i="1"/>
  <c r="H289" i="1"/>
  <c r="G289" i="1"/>
  <c r="F289" i="1"/>
  <c r="E289" i="1"/>
  <c r="D289" i="1"/>
  <c r="C289" i="1"/>
  <c r="B289" i="1"/>
  <c r="R288" i="1"/>
  <c r="Q288" i="1"/>
  <c r="P288" i="1"/>
  <c r="O288" i="1"/>
  <c r="N288" i="1"/>
  <c r="M288" i="1"/>
  <c r="L288" i="1"/>
  <c r="K288" i="1"/>
  <c r="J288" i="1"/>
  <c r="I288" i="1"/>
  <c r="H288" i="1"/>
  <c r="G288" i="1"/>
  <c r="F288" i="1"/>
  <c r="E288" i="1"/>
  <c r="D288" i="1"/>
  <c r="C288" i="1"/>
  <c r="B288" i="1"/>
  <c r="R287" i="1"/>
  <c r="Q287" i="1"/>
  <c r="P287" i="1"/>
  <c r="O287" i="1"/>
  <c r="N287" i="1"/>
  <c r="M287" i="1"/>
  <c r="L287" i="1"/>
  <c r="K287" i="1"/>
  <c r="J287" i="1"/>
  <c r="I287" i="1"/>
  <c r="H287" i="1"/>
  <c r="G287" i="1"/>
  <c r="F287" i="1"/>
  <c r="E287" i="1"/>
  <c r="D287" i="1"/>
  <c r="C287" i="1"/>
  <c r="B287" i="1"/>
  <c r="R286" i="1"/>
  <c r="Q286" i="1"/>
  <c r="P286" i="1"/>
  <c r="O286" i="1"/>
  <c r="N286" i="1"/>
  <c r="M286" i="1"/>
  <c r="L286" i="1"/>
  <c r="K286" i="1"/>
  <c r="J286" i="1"/>
  <c r="I286" i="1"/>
  <c r="H286" i="1"/>
  <c r="G286" i="1"/>
  <c r="F286" i="1"/>
  <c r="E286" i="1"/>
  <c r="D286" i="1"/>
  <c r="C286" i="1"/>
  <c r="B286" i="1"/>
  <c r="R285" i="1"/>
  <c r="Q285" i="1"/>
  <c r="P285" i="1"/>
  <c r="O285" i="1"/>
  <c r="N285" i="1"/>
  <c r="M285" i="1"/>
  <c r="L285" i="1"/>
  <c r="K285" i="1"/>
  <c r="J285" i="1"/>
  <c r="I285" i="1"/>
  <c r="H285" i="1"/>
  <c r="G285" i="1"/>
  <c r="F285" i="1"/>
  <c r="E285" i="1"/>
  <c r="D285" i="1"/>
  <c r="C285" i="1"/>
  <c r="B285" i="1"/>
  <c r="R284" i="1"/>
  <c r="Q284" i="1"/>
  <c r="P284" i="1"/>
  <c r="O284" i="1"/>
  <c r="N284" i="1"/>
  <c r="M284" i="1"/>
  <c r="L284" i="1"/>
  <c r="K284" i="1"/>
  <c r="J284" i="1"/>
  <c r="I284" i="1"/>
  <c r="H284" i="1"/>
  <c r="G284" i="1"/>
  <c r="F284" i="1"/>
  <c r="E284" i="1"/>
  <c r="D284" i="1"/>
  <c r="C284" i="1"/>
  <c r="B284" i="1"/>
  <c r="R283" i="1"/>
  <c r="Q283" i="1"/>
  <c r="P283" i="1"/>
  <c r="O283" i="1"/>
  <c r="N283" i="1"/>
  <c r="M283" i="1"/>
  <c r="L283" i="1"/>
  <c r="K283" i="1"/>
  <c r="J283" i="1"/>
  <c r="I283" i="1"/>
  <c r="H283" i="1"/>
  <c r="G283" i="1"/>
  <c r="F283" i="1"/>
  <c r="E283" i="1"/>
  <c r="D283" i="1"/>
  <c r="C283" i="1"/>
  <c r="B283" i="1"/>
  <c r="R282" i="1"/>
  <c r="Q282" i="1"/>
  <c r="P282" i="1"/>
  <c r="O282" i="1"/>
  <c r="N282" i="1"/>
  <c r="M282" i="1"/>
  <c r="L282" i="1"/>
  <c r="K282" i="1"/>
  <c r="J282" i="1"/>
  <c r="I282" i="1"/>
  <c r="H282" i="1"/>
  <c r="G282" i="1"/>
  <c r="F282" i="1"/>
  <c r="E282" i="1"/>
  <c r="D282" i="1"/>
  <c r="C282" i="1"/>
  <c r="B282" i="1"/>
  <c r="R281" i="1"/>
  <c r="Q281" i="1"/>
  <c r="P281" i="1"/>
  <c r="O281" i="1"/>
  <c r="N281" i="1"/>
  <c r="M281" i="1"/>
  <c r="L281" i="1"/>
  <c r="K281" i="1"/>
  <c r="J281" i="1"/>
  <c r="I281" i="1"/>
  <c r="H281" i="1"/>
  <c r="G281" i="1"/>
  <c r="F281" i="1"/>
  <c r="E281" i="1"/>
  <c r="D281" i="1"/>
  <c r="C281" i="1"/>
  <c r="B281" i="1"/>
  <c r="R280" i="1"/>
  <c r="Q280" i="1"/>
  <c r="P280" i="1"/>
  <c r="O280" i="1"/>
  <c r="N280" i="1"/>
  <c r="M280" i="1"/>
  <c r="L280" i="1"/>
  <c r="K280" i="1"/>
  <c r="J280" i="1"/>
  <c r="I280" i="1"/>
  <c r="H280" i="1"/>
  <c r="G280" i="1"/>
  <c r="F280" i="1"/>
  <c r="E280" i="1"/>
  <c r="D280" i="1"/>
  <c r="C280" i="1"/>
  <c r="B280" i="1"/>
  <c r="R279" i="1"/>
  <c r="Q279" i="1"/>
  <c r="P279" i="1"/>
  <c r="O279" i="1"/>
  <c r="N279" i="1"/>
  <c r="M279" i="1"/>
  <c r="L279" i="1"/>
  <c r="K279" i="1"/>
  <c r="J279" i="1"/>
  <c r="I279" i="1"/>
  <c r="H279" i="1"/>
  <c r="G279" i="1"/>
  <c r="F279" i="1"/>
  <c r="E279" i="1"/>
  <c r="D279" i="1"/>
  <c r="C279" i="1"/>
  <c r="B279" i="1"/>
  <c r="R278" i="1"/>
  <c r="Q278" i="1"/>
  <c r="P278" i="1"/>
  <c r="O278" i="1"/>
  <c r="N278" i="1"/>
  <c r="M278" i="1"/>
  <c r="L278" i="1"/>
  <c r="K278" i="1"/>
  <c r="J278" i="1"/>
  <c r="I278" i="1"/>
  <c r="H278" i="1"/>
  <c r="G278" i="1"/>
  <c r="F278" i="1"/>
  <c r="E278" i="1"/>
  <c r="D278" i="1"/>
  <c r="C278" i="1"/>
  <c r="B278" i="1"/>
  <c r="R277" i="1"/>
  <c r="Q277" i="1"/>
  <c r="P277" i="1"/>
  <c r="O277" i="1"/>
  <c r="N277" i="1"/>
  <c r="M277" i="1"/>
  <c r="L277" i="1"/>
  <c r="K277" i="1"/>
  <c r="J277" i="1"/>
  <c r="I277" i="1"/>
  <c r="H277" i="1"/>
  <c r="G277" i="1"/>
  <c r="F277" i="1"/>
  <c r="E277" i="1"/>
  <c r="D277" i="1"/>
  <c r="C277" i="1"/>
  <c r="B277" i="1"/>
  <c r="R276" i="1"/>
  <c r="Q276" i="1"/>
  <c r="P276" i="1"/>
  <c r="O276" i="1"/>
  <c r="N276" i="1"/>
  <c r="M276" i="1"/>
  <c r="L276" i="1"/>
  <c r="K276" i="1"/>
  <c r="J276" i="1"/>
  <c r="I276" i="1"/>
  <c r="H276" i="1"/>
  <c r="G276" i="1"/>
  <c r="F276" i="1"/>
  <c r="E276" i="1"/>
  <c r="D276" i="1"/>
  <c r="C276" i="1"/>
  <c r="B276" i="1"/>
  <c r="R275" i="1"/>
  <c r="Q275" i="1"/>
  <c r="P275" i="1"/>
  <c r="O275" i="1"/>
  <c r="N275" i="1"/>
  <c r="M275" i="1"/>
  <c r="L275" i="1"/>
  <c r="K275" i="1"/>
  <c r="J275" i="1"/>
  <c r="I275" i="1"/>
  <c r="H275" i="1"/>
  <c r="G275" i="1"/>
  <c r="F275" i="1"/>
  <c r="E275" i="1"/>
  <c r="D275" i="1"/>
  <c r="C275" i="1"/>
  <c r="B275" i="1"/>
  <c r="R274" i="1"/>
  <c r="Q274" i="1"/>
  <c r="P274" i="1"/>
  <c r="O274" i="1"/>
  <c r="N274" i="1"/>
  <c r="M274" i="1"/>
  <c r="L274" i="1"/>
  <c r="K274" i="1"/>
  <c r="J274" i="1"/>
  <c r="I274" i="1"/>
  <c r="H274" i="1"/>
  <c r="G274" i="1"/>
  <c r="F274" i="1"/>
  <c r="E274" i="1"/>
  <c r="D274" i="1"/>
  <c r="C274" i="1"/>
  <c r="B274" i="1"/>
  <c r="R273" i="1"/>
  <c r="Q273" i="1"/>
  <c r="P273" i="1"/>
  <c r="O273" i="1"/>
  <c r="N273" i="1"/>
  <c r="M273" i="1"/>
  <c r="L273" i="1"/>
  <c r="K273" i="1"/>
  <c r="J273" i="1"/>
  <c r="I273" i="1"/>
  <c r="H273" i="1"/>
  <c r="G273" i="1"/>
  <c r="F273" i="1"/>
  <c r="E273" i="1"/>
  <c r="D273" i="1"/>
  <c r="C273" i="1"/>
  <c r="B273" i="1"/>
  <c r="R272" i="1"/>
  <c r="Q272" i="1"/>
  <c r="P272" i="1"/>
  <c r="O272" i="1"/>
  <c r="N272" i="1"/>
  <c r="M272" i="1"/>
  <c r="L272" i="1"/>
  <c r="K272" i="1"/>
  <c r="J272" i="1"/>
  <c r="I272" i="1"/>
  <c r="H272" i="1"/>
  <c r="G272" i="1"/>
  <c r="F272" i="1"/>
  <c r="E272" i="1"/>
  <c r="D272" i="1"/>
  <c r="C272" i="1"/>
  <c r="B272" i="1"/>
  <c r="R271" i="1"/>
  <c r="Q271" i="1"/>
  <c r="P271" i="1"/>
  <c r="O271" i="1"/>
  <c r="N271" i="1"/>
  <c r="M271" i="1"/>
  <c r="L271" i="1"/>
  <c r="K271" i="1"/>
  <c r="J271" i="1"/>
  <c r="I271" i="1"/>
  <c r="H271" i="1"/>
  <c r="G271" i="1"/>
  <c r="F271" i="1"/>
  <c r="E271" i="1"/>
  <c r="D271" i="1"/>
  <c r="C271" i="1"/>
  <c r="B271" i="1"/>
  <c r="R270" i="1"/>
  <c r="Q270" i="1"/>
  <c r="P270" i="1"/>
  <c r="O270" i="1"/>
  <c r="N270" i="1"/>
  <c r="M270" i="1"/>
  <c r="L270" i="1"/>
  <c r="K270" i="1"/>
  <c r="J270" i="1"/>
  <c r="I270" i="1"/>
  <c r="H270" i="1"/>
  <c r="G270" i="1"/>
  <c r="F270" i="1"/>
  <c r="E270" i="1"/>
  <c r="D270" i="1"/>
  <c r="C270" i="1"/>
  <c r="B270" i="1"/>
  <c r="R269" i="1"/>
  <c r="Q269" i="1"/>
  <c r="P269" i="1"/>
  <c r="O269" i="1"/>
  <c r="N269" i="1"/>
  <c r="M269" i="1"/>
  <c r="L269" i="1"/>
  <c r="K269" i="1"/>
  <c r="J269" i="1"/>
  <c r="I269" i="1"/>
  <c r="H269" i="1"/>
  <c r="G269" i="1"/>
  <c r="F269" i="1"/>
  <c r="E269" i="1"/>
  <c r="D269" i="1"/>
  <c r="C269" i="1"/>
  <c r="B269" i="1"/>
  <c r="R268" i="1"/>
  <c r="Q268" i="1"/>
  <c r="P268" i="1"/>
  <c r="O268" i="1"/>
  <c r="N268" i="1"/>
  <c r="M268" i="1"/>
  <c r="L268" i="1"/>
  <c r="K268" i="1"/>
  <c r="J268" i="1"/>
  <c r="I268" i="1"/>
  <c r="H268" i="1"/>
  <c r="G268" i="1"/>
  <c r="F268" i="1"/>
  <c r="E268" i="1"/>
  <c r="D268" i="1"/>
  <c r="C268" i="1"/>
  <c r="B268" i="1"/>
  <c r="R267" i="1"/>
  <c r="Q267" i="1"/>
  <c r="P267" i="1"/>
  <c r="O267" i="1"/>
  <c r="N267" i="1"/>
  <c r="M267" i="1"/>
  <c r="L267" i="1"/>
  <c r="K267" i="1"/>
  <c r="J267" i="1"/>
  <c r="I267" i="1"/>
  <c r="H267" i="1"/>
  <c r="G267" i="1"/>
  <c r="F267" i="1"/>
  <c r="E267" i="1"/>
  <c r="D267" i="1"/>
  <c r="C267" i="1"/>
  <c r="B267" i="1"/>
  <c r="R266" i="1"/>
  <c r="Q266" i="1"/>
  <c r="P266" i="1"/>
  <c r="O266" i="1"/>
  <c r="N266" i="1"/>
  <c r="M266" i="1"/>
  <c r="L266" i="1"/>
  <c r="K266" i="1"/>
  <c r="J266" i="1"/>
  <c r="I266" i="1"/>
  <c r="H266" i="1"/>
  <c r="G266" i="1"/>
  <c r="F266" i="1"/>
  <c r="E266" i="1"/>
  <c r="D266" i="1"/>
  <c r="C266" i="1"/>
  <c r="B266" i="1"/>
  <c r="R265" i="1"/>
  <c r="Q265" i="1"/>
  <c r="P265" i="1"/>
  <c r="O265" i="1"/>
  <c r="N265" i="1"/>
  <c r="M265" i="1"/>
  <c r="L265" i="1"/>
  <c r="K265" i="1"/>
  <c r="J265" i="1"/>
  <c r="I265" i="1"/>
  <c r="H265" i="1"/>
  <c r="G265" i="1"/>
  <c r="F265" i="1"/>
  <c r="E265" i="1"/>
  <c r="D265" i="1"/>
  <c r="C265" i="1"/>
  <c r="B265" i="1"/>
  <c r="R264" i="1"/>
  <c r="Q264" i="1"/>
  <c r="P264" i="1"/>
  <c r="O264" i="1"/>
  <c r="N264" i="1"/>
  <c r="M264" i="1"/>
  <c r="L264" i="1"/>
  <c r="K264" i="1"/>
  <c r="J264" i="1"/>
  <c r="I264" i="1"/>
  <c r="H264" i="1"/>
  <c r="G264" i="1"/>
  <c r="F264" i="1"/>
  <c r="E264" i="1"/>
  <c r="D264" i="1"/>
  <c r="C264" i="1"/>
  <c r="B264" i="1"/>
  <c r="R263" i="1"/>
  <c r="Q263" i="1"/>
  <c r="P263" i="1"/>
  <c r="O263" i="1"/>
  <c r="N263" i="1"/>
  <c r="M263" i="1"/>
  <c r="L263" i="1"/>
  <c r="K263" i="1"/>
  <c r="J263" i="1"/>
  <c r="I263" i="1"/>
  <c r="H263" i="1"/>
  <c r="G263" i="1"/>
  <c r="F263" i="1"/>
  <c r="E263" i="1"/>
  <c r="D263" i="1"/>
  <c r="C263" i="1"/>
  <c r="B263" i="1"/>
  <c r="R262" i="1"/>
  <c r="Q262" i="1"/>
  <c r="P262" i="1"/>
  <c r="O262" i="1"/>
  <c r="N262" i="1"/>
  <c r="M262" i="1"/>
  <c r="L262" i="1"/>
  <c r="K262" i="1"/>
  <c r="J262" i="1"/>
  <c r="I262" i="1"/>
  <c r="H262" i="1"/>
  <c r="G262" i="1"/>
  <c r="F262" i="1"/>
  <c r="E262" i="1"/>
  <c r="D262" i="1"/>
  <c r="C262" i="1"/>
  <c r="B262" i="1"/>
  <c r="R261" i="1"/>
  <c r="Q261" i="1"/>
  <c r="P261" i="1"/>
  <c r="O261" i="1"/>
  <c r="N261" i="1"/>
  <c r="M261" i="1"/>
  <c r="L261" i="1"/>
  <c r="K261" i="1"/>
  <c r="J261" i="1"/>
  <c r="I261" i="1"/>
  <c r="H261" i="1"/>
  <c r="G261" i="1"/>
  <c r="F261" i="1"/>
  <c r="E261" i="1"/>
  <c r="D261" i="1"/>
  <c r="C261" i="1"/>
  <c r="B261" i="1"/>
  <c r="R260" i="1"/>
  <c r="Q260" i="1"/>
  <c r="P260" i="1"/>
  <c r="O260" i="1"/>
  <c r="N260" i="1"/>
  <c r="M260" i="1"/>
  <c r="L260" i="1"/>
  <c r="K260" i="1"/>
  <c r="J260" i="1"/>
  <c r="I260" i="1"/>
  <c r="H260" i="1"/>
  <c r="G260" i="1"/>
  <c r="F260" i="1"/>
  <c r="E260" i="1"/>
  <c r="D260" i="1"/>
  <c r="C260" i="1"/>
  <c r="B260" i="1"/>
  <c r="R259" i="1"/>
  <c r="Q259" i="1"/>
  <c r="P259" i="1"/>
  <c r="O259" i="1"/>
  <c r="N259" i="1"/>
  <c r="M259" i="1"/>
  <c r="L259" i="1"/>
  <c r="K259" i="1"/>
  <c r="J259" i="1"/>
  <c r="I259" i="1"/>
  <c r="H259" i="1"/>
  <c r="G259" i="1"/>
  <c r="F259" i="1"/>
  <c r="E259" i="1"/>
  <c r="D259" i="1"/>
  <c r="C259" i="1"/>
  <c r="B259" i="1"/>
  <c r="R258" i="1"/>
  <c r="Q258" i="1"/>
  <c r="P258" i="1"/>
  <c r="O258" i="1"/>
  <c r="N258" i="1"/>
  <c r="M258" i="1"/>
  <c r="L258" i="1"/>
  <c r="K258" i="1"/>
  <c r="J258" i="1"/>
  <c r="I258" i="1"/>
  <c r="H258" i="1"/>
  <c r="G258" i="1"/>
  <c r="F258" i="1"/>
  <c r="E258" i="1"/>
  <c r="D258" i="1"/>
  <c r="C258" i="1"/>
  <c r="B258" i="1"/>
  <c r="R257" i="1"/>
  <c r="Q257" i="1"/>
  <c r="P257" i="1"/>
  <c r="O257" i="1"/>
  <c r="N257" i="1"/>
  <c r="M257" i="1"/>
  <c r="L257" i="1"/>
  <c r="K257" i="1"/>
  <c r="J257" i="1"/>
  <c r="I257" i="1"/>
  <c r="H257" i="1"/>
  <c r="G257" i="1"/>
  <c r="F257" i="1"/>
  <c r="E257" i="1"/>
  <c r="D257" i="1"/>
  <c r="C257" i="1"/>
  <c r="B257" i="1"/>
  <c r="R256" i="1"/>
  <c r="Q256" i="1"/>
  <c r="P256" i="1"/>
  <c r="O256" i="1"/>
  <c r="N256" i="1"/>
  <c r="M256" i="1"/>
  <c r="L256" i="1"/>
  <c r="K256" i="1"/>
  <c r="J256" i="1"/>
  <c r="I256" i="1"/>
  <c r="H256" i="1"/>
  <c r="G256" i="1"/>
  <c r="F256" i="1"/>
  <c r="E256" i="1"/>
  <c r="D256" i="1"/>
  <c r="C256" i="1"/>
  <c r="B256" i="1"/>
  <c r="R255" i="1"/>
  <c r="Q255" i="1"/>
  <c r="P255" i="1"/>
  <c r="O255" i="1"/>
  <c r="N255" i="1"/>
  <c r="M255" i="1"/>
  <c r="L255" i="1"/>
  <c r="K255" i="1"/>
  <c r="J255" i="1"/>
  <c r="I255" i="1"/>
  <c r="H255" i="1"/>
  <c r="G255" i="1"/>
  <c r="F255" i="1"/>
  <c r="E255" i="1"/>
  <c r="D255" i="1"/>
  <c r="C255" i="1"/>
  <c r="B255" i="1"/>
  <c r="R254" i="1"/>
  <c r="Q254" i="1"/>
  <c r="P254" i="1"/>
  <c r="O254" i="1"/>
  <c r="N254" i="1"/>
  <c r="M254" i="1"/>
  <c r="L254" i="1"/>
  <c r="K254" i="1"/>
  <c r="J254" i="1"/>
  <c r="I254" i="1"/>
  <c r="H254" i="1"/>
  <c r="G254" i="1"/>
  <c r="F254" i="1"/>
  <c r="E254" i="1"/>
  <c r="D254" i="1"/>
  <c r="C254" i="1"/>
  <c r="B254" i="1"/>
  <c r="R253" i="1"/>
  <c r="Q253" i="1"/>
  <c r="P253" i="1"/>
  <c r="O253" i="1"/>
  <c r="N253" i="1"/>
  <c r="M253" i="1"/>
  <c r="L253" i="1"/>
  <c r="K253" i="1"/>
  <c r="J253" i="1"/>
  <c r="I253" i="1"/>
  <c r="H253" i="1"/>
  <c r="G253" i="1"/>
  <c r="F253" i="1"/>
  <c r="E253" i="1"/>
  <c r="D253" i="1"/>
  <c r="C253" i="1"/>
  <c r="B253" i="1"/>
  <c r="R252" i="1"/>
  <c r="Q252" i="1"/>
  <c r="P252" i="1"/>
  <c r="O252" i="1"/>
  <c r="N252" i="1"/>
  <c r="M252" i="1"/>
  <c r="L252" i="1"/>
  <c r="K252" i="1"/>
  <c r="J252" i="1"/>
  <c r="I252" i="1"/>
  <c r="H252" i="1"/>
  <c r="G252" i="1"/>
  <c r="F252" i="1"/>
  <c r="E252" i="1"/>
  <c r="D252" i="1"/>
  <c r="C252" i="1"/>
  <c r="B252" i="1"/>
  <c r="R251" i="1"/>
  <c r="Q251" i="1"/>
  <c r="P251" i="1"/>
  <c r="O251" i="1"/>
  <c r="N251" i="1"/>
  <c r="M251" i="1"/>
  <c r="L251" i="1"/>
  <c r="K251" i="1"/>
  <c r="J251" i="1"/>
  <c r="I251" i="1"/>
  <c r="H251" i="1"/>
  <c r="G251" i="1"/>
  <c r="F251" i="1"/>
  <c r="E251" i="1"/>
  <c r="D251" i="1"/>
  <c r="C251" i="1"/>
  <c r="B251" i="1"/>
  <c r="R250" i="1"/>
  <c r="Q250" i="1"/>
  <c r="P250" i="1"/>
  <c r="O250" i="1"/>
  <c r="N250" i="1"/>
  <c r="M250" i="1"/>
  <c r="L250" i="1"/>
  <c r="K250" i="1"/>
  <c r="J250" i="1"/>
  <c r="I250" i="1"/>
  <c r="H250" i="1"/>
  <c r="G250" i="1"/>
  <c r="F250" i="1"/>
  <c r="E250" i="1"/>
  <c r="D250" i="1"/>
  <c r="C250" i="1"/>
  <c r="B250" i="1"/>
  <c r="R249" i="1"/>
  <c r="Q249" i="1"/>
  <c r="P249" i="1"/>
  <c r="O249" i="1"/>
  <c r="N249" i="1"/>
  <c r="M249" i="1"/>
  <c r="L249" i="1"/>
  <c r="K249" i="1"/>
  <c r="J249" i="1"/>
  <c r="I249" i="1"/>
  <c r="H249" i="1"/>
  <c r="G249" i="1"/>
  <c r="F249" i="1"/>
  <c r="E249" i="1"/>
  <c r="D249" i="1"/>
  <c r="C249" i="1"/>
  <c r="B249" i="1"/>
  <c r="R248" i="1"/>
  <c r="Q248" i="1"/>
  <c r="P248" i="1"/>
  <c r="O248" i="1"/>
  <c r="N248" i="1"/>
  <c r="M248" i="1"/>
  <c r="L248" i="1"/>
  <c r="K248" i="1"/>
  <c r="J248" i="1"/>
  <c r="I248" i="1"/>
  <c r="H248" i="1"/>
  <c r="G248" i="1"/>
  <c r="F248" i="1"/>
  <c r="E248" i="1"/>
  <c r="D248" i="1"/>
  <c r="C248" i="1"/>
  <c r="B248" i="1"/>
  <c r="R247" i="1"/>
  <c r="Q247" i="1"/>
  <c r="P247" i="1"/>
  <c r="O247" i="1"/>
  <c r="N247" i="1"/>
  <c r="M247" i="1"/>
  <c r="L247" i="1"/>
  <c r="K247" i="1"/>
  <c r="J247" i="1"/>
  <c r="I247" i="1"/>
  <c r="H247" i="1"/>
  <c r="G247" i="1"/>
  <c r="F247" i="1"/>
  <c r="E247" i="1"/>
  <c r="D247" i="1"/>
  <c r="C247" i="1"/>
  <c r="B247" i="1"/>
  <c r="R246" i="1"/>
  <c r="Q246" i="1"/>
  <c r="P246" i="1"/>
  <c r="O246" i="1"/>
  <c r="N246" i="1"/>
  <c r="M246" i="1"/>
  <c r="L246" i="1"/>
  <c r="K246" i="1"/>
  <c r="J246" i="1"/>
  <c r="I246" i="1"/>
  <c r="H246" i="1"/>
  <c r="G246" i="1"/>
  <c r="F246" i="1"/>
  <c r="E246" i="1"/>
  <c r="D246" i="1"/>
  <c r="C246" i="1"/>
  <c r="B246" i="1"/>
  <c r="R245" i="1"/>
  <c r="Q245" i="1"/>
  <c r="P245" i="1"/>
  <c r="O245" i="1"/>
  <c r="N245" i="1"/>
  <c r="M245" i="1"/>
  <c r="L245" i="1"/>
  <c r="K245" i="1"/>
  <c r="J245" i="1"/>
  <c r="I245" i="1"/>
  <c r="H245" i="1"/>
  <c r="G245" i="1"/>
  <c r="F245" i="1"/>
  <c r="E245" i="1"/>
  <c r="D245" i="1"/>
  <c r="C245" i="1"/>
  <c r="B245" i="1"/>
  <c r="R244" i="1"/>
  <c r="Q244" i="1"/>
  <c r="P244" i="1"/>
  <c r="O244" i="1"/>
  <c r="N244" i="1"/>
  <c r="M244" i="1"/>
  <c r="L244" i="1"/>
  <c r="K244" i="1"/>
  <c r="J244" i="1"/>
  <c r="I244" i="1"/>
  <c r="H244" i="1"/>
  <c r="G244" i="1"/>
  <c r="F244" i="1"/>
  <c r="E244" i="1"/>
  <c r="D244" i="1"/>
  <c r="C244" i="1"/>
  <c r="B244" i="1"/>
  <c r="R243" i="1"/>
  <c r="Q243" i="1"/>
  <c r="P243" i="1"/>
  <c r="O243" i="1"/>
  <c r="N243" i="1"/>
  <c r="M243" i="1"/>
  <c r="L243" i="1"/>
  <c r="K243" i="1"/>
  <c r="J243" i="1"/>
  <c r="I243" i="1"/>
  <c r="H243" i="1"/>
  <c r="G243" i="1"/>
  <c r="F243" i="1"/>
  <c r="E243" i="1"/>
  <c r="D243" i="1"/>
  <c r="C243" i="1"/>
  <c r="B243" i="1"/>
  <c r="R242" i="1"/>
  <c r="Q242" i="1"/>
  <c r="P242" i="1"/>
  <c r="O242" i="1"/>
  <c r="N242" i="1"/>
  <c r="M242" i="1"/>
  <c r="L242" i="1"/>
  <c r="K242" i="1"/>
  <c r="J242" i="1"/>
  <c r="I242" i="1"/>
  <c r="H242" i="1"/>
  <c r="G242" i="1"/>
  <c r="F242" i="1"/>
  <c r="E242" i="1"/>
  <c r="D242" i="1"/>
  <c r="C242" i="1"/>
  <c r="B242" i="1"/>
  <c r="R241" i="1"/>
  <c r="Q241" i="1"/>
  <c r="P241" i="1"/>
  <c r="O241" i="1"/>
  <c r="N241" i="1"/>
  <c r="M241" i="1"/>
  <c r="L241" i="1"/>
  <c r="K241" i="1"/>
  <c r="J241" i="1"/>
  <c r="I241" i="1"/>
  <c r="H241" i="1"/>
  <c r="G241" i="1"/>
  <c r="F241" i="1"/>
  <c r="E241" i="1"/>
  <c r="D241" i="1"/>
  <c r="C241" i="1"/>
  <c r="B241" i="1"/>
  <c r="R240" i="1"/>
  <c r="Q240" i="1"/>
  <c r="P240" i="1"/>
  <c r="O240" i="1"/>
  <c r="N240" i="1"/>
  <c r="M240" i="1"/>
  <c r="L240" i="1"/>
  <c r="K240" i="1"/>
  <c r="J240" i="1"/>
  <c r="I240" i="1"/>
  <c r="H240" i="1"/>
  <c r="G240" i="1"/>
  <c r="F240" i="1"/>
  <c r="E240" i="1"/>
  <c r="D240" i="1"/>
  <c r="C240" i="1"/>
  <c r="B240" i="1"/>
  <c r="R239" i="1"/>
  <c r="Q239" i="1"/>
  <c r="P239" i="1"/>
  <c r="O239" i="1"/>
  <c r="N239" i="1"/>
  <c r="M239" i="1"/>
  <c r="L239" i="1"/>
  <c r="K239" i="1"/>
  <c r="J239" i="1"/>
  <c r="I239" i="1"/>
  <c r="H239" i="1"/>
  <c r="G239" i="1"/>
  <c r="F239" i="1"/>
  <c r="E239" i="1"/>
  <c r="D239" i="1"/>
  <c r="C239" i="1"/>
  <c r="B239" i="1"/>
  <c r="R238" i="1"/>
  <c r="Q238" i="1"/>
  <c r="P238" i="1"/>
  <c r="O238" i="1"/>
  <c r="N238" i="1"/>
  <c r="M238" i="1"/>
  <c r="L238" i="1"/>
  <c r="K238" i="1"/>
  <c r="J238" i="1"/>
  <c r="I238" i="1"/>
  <c r="H238" i="1"/>
  <c r="G238" i="1"/>
  <c r="F238" i="1"/>
  <c r="E238" i="1"/>
  <c r="D238" i="1"/>
  <c r="C238" i="1"/>
  <c r="B238" i="1"/>
  <c r="R237" i="1"/>
  <c r="Q237" i="1"/>
  <c r="P237" i="1"/>
  <c r="O237" i="1"/>
  <c r="N237" i="1"/>
  <c r="M237" i="1"/>
  <c r="L237" i="1"/>
  <c r="K237" i="1"/>
  <c r="J237" i="1"/>
  <c r="I237" i="1"/>
  <c r="H237" i="1"/>
  <c r="G237" i="1"/>
  <c r="F237" i="1"/>
  <c r="E237" i="1"/>
  <c r="D237" i="1"/>
  <c r="C237" i="1"/>
  <c r="B237" i="1"/>
  <c r="R236" i="1"/>
  <c r="Q236" i="1"/>
  <c r="P236" i="1"/>
  <c r="O236" i="1"/>
  <c r="N236" i="1"/>
  <c r="M236" i="1"/>
  <c r="L236" i="1"/>
  <c r="K236" i="1"/>
  <c r="J236" i="1"/>
  <c r="I236" i="1"/>
  <c r="H236" i="1"/>
  <c r="G236" i="1"/>
  <c r="F236" i="1"/>
  <c r="E236" i="1"/>
  <c r="D236" i="1"/>
  <c r="C236" i="1"/>
  <c r="B236" i="1"/>
  <c r="R235" i="1"/>
  <c r="Q235" i="1"/>
  <c r="P235" i="1"/>
  <c r="O235" i="1"/>
  <c r="N235" i="1"/>
  <c r="M235" i="1"/>
  <c r="L235" i="1"/>
  <c r="K235" i="1"/>
  <c r="J235" i="1"/>
  <c r="I235" i="1"/>
  <c r="H235" i="1"/>
  <c r="G235" i="1"/>
  <c r="F235" i="1"/>
  <c r="E235" i="1"/>
  <c r="D235" i="1"/>
  <c r="C235" i="1"/>
  <c r="B235" i="1"/>
  <c r="R234" i="1"/>
  <c r="Q234" i="1"/>
  <c r="P234" i="1"/>
  <c r="O234" i="1"/>
  <c r="N234" i="1"/>
  <c r="M234" i="1"/>
  <c r="L234" i="1"/>
  <c r="K234" i="1"/>
  <c r="J234" i="1"/>
  <c r="I234" i="1"/>
  <c r="H234" i="1"/>
  <c r="G234" i="1"/>
  <c r="F234" i="1"/>
  <c r="E234" i="1"/>
  <c r="D234" i="1"/>
  <c r="C234" i="1"/>
  <c r="B234" i="1"/>
  <c r="R233" i="1"/>
  <c r="Q233" i="1"/>
  <c r="P233" i="1"/>
  <c r="O233" i="1"/>
  <c r="N233" i="1"/>
  <c r="M233" i="1"/>
  <c r="L233" i="1"/>
  <c r="K233" i="1"/>
  <c r="J233" i="1"/>
  <c r="I233" i="1"/>
  <c r="H233" i="1"/>
  <c r="G233" i="1"/>
  <c r="F233" i="1"/>
  <c r="E233" i="1"/>
  <c r="D233" i="1"/>
  <c r="C233" i="1"/>
  <c r="B233" i="1"/>
  <c r="R232" i="1"/>
  <c r="Q232" i="1"/>
  <c r="P232" i="1"/>
  <c r="O232" i="1"/>
  <c r="N232" i="1"/>
  <c r="M232" i="1"/>
  <c r="L232" i="1"/>
  <c r="K232" i="1"/>
  <c r="J232" i="1"/>
  <c r="I232" i="1"/>
  <c r="H232" i="1"/>
  <c r="G232" i="1"/>
  <c r="F232" i="1"/>
  <c r="E232" i="1"/>
  <c r="D232" i="1"/>
  <c r="C232" i="1"/>
  <c r="B232" i="1"/>
  <c r="R231" i="1"/>
  <c r="Q231" i="1"/>
  <c r="P231" i="1"/>
  <c r="O231" i="1"/>
  <c r="N231" i="1"/>
  <c r="M231" i="1"/>
  <c r="L231" i="1"/>
  <c r="K231" i="1"/>
  <c r="J231" i="1"/>
  <c r="I231" i="1"/>
  <c r="H231" i="1"/>
  <c r="G231" i="1"/>
  <c r="F231" i="1"/>
  <c r="E231" i="1"/>
  <c r="D231" i="1"/>
  <c r="C231" i="1"/>
  <c r="B231" i="1"/>
  <c r="R230" i="1"/>
  <c r="Q230" i="1"/>
  <c r="P230" i="1"/>
  <c r="O230" i="1"/>
  <c r="N230" i="1"/>
  <c r="M230" i="1"/>
  <c r="L230" i="1"/>
  <c r="K230" i="1"/>
  <c r="J230" i="1"/>
  <c r="I230" i="1"/>
  <c r="H230" i="1"/>
  <c r="G230" i="1"/>
  <c r="F230" i="1"/>
  <c r="E230" i="1"/>
  <c r="D230" i="1"/>
  <c r="C230" i="1"/>
  <c r="B230" i="1"/>
  <c r="R229" i="1"/>
  <c r="Q229" i="1"/>
  <c r="P229" i="1"/>
  <c r="O229" i="1"/>
  <c r="N229" i="1"/>
  <c r="M229" i="1"/>
  <c r="L229" i="1"/>
  <c r="K229" i="1"/>
  <c r="J229" i="1"/>
  <c r="I229" i="1"/>
  <c r="H229" i="1"/>
  <c r="G229" i="1"/>
  <c r="F229" i="1"/>
  <c r="E229" i="1"/>
  <c r="D229" i="1"/>
  <c r="C229" i="1"/>
  <c r="B229" i="1"/>
  <c r="R228" i="1"/>
  <c r="Q228" i="1"/>
  <c r="P228" i="1"/>
  <c r="O228" i="1"/>
  <c r="N228" i="1"/>
  <c r="M228" i="1"/>
  <c r="L228" i="1"/>
  <c r="K228" i="1"/>
  <c r="J228" i="1"/>
  <c r="I228" i="1"/>
  <c r="H228" i="1"/>
  <c r="G228" i="1"/>
  <c r="F228" i="1"/>
  <c r="E228" i="1"/>
  <c r="D228" i="1"/>
  <c r="C228" i="1"/>
  <c r="B228" i="1"/>
  <c r="R227" i="1"/>
  <c r="Q227" i="1"/>
  <c r="P227" i="1"/>
  <c r="O227" i="1"/>
  <c r="N227" i="1"/>
  <c r="M227" i="1"/>
  <c r="L227" i="1"/>
  <c r="K227" i="1"/>
  <c r="J227" i="1"/>
  <c r="I227" i="1"/>
  <c r="H227" i="1"/>
  <c r="G227" i="1"/>
  <c r="F227" i="1"/>
  <c r="E227" i="1"/>
  <c r="D227" i="1"/>
  <c r="C227" i="1"/>
  <c r="B227" i="1"/>
  <c r="R226" i="1"/>
  <c r="Q226" i="1"/>
  <c r="P226" i="1"/>
  <c r="O226" i="1"/>
  <c r="N226" i="1"/>
  <c r="M226" i="1"/>
  <c r="L226" i="1"/>
  <c r="K226" i="1"/>
  <c r="J226" i="1"/>
  <c r="I226" i="1"/>
  <c r="H226" i="1"/>
  <c r="G226" i="1"/>
  <c r="F226" i="1"/>
  <c r="E226" i="1"/>
  <c r="D226" i="1"/>
  <c r="C226" i="1"/>
  <c r="B226" i="1"/>
  <c r="R225" i="1"/>
  <c r="Q225" i="1"/>
  <c r="P225" i="1"/>
  <c r="O225" i="1"/>
  <c r="N225" i="1"/>
  <c r="M225" i="1"/>
  <c r="L225" i="1"/>
  <c r="K225" i="1"/>
  <c r="J225" i="1"/>
  <c r="I225" i="1"/>
  <c r="H225" i="1"/>
  <c r="G225" i="1"/>
  <c r="F225" i="1"/>
  <c r="E225" i="1"/>
  <c r="D225" i="1"/>
  <c r="C225" i="1"/>
  <c r="B225" i="1"/>
  <c r="R224" i="1"/>
  <c r="Q224" i="1"/>
  <c r="P224" i="1"/>
  <c r="O224" i="1"/>
  <c r="N224" i="1"/>
  <c r="M224" i="1"/>
  <c r="L224" i="1"/>
  <c r="K224" i="1"/>
  <c r="J224" i="1"/>
  <c r="I224" i="1"/>
  <c r="H224" i="1"/>
  <c r="G224" i="1"/>
  <c r="F224" i="1"/>
  <c r="E224" i="1"/>
  <c r="D224" i="1"/>
  <c r="C224" i="1"/>
  <c r="B224" i="1"/>
  <c r="R223" i="1"/>
  <c r="Q223" i="1"/>
  <c r="P223" i="1"/>
  <c r="O223" i="1"/>
  <c r="N223" i="1"/>
  <c r="M223" i="1"/>
  <c r="L223" i="1"/>
  <c r="K223" i="1"/>
  <c r="J223" i="1"/>
  <c r="I223" i="1"/>
  <c r="H223" i="1"/>
  <c r="G223" i="1"/>
  <c r="F223" i="1"/>
  <c r="E223" i="1"/>
  <c r="D223" i="1"/>
  <c r="C223" i="1"/>
  <c r="B223" i="1"/>
  <c r="R222" i="1"/>
  <c r="Q222" i="1"/>
  <c r="P222" i="1"/>
  <c r="O222" i="1"/>
  <c r="N222" i="1"/>
  <c r="M222" i="1"/>
  <c r="L222" i="1"/>
  <c r="K222" i="1"/>
  <c r="J222" i="1"/>
  <c r="I222" i="1"/>
  <c r="H222" i="1"/>
  <c r="G222" i="1"/>
  <c r="F222" i="1"/>
  <c r="E222" i="1"/>
  <c r="D222" i="1"/>
  <c r="C222" i="1"/>
  <c r="B222" i="1"/>
  <c r="R221" i="1"/>
  <c r="Q221" i="1"/>
  <c r="P221" i="1"/>
  <c r="O221" i="1"/>
  <c r="N221" i="1"/>
  <c r="M221" i="1"/>
  <c r="L221" i="1"/>
  <c r="K221" i="1"/>
  <c r="J221" i="1"/>
  <c r="I221" i="1"/>
  <c r="H221" i="1"/>
  <c r="G221" i="1"/>
  <c r="F221" i="1"/>
  <c r="E221" i="1"/>
  <c r="D221" i="1"/>
  <c r="C221" i="1"/>
  <c r="B221" i="1"/>
  <c r="R220" i="1"/>
  <c r="Q220" i="1"/>
  <c r="P220" i="1"/>
  <c r="O220" i="1"/>
  <c r="N220" i="1"/>
  <c r="M220" i="1"/>
  <c r="L220" i="1"/>
  <c r="K220" i="1"/>
  <c r="J220" i="1"/>
  <c r="I220" i="1"/>
  <c r="H220" i="1"/>
  <c r="G220" i="1"/>
  <c r="F220" i="1"/>
  <c r="E220" i="1"/>
  <c r="D220" i="1"/>
  <c r="C220" i="1"/>
  <c r="B220" i="1"/>
  <c r="R219" i="1"/>
  <c r="Q219" i="1"/>
  <c r="P219" i="1"/>
  <c r="O219" i="1"/>
  <c r="N219" i="1"/>
  <c r="M219" i="1"/>
  <c r="L219" i="1"/>
  <c r="K219" i="1"/>
  <c r="J219" i="1"/>
  <c r="I219" i="1"/>
  <c r="H219" i="1"/>
  <c r="G219" i="1"/>
  <c r="F219" i="1"/>
  <c r="E219" i="1"/>
  <c r="D219" i="1"/>
  <c r="C219" i="1"/>
  <c r="B219" i="1"/>
  <c r="R218" i="1"/>
  <c r="Q218" i="1"/>
  <c r="P218" i="1"/>
  <c r="O218" i="1"/>
  <c r="N218" i="1"/>
  <c r="M218" i="1"/>
  <c r="L218" i="1"/>
  <c r="K218" i="1"/>
  <c r="J218" i="1"/>
  <c r="I218" i="1"/>
  <c r="H218" i="1"/>
  <c r="G218" i="1"/>
  <c r="F218" i="1"/>
  <c r="E218" i="1"/>
  <c r="D218" i="1"/>
  <c r="C218" i="1"/>
  <c r="B218" i="1"/>
  <c r="R217" i="1"/>
  <c r="Q217" i="1"/>
  <c r="P217" i="1"/>
  <c r="O217" i="1"/>
  <c r="N217" i="1"/>
  <c r="M217" i="1"/>
  <c r="L217" i="1"/>
  <c r="K217" i="1"/>
  <c r="J217" i="1"/>
  <c r="I217" i="1"/>
  <c r="H217" i="1"/>
  <c r="G217" i="1"/>
  <c r="F217" i="1"/>
  <c r="E217" i="1"/>
  <c r="D217" i="1"/>
  <c r="C217" i="1"/>
  <c r="B217" i="1"/>
  <c r="R216" i="1"/>
  <c r="Q216" i="1"/>
  <c r="P216" i="1"/>
  <c r="O216" i="1"/>
  <c r="N216" i="1"/>
  <c r="M216" i="1"/>
  <c r="L216" i="1"/>
  <c r="K216" i="1"/>
  <c r="J216" i="1"/>
  <c r="I216" i="1"/>
  <c r="H216" i="1"/>
  <c r="G216" i="1"/>
  <c r="F216" i="1"/>
  <c r="E216" i="1"/>
  <c r="D216" i="1"/>
  <c r="C216" i="1"/>
  <c r="B216" i="1"/>
  <c r="R215" i="1"/>
  <c r="Q215" i="1"/>
  <c r="P215" i="1"/>
  <c r="O215" i="1"/>
  <c r="N215" i="1"/>
  <c r="M215" i="1"/>
  <c r="L215" i="1"/>
  <c r="K215" i="1"/>
  <c r="J215" i="1"/>
  <c r="I215" i="1"/>
  <c r="H215" i="1"/>
  <c r="G215" i="1"/>
  <c r="F215" i="1"/>
  <c r="E215" i="1"/>
  <c r="D215" i="1"/>
  <c r="C215" i="1"/>
  <c r="B215" i="1"/>
  <c r="R214" i="1"/>
  <c r="Q214" i="1"/>
  <c r="P214" i="1"/>
  <c r="O214" i="1"/>
  <c r="N214" i="1"/>
  <c r="M214" i="1"/>
  <c r="L214" i="1"/>
  <c r="K214" i="1"/>
  <c r="J214" i="1"/>
  <c r="I214" i="1"/>
  <c r="H214" i="1"/>
  <c r="G214" i="1"/>
  <c r="F214" i="1"/>
  <c r="E214" i="1"/>
  <c r="D214" i="1"/>
  <c r="C214" i="1"/>
  <c r="B214" i="1"/>
  <c r="R213" i="1"/>
  <c r="Q213" i="1"/>
  <c r="P213" i="1"/>
  <c r="O213" i="1"/>
  <c r="N213" i="1"/>
  <c r="M213" i="1"/>
  <c r="L213" i="1"/>
  <c r="K213" i="1"/>
  <c r="J213" i="1"/>
  <c r="I213" i="1"/>
  <c r="H213" i="1"/>
  <c r="G213" i="1"/>
  <c r="F213" i="1"/>
  <c r="E213" i="1"/>
  <c r="D213" i="1"/>
  <c r="C213" i="1"/>
  <c r="B213" i="1"/>
  <c r="R212" i="1"/>
  <c r="Q212" i="1"/>
  <c r="P212" i="1"/>
  <c r="O212" i="1"/>
  <c r="N212" i="1"/>
  <c r="M212" i="1"/>
  <c r="L212" i="1"/>
  <c r="K212" i="1"/>
  <c r="J212" i="1"/>
  <c r="I212" i="1"/>
  <c r="H212" i="1"/>
  <c r="G212" i="1"/>
  <c r="F212" i="1"/>
  <c r="E212" i="1"/>
  <c r="D212" i="1"/>
  <c r="C212" i="1"/>
  <c r="B212" i="1"/>
  <c r="R211" i="1"/>
  <c r="Q211" i="1"/>
  <c r="P211" i="1"/>
  <c r="O211" i="1"/>
  <c r="N211" i="1"/>
  <c r="M211" i="1"/>
  <c r="L211" i="1"/>
  <c r="K211" i="1"/>
  <c r="J211" i="1"/>
  <c r="I211" i="1"/>
  <c r="H211" i="1"/>
  <c r="G211" i="1"/>
  <c r="F211" i="1"/>
  <c r="E211" i="1"/>
  <c r="D211" i="1"/>
  <c r="C211" i="1"/>
  <c r="B211" i="1"/>
  <c r="R210" i="1"/>
  <c r="Q210" i="1"/>
  <c r="P210" i="1"/>
  <c r="O210" i="1"/>
  <c r="N210" i="1"/>
  <c r="M210" i="1"/>
  <c r="L210" i="1"/>
  <c r="K210" i="1"/>
  <c r="J210" i="1"/>
  <c r="I210" i="1"/>
  <c r="H210" i="1"/>
  <c r="G210" i="1"/>
  <c r="F210" i="1"/>
  <c r="E210" i="1"/>
  <c r="D210" i="1"/>
  <c r="C210" i="1"/>
  <c r="B210" i="1"/>
  <c r="R209" i="1"/>
  <c r="Q209" i="1"/>
  <c r="P209" i="1"/>
  <c r="O209" i="1"/>
  <c r="N209" i="1"/>
  <c r="M209" i="1"/>
  <c r="L209" i="1"/>
  <c r="K209" i="1"/>
  <c r="J209" i="1"/>
  <c r="I209" i="1"/>
  <c r="H209" i="1"/>
  <c r="G209" i="1"/>
  <c r="F209" i="1"/>
  <c r="E209" i="1"/>
  <c r="D209" i="1"/>
  <c r="C209" i="1"/>
  <c r="B209" i="1"/>
  <c r="R208" i="1"/>
  <c r="Q208" i="1"/>
  <c r="P208" i="1"/>
  <c r="O208" i="1"/>
  <c r="N208" i="1"/>
  <c r="M208" i="1"/>
  <c r="L208" i="1"/>
  <c r="K208" i="1"/>
  <c r="J208" i="1"/>
  <c r="I208" i="1"/>
  <c r="H208" i="1"/>
  <c r="G208" i="1"/>
  <c r="F208" i="1"/>
  <c r="E208" i="1"/>
  <c r="D208" i="1"/>
  <c r="C208" i="1"/>
  <c r="B208" i="1"/>
  <c r="R207" i="1"/>
  <c r="Q207" i="1"/>
  <c r="P207" i="1"/>
  <c r="O207" i="1"/>
  <c r="N207" i="1"/>
  <c r="M207" i="1"/>
  <c r="L207" i="1"/>
  <c r="K207" i="1"/>
  <c r="J207" i="1"/>
  <c r="I207" i="1"/>
  <c r="H207" i="1"/>
  <c r="G207" i="1"/>
  <c r="F207" i="1"/>
  <c r="E207" i="1"/>
  <c r="D207" i="1"/>
  <c r="C207" i="1"/>
  <c r="B207" i="1"/>
  <c r="R206" i="1"/>
  <c r="Q206" i="1"/>
  <c r="P206" i="1"/>
  <c r="O206" i="1"/>
  <c r="N206" i="1"/>
  <c r="M206" i="1"/>
  <c r="L206" i="1"/>
  <c r="K206" i="1"/>
  <c r="J206" i="1"/>
  <c r="I206" i="1"/>
  <c r="H206" i="1"/>
  <c r="G206" i="1"/>
  <c r="F206" i="1"/>
  <c r="E206" i="1"/>
  <c r="D206" i="1"/>
  <c r="C206" i="1"/>
  <c r="B206" i="1"/>
  <c r="R205" i="1"/>
  <c r="Q205" i="1"/>
  <c r="P205" i="1"/>
  <c r="O205" i="1"/>
  <c r="N205" i="1"/>
  <c r="M205" i="1"/>
  <c r="L205" i="1"/>
  <c r="K205" i="1"/>
  <c r="J205" i="1"/>
  <c r="I205" i="1"/>
  <c r="H205" i="1"/>
  <c r="G205" i="1"/>
  <c r="F205" i="1"/>
  <c r="E205" i="1"/>
  <c r="D205" i="1"/>
  <c r="C205" i="1"/>
  <c r="B205" i="1"/>
  <c r="R204" i="1"/>
  <c r="Q204" i="1"/>
  <c r="P204" i="1"/>
  <c r="O204" i="1"/>
  <c r="N204" i="1"/>
  <c r="M204" i="1"/>
  <c r="L204" i="1"/>
  <c r="K204" i="1"/>
  <c r="J204" i="1"/>
  <c r="I204" i="1"/>
  <c r="H204" i="1"/>
  <c r="G204" i="1"/>
  <c r="F204" i="1"/>
  <c r="E204" i="1"/>
  <c r="D204" i="1"/>
  <c r="C204" i="1"/>
  <c r="B204" i="1"/>
  <c r="R203" i="1"/>
  <c r="Q203" i="1"/>
  <c r="P203" i="1"/>
  <c r="O203" i="1"/>
  <c r="N203" i="1"/>
  <c r="M203" i="1"/>
  <c r="L203" i="1"/>
  <c r="K203" i="1"/>
  <c r="J203" i="1"/>
  <c r="I203" i="1"/>
  <c r="H203" i="1"/>
  <c r="G203" i="1"/>
  <c r="F203" i="1"/>
  <c r="E203" i="1"/>
  <c r="D203" i="1"/>
  <c r="C203" i="1"/>
  <c r="B203" i="1"/>
  <c r="R202" i="1"/>
  <c r="Q202" i="1"/>
  <c r="P202" i="1"/>
  <c r="O202" i="1"/>
  <c r="N202" i="1"/>
  <c r="M202" i="1"/>
  <c r="L202" i="1"/>
  <c r="K202" i="1"/>
  <c r="J202" i="1"/>
  <c r="I202" i="1"/>
  <c r="H202" i="1"/>
  <c r="G202" i="1"/>
  <c r="F202" i="1"/>
  <c r="E202" i="1"/>
  <c r="D202" i="1"/>
  <c r="C202" i="1"/>
  <c r="B202" i="1"/>
  <c r="R201" i="1"/>
  <c r="Q201" i="1"/>
  <c r="P201" i="1"/>
  <c r="O201" i="1"/>
  <c r="N201" i="1"/>
  <c r="M201" i="1"/>
  <c r="L201" i="1"/>
  <c r="K201" i="1"/>
  <c r="J201" i="1"/>
  <c r="I201" i="1"/>
  <c r="H201" i="1"/>
  <c r="G201" i="1"/>
  <c r="F201" i="1"/>
  <c r="E201" i="1"/>
  <c r="D201" i="1"/>
  <c r="C201" i="1"/>
  <c r="B201" i="1"/>
  <c r="R200" i="1"/>
  <c r="Q200" i="1"/>
  <c r="P200" i="1"/>
  <c r="O200" i="1"/>
  <c r="N200" i="1"/>
  <c r="M200" i="1"/>
  <c r="L200" i="1"/>
  <c r="K200" i="1"/>
  <c r="J200" i="1"/>
  <c r="I200" i="1"/>
  <c r="H200" i="1"/>
  <c r="G200" i="1"/>
  <c r="F200" i="1"/>
  <c r="E200" i="1"/>
  <c r="D200" i="1"/>
  <c r="C200" i="1"/>
  <c r="B200" i="1"/>
  <c r="R199" i="1"/>
  <c r="Q199" i="1"/>
  <c r="P199" i="1"/>
  <c r="O199" i="1"/>
  <c r="N199" i="1"/>
  <c r="M199" i="1"/>
  <c r="L199" i="1"/>
  <c r="K199" i="1"/>
  <c r="J199" i="1"/>
  <c r="I199" i="1"/>
  <c r="H199" i="1"/>
  <c r="G199" i="1"/>
  <c r="F199" i="1"/>
  <c r="E199" i="1"/>
  <c r="D199" i="1"/>
  <c r="C199" i="1"/>
  <c r="B199" i="1"/>
  <c r="R198" i="1"/>
  <c r="Q198" i="1"/>
  <c r="P198" i="1"/>
  <c r="O198" i="1"/>
  <c r="N198" i="1"/>
  <c r="M198" i="1"/>
  <c r="L198" i="1"/>
  <c r="K198" i="1"/>
  <c r="J198" i="1"/>
  <c r="I198" i="1"/>
  <c r="H198" i="1"/>
  <c r="G198" i="1"/>
  <c r="F198" i="1"/>
  <c r="E198" i="1"/>
  <c r="D198" i="1"/>
  <c r="C198" i="1"/>
  <c r="B198" i="1"/>
  <c r="R197" i="1"/>
  <c r="Q197" i="1"/>
  <c r="P197" i="1"/>
  <c r="O197" i="1"/>
  <c r="N197" i="1"/>
  <c r="M197" i="1"/>
  <c r="L197" i="1"/>
  <c r="K197" i="1"/>
  <c r="J197" i="1"/>
  <c r="I197" i="1"/>
  <c r="H197" i="1"/>
  <c r="G197" i="1"/>
  <c r="F197" i="1"/>
  <c r="E197" i="1"/>
  <c r="D197" i="1"/>
  <c r="C197" i="1"/>
  <c r="B197" i="1"/>
  <c r="R196" i="1"/>
  <c r="Q196" i="1"/>
  <c r="P196" i="1"/>
  <c r="O196" i="1"/>
  <c r="N196" i="1"/>
  <c r="M196" i="1"/>
  <c r="L196" i="1"/>
  <c r="K196" i="1"/>
  <c r="J196" i="1"/>
  <c r="I196" i="1"/>
  <c r="H196" i="1"/>
  <c r="G196" i="1"/>
  <c r="F196" i="1"/>
  <c r="E196" i="1"/>
  <c r="D196" i="1"/>
  <c r="C196" i="1"/>
  <c r="B196" i="1"/>
  <c r="R195" i="1"/>
  <c r="Q195" i="1"/>
  <c r="P195" i="1"/>
  <c r="O195" i="1"/>
  <c r="N195" i="1"/>
  <c r="M195" i="1"/>
  <c r="L195" i="1"/>
  <c r="K195" i="1"/>
  <c r="J195" i="1"/>
  <c r="I195" i="1"/>
  <c r="H195" i="1"/>
  <c r="G195" i="1"/>
  <c r="F195" i="1"/>
  <c r="E195" i="1"/>
  <c r="D195" i="1"/>
  <c r="C195" i="1"/>
  <c r="B195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F194" i="1"/>
  <c r="E194" i="1"/>
  <c r="D194" i="1"/>
  <c r="C194" i="1"/>
  <c r="B194" i="1"/>
  <c r="R193" i="1"/>
  <c r="Q193" i="1"/>
  <c r="P193" i="1"/>
  <c r="O193" i="1"/>
  <c r="N193" i="1"/>
  <c r="M193" i="1"/>
  <c r="L193" i="1"/>
  <c r="K193" i="1"/>
  <c r="J193" i="1"/>
  <c r="I193" i="1"/>
  <c r="H193" i="1"/>
  <c r="G193" i="1"/>
  <c r="F193" i="1"/>
  <c r="E193" i="1"/>
  <c r="D193" i="1"/>
  <c r="C193" i="1"/>
  <c r="B193" i="1"/>
  <c r="R192" i="1"/>
  <c r="Q192" i="1"/>
  <c r="P192" i="1"/>
  <c r="O192" i="1"/>
  <c r="N192" i="1"/>
  <c r="M192" i="1"/>
  <c r="L192" i="1"/>
  <c r="K192" i="1"/>
  <c r="J192" i="1"/>
  <c r="I192" i="1"/>
  <c r="H192" i="1"/>
  <c r="G192" i="1"/>
  <c r="F192" i="1"/>
  <c r="E192" i="1"/>
  <c r="D192" i="1"/>
  <c r="C192" i="1"/>
  <c r="B192" i="1"/>
  <c r="R191" i="1"/>
  <c r="Q191" i="1"/>
  <c r="P191" i="1"/>
  <c r="O191" i="1"/>
  <c r="N191" i="1"/>
  <c r="M191" i="1"/>
  <c r="L191" i="1"/>
  <c r="K191" i="1"/>
  <c r="J191" i="1"/>
  <c r="I191" i="1"/>
  <c r="H191" i="1"/>
  <c r="G191" i="1"/>
  <c r="F191" i="1"/>
  <c r="E191" i="1"/>
  <c r="D191" i="1"/>
  <c r="C191" i="1"/>
  <c r="B191" i="1"/>
  <c r="R190" i="1"/>
  <c r="Q190" i="1"/>
  <c r="P190" i="1"/>
  <c r="O190" i="1"/>
  <c r="N190" i="1"/>
  <c r="M190" i="1"/>
  <c r="L190" i="1"/>
  <c r="K190" i="1"/>
  <c r="J190" i="1"/>
  <c r="I190" i="1"/>
  <c r="H190" i="1"/>
  <c r="G190" i="1"/>
  <c r="F190" i="1"/>
  <c r="E190" i="1"/>
  <c r="D190" i="1"/>
  <c r="C190" i="1"/>
  <c r="B190" i="1"/>
  <c r="R189" i="1"/>
  <c r="Q189" i="1"/>
  <c r="P189" i="1"/>
  <c r="O189" i="1"/>
  <c r="N189" i="1"/>
  <c r="M189" i="1"/>
  <c r="L189" i="1"/>
  <c r="K189" i="1"/>
  <c r="J189" i="1"/>
  <c r="I189" i="1"/>
  <c r="H189" i="1"/>
  <c r="G189" i="1"/>
  <c r="F189" i="1"/>
  <c r="E189" i="1"/>
  <c r="D189" i="1"/>
  <c r="C189" i="1"/>
  <c r="B189" i="1"/>
  <c r="R188" i="1"/>
  <c r="Q188" i="1"/>
  <c r="P188" i="1"/>
  <c r="O188" i="1"/>
  <c r="N188" i="1"/>
  <c r="M188" i="1"/>
  <c r="L188" i="1"/>
  <c r="K188" i="1"/>
  <c r="J188" i="1"/>
  <c r="I188" i="1"/>
  <c r="H188" i="1"/>
  <c r="G188" i="1"/>
  <c r="F188" i="1"/>
  <c r="E188" i="1"/>
  <c r="D188" i="1"/>
  <c r="C188" i="1"/>
  <c r="B188" i="1"/>
  <c r="R187" i="1"/>
  <c r="Q187" i="1"/>
  <c r="P187" i="1"/>
  <c r="O187" i="1"/>
  <c r="N187" i="1"/>
  <c r="M187" i="1"/>
  <c r="L187" i="1"/>
  <c r="K187" i="1"/>
  <c r="J187" i="1"/>
  <c r="I187" i="1"/>
  <c r="H187" i="1"/>
  <c r="G187" i="1"/>
  <c r="F187" i="1"/>
  <c r="E187" i="1"/>
  <c r="D187" i="1"/>
  <c r="C187" i="1"/>
  <c r="B187" i="1"/>
  <c r="R186" i="1"/>
  <c r="Q186" i="1"/>
  <c r="P186" i="1"/>
  <c r="O186" i="1"/>
  <c r="N186" i="1"/>
  <c r="M186" i="1"/>
  <c r="L186" i="1"/>
  <c r="K186" i="1"/>
  <c r="J186" i="1"/>
  <c r="I186" i="1"/>
  <c r="H186" i="1"/>
  <c r="G186" i="1"/>
  <c r="F186" i="1"/>
  <c r="E186" i="1"/>
  <c r="D186" i="1"/>
  <c r="C186" i="1"/>
  <c r="B186" i="1"/>
  <c r="R185" i="1"/>
  <c r="Q185" i="1"/>
  <c r="P185" i="1"/>
  <c r="O185" i="1"/>
  <c r="N185" i="1"/>
  <c r="M185" i="1"/>
  <c r="L185" i="1"/>
  <c r="K185" i="1"/>
  <c r="J185" i="1"/>
  <c r="I185" i="1"/>
  <c r="H185" i="1"/>
  <c r="G185" i="1"/>
  <c r="F185" i="1"/>
  <c r="E185" i="1"/>
  <c r="D185" i="1"/>
  <c r="C185" i="1"/>
  <c r="B185" i="1"/>
  <c r="R184" i="1"/>
  <c r="Q184" i="1"/>
  <c r="P184" i="1"/>
  <c r="O184" i="1"/>
  <c r="N184" i="1"/>
  <c r="M184" i="1"/>
  <c r="L184" i="1"/>
  <c r="K184" i="1"/>
  <c r="J184" i="1"/>
  <c r="I184" i="1"/>
  <c r="H184" i="1"/>
  <c r="G184" i="1"/>
  <c r="F184" i="1"/>
  <c r="E184" i="1"/>
  <c r="D184" i="1"/>
  <c r="C184" i="1"/>
  <c r="B184" i="1"/>
  <c r="R183" i="1"/>
  <c r="Q183" i="1"/>
  <c r="P183" i="1"/>
  <c r="O183" i="1"/>
  <c r="N183" i="1"/>
  <c r="M183" i="1"/>
  <c r="L183" i="1"/>
  <c r="K183" i="1"/>
  <c r="J183" i="1"/>
  <c r="I183" i="1"/>
  <c r="H183" i="1"/>
  <c r="G183" i="1"/>
  <c r="F183" i="1"/>
  <c r="E183" i="1"/>
  <c r="D183" i="1"/>
  <c r="C183" i="1"/>
  <c r="B183" i="1"/>
  <c r="R182" i="1"/>
  <c r="Q182" i="1"/>
  <c r="P182" i="1"/>
  <c r="O182" i="1"/>
  <c r="N182" i="1"/>
  <c r="M182" i="1"/>
  <c r="L182" i="1"/>
  <c r="K182" i="1"/>
  <c r="J182" i="1"/>
  <c r="I182" i="1"/>
  <c r="H182" i="1"/>
  <c r="G182" i="1"/>
  <c r="F182" i="1"/>
  <c r="E182" i="1"/>
  <c r="D182" i="1"/>
  <c r="C182" i="1"/>
  <c r="B182" i="1"/>
  <c r="R181" i="1"/>
  <c r="Q181" i="1"/>
  <c r="P181" i="1"/>
  <c r="O181" i="1"/>
  <c r="N181" i="1"/>
  <c r="M181" i="1"/>
  <c r="L181" i="1"/>
  <c r="K181" i="1"/>
  <c r="J181" i="1"/>
  <c r="I181" i="1"/>
  <c r="H181" i="1"/>
  <c r="G181" i="1"/>
  <c r="F181" i="1"/>
  <c r="E181" i="1"/>
  <c r="D181" i="1"/>
  <c r="C181" i="1"/>
  <c r="B181" i="1"/>
  <c r="R180" i="1"/>
  <c r="Q180" i="1"/>
  <c r="P180" i="1"/>
  <c r="O180" i="1"/>
  <c r="N180" i="1"/>
  <c r="M180" i="1"/>
  <c r="L180" i="1"/>
  <c r="K180" i="1"/>
  <c r="J180" i="1"/>
  <c r="I180" i="1"/>
  <c r="H180" i="1"/>
  <c r="G180" i="1"/>
  <c r="F180" i="1"/>
  <c r="E180" i="1"/>
  <c r="D180" i="1"/>
  <c r="C180" i="1"/>
  <c r="B180" i="1"/>
  <c r="R179" i="1"/>
  <c r="Q179" i="1"/>
  <c r="P179" i="1"/>
  <c r="O179" i="1"/>
  <c r="N179" i="1"/>
  <c r="M179" i="1"/>
  <c r="L179" i="1"/>
  <c r="K179" i="1"/>
  <c r="J179" i="1"/>
  <c r="I179" i="1"/>
  <c r="H179" i="1"/>
  <c r="G179" i="1"/>
  <c r="F179" i="1"/>
  <c r="E179" i="1"/>
  <c r="D179" i="1"/>
  <c r="C179" i="1"/>
  <c r="B179" i="1"/>
  <c r="R178" i="1"/>
  <c r="Q178" i="1"/>
  <c r="P178" i="1"/>
  <c r="O178" i="1"/>
  <c r="N178" i="1"/>
  <c r="M178" i="1"/>
  <c r="L178" i="1"/>
  <c r="K178" i="1"/>
  <c r="J178" i="1"/>
  <c r="I178" i="1"/>
  <c r="H178" i="1"/>
  <c r="G178" i="1"/>
  <c r="F178" i="1"/>
  <c r="E178" i="1"/>
  <c r="D178" i="1"/>
  <c r="C178" i="1"/>
  <c r="B178" i="1"/>
  <c r="R177" i="1"/>
  <c r="Q177" i="1"/>
  <c r="P177" i="1"/>
  <c r="O177" i="1"/>
  <c r="N177" i="1"/>
  <c r="M177" i="1"/>
  <c r="L177" i="1"/>
  <c r="K177" i="1"/>
  <c r="J177" i="1"/>
  <c r="I177" i="1"/>
  <c r="H177" i="1"/>
  <c r="G177" i="1"/>
  <c r="F177" i="1"/>
  <c r="E177" i="1"/>
  <c r="D177" i="1"/>
  <c r="C177" i="1"/>
  <c r="B177" i="1"/>
  <c r="R176" i="1"/>
  <c r="Q176" i="1"/>
  <c r="P176" i="1"/>
  <c r="O176" i="1"/>
  <c r="N176" i="1"/>
  <c r="M176" i="1"/>
  <c r="L176" i="1"/>
  <c r="K176" i="1"/>
  <c r="J176" i="1"/>
  <c r="I176" i="1"/>
  <c r="H176" i="1"/>
  <c r="G176" i="1"/>
  <c r="F176" i="1"/>
  <c r="E176" i="1"/>
  <c r="D176" i="1"/>
  <c r="C176" i="1"/>
  <c r="B176" i="1"/>
  <c r="R175" i="1"/>
  <c r="Q175" i="1"/>
  <c r="P175" i="1"/>
  <c r="O175" i="1"/>
  <c r="N175" i="1"/>
  <c r="M175" i="1"/>
  <c r="L175" i="1"/>
  <c r="K175" i="1"/>
  <c r="J175" i="1"/>
  <c r="I175" i="1"/>
  <c r="H175" i="1"/>
  <c r="G175" i="1"/>
  <c r="F175" i="1"/>
  <c r="E175" i="1"/>
  <c r="D175" i="1"/>
  <c r="C175" i="1"/>
  <c r="B175" i="1"/>
  <c r="R174" i="1"/>
  <c r="Q174" i="1"/>
  <c r="P174" i="1"/>
  <c r="O174" i="1"/>
  <c r="N174" i="1"/>
  <c r="M174" i="1"/>
  <c r="L174" i="1"/>
  <c r="K174" i="1"/>
  <c r="J174" i="1"/>
  <c r="I174" i="1"/>
  <c r="H174" i="1"/>
  <c r="G174" i="1"/>
  <c r="F174" i="1"/>
  <c r="E174" i="1"/>
  <c r="D174" i="1"/>
  <c r="C174" i="1"/>
  <c r="B174" i="1"/>
  <c r="R173" i="1"/>
  <c r="Q173" i="1"/>
  <c r="P173" i="1"/>
  <c r="O173" i="1"/>
  <c r="N173" i="1"/>
  <c r="M173" i="1"/>
  <c r="L173" i="1"/>
  <c r="K173" i="1"/>
  <c r="J173" i="1"/>
  <c r="I173" i="1"/>
  <c r="H173" i="1"/>
  <c r="G173" i="1"/>
  <c r="F173" i="1"/>
  <c r="E173" i="1"/>
  <c r="D173" i="1"/>
  <c r="C173" i="1"/>
  <c r="B173" i="1"/>
  <c r="R172" i="1"/>
  <c r="Q172" i="1"/>
  <c r="P172" i="1"/>
  <c r="O172" i="1"/>
  <c r="N172" i="1"/>
  <c r="M172" i="1"/>
  <c r="L172" i="1"/>
  <c r="K172" i="1"/>
  <c r="J172" i="1"/>
  <c r="I172" i="1"/>
  <c r="H172" i="1"/>
  <c r="G172" i="1"/>
  <c r="F172" i="1"/>
  <c r="E172" i="1"/>
  <c r="D172" i="1"/>
  <c r="C172" i="1"/>
  <c r="B172" i="1"/>
  <c r="R171" i="1"/>
  <c r="Q171" i="1"/>
  <c r="P171" i="1"/>
  <c r="O171" i="1"/>
  <c r="N171" i="1"/>
  <c r="M171" i="1"/>
  <c r="L171" i="1"/>
  <c r="K171" i="1"/>
  <c r="J171" i="1"/>
  <c r="I171" i="1"/>
  <c r="H171" i="1"/>
  <c r="G171" i="1"/>
  <c r="F171" i="1"/>
  <c r="E171" i="1"/>
  <c r="D171" i="1"/>
  <c r="C171" i="1"/>
  <c r="B171" i="1"/>
  <c r="R170" i="1"/>
  <c r="Q170" i="1"/>
  <c r="P170" i="1"/>
  <c r="O170" i="1"/>
  <c r="N170" i="1"/>
  <c r="M170" i="1"/>
  <c r="L170" i="1"/>
  <c r="K170" i="1"/>
  <c r="J170" i="1"/>
  <c r="I170" i="1"/>
  <c r="H170" i="1"/>
  <c r="G170" i="1"/>
  <c r="F170" i="1"/>
  <c r="E170" i="1"/>
  <c r="D170" i="1"/>
  <c r="C170" i="1"/>
  <c r="B170" i="1"/>
  <c r="R169" i="1"/>
  <c r="Q169" i="1"/>
  <c r="P169" i="1"/>
  <c r="O169" i="1"/>
  <c r="N169" i="1"/>
  <c r="M169" i="1"/>
  <c r="L169" i="1"/>
  <c r="K169" i="1"/>
  <c r="J169" i="1"/>
  <c r="I169" i="1"/>
  <c r="H169" i="1"/>
  <c r="G169" i="1"/>
  <c r="F169" i="1"/>
  <c r="E169" i="1"/>
  <c r="D169" i="1"/>
  <c r="C169" i="1"/>
  <c r="B169" i="1"/>
  <c r="R168" i="1"/>
  <c r="Q168" i="1"/>
  <c r="P168" i="1"/>
  <c r="O168" i="1"/>
  <c r="N168" i="1"/>
  <c r="M168" i="1"/>
  <c r="L168" i="1"/>
  <c r="K168" i="1"/>
  <c r="J168" i="1"/>
  <c r="I168" i="1"/>
  <c r="H168" i="1"/>
  <c r="G168" i="1"/>
  <c r="F168" i="1"/>
  <c r="E168" i="1"/>
  <c r="D168" i="1"/>
  <c r="C168" i="1"/>
  <c r="B168" i="1"/>
  <c r="R167" i="1"/>
  <c r="Q167" i="1"/>
  <c r="P167" i="1"/>
  <c r="O167" i="1"/>
  <c r="N167" i="1"/>
  <c r="M167" i="1"/>
  <c r="L167" i="1"/>
  <c r="K167" i="1"/>
  <c r="J167" i="1"/>
  <c r="I167" i="1"/>
  <c r="H167" i="1"/>
  <c r="G167" i="1"/>
  <c r="F167" i="1"/>
  <c r="E167" i="1"/>
  <c r="D167" i="1"/>
  <c r="C167" i="1"/>
  <c r="B167" i="1"/>
  <c r="R166" i="1"/>
  <c r="Q166" i="1"/>
  <c r="P166" i="1"/>
  <c r="O166" i="1"/>
  <c r="N166" i="1"/>
  <c r="M166" i="1"/>
  <c r="L166" i="1"/>
  <c r="K166" i="1"/>
  <c r="J166" i="1"/>
  <c r="I166" i="1"/>
  <c r="H166" i="1"/>
  <c r="G166" i="1"/>
  <c r="F166" i="1"/>
  <c r="E166" i="1"/>
  <c r="D166" i="1"/>
  <c r="C166" i="1"/>
  <c r="B166" i="1"/>
  <c r="R165" i="1"/>
  <c r="Q165" i="1"/>
  <c r="P165" i="1"/>
  <c r="O165" i="1"/>
  <c r="N165" i="1"/>
  <c r="M165" i="1"/>
  <c r="L165" i="1"/>
  <c r="K165" i="1"/>
  <c r="J165" i="1"/>
  <c r="I165" i="1"/>
  <c r="H165" i="1"/>
  <c r="G165" i="1"/>
  <c r="F165" i="1"/>
  <c r="E165" i="1"/>
  <c r="D165" i="1"/>
  <c r="C165" i="1"/>
  <c r="B165" i="1"/>
  <c r="R164" i="1"/>
  <c r="Q164" i="1"/>
  <c r="P164" i="1"/>
  <c r="O164" i="1"/>
  <c r="N164" i="1"/>
  <c r="M164" i="1"/>
  <c r="L164" i="1"/>
  <c r="K164" i="1"/>
  <c r="J164" i="1"/>
  <c r="I164" i="1"/>
  <c r="H164" i="1"/>
  <c r="G164" i="1"/>
  <c r="F164" i="1"/>
  <c r="E164" i="1"/>
  <c r="D164" i="1"/>
  <c r="C164" i="1"/>
  <c r="B164" i="1"/>
  <c r="R163" i="1"/>
  <c r="Q163" i="1"/>
  <c r="P163" i="1"/>
  <c r="O163" i="1"/>
  <c r="N163" i="1"/>
  <c r="M163" i="1"/>
  <c r="L163" i="1"/>
  <c r="K163" i="1"/>
  <c r="J163" i="1"/>
  <c r="I163" i="1"/>
  <c r="H163" i="1"/>
  <c r="G163" i="1"/>
  <c r="F163" i="1"/>
  <c r="E163" i="1"/>
  <c r="D163" i="1"/>
  <c r="C163" i="1"/>
  <c r="B163" i="1"/>
  <c r="R162" i="1"/>
  <c r="Q162" i="1"/>
  <c r="P162" i="1"/>
  <c r="O162" i="1"/>
  <c r="N162" i="1"/>
  <c r="M162" i="1"/>
  <c r="L162" i="1"/>
  <c r="K162" i="1"/>
  <c r="J162" i="1"/>
  <c r="I162" i="1"/>
  <c r="H162" i="1"/>
  <c r="G162" i="1"/>
  <c r="F162" i="1"/>
  <c r="E162" i="1"/>
  <c r="D162" i="1"/>
  <c r="C162" i="1"/>
  <c r="B162" i="1"/>
  <c r="R161" i="1"/>
  <c r="Q161" i="1"/>
  <c r="P161" i="1"/>
  <c r="O161" i="1"/>
  <c r="N161" i="1"/>
  <c r="M161" i="1"/>
  <c r="L161" i="1"/>
  <c r="K161" i="1"/>
  <c r="J161" i="1"/>
  <c r="I161" i="1"/>
  <c r="H161" i="1"/>
  <c r="G161" i="1"/>
  <c r="F161" i="1"/>
  <c r="E161" i="1"/>
  <c r="D161" i="1"/>
  <c r="C161" i="1"/>
  <c r="B161" i="1"/>
  <c r="R160" i="1"/>
  <c r="Q160" i="1"/>
  <c r="P160" i="1"/>
  <c r="O160" i="1"/>
  <c r="N160" i="1"/>
  <c r="M160" i="1"/>
  <c r="L160" i="1"/>
  <c r="K160" i="1"/>
  <c r="J160" i="1"/>
  <c r="I160" i="1"/>
  <c r="H160" i="1"/>
  <c r="G160" i="1"/>
  <c r="F160" i="1"/>
  <c r="E160" i="1"/>
  <c r="D160" i="1"/>
  <c r="C160" i="1"/>
  <c r="B160" i="1"/>
  <c r="R159" i="1"/>
  <c r="Q159" i="1"/>
  <c r="P159" i="1"/>
  <c r="O159" i="1"/>
  <c r="N159" i="1"/>
  <c r="M159" i="1"/>
  <c r="L159" i="1"/>
  <c r="K159" i="1"/>
  <c r="J159" i="1"/>
  <c r="I159" i="1"/>
  <c r="H159" i="1"/>
  <c r="G159" i="1"/>
  <c r="F159" i="1"/>
  <c r="E159" i="1"/>
  <c r="D159" i="1"/>
  <c r="C159" i="1"/>
  <c r="B159" i="1"/>
  <c r="R158" i="1"/>
  <c r="Q158" i="1"/>
  <c r="P158" i="1"/>
  <c r="O158" i="1"/>
  <c r="N158" i="1"/>
  <c r="M158" i="1"/>
  <c r="L158" i="1"/>
  <c r="K158" i="1"/>
  <c r="J158" i="1"/>
  <c r="I158" i="1"/>
  <c r="H158" i="1"/>
  <c r="G158" i="1"/>
  <c r="F158" i="1"/>
  <c r="E158" i="1"/>
  <c r="D158" i="1"/>
  <c r="C158" i="1"/>
  <c r="B158" i="1"/>
  <c r="R157" i="1"/>
  <c r="Q157" i="1"/>
  <c r="P157" i="1"/>
  <c r="O157" i="1"/>
  <c r="N157" i="1"/>
  <c r="M157" i="1"/>
  <c r="L157" i="1"/>
  <c r="K157" i="1"/>
  <c r="J157" i="1"/>
  <c r="I157" i="1"/>
  <c r="H157" i="1"/>
  <c r="G157" i="1"/>
  <c r="F157" i="1"/>
  <c r="E157" i="1"/>
  <c r="D157" i="1"/>
  <c r="C157" i="1"/>
  <c r="B157" i="1"/>
  <c r="R156" i="1"/>
  <c r="Q156" i="1"/>
  <c r="P156" i="1"/>
  <c r="O156" i="1"/>
  <c r="N156" i="1"/>
  <c r="M156" i="1"/>
  <c r="L156" i="1"/>
  <c r="K156" i="1"/>
  <c r="J156" i="1"/>
  <c r="I156" i="1"/>
  <c r="H156" i="1"/>
  <c r="G156" i="1"/>
  <c r="F156" i="1"/>
  <c r="E156" i="1"/>
  <c r="D156" i="1"/>
  <c r="C156" i="1"/>
  <c r="B156" i="1"/>
  <c r="R155" i="1"/>
  <c r="Q155" i="1"/>
  <c r="P155" i="1"/>
  <c r="O155" i="1"/>
  <c r="N155" i="1"/>
  <c r="M155" i="1"/>
  <c r="L155" i="1"/>
  <c r="K155" i="1"/>
  <c r="J155" i="1"/>
  <c r="I155" i="1"/>
  <c r="H155" i="1"/>
  <c r="G155" i="1"/>
  <c r="F155" i="1"/>
  <c r="E155" i="1"/>
  <c r="D155" i="1"/>
  <c r="C155" i="1"/>
  <c r="B155" i="1"/>
  <c r="R154" i="1"/>
  <c r="Q154" i="1"/>
  <c r="P154" i="1"/>
  <c r="O154" i="1"/>
  <c r="N154" i="1"/>
  <c r="M154" i="1"/>
  <c r="L154" i="1"/>
  <c r="K154" i="1"/>
  <c r="J154" i="1"/>
  <c r="I154" i="1"/>
  <c r="H154" i="1"/>
  <c r="G154" i="1"/>
  <c r="F154" i="1"/>
  <c r="E154" i="1"/>
  <c r="D154" i="1"/>
  <c r="C154" i="1"/>
  <c r="B154" i="1"/>
  <c r="R153" i="1"/>
  <c r="Q153" i="1"/>
  <c r="P153" i="1"/>
  <c r="O153" i="1"/>
  <c r="N153" i="1"/>
  <c r="M153" i="1"/>
  <c r="L153" i="1"/>
  <c r="K153" i="1"/>
  <c r="J153" i="1"/>
  <c r="I153" i="1"/>
  <c r="H153" i="1"/>
  <c r="G153" i="1"/>
  <c r="F153" i="1"/>
  <c r="E153" i="1"/>
  <c r="D153" i="1"/>
  <c r="C153" i="1"/>
  <c r="B153" i="1"/>
  <c r="R152" i="1"/>
  <c r="Q152" i="1"/>
  <c r="P152" i="1"/>
  <c r="O152" i="1"/>
  <c r="N152" i="1"/>
  <c r="M152" i="1"/>
  <c r="L152" i="1"/>
  <c r="K152" i="1"/>
  <c r="J152" i="1"/>
  <c r="I152" i="1"/>
  <c r="H152" i="1"/>
  <c r="G152" i="1"/>
  <c r="F152" i="1"/>
  <c r="E152" i="1"/>
  <c r="D152" i="1"/>
  <c r="C152" i="1"/>
  <c r="B152" i="1"/>
  <c r="R151" i="1"/>
  <c r="Q151" i="1"/>
  <c r="P151" i="1"/>
  <c r="O151" i="1"/>
  <c r="N151" i="1"/>
  <c r="M151" i="1"/>
  <c r="L151" i="1"/>
  <c r="K151" i="1"/>
  <c r="J151" i="1"/>
  <c r="I151" i="1"/>
  <c r="H151" i="1"/>
  <c r="G151" i="1"/>
  <c r="F151" i="1"/>
  <c r="E151" i="1"/>
  <c r="D151" i="1"/>
  <c r="C151" i="1"/>
  <c r="B151" i="1"/>
  <c r="R150" i="1"/>
  <c r="Q150" i="1"/>
  <c r="P150" i="1"/>
  <c r="O150" i="1"/>
  <c r="N150" i="1"/>
  <c r="M150" i="1"/>
  <c r="L150" i="1"/>
  <c r="K150" i="1"/>
  <c r="J150" i="1"/>
  <c r="I150" i="1"/>
  <c r="H150" i="1"/>
  <c r="G150" i="1"/>
  <c r="F150" i="1"/>
  <c r="E150" i="1"/>
  <c r="D150" i="1"/>
  <c r="C150" i="1"/>
  <c r="B150" i="1"/>
  <c r="R149" i="1"/>
  <c r="Q149" i="1"/>
  <c r="P149" i="1"/>
  <c r="O149" i="1"/>
  <c r="N149" i="1"/>
  <c r="M149" i="1"/>
  <c r="L149" i="1"/>
  <c r="K149" i="1"/>
  <c r="J149" i="1"/>
  <c r="I149" i="1"/>
  <c r="H149" i="1"/>
  <c r="G149" i="1"/>
  <c r="F149" i="1"/>
  <c r="E149" i="1"/>
  <c r="D149" i="1"/>
  <c r="C149" i="1"/>
  <c r="B149" i="1"/>
  <c r="R148" i="1"/>
  <c r="Q148" i="1"/>
  <c r="P148" i="1"/>
  <c r="O148" i="1"/>
  <c r="N148" i="1"/>
  <c r="M148" i="1"/>
  <c r="L148" i="1"/>
  <c r="K148" i="1"/>
  <c r="J148" i="1"/>
  <c r="I148" i="1"/>
  <c r="H148" i="1"/>
  <c r="G148" i="1"/>
  <c r="F148" i="1"/>
  <c r="E148" i="1"/>
  <c r="D148" i="1"/>
  <c r="C148" i="1"/>
  <c r="B148" i="1"/>
  <c r="R147" i="1"/>
  <c r="Q147" i="1"/>
  <c r="P147" i="1"/>
  <c r="O147" i="1"/>
  <c r="N147" i="1"/>
  <c r="M147" i="1"/>
  <c r="L147" i="1"/>
  <c r="K147" i="1"/>
  <c r="J147" i="1"/>
  <c r="I147" i="1"/>
  <c r="H147" i="1"/>
  <c r="G147" i="1"/>
  <c r="F147" i="1"/>
  <c r="E147" i="1"/>
  <c r="D147" i="1"/>
  <c r="C147" i="1"/>
  <c r="B147" i="1"/>
  <c r="R146" i="1"/>
  <c r="Q146" i="1"/>
  <c r="P146" i="1"/>
  <c r="O146" i="1"/>
  <c r="N146" i="1"/>
  <c r="M146" i="1"/>
  <c r="L146" i="1"/>
  <c r="K146" i="1"/>
  <c r="J146" i="1"/>
  <c r="I146" i="1"/>
  <c r="H146" i="1"/>
  <c r="G146" i="1"/>
  <c r="F146" i="1"/>
  <c r="E146" i="1"/>
  <c r="D146" i="1"/>
  <c r="C146" i="1"/>
  <c r="B146" i="1"/>
  <c r="R145" i="1"/>
  <c r="Q145" i="1"/>
  <c r="P145" i="1"/>
  <c r="O145" i="1"/>
  <c r="N145" i="1"/>
  <c r="M145" i="1"/>
  <c r="L145" i="1"/>
  <c r="K145" i="1"/>
  <c r="J145" i="1"/>
  <c r="I145" i="1"/>
  <c r="H145" i="1"/>
  <c r="G145" i="1"/>
  <c r="F145" i="1"/>
  <c r="E145" i="1"/>
  <c r="D145" i="1"/>
  <c r="C145" i="1"/>
  <c r="B145" i="1"/>
  <c r="R144" i="1"/>
  <c r="Q144" i="1"/>
  <c r="P144" i="1"/>
  <c r="O144" i="1"/>
  <c r="N144" i="1"/>
  <c r="M144" i="1"/>
  <c r="L144" i="1"/>
  <c r="K144" i="1"/>
  <c r="J144" i="1"/>
  <c r="I144" i="1"/>
  <c r="H144" i="1"/>
  <c r="G144" i="1"/>
  <c r="F144" i="1"/>
  <c r="E144" i="1"/>
  <c r="D144" i="1"/>
  <c r="C144" i="1"/>
  <c r="B144" i="1"/>
  <c r="R143" i="1"/>
  <c r="Q143" i="1"/>
  <c r="P143" i="1"/>
  <c r="O143" i="1"/>
  <c r="N143" i="1"/>
  <c r="M143" i="1"/>
  <c r="L143" i="1"/>
  <c r="K143" i="1"/>
  <c r="J143" i="1"/>
  <c r="I143" i="1"/>
  <c r="H143" i="1"/>
  <c r="G143" i="1"/>
  <c r="F143" i="1"/>
  <c r="E143" i="1"/>
  <c r="D143" i="1"/>
  <c r="C143" i="1"/>
  <c r="B143" i="1"/>
  <c r="R142" i="1"/>
  <c r="Q142" i="1"/>
  <c r="P142" i="1"/>
  <c r="O142" i="1"/>
  <c r="N142" i="1"/>
  <c r="M142" i="1"/>
  <c r="L142" i="1"/>
  <c r="K142" i="1"/>
  <c r="J142" i="1"/>
  <c r="I142" i="1"/>
  <c r="H142" i="1"/>
  <c r="G142" i="1"/>
  <c r="F142" i="1"/>
  <c r="E142" i="1"/>
  <c r="D142" i="1"/>
  <c r="C142" i="1"/>
  <c r="B142" i="1"/>
  <c r="R141" i="1"/>
  <c r="Q141" i="1"/>
  <c r="P141" i="1"/>
  <c r="O141" i="1"/>
  <c r="N141" i="1"/>
  <c r="M141" i="1"/>
  <c r="L141" i="1"/>
  <c r="K141" i="1"/>
  <c r="J141" i="1"/>
  <c r="I141" i="1"/>
  <c r="H141" i="1"/>
  <c r="G141" i="1"/>
  <c r="F141" i="1"/>
  <c r="E141" i="1"/>
  <c r="D141" i="1"/>
  <c r="C141" i="1"/>
  <c r="B141" i="1"/>
  <c r="R140" i="1"/>
  <c r="Q140" i="1"/>
  <c r="P140" i="1"/>
  <c r="O140" i="1"/>
  <c r="N140" i="1"/>
  <c r="M140" i="1"/>
  <c r="L140" i="1"/>
  <c r="K140" i="1"/>
  <c r="J140" i="1"/>
  <c r="I140" i="1"/>
  <c r="H140" i="1"/>
  <c r="G140" i="1"/>
  <c r="F140" i="1"/>
  <c r="E140" i="1"/>
  <c r="D140" i="1"/>
  <c r="C140" i="1"/>
  <c r="B140" i="1"/>
  <c r="R139" i="1"/>
  <c r="Q139" i="1"/>
  <c r="P139" i="1"/>
  <c r="O139" i="1"/>
  <c r="N139" i="1"/>
  <c r="M139" i="1"/>
  <c r="L139" i="1"/>
  <c r="K139" i="1"/>
  <c r="J139" i="1"/>
  <c r="I139" i="1"/>
  <c r="H139" i="1"/>
  <c r="G139" i="1"/>
  <c r="F139" i="1"/>
  <c r="E139" i="1"/>
  <c r="D139" i="1"/>
  <c r="C139" i="1"/>
  <c r="B139" i="1"/>
  <c r="R138" i="1"/>
  <c r="Q138" i="1"/>
  <c r="P138" i="1"/>
  <c r="O138" i="1"/>
  <c r="N138" i="1"/>
  <c r="M138" i="1"/>
  <c r="L138" i="1"/>
  <c r="K138" i="1"/>
  <c r="J138" i="1"/>
  <c r="I138" i="1"/>
  <c r="H138" i="1"/>
  <c r="G138" i="1"/>
  <c r="F138" i="1"/>
  <c r="E138" i="1"/>
  <c r="D138" i="1"/>
  <c r="C138" i="1"/>
  <c r="B138" i="1"/>
  <c r="R137" i="1"/>
  <c r="Q137" i="1"/>
  <c r="P137" i="1"/>
  <c r="O137" i="1"/>
  <c r="N137" i="1"/>
  <c r="M137" i="1"/>
  <c r="L137" i="1"/>
  <c r="K137" i="1"/>
  <c r="J137" i="1"/>
  <c r="I137" i="1"/>
  <c r="H137" i="1"/>
  <c r="G137" i="1"/>
  <c r="F137" i="1"/>
  <c r="E137" i="1"/>
  <c r="D137" i="1"/>
  <c r="C137" i="1"/>
  <c r="B137" i="1"/>
  <c r="R136" i="1"/>
  <c r="Q136" i="1"/>
  <c r="P136" i="1"/>
  <c r="O136" i="1"/>
  <c r="N136" i="1"/>
  <c r="M136" i="1"/>
  <c r="L136" i="1"/>
  <c r="K136" i="1"/>
  <c r="J136" i="1"/>
  <c r="I136" i="1"/>
  <c r="H136" i="1"/>
  <c r="G136" i="1"/>
  <c r="F136" i="1"/>
  <c r="E136" i="1"/>
  <c r="D136" i="1"/>
  <c r="C136" i="1"/>
  <c r="B136" i="1"/>
  <c r="R135" i="1"/>
  <c r="Q135" i="1"/>
  <c r="P135" i="1"/>
  <c r="O135" i="1"/>
  <c r="N135" i="1"/>
  <c r="M135" i="1"/>
  <c r="L135" i="1"/>
  <c r="K135" i="1"/>
  <c r="J135" i="1"/>
  <c r="I135" i="1"/>
  <c r="H135" i="1"/>
  <c r="G135" i="1"/>
  <c r="F135" i="1"/>
  <c r="E135" i="1"/>
  <c r="D135" i="1"/>
  <c r="C135" i="1"/>
  <c r="B135" i="1"/>
  <c r="R134" i="1"/>
  <c r="Q134" i="1"/>
  <c r="P134" i="1"/>
  <c r="O134" i="1"/>
  <c r="N134" i="1"/>
  <c r="M134" i="1"/>
  <c r="L134" i="1"/>
  <c r="K134" i="1"/>
  <c r="J134" i="1"/>
  <c r="I134" i="1"/>
  <c r="H134" i="1"/>
  <c r="G134" i="1"/>
  <c r="F134" i="1"/>
  <c r="E134" i="1"/>
  <c r="D134" i="1"/>
  <c r="C134" i="1"/>
  <c r="B134" i="1"/>
  <c r="R133" i="1"/>
  <c r="Q133" i="1"/>
  <c r="P133" i="1"/>
  <c r="O133" i="1"/>
  <c r="N133" i="1"/>
  <c r="M133" i="1"/>
  <c r="L133" i="1"/>
  <c r="K133" i="1"/>
  <c r="J133" i="1"/>
  <c r="I133" i="1"/>
  <c r="H133" i="1"/>
  <c r="G133" i="1"/>
  <c r="F133" i="1"/>
  <c r="E133" i="1"/>
  <c r="D133" i="1"/>
  <c r="C133" i="1"/>
  <c r="B133" i="1"/>
  <c r="R132" i="1"/>
  <c r="Q132" i="1"/>
  <c r="P132" i="1"/>
  <c r="O132" i="1"/>
  <c r="N132" i="1"/>
  <c r="M132" i="1"/>
  <c r="L132" i="1"/>
  <c r="K132" i="1"/>
  <c r="J132" i="1"/>
  <c r="I132" i="1"/>
  <c r="H132" i="1"/>
  <c r="G132" i="1"/>
  <c r="F132" i="1"/>
  <c r="E132" i="1"/>
  <c r="D132" i="1"/>
  <c r="C132" i="1"/>
  <c r="B132" i="1"/>
  <c r="R131" i="1"/>
  <c r="Q131" i="1"/>
  <c r="P131" i="1"/>
  <c r="O131" i="1"/>
  <c r="N131" i="1"/>
  <c r="M131" i="1"/>
  <c r="L131" i="1"/>
  <c r="K131" i="1"/>
  <c r="J131" i="1"/>
  <c r="I131" i="1"/>
  <c r="H131" i="1"/>
  <c r="G131" i="1"/>
  <c r="F131" i="1"/>
  <c r="E131" i="1"/>
  <c r="D131" i="1"/>
  <c r="C131" i="1"/>
  <c r="B131" i="1"/>
  <c r="R130" i="1"/>
  <c r="Q130" i="1"/>
  <c r="P130" i="1"/>
  <c r="O130" i="1"/>
  <c r="N130" i="1"/>
  <c r="M130" i="1"/>
  <c r="L130" i="1"/>
  <c r="K130" i="1"/>
  <c r="J130" i="1"/>
  <c r="I130" i="1"/>
  <c r="H130" i="1"/>
  <c r="G130" i="1"/>
  <c r="F130" i="1"/>
  <c r="E130" i="1"/>
  <c r="D130" i="1"/>
  <c r="C130" i="1"/>
  <c r="B130" i="1"/>
  <c r="R129" i="1"/>
  <c r="Q129" i="1"/>
  <c r="P129" i="1"/>
  <c r="O129" i="1"/>
  <c r="N129" i="1"/>
  <c r="M129" i="1"/>
  <c r="L129" i="1"/>
  <c r="K129" i="1"/>
  <c r="J129" i="1"/>
  <c r="I129" i="1"/>
  <c r="H129" i="1"/>
  <c r="G129" i="1"/>
  <c r="F129" i="1"/>
  <c r="E129" i="1"/>
  <c r="D129" i="1"/>
  <c r="C129" i="1"/>
  <c r="B129" i="1"/>
  <c r="R128" i="1"/>
  <c r="Q128" i="1"/>
  <c r="P128" i="1"/>
  <c r="O128" i="1"/>
  <c r="N128" i="1"/>
  <c r="M128" i="1"/>
  <c r="L128" i="1"/>
  <c r="K128" i="1"/>
  <c r="J128" i="1"/>
  <c r="I128" i="1"/>
  <c r="H128" i="1"/>
  <c r="G128" i="1"/>
  <c r="F128" i="1"/>
  <c r="E128" i="1"/>
  <c r="D128" i="1"/>
  <c r="C128" i="1"/>
  <c r="B128" i="1"/>
  <c r="R127" i="1"/>
  <c r="Q127" i="1"/>
  <c r="P127" i="1"/>
  <c r="O127" i="1"/>
  <c r="N127" i="1"/>
  <c r="M127" i="1"/>
  <c r="L127" i="1"/>
  <c r="K127" i="1"/>
  <c r="J127" i="1"/>
  <c r="I127" i="1"/>
  <c r="H127" i="1"/>
  <c r="G127" i="1"/>
  <c r="F127" i="1"/>
  <c r="E127" i="1"/>
  <c r="D127" i="1"/>
  <c r="C127" i="1"/>
  <c r="B127" i="1"/>
  <c r="R126" i="1"/>
  <c r="Q126" i="1"/>
  <c r="P126" i="1"/>
  <c r="O126" i="1"/>
  <c r="N126" i="1"/>
  <c r="M126" i="1"/>
  <c r="L126" i="1"/>
  <c r="K126" i="1"/>
  <c r="J126" i="1"/>
  <c r="I126" i="1"/>
  <c r="H126" i="1"/>
  <c r="G126" i="1"/>
  <c r="F126" i="1"/>
  <c r="E126" i="1"/>
  <c r="D126" i="1"/>
  <c r="C126" i="1"/>
  <c r="B126" i="1"/>
  <c r="R125" i="1"/>
  <c r="Q125" i="1"/>
  <c r="P125" i="1"/>
  <c r="O125" i="1"/>
  <c r="N125" i="1"/>
  <c r="M125" i="1"/>
  <c r="L125" i="1"/>
  <c r="K125" i="1"/>
  <c r="J125" i="1"/>
  <c r="I125" i="1"/>
  <c r="H125" i="1"/>
  <c r="G125" i="1"/>
  <c r="F125" i="1"/>
  <c r="E125" i="1"/>
  <c r="D125" i="1"/>
  <c r="C125" i="1"/>
  <c r="B125" i="1"/>
  <c r="R124" i="1"/>
  <c r="Q124" i="1"/>
  <c r="P124" i="1"/>
  <c r="O124" i="1"/>
  <c r="N124" i="1"/>
  <c r="M124" i="1"/>
  <c r="L124" i="1"/>
  <c r="K124" i="1"/>
  <c r="J124" i="1"/>
  <c r="I124" i="1"/>
  <c r="H124" i="1"/>
  <c r="G124" i="1"/>
  <c r="F124" i="1"/>
  <c r="E124" i="1"/>
  <c r="D124" i="1"/>
  <c r="C124" i="1"/>
  <c r="B124" i="1"/>
  <c r="R123" i="1"/>
  <c r="Q123" i="1"/>
  <c r="P123" i="1"/>
  <c r="O123" i="1"/>
  <c r="N123" i="1"/>
  <c r="M123" i="1"/>
  <c r="L123" i="1"/>
  <c r="K123" i="1"/>
  <c r="J123" i="1"/>
  <c r="I123" i="1"/>
  <c r="H123" i="1"/>
  <c r="G123" i="1"/>
  <c r="F123" i="1"/>
  <c r="E123" i="1"/>
  <c r="D123" i="1"/>
  <c r="C123" i="1"/>
  <c r="B123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B122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B121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B120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F119" i="1"/>
  <c r="E119" i="1"/>
  <c r="D119" i="1"/>
  <c r="C119" i="1"/>
  <c r="B119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B118" i="1"/>
  <c r="R117" i="1"/>
  <c r="Q117" i="1"/>
  <c r="P117" i="1"/>
  <c r="O117" i="1"/>
  <c r="N117" i="1"/>
  <c r="M117" i="1"/>
  <c r="L117" i="1"/>
  <c r="K117" i="1"/>
  <c r="J117" i="1"/>
  <c r="I117" i="1"/>
  <c r="H117" i="1"/>
  <c r="G117" i="1"/>
  <c r="F117" i="1"/>
  <c r="E117" i="1"/>
  <c r="D117" i="1"/>
  <c r="C117" i="1"/>
  <c r="B117" i="1"/>
  <c r="R116" i="1"/>
  <c r="Q116" i="1"/>
  <c r="P116" i="1"/>
  <c r="O116" i="1"/>
  <c r="N116" i="1"/>
  <c r="M116" i="1"/>
  <c r="L116" i="1"/>
  <c r="K116" i="1"/>
  <c r="J116" i="1"/>
  <c r="I116" i="1"/>
  <c r="H116" i="1"/>
  <c r="G116" i="1"/>
  <c r="F116" i="1"/>
  <c r="E116" i="1"/>
  <c r="D116" i="1"/>
  <c r="C116" i="1"/>
  <c r="B116" i="1"/>
  <c r="R115" i="1"/>
  <c r="Q115" i="1"/>
  <c r="P115" i="1"/>
  <c r="O115" i="1"/>
  <c r="N115" i="1"/>
  <c r="M115" i="1"/>
  <c r="L115" i="1"/>
  <c r="K115" i="1"/>
  <c r="J115" i="1"/>
  <c r="I115" i="1"/>
  <c r="H115" i="1"/>
  <c r="G115" i="1"/>
  <c r="F115" i="1"/>
  <c r="E115" i="1"/>
  <c r="D115" i="1"/>
  <c r="C115" i="1"/>
  <c r="B115" i="1"/>
  <c r="R114" i="1"/>
  <c r="Q114" i="1"/>
  <c r="P114" i="1"/>
  <c r="O114" i="1"/>
  <c r="N114" i="1"/>
  <c r="M114" i="1"/>
  <c r="L114" i="1"/>
  <c r="K114" i="1"/>
  <c r="J114" i="1"/>
  <c r="I114" i="1"/>
  <c r="H114" i="1"/>
  <c r="G114" i="1"/>
  <c r="F114" i="1"/>
  <c r="E114" i="1"/>
  <c r="D114" i="1"/>
  <c r="C114" i="1"/>
  <c r="B114" i="1"/>
  <c r="R113" i="1"/>
  <c r="Q113" i="1"/>
  <c r="P113" i="1"/>
  <c r="O113" i="1"/>
  <c r="N113" i="1"/>
  <c r="M113" i="1"/>
  <c r="L113" i="1"/>
  <c r="K113" i="1"/>
  <c r="J113" i="1"/>
  <c r="I113" i="1"/>
  <c r="H113" i="1"/>
  <c r="G113" i="1"/>
  <c r="F113" i="1"/>
  <c r="E113" i="1"/>
  <c r="D113" i="1"/>
  <c r="C113" i="1"/>
  <c r="B113" i="1"/>
  <c r="R112" i="1"/>
  <c r="Q112" i="1"/>
  <c r="P112" i="1"/>
  <c r="O112" i="1"/>
  <c r="N112" i="1"/>
  <c r="M112" i="1"/>
  <c r="L112" i="1"/>
  <c r="K112" i="1"/>
  <c r="J112" i="1"/>
  <c r="I112" i="1"/>
  <c r="H112" i="1"/>
  <c r="G112" i="1"/>
  <c r="F112" i="1"/>
  <c r="E112" i="1"/>
  <c r="D112" i="1"/>
  <c r="C112" i="1"/>
  <c r="B112" i="1"/>
  <c r="R111" i="1"/>
  <c r="Q111" i="1"/>
  <c r="P111" i="1"/>
  <c r="O111" i="1"/>
  <c r="N111" i="1"/>
  <c r="M111" i="1"/>
  <c r="L111" i="1"/>
  <c r="K111" i="1"/>
  <c r="J111" i="1"/>
  <c r="I111" i="1"/>
  <c r="H111" i="1"/>
  <c r="G111" i="1"/>
  <c r="F111" i="1"/>
  <c r="E111" i="1"/>
  <c r="D111" i="1"/>
  <c r="C111" i="1"/>
  <c r="B111" i="1"/>
  <c r="R110" i="1"/>
  <c r="Q110" i="1"/>
  <c r="P110" i="1"/>
  <c r="O110" i="1"/>
  <c r="N110" i="1"/>
  <c r="M110" i="1"/>
  <c r="L110" i="1"/>
  <c r="K110" i="1"/>
  <c r="J110" i="1"/>
  <c r="I110" i="1"/>
  <c r="H110" i="1"/>
  <c r="G110" i="1"/>
  <c r="F110" i="1"/>
  <c r="E110" i="1"/>
  <c r="D110" i="1"/>
  <c r="C110" i="1"/>
  <c r="B110" i="1"/>
  <c r="R109" i="1"/>
  <c r="Q109" i="1"/>
  <c r="P109" i="1"/>
  <c r="O109" i="1"/>
  <c r="N109" i="1"/>
  <c r="M109" i="1"/>
  <c r="L109" i="1"/>
  <c r="K109" i="1"/>
  <c r="J109" i="1"/>
  <c r="I109" i="1"/>
  <c r="H109" i="1"/>
  <c r="G109" i="1"/>
  <c r="F109" i="1"/>
  <c r="E109" i="1"/>
  <c r="D109" i="1"/>
  <c r="C109" i="1"/>
  <c r="B109" i="1"/>
  <c r="R108" i="1"/>
  <c r="Q108" i="1"/>
  <c r="P108" i="1"/>
  <c r="O108" i="1"/>
  <c r="N108" i="1"/>
  <c r="M108" i="1"/>
  <c r="L108" i="1"/>
  <c r="K108" i="1"/>
  <c r="J108" i="1"/>
  <c r="I108" i="1"/>
  <c r="H108" i="1"/>
  <c r="G108" i="1"/>
  <c r="F108" i="1"/>
  <c r="E108" i="1"/>
  <c r="D108" i="1"/>
  <c r="C108" i="1"/>
  <c r="B108" i="1"/>
  <c r="R107" i="1"/>
  <c r="Q107" i="1"/>
  <c r="P107" i="1"/>
  <c r="O107" i="1"/>
  <c r="N107" i="1"/>
  <c r="M107" i="1"/>
  <c r="L107" i="1"/>
  <c r="K107" i="1"/>
  <c r="J107" i="1"/>
  <c r="I107" i="1"/>
  <c r="H107" i="1"/>
  <c r="G107" i="1"/>
  <c r="F107" i="1"/>
  <c r="E107" i="1"/>
  <c r="D107" i="1"/>
  <c r="C107" i="1"/>
  <c r="B107" i="1"/>
  <c r="R106" i="1"/>
  <c r="Q106" i="1"/>
  <c r="P106" i="1"/>
  <c r="O106" i="1"/>
  <c r="N106" i="1"/>
  <c r="M106" i="1"/>
  <c r="L106" i="1"/>
  <c r="K106" i="1"/>
  <c r="J106" i="1"/>
  <c r="I106" i="1"/>
  <c r="H106" i="1"/>
  <c r="G106" i="1"/>
  <c r="F106" i="1"/>
  <c r="E106" i="1"/>
  <c r="D106" i="1"/>
  <c r="C106" i="1"/>
  <c r="B106" i="1"/>
  <c r="R105" i="1"/>
  <c r="Q105" i="1"/>
  <c r="P105" i="1"/>
  <c r="O105" i="1"/>
  <c r="N105" i="1"/>
  <c r="M105" i="1"/>
  <c r="L105" i="1"/>
  <c r="K105" i="1"/>
  <c r="J105" i="1"/>
  <c r="I105" i="1"/>
  <c r="H105" i="1"/>
  <c r="G105" i="1"/>
  <c r="F105" i="1"/>
  <c r="E105" i="1"/>
  <c r="D105" i="1"/>
  <c r="C105" i="1"/>
  <c r="B105" i="1"/>
  <c r="R104" i="1"/>
  <c r="Q104" i="1"/>
  <c r="P104" i="1"/>
  <c r="O104" i="1"/>
  <c r="N104" i="1"/>
  <c r="M104" i="1"/>
  <c r="L104" i="1"/>
  <c r="K104" i="1"/>
  <c r="J104" i="1"/>
  <c r="I104" i="1"/>
  <c r="H104" i="1"/>
  <c r="G104" i="1"/>
  <c r="F104" i="1"/>
  <c r="E104" i="1"/>
  <c r="D104" i="1"/>
  <c r="C104" i="1"/>
  <c r="B104" i="1"/>
  <c r="R103" i="1"/>
  <c r="Q103" i="1"/>
  <c r="P103" i="1"/>
  <c r="O103" i="1"/>
  <c r="N103" i="1"/>
  <c r="M103" i="1"/>
  <c r="L103" i="1"/>
  <c r="K103" i="1"/>
  <c r="J103" i="1"/>
  <c r="I103" i="1"/>
  <c r="H103" i="1"/>
  <c r="G103" i="1"/>
  <c r="F103" i="1"/>
  <c r="E103" i="1"/>
  <c r="D103" i="1"/>
  <c r="C103" i="1"/>
  <c r="B103" i="1"/>
  <c r="R102" i="1"/>
  <c r="Q102" i="1"/>
  <c r="P102" i="1"/>
  <c r="O102" i="1"/>
  <c r="N102" i="1"/>
  <c r="M102" i="1"/>
  <c r="L102" i="1"/>
  <c r="K102" i="1"/>
  <c r="J102" i="1"/>
  <c r="I102" i="1"/>
  <c r="H102" i="1"/>
  <c r="G102" i="1"/>
  <c r="F102" i="1"/>
  <c r="E102" i="1"/>
  <c r="D102" i="1"/>
  <c r="C102" i="1"/>
  <c r="B102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F101" i="1"/>
  <c r="E101" i="1"/>
  <c r="D101" i="1"/>
  <c r="C101" i="1"/>
  <c r="B101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F100" i="1"/>
  <c r="E100" i="1"/>
  <c r="D100" i="1"/>
  <c r="C100" i="1"/>
  <c r="B100" i="1"/>
  <c r="R99" i="1"/>
  <c r="Q99" i="1"/>
  <c r="P99" i="1"/>
  <c r="O99" i="1"/>
  <c r="N99" i="1"/>
  <c r="M99" i="1"/>
  <c r="L99" i="1"/>
  <c r="K99" i="1"/>
  <c r="J99" i="1"/>
  <c r="I99" i="1"/>
  <c r="H99" i="1"/>
  <c r="G99" i="1"/>
  <c r="F99" i="1"/>
  <c r="E99" i="1"/>
  <c r="D99" i="1"/>
  <c r="C99" i="1"/>
  <c r="B99" i="1"/>
  <c r="R98" i="1"/>
  <c r="Q98" i="1"/>
  <c r="P98" i="1"/>
  <c r="O98" i="1"/>
  <c r="N98" i="1"/>
  <c r="M98" i="1"/>
  <c r="L98" i="1"/>
  <c r="K98" i="1"/>
  <c r="J98" i="1"/>
  <c r="I98" i="1"/>
  <c r="H98" i="1"/>
  <c r="G98" i="1"/>
  <c r="F98" i="1"/>
  <c r="E98" i="1"/>
  <c r="D98" i="1"/>
  <c r="C98" i="1"/>
  <c r="B98" i="1"/>
  <c r="R97" i="1"/>
  <c r="Q97" i="1"/>
  <c r="P97" i="1"/>
  <c r="O97" i="1"/>
  <c r="N97" i="1"/>
  <c r="M97" i="1"/>
  <c r="L97" i="1"/>
  <c r="K97" i="1"/>
  <c r="J97" i="1"/>
  <c r="I97" i="1"/>
  <c r="H97" i="1"/>
  <c r="G97" i="1"/>
  <c r="F97" i="1"/>
  <c r="E97" i="1"/>
  <c r="D97" i="1"/>
  <c r="C97" i="1"/>
  <c r="B97" i="1"/>
  <c r="R96" i="1"/>
  <c r="Q96" i="1"/>
  <c r="P96" i="1"/>
  <c r="O96" i="1"/>
  <c r="N96" i="1"/>
  <c r="M96" i="1"/>
  <c r="L96" i="1"/>
  <c r="K96" i="1"/>
  <c r="J96" i="1"/>
  <c r="I96" i="1"/>
  <c r="H96" i="1"/>
  <c r="G96" i="1"/>
  <c r="F96" i="1"/>
  <c r="E96" i="1"/>
  <c r="D96" i="1"/>
  <c r="C96" i="1"/>
  <c r="B96" i="1"/>
  <c r="R95" i="1"/>
  <c r="Q95" i="1"/>
  <c r="P95" i="1"/>
  <c r="O95" i="1"/>
  <c r="N95" i="1"/>
  <c r="M95" i="1"/>
  <c r="L95" i="1"/>
  <c r="K95" i="1"/>
  <c r="J95" i="1"/>
  <c r="I95" i="1"/>
  <c r="H95" i="1"/>
  <c r="G95" i="1"/>
  <c r="F95" i="1"/>
  <c r="E95" i="1"/>
  <c r="D95" i="1"/>
  <c r="C95" i="1"/>
  <c r="B95" i="1"/>
  <c r="R94" i="1"/>
  <c r="Q94" i="1"/>
  <c r="P94" i="1"/>
  <c r="O94" i="1"/>
  <c r="N94" i="1"/>
  <c r="M94" i="1"/>
  <c r="L94" i="1"/>
  <c r="K94" i="1"/>
  <c r="J94" i="1"/>
  <c r="I94" i="1"/>
  <c r="H94" i="1"/>
  <c r="G94" i="1"/>
  <c r="F94" i="1"/>
  <c r="E94" i="1"/>
  <c r="D94" i="1"/>
  <c r="C94" i="1"/>
  <c r="B94" i="1"/>
  <c r="R93" i="1"/>
  <c r="Q93" i="1"/>
  <c r="P93" i="1"/>
  <c r="O93" i="1"/>
  <c r="N93" i="1"/>
  <c r="M93" i="1"/>
  <c r="L93" i="1"/>
  <c r="K93" i="1"/>
  <c r="J93" i="1"/>
  <c r="I93" i="1"/>
  <c r="H93" i="1"/>
  <c r="G93" i="1"/>
  <c r="F93" i="1"/>
  <c r="E93" i="1"/>
  <c r="D93" i="1"/>
  <c r="C93" i="1"/>
  <c r="B93" i="1"/>
  <c r="R92" i="1"/>
  <c r="Q92" i="1"/>
  <c r="P92" i="1"/>
  <c r="O92" i="1"/>
  <c r="N92" i="1"/>
  <c r="M92" i="1"/>
  <c r="L92" i="1"/>
  <c r="K92" i="1"/>
  <c r="J92" i="1"/>
  <c r="I92" i="1"/>
  <c r="H92" i="1"/>
  <c r="G92" i="1"/>
  <c r="F92" i="1"/>
  <c r="E92" i="1"/>
  <c r="D92" i="1"/>
  <c r="C92" i="1"/>
  <c r="B92" i="1"/>
  <c r="R91" i="1"/>
  <c r="Q91" i="1"/>
  <c r="P91" i="1"/>
  <c r="O91" i="1"/>
  <c r="N91" i="1"/>
  <c r="M91" i="1"/>
  <c r="L91" i="1"/>
  <c r="K91" i="1"/>
  <c r="J91" i="1"/>
  <c r="I91" i="1"/>
  <c r="H91" i="1"/>
  <c r="G91" i="1"/>
  <c r="F91" i="1"/>
  <c r="E91" i="1"/>
  <c r="D91" i="1"/>
  <c r="C91" i="1"/>
  <c r="B91" i="1"/>
  <c r="R90" i="1"/>
  <c r="Q90" i="1"/>
  <c r="P90" i="1"/>
  <c r="O90" i="1"/>
  <c r="N90" i="1"/>
  <c r="M90" i="1"/>
  <c r="L90" i="1"/>
  <c r="K90" i="1"/>
  <c r="J90" i="1"/>
  <c r="I90" i="1"/>
  <c r="H90" i="1"/>
  <c r="G90" i="1"/>
  <c r="F90" i="1"/>
  <c r="E90" i="1"/>
  <c r="D90" i="1"/>
  <c r="C90" i="1"/>
  <c r="B90" i="1"/>
  <c r="R89" i="1"/>
  <c r="Q89" i="1"/>
  <c r="P89" i="1"/>
  <c r="O89" i="1"/>
  <c r="N89" i="1"/>
  <c r="M89" i="1"/>
  <c r="L89" i="1"/>
  <c r="K89" i="1"/>
  <c r="J89" i="1"/>
  <c r="I89" i="1"/>
  <c r="H89" i="1"/>
  <c r="G89" i="1"/>
  <c r="F89" i="1"/>
  <c r="E89" i="1"/>
  <c r="D89" i="1"/>
  <c r="C89" i="1"/>
  <c r="B89" i="1"/>
  <c r="R88" i="1"/>
  <c r="Q88" i="1"/>
  <c r="P88" i="1"/>
  <c r="O88" i="1"/>
  <c r="N88" i="1"/>
  <c r="M88" i="1"/>
  <c r="L88" i="1"/>
  <c r="K88" i="1"/>
  <c r="J88" i="1"/>
  <c r="I88" i="1"/>
  <c r="H88" i="1"/>
  <c r="G88" i="1"/>
  <c r="F88" i="1"/>
  <c r="E88" i="1"/>
  <c r="D88" i="1"/>
  <c r="C88" i="1"/>
  <c r="B88" i="1"/>
  <c r="R87" i="1"/>
  <c r="Q87" i="1"/>
  <c r="P87" i="1"/>
  <c r="O87" i="1"/>
  <c r="N87" i="1"/>
  <c r="M87" i="1"/>
  <c r="L87" i="1"/>
  <c r="K87" i="1"/>
  <c r="J87" i="1"/>
  <c r="I87" i="1"/>
  <c r="H87" i="1"/>
  <c r="G87" i="1"/>
  <c r="F87" i="1"/>
  <c r="E87" i="1"/>
  <c r="D87" i="1"/>
  <c r="C87" i="1"/>
  <c r="B87" i="1"/>
  <c r="R86" i="1"/>
  <c r="Q86" i="1"/>
  <c r="P86" i="1"/>
  <c r="O86" i="1"/>
  <c r="N86" i="1"/>
  <c r="M86" i="1"/>
  <c r="L86" i="1"/>
  <c r="K86" i="1"/>
  <c r="J86" i="1"/>
  <c r="I86" i="1"/>
  <c r="H86" i="1"/>
  <c r="G86" i="1"/>
  <c r="F86" i="1"/>
  <c r="E86" i="1"/>
  <c r="D86" i="1"/>
  <c r="C86" i="1"/>
  <c r="B86" i="1"/>
  <c r="R85" i="1"/>
  <c r="Q85" i="1"/>
  <c r="P85" i="1"/>
  <c r="O85" i="1"/>
  <c r="N85" i="1"/>
  <c r="M85" i="1"/>
  <c r="L85" i="1"/>
  <c r="K85" i="1"/>
  <c r="J85" i="1"/>
  <c r="I85" i="1"/>
  <c r="H85" i="1"/>
  <c r="G85" i="1"/>
  <c r="F85" i="1"/>
  <c r="E85" i="1"/>
  <c r="D85" i="1"/>
  <c r="C85" i="1"/>
  <c r="B85" i="1"/>
  <c r="R84" i="1"/>
  <c r="Q84" i="1"/>
  <c r="P84" i="1"/>
  <c r="O84" i="1"/>
  <c r="N84" i="1"/>
  <c r="M84" i="1"/>
  <c r="L84" i="1"/>
  <c r="K84" i="1"/>
  <c r="J84" i="1"/>
  <c r="I84" i="1"/>
  <c r="H84" i="1"/>
  <c r="G84" i="1"/>
  <c r="F84" i="1"/>
  <c r="E84" i="1"/>
  <c r="D84" i="1"/>
  <c r="C84" i="1"/>
  <c r="B84" i="1"/>
  <c r="R83" i="1"/>
  <c r="Q83" i="1"/>
  <c r="P83" i="1"/>
  <c r="O83" i="1"/>
  <c r="N83" i="1"/>
  <c r="M83" i="1"/>
  <c r="L83" i="1"/>
  <c r="K83" i="1"/>
  <c r="J83" i="1"/>
  <c r="I83" i="1"/>
  <c r="H83" i="1"/>
  <c r="G83" i="1"/>
  <c r="F83" i="1"/>
  <c r="E83" i="1"/>
  <c r="D83" i="1"/>
  <c r="C83" i="1"/>
  <c r="B83" i="1"/>
  <c r="R82" i="1"/>
  <c r="Q82" i="1"/>
  <c r="P82" i="1"/>
  <c r="O82" i="1"/>
  <c r="N82" i="1"/>
  <c r="M82" i="1"/>
  <c r="L82" i="1"/>
  <c r="K82" i="1"/>
  <c r="J82" i="1"/>
  <c r="I82" i="1"/>
  <c r="H82" i="1"/>
  <c r="G82" i="1"/>
  <c r="F82" i="1"/>
  <c r="E82" i="1"/>
  <c r="D82" i="1"/>
  <c r="C82" i="1"/>
  <c r="B82" i="1"/>
  <c r="R81" i="1"/>
  <c r="Q81" i="1"/>
  <c r="P81" i="1"/>
  <c r="O81" i="1"/>
  <c r="N81" i="1"/>
  <c r="M81" i="1"/>
  <c r="L81" i="1"/>
  <c r="K81" i="1"/>
  <c r="J81" i="1"/>
  <c r="I81" i="1"/>
  <c r="H81" i="1"/>
  <c r="G81" i="1"/>
  <c r="F81" i="1"/>
  <c r="E81" i="1"/>
  <c r="D81" i="1"/>
  <c r="C81" i="1"/>
  <c r="B81" i="1"/>
  <c r="R80" i="1"/>
  <c r="Q80" i="1"/>
  <c r="P80" i="1"/>
  <c r="O80" i="1"/>
  <c r="N80" i="1"/>
  <c r="M80" i="1"/>
  <c r="L80" i="1"/>
  <c r="K80" i="1"/>
  <c r="J80" i="1"/>
  <c r="I80" i="1"/>
  <c r="H80" i="1"/>
  <c r="G80" i="1"/>
  <c r="F80" i="1"/>
  <c r="E80" i="1"/>
  <c r="D80" i="1"/>
  <c r="C80" i="1"/>
  <c r="B80" i="1"/>
  <c r="R79" i="1"/>
  <c r="Q79" i="1"/>
  <c r="P79" i="1"/>
  <c r="O79" i="1"/>
  <c r="N79" i="1"/>
  <c r="M79" i="1"/>
  <c r="L79" i="1"/>
  <c r="K79" i="1"/>
  <c r="J79" i="1"/>
  <c r="I79" i="1"/>
  <c r="H79" i="1"/>
  <c r="G79" i="1"/>
  <c r="F79" i="1"/>
  <c r="E79" i="1"/>
  <c r="D79" i="1"/>
  <c r="C79" i="1"/>
  <c r="B79" i="1"/>
  <c r="R78" i="1"/>
  <c r="Q78" i="1"/>
  <c r="P78" i="1"/>
  <c r="O78" i="1"/>
  <c r="N78" i="1"/>
  <c r="M78" i="1"/>
  <c r="L78" i="1"/>
  <c r="K78" i="1"/>
  <c r="J78" i="1"/>
  <c r="I78" i="1"/>
  <c r="H78" i="1"/>
  <c r="G78" i="1"/>
  <c r="F78" i="1"/>
  <c r="E78" i="1"/>
  <c r="D78" i="1"/>
  <c r="C78" i="1"/>
  <c r="B78" i="1"/>
  <c r="R77" i="1"/>
  <c r="Q77" i="1"/>
  <c r="P77" i="1"/>
  <c r="O77" i="1"/>
  <c r="N77" i="1"/>
  <c r="M77" i="1"/>
  <c r="L77" i="1"/>
  <c r="K77" i="1"/>
  <c r="J77" i="1"/>
  <c r="I77" i="1"/>
  <c r="H77" i="1"/>
  <c r="G77" i="1"/>
  <c r="F77" i="1"/>
  <c r="E77" i="1"/>
  <c r="D77" i="1"/>
  <c r="C77" i="1"/>
  <c r="B77" i="1"/>
  <c r="R76" i="1"/>
  <c r="Q76" i="1"/>
  <c r="P76" i="1"/>
  <c r="O76" i="1"/>
  <c r="N76" i="1"/>
  <c r="M76" i="1"/>
  <c r="L76" i="1"/>
  <c r="K76" i="1"/>
  <c r="J76" i="1"/>
  <c r="I76" i="1"/>
  <c r="H76" i="1"/>
  <c r="G76" i="1"/>
  <c r="F76" i="1"/>
  <c r="E76" i="1"/>
  <c r="D76" i="1"/>
  <c r="C76" i="1"/>
  <c r="B76" i="1"/>
  <c r="R75" i="1"/>
  <c r="Q75" i="1"/>
  <c r="P75" i="1"/>
  <c r="O75" i="1"/>
  <c r="N75" i="1"/>
  <c r="M75" i="1"/>
  <c r="L75" i="1"/>
  <c r="K75" i="1"/>
  <c r="J75" i="1"/>
  <c r="I75" i="1"/>
  <c r="H75" i="1"/>
  <c r="G75" i="1"/>
  <c r="F75" i="1"/>
  <c r="E75" i="1"/>
  <c r="D75" i="1"/>
  <c r="C75" i="1"/>
  <c r="B75" i="1"/>
  <c r="R74" i="1"/>
  <c r="Q74" i="1"/>
  <c r="P74" i="1"/>
  <c r="O74" i="1"/>
  <c r="N74" i="1"/>
  <c r="M74" i="1"/>
  <c r="L74" i="1"/>
  <c r="K74" i="1"/>
  <c r="J74" i="1"/>
  <c r="I74" i="1"/>
  <c r="H74" i="1"/>
  <c r="G74" i="1"/>
  <c r="F74" i="1"/>
  <c r="E74" i="1"/>
  <c r="D74" i="1"/>
  <c r="C74" i="1"/>
  <c r="B74" i="1"/>
  <c r="R73" i="1"/>
  <c r="Q73" i="1"/>
  <c r="P73" i="1"/>
  <c r="O73" i="1"/>
  <c r="N73" i="1"/>
  <c r="M73" i="1"/>
  <c r="L73" i="1"/>
  <c r="K73" i="1"/>
  <c r="J73" i="1"/>
  <c r="I73" i="1"/>
  <c r="H73" i="1"/>
  <c r="G73" i="1"/>
  <c r="F73" i="1"/>
  <c r="E73" i="1"/>
  <c r="D73" i="1"/>
  <c r="C73" i="1"/>
  <c r="B73" i="1"/>
  <c r="R72" i="1"/>
  <c r="Q72" i="1"/>
  <c r="P72" i="1"/>
  <c r="O72" i="1"/>
  <c r="N72" i="1"/>
  <c r="M72" i="1"/>
  <c r="L72" i="1"/>
  <c r="K72" i="1"/>
  <c r="J72" i="1"/>
  <c r="I72" i="1"/>
  <c r="H72" i="1"/>
  <c r="G72" i="1"/>
  <c r="F72" i="1"/>
  <c r="E72" i="1"/>
  <c r="D72" i="1"/>
  <c r="C72" i="1"/>
  <c r="B72" i="1"/>
  <c r="R71" i="1"/>
  <c r="Q71" i="1"/>
  <c r="P71" i="1"/>
  <c r="O71" i="1"/>
  <c r="N71" i="1"/>
  <c r="M71" i="1"/>
  <c r="L71" i="1"/>
  <c r="K71" i="1"/>
  <c r="J71" i="1"/>
  <c r="I71" i="1"/>
  <c r="H71" i="1"/>
  <c r="G71" i="1"/>
  <c r="F71" i="1"/>
  <c r="E71" i="1"/>
  <c r="D71" i="1"/>
  <c r="C71" i="1"/>
  <c r="B71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C69" i="1"/>
  <c r="B69" i="1"/>
  <c r="R68" i="1"/>
  <c r="Q68" i="1"/>
  <c r="P68" i="1"/>
  <c r="O68" i="1"/>
  <c r="N68" i="1"/>
  <c r="M68" i="1"/>
  <c r="L68" i="1"/>
  <c r="K68" i="1"/>
  <c r="J68" i="1"/>
  <c r="I68" i="1"/>
  <c r="H68" i="1"/>
  <c r="G68" i="1"/>
  <c r="F68" i="1"/>
  <c r="E68" i="1"/>
  <c r="D68" i="1"/>
  <c r="C68" i="1"/>
  <c r="B68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D67" i="1"/>
  <c r="C67" i="1"/>
  <c r="B67" i="1"/>
  <c r="R66" i="1"/>
  <c r="Q66" i="1"/>
  <c r="P66" i="1"/>
  <c r="O66" i="1"/>
  <c r="N66" i="1"/>
  <c r="M66" i="1"/>
  <c r="L66" i="1"/>
  <c r="K66" i="1"/>
  <c r="J66" i="1"/>
  <c r="I66" i="1"/>
  <c r="H66" i="1"/>
  <c r="G66" i="1"/>
  <c r="F66" i="1"/>
  <c r="E66" i="1"/>
  <c r="D66" i="1"/>
  <c r="C66" i="1"/>
  <c r="B66" i="1"/>
  <c r="R65" i="1"/>
  <c r="Q65" i="1"/>
  <c r="P65" i="1"/>
  <c r="O65" i="1"/>
  <c r="N65" i="1"/>
  <c r="M65" i="1"/>
  <c r="L65" i="1"/>
  <c r="K65" i="1"/>
  <c r="J65" i="1"/>
  <c r="I65" i="1"/>
  <c r="H65" i="1"/>
  <c r="G65" i="1"/>
  <c r="F65" i="1"/>
  <c r="E65" i="1"/>
  <c r="D65" i="1"/>
  <c r="C65" i="1"/>
  <c r="B65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D63" i="1"/>
  <c r="C63" i="1"/>
  <c r="B63" i="1"/>
  <c r="R62" i="1"/>
  <c r="Q62" i="1"/>
  <c r="P62" i="1"/>
  <c r="O62" i="1"/>
  <c r="N62" i="1"/>
  <c r="M62" i="1"/>
  <c r="L62" i="1"/>
  <c r="K62" i="1"/>
  <c r="J62" i="1"/>
  <c r="I62" i="1"/>
  <c r="H62" i="1"/>
  <c r="G62" i="1"/>
  <c r="F62" i="1"/>
  <c r="E62" i="1"/>
  <c r="D62" i="1"/>
  <c r="C62" i="1"/>
  <c r="B62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60" i="1"/>
  <c r="B60" i="1"/>
  <c r="R59" i="1"/>
  <c r="Q59" i="1"/>
  <c r="P59" i="1"/>
  <c r="O59" i="1"/>
  <c r="N59" i="1"/>
  <c r="M59" i="1"/>
  <c r="L59" i="1"/>
  <c r="K59" i="1"/>
  <c r="J59" i="1"/>
  <c r="I59" i="1"/>
  <c r="H59" i="1"/>
  <c r="G59" i="1"/>
  <c r="F59" i="1"/>
  <c r="E59" i="1"/>
  <c r="D59" i="1"/>
  <c r="C59" i="1"/>
  <c r="B59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58" i="1"/>
  <c r="B58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R56" i="1"/>
  <c r="Q56" i="1"/>
  <c r="P56" i="1"/>
  <c r="O56" i="1"/>
  <c r="N56" i="1"/>
  <c r="M56" i="1"/>
  <c r="L56" i="1"/>
  <c r="K56" i="1"/>
  <c r="J56" i="1"/>
  <c r="I56" i="1"/>
  <c r="H56" i="1"/>
  <c r="G56" i="1"/>
  <c r="F56" i="1"/>
  <c r="E56" i="1"/>
  <c r="D56" i="1"/>
  <c r="C56" i="1"/>
  <c r="B56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55" i="1"/>
  <c r="B55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C54" i="1"/>
  <c r="B54" i="1"/>
  <c r="R53" i="1"/>
  <c r="Q53" i="1"/>
  <c r="P53" i="1"/>
  <c r="O53" i="1"/>
  <c r="N53" i="1"/>
  <c r="M53" i="1"/>
  <c r="L53" i="1"/>
  <c r="K53" i="1"/>
  <c r="J53" i="1"/>
  <c r="I53" i="1"/>
  <c r="H53" i="1"/>
  <c r="G53" i="1"/>
  <c r="F53" i="1"/>
  <c r="E53" i="1"/>
  <c r="D53" i="1"/>
  <c r="C53" i="1"/>
  <c r="B53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52" i="1"/>
  <c r="B52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51" i="1"/>
  <c r="B51" i="1"/>
  <c r="R50" i="1"/>
  <c r="Q50" i="1"/>
  <c r="P50" i="1"/>
  <c r="O50" i="1"/>
  <c r="N50" i="1"/>
  <c r="M50" i="1"/>
  <c r="L50" i="1"/>
  <c r="K50" i="1"/>
  <c r="J50" i="1"/>
  <c r="I50" i="1"/>
  <c r="H50" i="1"/>
  <c r="G50" i="1"/>
  <c r="F50" i="1"/>
  <c r="E50" i="1"/>
  <c r="D50" i="1"/>
  <c r="C50" i="1"/>
  <c r="B50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E47" i="1"/>
  <c r="D47" i="1"/>
  <c r="C47" i="1"/>
  <c r="B47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B45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B44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B43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B42" i="1"/>
  <c r="R41" i="1"/>
  <c r="Q41" i="1"/>
  <c r="P41" i="1"/>
  <c r="O41" i="1"/>
  <c r="N41" i="1"/>
  <c r="M41" i="1"/>
  <c r="L41" i="1"/>
  <c r="K41" i="1"/>
  <c r="J41" i="1"/>
  <c r="I41" i="1"/>
  <c r="H41" i="1"/>
  <c r="G41" i="1"/>
  <c r="F41" i="1"/>
  <c r="E41" i="1"/>
  <c r="D41" i="1"/>
  <c r="C41" i="1"/>
  <c r="B41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B38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C35" i="1"/>
  <c r="B35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B23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B14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C11" i="1"/>
  <c r="B11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B9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8" i="1"/>
  <c r="B8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5" i="1"/>
  <c r="B5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3" i="2"/>
  <c r="A4" i="2" s="1"/>
  <c r="A4" i="1" s="1"/>
  <c r="A5" i="2" l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" i="1"/>
  <c r="A14" i="1"/>
  <c r="A18" i="1"/>
  <c r="A21" i="1"/>
  <c r="A61" i="1" l="1"/>
  <c r="A55" i="1"/>
  <c r="A42" i="1"/>
  <c r="A33" i="1"/>
  <c r="A27" i="1"/>
  <c r="A94" i="1"/>
  <c r="A88" i="1"/>
  <c r="A82" i="1"/>
  <c r="A76" i="1"/>
  <c r="A52" i="1"/>
  <c r="A66" i="1"/>
  <c r="A60" i="1"/>
  <c r="A54" i="1"/>
  <c r="A41" i="1"/>
  <c r="A32" i="1"/>
  <c r="A26" i="1"/>
  <c r="A10" i="1"/>
  <c r="A93" i="1"/>
  <c r="A87" i="1"/>
  <c r="A81" i="1"/>
  <c r="A75" i="1"/>
  <c r="A17" i="1"/>
  <c r="A40" i="1"/>
  <c r="A13" i="1"/>
  <c r="A65" i="1"/>
  <c r="A53" i="1"/>
  <c r="A46" i="1"/>
  <c r="A38" i="1"/>
  <c r="A31" i="1"/>
  <c r="A25" i="1"/>
  <c r="A5" i="1"/>
  <c r="A92" i="1"/>
  <c r="A86" i="1"/>
  <c r="A80" i="1"/>
  <c r="A74" i="1"/>
  <c r="A16" i="1"/>
  <c r="A39" i="1"/>
  <c r="A12" i="1"/>
  <c r="A72" i="1"/>
  <c r="A59" i="1"/>
  <c r="A70" i="1"/>
  <c r="A64" i="1"/>
  <c r="A58" i="1"/>
  <c r="A51" i="1"/>
  <c r="A45" i="1"/>
  <c r="A36" i="1"/>
  <c r="A30" i="1"/>
  <c r="A24" i="1"/>
  <c r="A97" i="1"/>
  <c r="A91" i="1"/>
  <c r="A85" i="1"/>
  <c r="A79" i="1"/>
  <c r="A73" i="1"/>
  <c r="A9" i="1"/>
  <c r="A37" i="1"/>
  <c r="A11" i="1"/>
  <c r="A69" i="1"/>
  <c r="A63" i="1"/>
  <c r="A57" i="1"/>
  <c r="A50" i="1"/>
  <c r="A44" i="1"/>
  <c r="A35" i="1"/>
  <c r="A29" i="1"/>
  <c r="A23" i="1"/>
  <c r="A96" i="1"/>
  <c r="A90" i="1"/>
  <c r="A84" i="1"/>
  <c r="A78" i="1"/>
  <c r="A71" i="1"/>
  <c r="A8" i="1"/>
  <c r="A19" i="1"/>
  <c r="A7" i="1"/>
  <c r="A68" i="1"/>
  <c r="A62" i="1"/>
  <c r="A56" i="1"/>
  <c r="A49" i="1"/>
  <c r="A43" i="1"/>
  <c r="A34" i="1"/>
  <c r="A28" i="1"/>
  <c r="A22" i="1"/>
  <c r="A95" i="1"/>
  <c r="A89" i="1"/>
  <c r="A83" i="1"/>
  <c r="A77" i="1"/>
  <c r="A20" i="1"/>
  <c r="A6" i="1"/>
  <c r="A15" i="1"/>
  <c r="A98" i="1"/>
  <c r="A67" i="1"/>
  <c r="A48" i="1"/>
  <c r="A47" i="1"/>
  <c r="A99" i="1"/>
  <c r="A100" i="1" l="1"/>
  <c r="A101" i="1" l="1"/>
  <c r="A102" i="1" l="1"/>
  <c r="A103" i="1" l="1"/>
  <c r="A104" i="1" l="1"/>
  <c r="A105" i="1" l="1"/>
  <c r="A106" i="1" l="1"/>
  <c r="A107" i="1" l="1"/>
  <c r="A108" i="1" l="1"/>
  <c r="A109" i="1" l="1"/>
  <c r="A110" i="1" l="1"/>
  <c r="A111" i="1" l="1"/>
  <c r="A112" i="1" l="1"/>
  <c r="A113" i="1" l="1"/>
  <c r="A114" i="1" l="1"/>
  <c r="A115" i="1" l="1"/>
  <c r="A116" i="1" l="1"/>
  <c r="A117" i="1" l="1"/>
  <c r="A118" i="1" l="1"/>
  <c r="A119" i="1" l="1"/>
  <c r="A120" i="1" l="1"/>
  <c r="A121" i="1" l="1"/>
  <c r="A122" i="1" l="1"/>
  <c r="A123" i="1" l="1"/>
  <c r="A124" i="1" l="1"/>
  <c r="A125" i="1" l="1"/>
  <c r="A126" i="1" l="1"/>
  <c r="A127" i="1" l="1"/>
  <c r="A128" i="1" l="1"/>
  <c r="A129" i="1" l="1"/>
  <c r="A130" i="1" l="1"/>
  <c r="A131" i="1" l="1"/>
  <c r="A132" i="1" l="1"/>
  <c r="A133" i="1" l="1"/>
  <c r="A134" i="1" l="1"/>
  <c r="A135" i="1" l="1"/>
  <c r="A136" i="1" l="1"/>
  <c r="A137" i="1" l="1"/>
  <c r="A138" i="1" l="1"/>
  <c r="A139" i="1" l="1"/>
  <c r="A140" i="1" l="1"/>
  <c r="A141" i="1" l="1"/>
  <c r="A142" i="1" l="1"/>
  <c r="A143" i="1" l="1"/>
  <c r="A144" i="1" l="1"/>
  <c r="A145" i="1" l="1"/>
  <c r="A146" i="1" l="1"/>
  <c r="A147" i="1" l="1"/>
  <c r="A148" i="1" l="1"/>
  <c r="A149" i="1" l="1"/>
  <c r="A150" i="1" l="1"/>
  <c r="A151" i="1" l="1"/>
  <c r="A152" i="1" l="1"/>
  <c r="A153" i="1" l="1"/>
  <c r="A154" i="1" l="1"/>
  <c r="A155" i="1" l="1"/>
  <c r="A156" i="1" l="1"/>
  <c r="A157" i="1" l="1"/>
  <c r="A158" i="1" l="1"/>
  <c r="A159" i="1" l="1"/>
  <c r="A160" i="1" l="1"/>
  <c r="A161" i="1" l="1"/>
  <c r="A162" i="1" l="1"/>
  <c r="A163" i="1" l="1"/>
  <c r="A164" i="1" l="1"/>
  <c r="A165" i="1" l="1"/>
  <c r="A166" i="1" l="1"/>
  <c r="A167" i="1" l="1"/>
  <c r="A168" i="1" l="1"/>
  <c r="A169" i="1" l="1"/>
  <c r="A170" i="1" l="1"/>
  <c r="A171" i="1" l="1"/>
  <c r="A172" i="1" l="1"/>
  <c r="A173" i="1" l="1"/>
  <c r="A174" i="1" l="1"/>
  <c r="A175" i="1" l="1"/>
  <c r="A176" i="1" l="1"/>
  <c r="A177" i="1" l="1"/>
  <c r="A178" i="1" l="1"/>
  <c r="A179" i="1" l="1"/>
  <c r="A180" i="1" l="1"/>
  <c r="A181" i="1" l="1"/>
  <c r="A182" i="1" l="1"/>
  <c r="A183" i="1" l="1"/>
  <c r="A184" i="1" l="1"/>
  <c r="A185" i="1" l="1"/>
  <c r="A186" i="1" l="1"/>
  <c r="A187" i="1" l="1"/>
  <c r="A188" i="1" l="1"/>
  <c r="A189" i="1" l="1"/>
  <c r="A190" i="1" l="1"/>
  <c r="A191" i="1" l="1"/>
  <c r="A192" i="1" l="1"/>
  <c r="A193" i="1" l="1"/>
  <c r="A194" i="1" l="1"/>
  <c r="A195" i="1" l="1"/>
  <c r="A196" i="1" l="1"/>
  <c r="A197" i="1" l="1"/>
  <c r="A198" i="1" l="1"/>
  <c r="A199" i="1" l="1"/>
  <c r="A200" i="1" l="1"/>
  <c r="A201" i="1" l="1"/>
  <c r="A202" i="1" l="1"/>
  <c r="A203" i="1" l="1"/>
  <c r="A204" i="1" l="1"/>
  <c r="A205" i="1" l="1"/>
  <c r="A206" i="1" l="1"/>
  <c r="A207" i="1" l="1"/>
  <c r="A208" i="1" l="1"/>
  <c r="A209" i="1" l="1"/>
  <c r="A210" i="1" l="1"/>
  <c r="A211" i="1" l="1"/>
  <c r="A212" i="1" l="1"/>
  <c r="A213" i="1" l="1"/>
  <c r="A214" i="1" l="1"/>
  <c r="A215" i="1" l="1"/>
  <c r="A216" i="1" l="1"/>
  <c r="A217" i="1" l="1"/>
  <c r="A218" i="1" l="1"/>
  <c r="A219" i="1" l="1"/>
  <c r="A220" i="1" l="1"/>
  <c r="A221" i="1" l="1"/>
  <c r="A222" i="1" l="1"/>
  <c r="A223" i="1" l="1"/>
  <c r="A224" i="1" l="1"/>
  <c r="A225" i="1" l="1"/>
  <c r="A226" i="1" l="1"/>
  <c r="A227" i="1" l="1"/>
  <c r="A228" i="1" l="1"/>
  <c r="A229" i="1" l="1"/>
  <c r="A230" i="1" l="1"/>
  <c r="A231" i="1" l="1"/>
  <c r="A232" i="1" l="1"/>
  <c r="A233" i="1" l="1"/>
  <c r="A234" i="1" l="1"/>
  <c r="A235" i="1" l="1"/>
  <c r="A236" i="1" l="1"/>
  <c r="A237" i="1" l="1"/>
  <c r="A238" i="1" l="1"/>
  <c r="A239" i="1" l="1"/>
  <c r="A240" i="1" l="1"/>
  <c r="A241" i="1" l="1"/>
  <c r="A242" i="1" l="1"/>
  <c r="A243" i="1" l="1"/>
  <c r="A244" i="1" l="1"/>
  <c r="A245" i="1" l="1"/>
  <c r="A246" i="1" l="1"/>
  <c r="A247" i="1" l="1"/>
  <c r="A248" i="1" l="1"/>
  <c r="A249" i="1" l="1"/>
  <c r="A250" i="1" l="1"/>
  <c r="A251" i="1" l="1"/>
  <c r="A252" i="1" l="1"/>
  <c r="A253" i="1" l="1"/>
  <c r="A254" i="1" l="1"/>
  <c r="A255" i="1" l="1"/>
  <c r="A256" i="1" l="1"/>
  <c r="A257" i="1" l="1"/>
  <c r="A258" i="1" l="1"/>
  <c r="A259" i="1" l="1"/>
  <c r="A260" i="1" l="1"/>
  <c r="A261" i="1" l="1"/>
  <c r="A262" i="1" l="1"/>
  <c r="A263" i="1" l="1"/>
  <c r="A264" i="1" l="1"/>
  <c r="A265" i="1" l="1"/>
  <c r="A266" i="1" l="1"/>
  <c r="A267" i="1" l="1"/>
  <c r="A268" i="1" l="1"/>
  <c r="A269" i="1" l="1"/>
  <c r="A270" i="1" l="1"/>
  <c r="A271" i="1" l="1"/>
  <c r="A272" i="1" l="1"/>
  <c r="A273" i="1" l="1"/>
  <c r="A274" i="1" l="1"/>
  <c r="A275" i="1" l="1"/>
  <c r="A276" i="1" l="1"/>
  <c r="A277" i="1" l="1"/>
  <c r="A278" i="1" l="1"/>
  <c r="A279" i="1" l="1"/>
  <c r="A280" i="1" l="1"/>
  <c r="A281" i="1" l="1"/>
  <c r="A282" i="1" l="1"/>
  <c r="A283" i="1" l="1"/>
  <c r="A284" i="1" l="1"/>
  <c r="A285" i="1" l="1"/>
  <c r="A286" i="1" l="1"/>
  <c r="A287" i="1" l="1"/>
  <c r="A288" i="1" l="1"/>
  <c r="A289" i="1" l="1"/>
  <c r="A290" i="1" l="1"/>
  <c r="A291" i="1" l="1"/>
  <c r="A292" i="1" l="1"/>
  <c r="A293" i="1" l="1"/>
  <c r="A294" i="1" l="1"/>
  <c r="A295" i="1" l="1"/>
  <c r="A296" i="1" l="1"/>
  <c r="A297" i="1" l="1"/>
  <c r="A298" i="1" l="1"/>
  <c r="A299" i="1" l="1"/>
  <c r="A300" i="1" l="1"/>
  <c r="A301" i="1" l="1"/>
  <c r="A302" i="1" l="1"/>
  <c r="A303" i="1" l="1"/>
  <c r="A304" i="1" l="1"/>
  <c r="A305" i="1" l="1"/>
  <c r="A306" i="1" l="1"/>
  <c r="A307" i="1" l="1"/>
  <c r="A308" i="1" l="1"/>
  <c r="A309" i="1" l="1"/>
  <c r="A310" i="1" l="1"/>
  <c r="A311" i="1" l="1"/>
  <c r="A312" i="1" l="1"/>
  <c r="A313" i="1" l="1"/>
  <c r="A314" i="1" l="1"/>
  <c r="A315" i="1" l="1"/>
  <c r="A316" i="1" l="1"/>
  <c r="A317" i="1" l="1"/>
  <c r="A318" i="1" l="1"/>
  <c r="A319" i="1" l="1"/>
  <c r="A320" i="1" l="1"/>
  <c r="A321" i="1" l="1"/>
  <c r="A322" i="1" l="1"/>
  <c r="A323" i="1" l="1"/>
  <c r="A324" i="1" l="1"/>
  <c r="A325" i="1" l="1"/>
  <c r="A326" i="1" l="1"/>
  <c r="A327" i="1" l="1"/>
  <c r="A328" i="1" l="1"/>
  <c r="A329" i="1" l="1"/>
  <c r="A330" i="1" l="1"/>
  <c r="A331" i="1" l="1"/>
  <c r="A332" i="1" l="1"/>
  <c r="A333" i="1" l="1"/>
  <c r="A334" i="1" l="1"/>
  <c r="A335" i="1" l="1"/>
  <c r="A336" i="1" l="1"/>
  <c r="A337" i="1" l="1"/>
  <c r="A338" i="1" l="1"/>
  <c r="A339" i="1" l="1"/>
  <c r="A340" i="1" l="1"/>
  <c r="A341" i="1" l="1"/>
  <c r="A342" i="1" l="1"/>
  <c r="A343" i="1" l="1"/>
  <c r="A344" i="1" l="1"/>
  <c r="A345" i="1" l="1"/>
  <c r="A346" i="1" l="1"/>
  <c r="A347" i="1" l="1"/>
  <c r="A348" i="1" l="1"/>
  <c r="A349" i="1" l="1"/>
  <c r="A350" i="1" l="1"/>
  <c r="A351" i="1" l="1"/>
  <c r="A353" i="1" l="1"/>
  <c r="A352" i="1"/>
</calcChain>
</file>

<file path=xl/sharedStrings.xml><?xml version="1.0" encoding="utf-8"?>
<sst xmlns="http://schemas.openxmlformats.org/spreadsheetml/2006/main" count="1889" uniqueCount="1085">
  <si>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</si>
  <si>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</si>
  <si>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</si>
  <si>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</si>
  <si>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</si>
  <si>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</si>
  <si>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</si>
  <si>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</si>
  <si>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</si>
  <si>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</si>
  <si>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</si>
  <si>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</si>
  <si>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</si>
  <si>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</si>
  <si>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</si>
  <si>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</si>
  <si>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</si>
  <si>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</si>
  <si>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</si>
  <si>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</si>
  <si>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</si>
  <si>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</si>
  <si>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</si>
  <si>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</si>
  <si>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</si>
  <si>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</si>
  <si>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基礎a + 技能熟練度等級 + 潛力天賦加成</t>
  </si>
  <si>
    <t>2026-07-30 改制：技能點不再隨角色升級發放，改由技能熟練度提供（每級 1 點）。a=基礎點數（開局兩個 1 級技能）；b 停用；c=舊制上限常數（保留相容）。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</si>
  <si>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</si>
  <si>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</si>
  <si>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</si>
  <si>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</si>
  <si>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</si>
  <si>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</si>
  <si>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</si>
  <si>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</si>
  <si>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</si>
  <si>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</si>
  <si>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</si>
  <si>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</si>
  <si>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</si>
  <si>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</si>
  <si>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</si>
  <si>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</si>
  <si>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</si>
  <si>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</si>
  <si>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</si>
  <si>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</si>
  <si>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</si>
  <si>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</si>
  <si>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</si>
  <si>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</si>
  <si>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</si>
  <si>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</si>
  <si>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</si>
  <si>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</si>
  <si>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</si>
  <si>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</si>
  <si>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</si>
  <si>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</si>
  <si>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</si>
  <si>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</si>
  <si>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</si>
  <si>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</si>
  <si>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</si>
  <si>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</si>
  <si>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</si>
  <si>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</si>
  <si>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</si>
  <si>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</si>
  <si>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</si>
  <si>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</si>
  <si>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</si>
  <si>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</si>
  <si>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</si>
  <si>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</si>
  <si>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</si>
  <si>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</si>
  <si>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</si>
  <si>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</si>
  <si>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</si>
  <si>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</si>
  <si>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</si>
  <si>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</si>
  <si>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</si>
  <si>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</si>
  <si>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</si>
  <si>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</si>
  <si>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</si>
  <si>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</si>
  <si>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</si>
  <si>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</si>
  <si>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</si>
  <si>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</si>
  <si>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</si>
  <si>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</si>
  <si>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</si>
  <si>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</si>
  <si>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</si>
  <si>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</si>
  <si>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</si>
  <si>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</si>
  <si>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</si>
  <si>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</si>
  <si>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</si>
  <si>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</si>
  <si>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</si>
  <si>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</si>
  <si>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</si>
  <si>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</si>
  <si>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</si>
  <si>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</si>
  <si>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</si>
  <si>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</si>
  <si>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</si>
  <si>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</si>
  <si>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</si>
  <si>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</si>
  <si>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</si>
  <si>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</si>
  <si>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</si>
  <si>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</si>
  <si>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</si>
  <si>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</si>
  <si>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</si>
  <si>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</si>
  <si>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</si>
  <si>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</si>
  <si>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</si>
  <si>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</si>
  <si>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</si>
  <si>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</si>
  <si>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</si>
  <si>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</si>
  <si>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</si>
  <si>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</si>
  <si>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</si>
  <si>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</si>
  <si>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</si>
  <si>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</si>
  <si>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</si>
  <si>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</si>
  <si>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</si>
  <si>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</si>
  <si>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</si>
  <si>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</si>
  <si>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</si>
  <si>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</si>
  <si>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</si>
  <si>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</si>
  <si>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</si>
  <si>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</si>
  <si>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</si>
  <si>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</si>
  <si>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</si>
  <si>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</si>
  <si>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</si>
  <si>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</si>
  <si>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</si>
  <si>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</si>
  <si>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</si>
  <si>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</si>
  <si>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a=吸血上限（%）；0＝無上限。2026-07-30 改版：吸血不再擋上限、也不再以造成的傷害計算，每次回復 = 每秒生命回復 × 吸血%。</t>
  </si>
  <si>
    <t>吸魔 上限</t>
  </si>
  <si>
    <t>a=吸魔上限（%）；0＝無上限。2026-07-30 改版：吸魔不再擋上限、也不再以造成的傷害計算，每次回復 = 每秒法力恢復 × 吸魔%。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</si>
  <si>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</si>
  <si>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</si>
  <si>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</si>
  <si>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</si>
  <si>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</si>
  <si>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</si>
  <si>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</si>
  <si>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</si>
  <si>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</si>
  <si>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</si>
  <si>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</si>
  <si>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</si>
  <si>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</si>
  <si>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</si>
  <si>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</si>
  <si>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</si>
  <si>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</si>
  <si>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</si>
  <si>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</si>
  <si>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</si>
  <si>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</si>
  <si>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a=詞條上限率上限（%）。影響裝備洗煉時更高數值的出現機率。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</si>
  <si>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</si>
  <si>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</si>
  <si>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</si>
  <si>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</si>
  <si>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</si>
  <si>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</si>
  <si>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</si>
  <si>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</si>
  <si>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</si>
  <si>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抗性值總合/(抗性值總合+a+b×攻擊者等級)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</si>
  <si>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</si>
  <si>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</si>
  <si>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抗性總合^a/(抗性總合^a+b+c×敵人等級)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</si>
  <si>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</si>
  <si>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</si>
  <si>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</si>
  <si>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</si>
  <si>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</si>
  <si>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</si>
  <si>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</si>
  <si>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</si>
  <si>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</si>
  <si>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</si>
  <si>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</si>
  <si>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</si>
  <si>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</si>
  <si>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</si>
  <si>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控制持續時間×max(0, 1−每秒遞減率×經過秒數)</t>
  </si>
  <si>
    <t>普通敵人每秒遞減 1%；菁英每秒遞減 3%；BOSS 不受控場遞減。</t>
  </si>
  <si>
    <t>擊殺回復</t>
  </si>
  <si>
    <t>最大生命×a%</t>
  </si>
  <si>
    <t>野外每擊殺一隻回復（吸魂被動再另加）。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</si>
  <si>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</si>
  <si>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</si>
  <si>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</si>
  <si>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</si>
  <si>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</si>
  <si>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</si>
  <si>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</si>
  <si>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</si>
  <si>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</si>
  <si>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</si>
  <si>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</si>
  <si>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</si>
  <si>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</si>
  <si>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</si>
  <si>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</si>
  <si>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</si>
  <si>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</si>
  <si>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</si>
  <si>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</si>
  <si>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</si>
  <si>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穿透忽略防禦</t>
  </si>
  <si>
    <t>忽略敵人防禦% = a×(總穿透加成%÷100×b)^c</t>
  </si>
  <si>
    <t>物理穿透與魔法穿透各自換算（不設上限）。a=係數 b=百分點換算 c=次方。曲線：穿透100%→22.9%、250%→42.7%、500%→68.4%、873%→100%、1000%→109.7%；超過100%的部分轉為增傷（150%＝完全忽略防禦後再×1.5）。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</si>
  <si>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</si>
  <si>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</si>
  <si>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</si>
  <si>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</si>
  <si>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</si>
  <si>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</si>
  <si>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</si>
  <si>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</si>
  <si>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</si>
  <si>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</si>
  <si>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</si>
  <si>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</si>
  <si>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</si>
  <si>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</si>
  <si>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</si>
  <si>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</si>
  <si>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</si>
  <si>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</si>
  <si>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</si>
  <si>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</si>
  <si>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</si>
  <si>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</si>
  <si>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</si>
  <si>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</si>
  <si>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</si>
  <si>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</si>
  <si>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</si>
  <si>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</si>
  <si>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</si>
  <si>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</si>
  <si>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</si>
  <si>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</si>
  <si>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</si>
  <si>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</si>
  <si>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</si>
  <si>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</si>
  <si>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</si>
  <si>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</si>
  <si>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菁英出現於階段為 10 的倍數，敵人數量與普通怪一致。</t>
  </si>
  <si>
    <t>野外菁英掉落倍率</t>
  </si>
  <si>
    <t>所有掉落 ×a</t>
  </si>
  <si>
    <t>菁英敵人裝備/材料/寶石/零件掉落率統一乘 a（程式實際值）。</t>
  </si>
  <si>
    <t>4-場景倍率</t>
  </si>
  <si>
    <t>草原</t>
  </si>
  <si>
    <t>（倍率）</t>
  </si>
  <si>
    <t>a=生命倍率 b=攻擊倍率 c=防禦倍率 d=攻速倍率 e=經驗金幣獎勵倍率</t>
  </si>
  <si>
    <t>荒漠</t>
  </si>
  <si>
    <t>沼澤</t>
  </si>
  <si>
    <t>太古戰場</t>
  </si>
  <si>
    <t>混沌界</t>
  </si>
  <si>
    <t>永恒神域</t>
  </si>
  <si>
    <t>4-敵人數量</t>
  </si>
  <si>
    <t>小怪 數量權重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</si>
  <si>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</si>
  <si>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</si>
  <si>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{1~3,5}</t>
  </si>
  <si>
    <t>{4,8}</t>
  </si>
  <si>
    <t>{5,10}</t>
  </si>
  <si>
    <t>{6,20}</t>
  </si>
  <si>
    <t>{7~9,10}</t>
  </si>
  <si>
    <t>{10~11,5}</t>
  </si>
  <si>
    <t>{12,4}</t>
  </si>
  <si>
    <t>{13,3}</t>
  </si>
  <si>
    <t>{14,2}</t>
  </si>
  <si>
    <t>{15,1}</t>
  </si>
  <si>
    <t>{16,0.5}</t>
  </si>
  <si>
    <t>菁英 數量權重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</si>
  <si>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</t>
  </si>
  <si>
    <t>{1,60}</t>
  </si>
  <si>
    <t>{2,30}</t>
  </si>
  <si>
    <t>{3,10}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</si>
  <si>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</si>
  <si>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</si>
  <si>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</si>
  <si>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</si>
  <si>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</si>
  <si>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</si>
  <si>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</si>
  <si>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</si>
  <si>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</si>
  <si>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</si>
  <si>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</si>
  <si>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</si>
  <si>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</si>
  <si>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</si>
  <si>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</si>
  <si>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</si>
  <si>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</si>
  <si>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</si>
  <si>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</si>
  <si>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</si>
  <si>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</si>
  <si>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的裝備/材料/寶石/零件掉落率統一乘 a（比照野外菁英掉落倍率）。</t>
  </si>
  <si>
    <t>a=生命 b=攻擊 c=防禦 d=攻速 e=經驗/金幣/材料倍率 f=解鎖條件。裝備掉落表不受場景倍率影響。</t>
  </si>
  <si>
    <t>—</t>
  </si>
  <si>
    <t>草原最高 100 階</t>
  </si>
  <si>
    <t>荒漠最高 100 階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</si>
  <si>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</si>
  <si>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</si>
  <si>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</si>
  <si>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</si>
  <si>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</si>
  <si>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</si>
  <si>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</si>
  <si>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</si>
  <si>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</si>
  <si>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</si>
  <si>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</si>
  <si>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</si>
  <si>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</si>
  <si>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</si>
  <si>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</si>
  <si>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</si>
  <si>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</si>
  <si>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</si>
  <si>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</si>
  <si>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</si>
  <si>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</si>
  <si>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</si>
  <si>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</si>
  <si>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</si>
  <si>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</si>
  <si>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</si>
  <si>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</si>
  <si>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</si>
  <si>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</si>
  <si>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</si>
  <si>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</si>
  <si>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</si>
  <si>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</si>
  <si>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</si>
  <si>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</si>
  <si>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</si>
  <si>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</si>
  <si>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</si>
  <si>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</si>
  <si>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</si>
  <si>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</si>
  <si>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</si>
  <si>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</si>
  <si>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</si>
  <si>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</si>
  <si>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</si>
  <si>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</si>
  <si>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</si>
  <si>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</si>
  <si>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</si>
  <si>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</si>
  <si>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</si>
  <si>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</si>
  <si>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</si>
  <si>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</si>
  <si>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</si>
  <si>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</si>
  <si>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</si>
  <si>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</si>
  <si>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</si>
  <si>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</si>
  <si>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</si>
  <si>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</si>
  <si>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</si>
  <si>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</si>
  <si>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</si>
  <si>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</si>
  <si>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</si>
  <si>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</si>
  <si>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</si>
  <si>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</si>
  <si>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</si>
  <si>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</si>
  <si>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</si>
  <si>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</si>
  <si>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</si>
  <si>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</si>
  <si>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</si>
  <si>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</si>
  <si>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</si>
  <si>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</si>
  <si>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</si>
  <si>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</si>
  <si>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</si>
  <si>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5-野外裝備掉落</t>
  </si>
  <si>
    <t>普通裝備</t>
  </si>
  <si>
    <t>各怪物等級區間掉落率%（{等級下限~上限=機率}）</t>
  </si>
  <si>
    <t>每品質獨立擲骰。實際機率 = 表值×(1+有效掉寶率%)，菁英再×1.5；場景倍率不作用於裝備。</t>
  </si>
  <si>
    <t>{100~149=40}</t>
  </si>
  <si>
    <t>{150~199=50}</t>
  </si>
  <si>
    <t>{200~249=50}</t>
  </si>
  <si>
    <t>{250~299=50}</t>
  </si>
  <si>
    <t>{300+=50}</t>
  </si>
  <si>
    <t>精良裝備</t>
  </si>
  <si>
    <t>{100~149=30}</t>
  </si>
  <si>
    <t>{150~199=40}</t>
  </si>
  <si>
    <t>{200~249=40}</t>
  </si>
  <si>
    <t>{250~299=40}</t>
  </si>
  <si>
    <t>{300+=40}</t>
  </si>
  <si>
    <t>稀有裝備</t>
  </si>
  <si>
    <t>{150~199=30}</t>
  </si>
  <si>
    <t>{200~249=30}</t>
  </si>
  <si>
    <t>{250~299=30}</t>
  </si>
  <si>
    <t>{300+=30}</t>
  </si>
  <si>
    <t>獨特裝備</t>
  </si>
  <si>
    <t>{1~49=0}</t>
  </si>
  <si>
    <t>{100~149=10}</t>
  </si>
  <si>
    <t>{150~199=10}</t>
  </si>
  <si>
    <t>{200~249=15}</t>
  </si>
  <si>
    <t>{250~299=15}</t>
  </si>
  <si>
    <t>{300+=20}</t>
  </si>
  <si>
    <t>史詩裝備</t>
  </si>
  <si>
    <t>{50~99=0.5}</t>
  </si>
  <si>
    <t>{100~149=2.5}</t>
  </si>
  <si>
    <t>{150~199=5}</t>
  </si>
  <si>
    <t>{200~249=6}</t>
  </si>
  <si>
    <t>{250~299=7}</t>
  </si>
  <si>
    <t>{300+=8}</t>
  </si>
  <si>
    <t>傳說裝備</t>
  </si>
  <si>
    <t>{50~99=0}</t>
  </si>
  <si>
    <t>{150~199=2}</t>
  </si>
  <si>
    <t>{200~249=3}</t>
  </si>
  <si>
    <t>{250~299=3.5}</t>
  </si>
  <si>
    <t>{300+=4}</t>
  </si>
  <si>
    <t>神話裝備</t>
  </si>
  <si>
    <t>{100~149=0}</t>
  </si>
  <si>
    <t>{150~199=0.05}</t>
  </si>
  <si>
    <t>{200~249=0.1}</t>
  </si>
  <si>
    <t>{250~299=0.15}</t>
  </si>
  <si>
    <t>{300+=0.2}</t>
  </si>
  <si>
    <t>創世裝備</t>
  </si>
  <si>
    <t>{150~199=0}</t>
  </si>
  <si>
    <t>{200~249=0}</t>
  </si>
  <si>
    <t>{250~299=0}</t>
  </si>
  <si>
    <t>{300+=0}</t>
  </si>
  <si>
    <t>混沌裝備</t>
  </si>
  <si>
    <t>掉落門檻／機率／場景開關</t>
  </si>
  <si>
    <t>551 級起於太古戰場／混沌界／永恒神域掉落，機率 a%，場景開關 b/c/d。a=1、b/c/d=1 表示三場景皆開啟。</t>
  </si>
  <si>
    <t>5-野外寶石掉落</t>
  </si>
  <si>
    <t>怪物等級 1~50</t>
  </si>
  <si>
    <t>各階級獨立判定機率%</t>
  </si>
  <si>
    <t>a=1級 b=2級 c=3級 d=4級 e=5級。實際機率 ×(1+掉寶率%)×場景倍率。</t>
  </si>
  <si>
    <t>怪物等級 51~100</t>
  </si>
  <si>
    <t>怪物等級 101~150</t>
  </si>
  <si>
    <t>怪物等級 151~200</t>
  </si>
  <si>
    <t>怪物等級 201~250</t>
  </si>
  <si>
    <t>怪物等級 251~300</t>
  </si>
  <si>
    <t>怪物等級 301+</t>
  </si>
  <si>
    <t>5-野外材料</t>
  </si>
  <si>
    <t>附魔書</t>
  </si>
  <si>
    <t>a% × (1+掉寶率%) × 場景倍率</t>
  </si>
  <si>
    <t>階段 8+，隨機一種。</t>
  </si>
  <si>
    <t>魔塵</t>
  </si>
  <si>
    <t>min(a%, b% + (敵人等級-c)×d%)</t>
  </si>
  <si>
    <t>敵人等級 150+，每次成功固定 1 顆；不受掉寶率與場景倍率影響。</t>
  </si>
  <si>
    <t>太古精華</t>
  </si>
  <si>
    <t>敵人等級達 c 級以上才會掉落，每隻獨立判定 1 顆；不受掉寶率與場景倍率影響。</t>
  </si>
  <si>
    <t>自動機組零件</t>
  </si>
  <si>
    <t>機率a%（菁英×1.5）</t>
  </si>
  <si>
    <t>階段 5+。階級 = clamp(1+⌊階段/12⌋+(菁英?1:0), 1, 7)。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</si>
  <si>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</si>
  <si>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</si>
  <si>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</si>
  <si>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</si>
  <si>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</si>
  <si>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</si>
  <si>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</si>
  <si>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</si>
  <si>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</si>
  <si>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</si>
  <si>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</si>
  <si>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</si>
  <si>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</si>
  <si>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</si>
  <si>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</si>
  <si>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</si>
  <si>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</si>
  <si>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</si>
  <si>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</si>
  <si>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</si>
  <si>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</si>
  <si>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</si>
  <si>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</si>
  <si>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</si>
  <si>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</si>
  <si>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</si>
  <si>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</si>
  <si>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</si>
  <si>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</si>
  <si>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</si>
  <si>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</si>
  <si>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</si>
  <si>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</si>
  <si>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</si>
  <si>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</si>
  <si>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</si>
  <si>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</si>
  <si>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</si>
  <si>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</si>
  <si>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</si>
  <si>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</si>
  <si>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</si>
  <si>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</si>
  <si>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</si>
  <si>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</si>
  <si>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</si>
  <si>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</si>
  <si>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</si>
  <si>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</si>
  <si>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</si>
  <si>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</si>
  <si>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</si>
  <si>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</si>
  <si>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</si>
  <si>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</si>
  <si>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</si>
  <si>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各樓層區間掉落率%（{樓層下限~上限=機率}）</t>
  </si>
  <si>
    <t>每品質獨立擲骰，&gt;100% 依必掉+餘數規則；實際機率 ×(1+有效掉寶率%)。</t>
  </si>
  <si>
    <t>{1~5=0}</t>
  </si>
  <si>
    <t>{6~10=0}</t>
  </si>
  <si>
    <t>{11~15=0}</t>
  </si>
  <si>
    <t>{16~20=0}</t>
  </si>
  <si>
    <t>{21~25=0}</t>
  </si>
  <si>
    <t>{26~30=0}</t>
  </si>
  <si>
    <t>{31+=0}</t>
  </si>
  <si>
    <t>{1~5=100}</t>
  </si>
  <si>
    <t>{6~10=100}</t>
  </si>
  <si>
    <t>{1~5=50}</t>
  </si>
  <si>
    <t>{11~15=100}</t>
  </si>
  <si>
    <t>{16~20=150}</t>
  </si>
  <si>
    <t>{21~25=250}</t>
  </si>
  <si>
    <t>{26~30=300}</t>
  </si>
  <si>
    <t>{31+=300}</t>
  </si>
  <si>
    <t>{1~5=10}</t>
  </si>
  <si>
    <t>{6~10=20}</t>
  </si>
  <si>
    <t>{16~20=100}</t>
  </si>
  <si>
    <t>{21~25=150}</t>
  </si>
  <si>
    <t>{26~30=200}</t>
  </si>
  <si>
    <t>{31+=200}</t>
  </si>
  <si>
    <t>{1~5=5}</t>
  </si>
  <si>
    <t>{6~10=10}</t>
  </si>
  <si>
    <t>{11~15=50}</t>
  </si>
  <si>
    <t>{16~20=50}</t>
  </si>
  <si>
    <t>{21~25=100}</t>
  </si>
  <si>
    <t>{26~30=150}</t>
  </si>
  <si>
    <t>{31+=150}</t>
  </si>
  <si>
    <t>{6~10=2}</t>
  </si>
  <si>
    <t>{11~15=5}</t>
  </si>
  <si>
    <t>{16~20=20}</t>
  </si>
  <si>
    <t>{21~25=33}</t>
  </si>
  <si>
    <t>{26~30=40}</t>
  </si>
  <si>
    <t>{31+=50}</t>
  </si>
  <si>
    <t>{11~15=1}</t>
  </si>
  <si>
    <t>{16~20=2.5}</t>
  </si>
  <si>
    <t>{21~25=5}</t>
  </si>
  <si>
    <t>{26~30=10}</t>
  </si>
  <si>
    <t>{31+=15}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</si>
  <si>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</si>
  <si>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</si>
  <si>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</si>
  <si>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</si>
  <si>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</si>
  <si>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</si>
  <si>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</si>
  <si>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</si>
  <si>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</si>
  <si>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</si>
  <si>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</si>
  <si>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</si>
  <si>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</si>
  <si>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</si>
  <si>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</si>
  <si>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</si>
  <si>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</si>
  <si>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</si>
  <si>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</si>
  <si>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</si>
  <si>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</si>
  <si>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</si>
  <si>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</si>
  <si>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</si>
  <si>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</si>
  <si>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</si>
  <si>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</si>
  <si>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</si>
  <si>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</si>
  <si>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</si>
  <si>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</si>
  <si>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</si>
  <si>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(a+裝備等級)×分解係數×b</t>
  </si>
  <si>
    <t>a=常數 b=金幣係數。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</si>
  <si>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</si>
  <si>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</si>
  <si>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</si>
  <si>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</si>
  <si>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</si>
  <si>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</si>
  <si>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</si>
  <si>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</si>
  <si>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</si>
  <si>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</si>
  <si>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</si>
  <si>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</si>
  <si>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</si>
  <si>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</si>
  <si>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</si>
  <si>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</si>
  <si>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</si>
  <si>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</si>
  <si>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</si>
  <si>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</si>
  <si>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</si>
  <si>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</si>
  <si>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</si>
  <si>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</si>
  <si>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</si>
  <si>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</si>
  <si>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</si>
  <si>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</si>
  <si>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</si>
  <si>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</si>
  <si>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</si>
  <si>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</si>
  <si>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</si>
  <si>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</si>
  <si>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</si>
  <si>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</si>
  <si>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</si>
  <si>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</si>
  <si>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</si>
  <si>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</si>
  <si>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</si>
  <si>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</si>
  <si>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</si>
  <si>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</si>
  <si>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</si>
  <si>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</si>
  <si>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</si>
  <si>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</si>
  <si>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</si>
  <si>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</si>
  <si>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</si>
  <si>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</si>
  <si>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</si>
  <si>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</si>
  <si>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</si>
  <si>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</si>
  <si>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</si>
  <si>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</si>
  <si>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</si>
  <si>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</si>
  <si>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</si>
  <si>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</si>
  <si>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 + 幸運核心×每階8%</t>
  </si>
  <si>
    <t>a=基礎%。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</si>
  <si>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</si>
  <si>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</si>
  <si>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</si>
  <si>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</si>
  <si>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</si>
  <si>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</si>
  <si>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</si>
  <si>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</si>
  <si>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</si>
  <si>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</si>
  <si>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</si>
  <si>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</si>
  <si>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</si>
  <si>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</si>
  <si>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a × b^(目標格數-1)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</si>
  <si>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</si>
  <si>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</si>
  <si>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</si>
  <si>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</si>
  <si>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</si>
  <si>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</si>
  <si>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</si>
  <si>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</si>
  <si>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</si>
  <si>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</si>
  <si>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</si>
  <si>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</si>
  <si>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</si>
  <si>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</si>
  <si>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</si>
  <si>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</si>
  <si>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</si>
  <si>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</si>
  <si>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</si>
  <si>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</si>
  <si>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</si>
  <si>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</si>
  <si>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</si>
  <si>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</si>
  <si>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</si>
  <si>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</si>
  <si>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a 顆同種同級 → 1 顆同種下一階</t>
  </si>
  <si>
    <t>a=3；手動合成素材數量（3 合 1）；金幣另見「寶石合成金幣」。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</si>
  <si>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</si>
  <si>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</si>
  <si>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</si>
  <si>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</si>
  <si>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</si>
  <si>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</si>
  <si>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</si>
  <si>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⌊3^(N-1) × a⌋ 顆同種 1 級</t>
  </si>
  <si>
    <t>a=保留比例（損失 30%）。2級→2 3級→6 4級→18 5級→56。</t>
  </si>
  <si>
    <t>寶石拆解(融合)</t>
  </si>
  <si>
    <t>⌊81×leaves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</si>
  <si>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</si>
  <si>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</si>
  <si>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</si>
  <si>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</si>
  <si>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</si>
  <si>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</si>
  <si>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</si>
  <si>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</si>
  <si>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</si>
  <si>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</si>
  <si>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</si>
  <si>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</si>
  <si>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</si>
  <si>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</si>
  <si>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</si>
  <si>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</si>
  <si>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</si>
  <si>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</si>
  <si>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</si>
  <si>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</si>
  <si>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</si>
  <si>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</si>
  <si>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</si>
  <si>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</si>
  <si>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</si>
  <si>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</si>
  <si>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</si>
  <si>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</si>
  <si>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</si>
  <si>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</si>
  <si>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</si>
  <si>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</si>
  <si>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</si>
  <si>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</si>
  <si>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</si>
  <si>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</si>
  <si>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</si>
  <si>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</si>
  <si>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</si>
  <si>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</si>
  <si>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</si>
  <si>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</si>
  <si>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</si>
  <si>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</si>
  <si>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</si>
  <si>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</si>
  <si>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</si>
  <si>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</si>
  <si>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</si>
  <si>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</si>
  <si>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</si>
  <si>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</si>
  <si>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</si>
  <si>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</si>
  <si>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</si>
  <si>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</si>
  <si>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</si>
  <si>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</si>
  <si>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</si>
  <si>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</si>
  <si>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</si>
  <si>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</si>
  <si>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</si>
  <si>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</si>
  <si>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</si>
  <si>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</si>
  <si>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</si>
  <si>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</si>
  <si>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</si>
  <si>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</si>
  <si>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</si>
  <si>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</si>
  <si>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</si>
  <si>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</si>
  <si>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</si>
  <si>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</si>
  <si>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</si>
  <si>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</si>
  <si>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</si>
  <si>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</si>
  <si>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</si>
  <si>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</si>
  <si>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</si>
  <si>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</si>
  <si>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</si>
  <si>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</si>
  <si>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</si>
  <si>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</si>
  <si>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</si>
  <si>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</si>
  <si>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</si>
  <si>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</si>
  <si>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</si>
  <si>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</si>
  <si>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</si>
  <si>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</si>
  <si>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</si>
  <si>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</si>
  <si>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</si>
  <si>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</si>
  <si>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</si>
  <si>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</si>
  <si>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</si>
  <si>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</si>
  <si>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</si>
  <si>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</si>
  <si>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</si>
  <si>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</si>
  <si>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</si>
  <si>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</si>
  <si>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</si>
  <si>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</si>
  <si>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</si>
  <si>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</si>
  <si>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</si>
  <si>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</si>
  <si>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</si>
  <si>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</si>
  <si>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</si>
  <si>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</si>
  <si>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</si>
  <si>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</si>
  <si>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</si>
  <si>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</si>
  <si>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</si>
  <si>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</si>
  <si>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</si>
  <si>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</si>
  <si>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</si>
  <si>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</si>
  <si>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</si>
  <si>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</si>
  <si>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</si>
  <si>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</si>
  <si>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</si>
  <si>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</si>
  <si>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</si>
  <si>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</si>
  <si>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</si>
  <si>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</si>
  <si>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</si>
  <si>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</si>
  <si>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</si>
  <si>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</si>
  <si>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</si>
  <si>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</si>
  <si>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</si>
  <si>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</si>
  <si>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</si>
  <si>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</si>
  <si>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</si>
  <si>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</si>
  <si>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</si>
  <si>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</si>
  <si>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</si>
  <si>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</si>
  <si>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</si>
  <si>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</si>
  <si>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</si>
  <si>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</si>
  <si>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</si>
  <si>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</si>
  <si>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</si>
  <si>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</si>
  <si>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</si>
  <si>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</si>
  <si>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</si>
  <si>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</si>
  <si>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</si>
  <si>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</si>
  <si>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</si>
  <si>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技能共用冷卻(GCD)</t>
  </si>
  <si>
    <t>a 秒（固定，不受冷卻縮減影響）</t>
  </si>
  <si>
    <t>技能最短施放間隔；普攻擊殺後換目標也沿用此間隔。</t>
  </si>
  <si>
    <t>上限 5,000,000；降級全額退還。</t>
  </si>
  <si>
    <t>等級上限</t>
  </si>
  <si>
    <t>全部技能（含被動/融合/潛力）10；轉生後 15</t>
  </si>
  <si>
    <t>2026-07-30 改制：上限走「轉生對照表」param e；4/8 級里程碑效果移除門檻、自 Lv.1 全附加。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</si>
  <si>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</si>
  <si>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</si>
  <si>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</si>
  <si>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</si>
  <si>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</si>
  <si>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</si>
  <si>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</si>
  <si>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</si>
  <si>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</si>
  <si>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</si>
  <si>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a%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</si>
  <si>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</si>
  <si>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</si>
  <si>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</si>
  <si>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</si>
  <si>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</si>
  <si>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</si>
  <si>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</si>
  <si>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</si>
  <si>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</si>
  <si>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</si>
  <si>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</si>
  <si>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</si>
  <si>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- a) ÷ 10) × 10（下限 1）</t>
  </si>
  <si>
    <t>a=等級扣減；以此等級的當前場景菁英怪計算離線收益（例：沼澤最高 256 → 246 捨去個位數 → 240 級沼澤菁英）。</t>
  </si>
  <si>
    <t>擊殺速率</t>
  </si>
  <si>
    <t>每 a 秒擊殺 1 隻菁英怪</t>
  </si>
  <si>
    <t>a=擊殺間隔秒數；擊殺數 = ⌊有效離線秒數 ÷ a⌋，每隻菁英怪及其掉落單獨擲骰。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</si>
  <si>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</si>
  <si>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</si>
  <si>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</si>
  <si>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</si>
  <si>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</si>
  <si>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</si>
  <si>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</si>
  <si>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</si>
  <si>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</si>
  <si>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</si>
  <si>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</si>
  <si>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</si>
  <si>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</si>
  <si>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× 階級(T1~T7)</t>
  </si>
  <si>
    <t>節點=b。分解速度 +v%/階（另固定+50 個百分點）（掉寶類零件效果實際×0.5）。</t>
  </si>
  <si>
    <t>salvage</t>
  </si>
  <si>
    <t>碎片熔煉爐</t>
  </si>
  <si>
    <t>節點=b。分解碎片產量 +v%/階（掉寶類零件效果實際×0.5）。</t>
  </si>
  <si>
    <t>淘金濾網</t>
  </si>
  <si>
    <t>節點=b。分解金幣產量 +v%/階（掉寶類零件效果實際×0.5）。</t>
  </si>
  <si>
    <t>精粹透鏡</t>
  </si>
  <si>
    <t>節點=b。附魔精華拆解產出率 +v%/階（掉寶類零件效果實際×0.5）。</t>
  </si>
  <si>
    <t>拓本回收臂</t>
  </si>
  <si>
    <t>節點=b。分解 v%/階 機率回收 1 本附魔書（掉寶類零件效果實際×0.5）。</t>
  </si>
  <si>
    <t>複製處理艙</t>
  </si>
  <si>
    <t>節點=b。分解 v%/階 機率碎片+金幣翻倍（掉寶類零件效果實際×0.5）。</t>
  </si>
  <si>
    <t>知識回收器</t>
  </si>
  <si>
    <t>節點=b。分解 v%/階 機率獲得經驗(裝備等級×25)（掉寶類零件效果實際×0.5）。</t>
  </si>
  <si>
    <t>探礦核心</t>
  </si>
  <si>
    <t>節點=b。分解 v%/階 機率額外掉一個零件（掉寶類零件效果實際×0.5）。</t>
  </si>
  <si>
    <t>幸運晶片</t>
  </si>
  <si>
    <t>節點=b。分解 v%/階 機率大豐收(碎片/金幣/精華×3)（掉寶類零件效果實際×0.5）。</t>
  </si>
  <si>
    <t>太古精華萃取器</t>
  </si>
  <si>
    <t>節點=b。分解太古精華掉落率 +v%/階（掉寶類零件效果實際×0.5）。</t>
  </si>
  <si>
    <t>幸運核心</t>
  </si>
  <si>
    <t>節點=b。合成大成功率 +v%/階（掉寶類零件效果實際×0.5）。</t>
  </si>
  <si>
    <t>synth</t>
  </si>
  <si>
    <t>重骰模組</t>
  </si>
  <si>
    <t>節點=b。合成詞條重骰機率 +v%/階（掉寶類零件效果實際×0.5）。</t>
  </si>
  <si>
    <t>表-固定參數</t>
  </si>
  <si>
    <t>出怪間隔</t>
  </si>
  <si>
    <t>a 秒 × (1-移動速度%)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</si>
  <si>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</si>
  <si>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</si>
  <si>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</si>
  <si>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</si>
  <si>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</si>
  <si>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</si>
  <si>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</si>
  <si>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</si>
  <si>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</si>
  <si>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</si>
  <si>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</si>
  <si>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</si>
  <si>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</si>
  <si>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</si>
  <si>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</si>
  <si>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</si>
  <si>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</si>
  <si>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</si>
  <si>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</si>
  <si>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混沌</t>
  </si>
  <si>
    <t>a=詞條數值倍率 b=詞條數下限 c=詞條數上限 d=寶石插槽 e=附魔欄位 f=分解係數；倍率與分解係數為暫定值，可調整。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</si>
  <si>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</si>
  <si>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</si>
  <si>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</si>
  <si>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</si>
  <si>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</si>
  <si>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</si>
  <si>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</si>
  <si>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</si>
  <si>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</si>
  <si>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</si>
  <si>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</si>
  <si>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</si>
  <si>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</si>
  <si>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</si>
  <si>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打怪（野外/高塔/離線）獲得技能經驗；每升 1 級 +1 技能點。初始 0 級。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</si>
  <si>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</si>
  <si>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</si>
  <si>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</si>
  <si>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</si>
  <si>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</si>
  <si>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</si>
  <si>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</si>
  <si>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</si>
  <si>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</si>
  <si>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</si>
  <si>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</si>
  <si>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</si>
  <si>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</si>
  <si>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</si>
  <si>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</si>
  <si>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</si>
  <si>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</si>
  <si>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</si>
  <si>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</si>
  <si>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</si>
  <si>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2"/>
        <charset val="136"/>
      </rPr>
      <t>草原</t>
    </r>
    <r>
      <rPr>
        <sz val="11"/>
        <rFont val="Calibri"/>
        <family val="2"/>
      </rPr>
      <t>1~20</t>
    </r>
    <r>
      <rPr>
        <sz val="11"/>
        <rFont val="細明體"/>
        <family val="2"/>
        <charset val="136"/>
      </rPr>
      <t>關</t>
    </r>
    <r>
      <rPr>
        <sz val="11"/>
        <rFont val="Calibri"/>
        <family val="2"/>
      </rPr>
      <t>)</t>
    </r>
    <phoneticPr fontId="2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</si>
  <si>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  <charset val="136"/>
      </rPr>
      <t>草原</t>
    </r>
    <r>
      <rPr>
        <sz val="11"/>
        <rFont val="Calibri"/>
        <family val="2"/>
      </rPr>
      <t>21~40</t>
    </r>
    <r>
      <rPr>
        <sz val="11"/>
        <rFont val="細明體"/>
        <family val="3"/>
        <charset val="136"/>
      </rPr>
      <t>關</t>
    </r>
    <r>
      <rPr>
        <sz val="11"/>
        <rFont val="Calibri"/>
        <family val="2"/>
      </rPr>
      <t>)</t>
    </r>
    <phoneticPr fontId="2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</si>
  <si>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  <charset val="136"/>
      </rPr>
      <t>草原</t>
    </r>
    <r>
      <rPr>
        <sz val="11"/>
        <rFont val="Calibri"/>
        <family val="2"/>
      </rPr>
      <t>41~60</t>
    </r>
    <r>
      <rPr>
        <sz val="11"/>
        <rFont val="細明體"/>
        <family val="3"/>
        <charset val="136"/>
      </rPr>
      <t>關</t>
    </r>
    <r>
      <rPr>
        <sz val="11"/>
        <rFont val="Calibri"/>
        <family val="2"/>
      </rPr>
      <t>)</t>
    </r>
    <phoneticPr fontId="2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</si>
  <si>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  <charset val="136"/>
      </rPr>
      <t>草原</t>
    </r>
    <r>
      <rPr>
        <sz val="11"/>
        <rFont val="Calibri"/>
        <family val="2"/>
      </rPr>
      <t>61~80</t>
    </r>
    <r>
      <rPr>
        <sz val="11"/>
        <rFont val="細明體"/>
        <family val="3"/>
        <charset val="136"/>
      </rPr>
      <t>關</t>
    </r>
    <r>
      <rPr>
        <sz val="11"/>
        <rFont val="Calibri"/>
        <family val="2"/>
      </rPr>
      <t>)</t>
    </r>
    <phoneticPr fontId="2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</si>
  <si>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  <charset val="136"/>
      </rPr>
      <t>草原</t>
    </r>
    <r>
      <rPr>
        <sz val="11"/>
        <rFont val="Calibri"/>
        <family val="2"/>
      </rPr>
      <t>81~100</t>
    </r>
    <r>
      <rPr>
        <sz val="11"/>
        <rFont val="細明體"/>
        <family val="3"/>
        <charset val="136"/>
      </rPr>
      <t>關</t>
    </r>
    <r>
      <rPr>
        <sz val="11"/>
        <rFont val="Calibri"/>
        <family val="2"/>
      </rPr>
      <t>)</t>
    </r>
    <phoneticPr fontId="2" type="noConversion"/>
  </si>
  <si>
    <t>新增</t>
    <phoneticPr fontId="2" type="noConversion"/>
  </si>
  <si>
    <t>{6,5}</t>
    <phoneticPr fontId="2" type="noConversion"/>
  </si>
  <si>
    <t>{4,20}</t>
    <phoneticPr fontId="2" type="noConversion"/>
  </si>
  <si>
    <t>{5,2}</t>
    <phoneticPr fontId="2" type="noConversion"/>
  </si>
  <si>
    <t>{1~3,90}</t>
    <phoneticPr fontId="2" type="noConversion"/>
  </si>
  <si>
    <t>{1~3,100}</t>
    <phoneticPr fontId="2" type="noConversion"/>
  </si>
  <si>
    <t>{4,5}</t>
    <phoneticPr fontId="2" type="noConversion"/>
  </si>
  <si>
    <t>{1~3,95}</t>
    <phoneticPr fontId="2" type="noConversion"/>
  </si>
  <si>
    <t>{4,8}</t>
    <phoneticPr fontId="2" type="noConversion"/>
  </si>
  <si>
    <t>{6,1}</t>
    <phoneticPr fontId="2" type="noConversion"/>
  </si>
  <si>
    <t>{5,3}</t>
    <phoneticPr fontId="2" type="noConversion"/>
  </si>
  <si>
    <t>{1~3,88}</t>
    <phoneticPr fontId="2" type="noConversion"/>
  </si>
  <si>
    <t>{7~9,1}</t>
    <phoneticPr fontId="2" type="noConversion"/>
  </si>
  <si>
    <t>{5,10}</t>
    <phoneticPr fontId="2" type="noConversion"/>
  </si>
  <si>
    <t>{1~3,64}</t>
    <phoneticPr fontId="2" type="noConversion"/>
  </si>
  <si>
    <r>
      <rPr>
        <sz val="11"/>
        <rFont val="Calibri"/>
        <family val="2"/>
      </rPr>
      <t>a×</t>
    </r>
    <r>
      <rPr>
        <sz val="11"/>
        <rFont val="微軟正黑體"/>
        <family val="2"/>
        <charset val="136"/>
      </rPr>
      <t>當前等級</t>
    </r>
    <r>
      <rPr>
        <sz val="11"/>
        <rFont val="Calibri"/>
        <family val="2"/>
      </rPr>
      <t xml:space="preserve"> + b^(1 + </t>
    </r>
    <r>
      <rPr>
        <sz val="11"/>
        <rFont val="微軟正黑體"/>
        <family val="2"/>
        <charset val="136"/>
      </rPr>
      <t>當前等級</t>
    </r>
    <r>
      <rPr>
        <sz val="11"/>
        <rFont val="Calibri"/>
        <family val="2"/>
      </rPr>
      <t>/c)</t>
    </r>
    <phoneticPr fontId="2" type="noConversion"/>
  </si>
  <si>
    <r>
      <rPr>
        <sz val="11"/>
        <rFont val="微軟正黑體"/>
        <family val="2"/>
        <charset val="136"/>
      </rPr>
      <t>(最大生命</t>
    </r>
    <r>
      <rPr>
        <sz val="11"/>
        <rFont val="細明體"/>
        <family val="2"/>
        <charset val="136"/>
      </rPr>
      <t>×</t>
    </r>
    <r>
      <rPr>
        <sz val="11"/>
        <rFont val="Calibri"/>
        <family val="2"/>
      </rPr>
      <t>a% + b )/</t>
    </r>
    <r>
      <rPr>
        <sz val="11"/>
        <rFont val="微軟正黑體"/>
        <family val="2"/>
        <charset val="136"/>
      </rPr>
      <t>秒</t>
    </r>
    <phoneticPr fontId="2" type="noConversion"/>
  </si>
  <si>
    <r>
      <t>a=</t>
    </r>
    <r>
      <rPr>
        <sz val="11"/>
        <rFont val="細明體"/>
        <family val="3"/>
        <charset val="136"/>
      </rPr>
      <t xml:space="preserve">生命加成比例 </t>
    </r>
    <r>
      <rPr>
        <sz val="11"/>
        <rFont val="Calibri"/>
        <family val="3"/>
      </rPr>
      <t>b=</t>
    </r>
    <r>
      <rPr>
        <sz val="11"/>
        <rFont val="細明體"/>
        <family val="3"/>
        <charset val="136"/>
      </rPr>
      <t>基礎值</t>
    </r>
    <r>
      <rPr>
        <sz val="11"/>
        <rFont val="微軟正黑體"/>
        <family val="2"/>
        <charset val="136"/>
      </rPr>
      <t>。</t>
    </r>
    <phoneticPr fontId="2" type="noConversion"/>
  </si>
  <si>
    <t>{100~149=20}</t>
    <phoneticPr fontId="2" type="noConversion"/>
  </si>
  <si>
    <t>{1~19=25}</t>
    <phoneticPr fontId="2" type="noConversion"/>
  </si>
  <si>
    <t>{20~99=35}</t>
    <phoneticPr fontId="2" type="noConversion"/>
  </si>
  <si>
    <t>{20~99=20}</t>
    <phoneticPr fontId="2" type="noConversion"/>
  </si>
  <si>
    <t>{1~19=15}</t>
    <phoneticPr fontId="2" type="noConversion"/>
  </si>
  <si>
    <t>{1~19=10}</t>
    <phoneticPr fontId="2" type="noConversion"/>
  </si>
  <si>
    <t>{1~19=0}</t>
    <phoneticPr fontId="2" type="noConversion"/>
  </si>
  <si>
    <t>{20~99=5}</t>
    <phoneticPr fontId="2" type="noConversion"/>
  </si>
  <si>
    <t>{20~99=15}</t>
    <phoneticPr fontId="2" type="noConversion"/>
  </si>
  <si>
    <r>
      <t>a×</t>
    </r>
    <r>
      <rPr>
        <sz val="11"/>
        <rFont val="細明體"/>
        <family val="2"/>
        <charset val="136"/>
      </rPr>
      <t>熟練度等級</t>
    </r>
    <r>
      <rPr>
        <sz val="11"/>
        <rFont val="Calibri"/>
        <family val="2"/>
      </rPr>
      <t>^b + c</t>
    </r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</si>
</sst>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name val="Calibri"/>
    </font>
    <font>
      <sz val="11"/>
      <name val="Calibri"/>
      <family val="2"/>
    </font>
    <font>
      <sz val="9"/>
      <name val="細明體"/>
      <family val="3"/>
      <charset val="136"/>
    </font>
    <font>
      <sz val="11"/>
      <name val="微軟正黑體"/>
      <family val="2"/>
      <charset val="136"/>
    </font>
    <font>
      <sz val="11"/>
      <name val="Calibri"/>
      <family val="2"/>
      <charset val="136"/>
    </font>
    <font>
      <sz val="11"/>
      <name val="細明體"/>
      <family val="3"/>
      <charset val="136"/>
    </font>
    <font>
      <sz val="11"/>
      <name val="細明體"/>
      <family val="2"/>
      <charset val="136"/>
    </font>
    <font>
      <sz val="11"/>
      <name val="Calibri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4" fillId="0" borderId="0" xfId="0" applyFont="1">
      <alignment vertical="center"/>
    </xf>
    <xf numFmtId="0" fontId="1" fillId="0" borderId="0" xfId="0" applyFont="1">
      <alignment vertical="center"/>
    </xf>
    <xf numFmtId="0" fontId="5" fillId="0" borderId="0" xfId="0" applyFon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53"/>
  <sheetViews>
    <sheetView topLeftCell="A25" workbookViewId="0">
      <selection activeCell="K43" sqref="K43"/>
    </sheetView>
  </sheetViews>
  <sheetFormatPr defaultRowHeight="15" x14ac:dyDescent="0.25"/>
  <cols>
    <col min="3" max="6" width="23.8554687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f>計算表!B2</f>
        <v>0</v>
      </c>
      <c r="C2" t="str">
        <f>計算表!C2</f>
        <v>1-成長經驗</v>
      </c>
      <c r="D2" t="str">
        <f>計算表!D2</f>
        <v>升級所需經驗</v>
      </c>
      <c r="E2" t="str">
        <f>計算表!E2</f>
        <v>(a×等級^b+c)×轉生經驗倍率+轉生經驗基礎增加值</v>
      </c>
      <c r="F2" t="str">
        <f>計算表!F2</f>
        <v>升到下一級所需經驗；a=係數 b=次方 c=常數 d=等級上限。轉生經驗倍率見「轉生對照表」</v>
      </c>
      <c r="G2">
        <f>計算表!G2</f>
        <v>30</v>
      </c>
      <c r="H2">
        <f>計算表!H2</f>
        <v>3</v>
      </c>
      <c r="I2">
        <f>計算表!I2</f>
        <v>40</v>
      </c>
      <c r="J2">
        <f>計算表!J2</f>
        <v>1000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>
        <f>計算表!B3</f>
        <v>0</v>
      </c>
      <c r="C3" t="str">
        <f>計算表!C3</f>
        <v>1-成長經驗</v>
      </c>
      <c r="D3" t="str">
        <f>計算表!D3</f>
        <v>等級基礎四維</v>
      </c>
      <c r="E3" t="str">
        <f>計算表!E3</f>
        <v>a+(等級-1)×b</v>
      </c>
      <c r="F3" t="str">
        <f>計算表!F3</f>
        <v>力/敏/智/耐四項相同，每升 1 級各 +b。a=初始值 b=每級成長。</v>
      </c>
      <c r="G3">
        <f>計算表!G3</f>
        <v>5</v>
      </c>
      <c r="H3">
        <f>計算表!H3</f>
        <v>2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>
        <f>計算表!B4</f>
        <v>0</v>
      </c>
      <c r="C4" t="str">
        <f>計算表!C4</f>
        <v>1-成長經驗</v>
      </c>
      <c r="D4" t="str">
        <f>計算表!D4</f>
        <v>技能點總預算</v>
      </c>
      <c r="E4" t="str">
        <f>計算表!E4</f>
        <v>基礎a + 技能熟練度等級 + 潛力天賦加成</v>
      </c>
      <c r="F4" t="str">
        <f>計算表!F4</f>
        <v>2026-07-30 改制：技能點不再隨角色升級發放，改由技能熟練度提供（每級 1 點）。a=基礎點數（開局兩個 1 級技能）；b 停用；c=舊制上限常數（保留相容）。</v>
      </c>
      <c r="G4">
        <f>計算表!G4</f>
        <v>2</v>
      </c>
      <c r="H4">
        <f>計算表!H4</f>
        <v>1</v>
      </c>
      <c r="I4">
        <f>計算表!I4</f>
        <v>10000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>
        <f>計算表!B5</f>
        <v>0</v>
      </c>
      <c r="C5" t="str">
        <f>計算表!C5</f>
        <v>1-成長經驗</v>
      </c>
      <c r="D5" t="str">
        <f>計算表!D5</f>
        <v>技能裝載欄</v>
      </c>
      <c r="E5" t="str">
        <f>計算表!E5</f>
        <v>clamp(⌊等級/a⌋, b, c)</v>
      </c>
      <c r="F5" t="str">
        <f>計算表!F5</f>
        <v>每 a 級 +1 格，最少 b、最多 c。</v>
      </c>
      <c r="G5">
        <f>計算表!G5</f>
        <v>50</v>
      </c>
      <c r="H5">
        <f>計算表!H5</f>
        <v>4</v>
      </c>
      <c r="I5">
        <f>計算表!I5</f>
        <v>20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>
        <f>計算表!B6</f>
        <v>0</v>
      </c>
      <c r="C6" t="str">
        <f>計算表!C6</f>
        <v>1-成長經驗</v>
      </c>
      <c r="D6" t="str">
        <f>計算表!D6</f>
        <v>可轉生等級 / 最高轉生</v>
      </c>
      <c r="E6" t="str">
        <f>計算表!E6</f>
        <v>達到a級可轉生；最高b轉</v>
      </c>
      <c r="F6" t="str">
        <f>計算表!F6</f>
        <v>a=可轉生等級 b=最高轉生次數。</v>
      </c>
      <c r="G6">
        <f>計算表!G6</f>
        <v>1000</v>
      </c>
      <c r="H6">
        <f>計算表!H6</f>
        <v>20</v>
      </c>
      <c r="I6">
        <f>計算表!I6</f>
        <v>0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>
        <f>計算表!B7</f>
        <v>0</v>
      </c>
      <c r="C7" t="str">
        <f>計算表!C7</f>
        <v>1-成長經驗</v>
      </c>
      <c r="D7" t="str">
        <f>計算表!D7</f>
        <v>神鑄系統解鎖等級</v>
      </c>
      <c r="E7" t="str">
        <f>計算表!E7</f>
        <v>b 轉達到a級開放</v>
      </c>
      <c r="F7" t="str">
        <f>計算表!F7</f>
        <v>解鎖後永久保留，轉生不關閉。a=解鎖等級 b=解鎖轉生等級，必需兩個條件都滿足才解鎖</v>
      </c>
      <c r="G7">
        <f>計算表!G7</f>
        <v>1</v>
      </c>
      <c r="H7">
        <f>計算表!H7</f>
        <v>1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>
        <f>計算表!B8</f>
        <v>0</v>
      </c>
      <c r="C8" t="str">
        <f>計算表!C8</f>
        <v>1-轉生對照表</v>
      </c>
      <c r="D8" t="str">
        <f>計算表!D8</f>
        <v>轉生 0 次</v>
      </c>
      <c r="E8" t="str">
        <f>計算表!E8</f>
        <v>（查表）</v>
      </c>
      <c r="F8" t="str">
        <f>計算表!F8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8">
        <f>計算表!G8</f>
        <v>1</v>
      </c>
      <c r="H8" t="str">
        <f>計算表!H8</f>
        <v>10^0</v>
      </c>
      <c r="I8">
        <f>計算表!I8</f>
        <v>0</v>
      </c>
      <c r="J8" t="str">
        <f>計算表!J8</f>
        <v>冒險者</v>
      </c>
      <c r="K8">
        <f>計算表!K8</f>
        <v>10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>
        <f>計算表!B9</f>
        <v>0</v>
      </c>
      <c r="C9" t="str">
        <f>計算表!C9</f>
        <v>1-轉生對照表</v>
      </c>
      <c r="D9" t="str">
        <f>計算表!D9</f>
        <v>轉生 1 次</v>
      </c>
      <c r="E9" t="str">
        <f>計算表!E9</f>
        <v>（查表）</v>
      </c>
      <c r="F9" t="str">
        <f>計算表!F9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9">
        <f>計算表!G9</f>
        <v>1.5</v>
      </c>
      <c r="H9" t="str">
        <f>計算表!H9</f>
        <v>10^1</v>
      </c>
      <c r="I9">
        <f>計算表!I9</f>
        <v>500000</v>
      </c>
      <c r="J9" t="str">
        <f>計算表!J9</f>
        <v>勇者</v>
      </c>
      <c r="K9">
        <f>計算表!K9</f>
        <v>15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>
        <f>計算表!B10</f>
        <v>0</v>
      </c>
      <c r="C10" t="str">
        <f>計算表!C10</f>
        <v>1-轉生對照表</v>
      </c>
      <c r="D10" t="str">
        <f>計算表!D10</f>
        <v>轉生 2 次</v>
      </c>
      <c r="E10" t="str">
        <f>計算表!E10</f>
        <v>（查表）</v>
      </c>
      <c r="F10" t="str">
        <f>計算表!F10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0">
        <f>計算表!G10</f>
        <v>2.5</v>
      </c>
      <c r="H10" t="str">
        <f>計算表!H10</f>
        <v>10^2</v>
      </c>
      <c r="I10">
        <f>計算表!I10</f>
        <v>1500000</v>
      </c>
      <c r="J10" t="str">
        <f>計算表!J10</f>
        <v>大劍師</v>
      </c>
      <c r="K10">
        <f>計算表!K10</f>
        <v>15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>
        <f>計算表!B11</f>
        <v>0</v>
      </c>
      <c r="C11" t="str">
        <f>計算表!C11</f>
        <v>1-轉生對照表</v>
      </c>
      <c r="D11" t="str">
        <f>計算表!D11</f>
        <v>轉生 3 次</v>
      </c>
      <c r="E11" t="str">
        <f>計算表!E11</f>
        <v>（查表）</v>
      </c>
      <c r="F11" t="str">
        <f>計算表!F11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1">
        <f>計算表!G11</f>
        <v>3.5</v>
      </c>
      <c r="H11" t="str">
        <f>計算表!H11</f>
        <v>10^3</v>
      </c>
      <c r="I11">
        <f>計算表!I11</f>
        <v>3000000</v>
      </c>
      <c r="J11" t="str">
        <f>計算表!J11</f>
        <v>破世者</v>
      </c>
      <c r="K11">
        <f>計算表!K11</f>
        <v>15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>
        <f>計算表!B12</f>
        <v>0</v>
      </c>
      <c r="C12" t="str">
        <f>計算表!C12</f>
        <v>1-轉生對照表</v>
      </c>
      <c r="D12" t="str">
        <f>計算表!D12</f>
        <v>轉生 4 次</v>
      </c>
      <c r="E12" t="str">
        <f>計算表!E12</f>
        <v>（查表）</v>
      </c>
      <c r="F12" t="str">
        <f>計算表!F12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2">
        <f>計算表!G12</f>
        <v>5</v>
      </c>
      <c r="H12" t="str">
        <f>計算表!H12</f>
        <v>10^4</v>
      </c>
      <c r="I12">
        <f>計算表!I12</f>
        <v>6000000</v>
      </c>
      <c r="J12" t="str">
        <f>計算表!J12</f>
        <v>不朽者</v>
      </c>
      <c r="K12">
        <f>計算表!K12</f>
        <v>15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>
        <f>計算表!B13</f>
        <v>0</v>
      </c>
      <c r="C13" t="str">
        <f>計算表!C13</f>
        <v>1-轉生對照表</v>
      </c>
      <c r="D13" t="str">
        <f>計算表!D13</f>
        <v>轉生 5 次</v>
      </c>
      <c r="E13" t="str">
        <f>計算表!E13</f>
        <v>（查表）</v>
      </c>
      <c r="F13" t="str">
        <f>計算表!F13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3">
        <f>計算表!G13</f>
        <v>7</v>
      </c>
      <c r="H13" t="str">
        <f>計算表!H13</f>
        <v>10^5</v>
      </c>
      <c r="I13">
        <f>計算表!I13</f>
        <v>12000000</v>
      </c>
      <c r="J13" t="str">
        <f>計算表!J13</f>
        <v>王者</v>
      </c>
      <c r="K13">
        <f>計算表!K13</f>
        <v>15</v>
      </c>
      <c r="L13">
        <f>計算表!L13</f>
        <v>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>
        <f>計算表!B14</f>
        <v>0</v>
      </c>
      <c r="C14" t="str">
        <f>計算表!C14</f>
        <v>1-轉生對照表</v>
      </c>
      <c r="D14" t="str">
        <f>計算表!D14</f>
        <v>轉生 6 次</v>
      </c>
      <c r="E14" t="str">
        <f>計算表!E14</f>
        <v>（查表）</v>
      </c>
      <c r="F14" t="str">
        <f>計算表!F14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4">
        <f>計算表!G14</f>
        <v>10</v>
      </c>
      <c r="H14" t="str">
        <f>計算表!H14</f>
        <v>10^6</v>
      </c>
      <c r="I14">
        <f>計算表!I14</f>
        <v>24000000</v>
      </c>
      <c r="J14" t="str">
        <f>計算表!J14</f>
        <v>大主宰</v>
      </c>
      <c r="K14">
        <f>計算表!K14</f>
        <v>15</v>
      </c>
      <c r="L14">
        <f>計算表!L14</f>
        <v>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>
        <f>計算表!B15</f>
        <v>0</v>
      </c>
      <c r="C15" t="str">
        <f>計算表!C15</f>
        <v>1-轉生對照表</v>
      </c>
      <c r="D15" t="str">
        <f>計算表!D15</f>
        <v>轉生 7 次</v>
      </c>
      <c r="E15" t="str">
        <f>計算表!E15</f>
        <v>（查表）</v>
      </c>
      <c r="F15" t="str">
        <f>計算表!F15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5">
        <f>計算表!G15</f>
        <v>14</v>
      </c>
      <c r="H15" t="str">
        <f>計算表!H15</f>
        <v>10^7</v>
      </c>
      <c r="I15">
        <f>計算表!I15</f>
        <v>48000000</v>
      </c>
      <c r="J15" t="str">
        <f>計算表!J15</f>
        <v>神聖尊者</v>
      </c>
      <c r="K15">
        <f>計算表!K15</f>
        <v>15</v>
      </c>
      <c r="L15">
        <f>計算表!L15</f>
        <v>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>
        <f>計算表!B16</f>
        <v>0</v>
      </c>
      <c r="C16" t="str">
        <f>計算表!C16</f>
        <v>1-轉生對照表</v>
      </c>
      <c r="D16" t="str">
        <f>計算表!D16</f>
        <v>轉生 8 次</v>
      </c>
      <c r="E16" t="str">
        <f>計算表!E16</f>
        <v>（查表）</v>
      </c>
      <c r="F16" t="str">
        <f>計算表!F16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6">
        <f>計算表!G16</f>
        <v>18</v>
      </c>
      <c r="H16" t="str">
        <f>計算表!H16</f>
        <v>10^8</v>
      </c>
      <c r="I16">
        <f>計算表!I16</f>
        <v>96000000</v>
      </c>
      <c r="J16" t="str">
        <f>計算表!J16</f>
        <v>大聖王</v>
      </c>
      <c r="K16">
        <f>計算表!K16</f>
        <v>15</v>
      </c>
      <c r="L16">
        <f>計算表!L16</f>
        <v>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>
        <f>計算表!B17</f>
        <v>0</v>
      </c>
      <c r="C17" t="str">
        <f>計算表!C17</f>
        <v>1-轉生對照表</v>
      </c>
      <c r="D17" t="str">
        <f>計算表!D17</f>
        <v>轉生 9 次</v>
      </c>
      <c r="E17" t="str">
        <f>計算表!E17</f>
        <v>（查表）</v>
      </c>
      <c r="F17" t="str">
        <f>計算表!F17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7">
        <f>計算表!G17</f>
        <v>24</v>
      </c>
      <c r="H17" t="str">
        <f>計算表!H17</f>
        <v>10^9</v>
      </c>
      <c r="I17">
        <f>計算表!I17</f>
        <v>192000000</v>
      </c>
      <c r="J17" t="str">
        <f>計算表!J17</f>
        <v>至高主宰</v>
      </c>
      <c r="K17">
        <f>計算表!K17</f>
        <v>15</v>
      </c>
      <c r="L17">
        <f>計算表!L17</f>
        <v>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>
        <f>計算表!B18</f>
        <v>0</v>
      </c>
      <c r="C18" t="str">
        <f>計算表!C18</f>
        <v>1-轉生對照表</v>
      </c>
      <c r="D18" t="str">
        <f>計算表!D18</f>
        <v>轉生 10 次</v>
      </c>
      <c r="E18" t="str">
        <f>計算表!E18</f>
        <v>（查表）</v>
      </c>
      <c r="F18" t="str">
        <f>計算表!F18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8">
        <f>計算表!G18</f>
        <v>30</v>
      </c>
      <c r="H18" t="str">
        <f>計算表!H18</f>
        <v>10^11</v>
      </c>
      <c r="I18">
        <f>計算表!I18</f>
        <v>384000000</v>
      </c>
      <c r="J18" t="str">
        <f>計算表!J18</f>
        <v>位面創世神</v>
      </c>
      <c r="K18">
        <f>計算表!K18</f>
        <v>15</v>
      </c>
      <c r="L18">
        <f>計算表!L18</f>
        <v>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>
        <f>計算表!B19</f>
        <v>0</v>
      </c>
      <c r="C19" t="str">
        <f>計算表!C19</f>
        <v>1-轉生對照表</v>
      </c>
      <c r="D19" t="str">
        <f>計算表!D19</f>
        <v>轉生 11 次</v>
      </c>
      <c r="E19" t="str">
        <f>計算表!E19</f>
        <v>（查表）</v>
      </c>
      <c r="F19" t="str">
        <f>計算表!F19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9">
        <f>計算表!G19</f>
        <v>60</v>
      </c>
      <c r="H19" t="str">
        <f>計算表!H19</f>
        <v>10^13</v>
      </c>
      <c r="I19">
        <f>計算表!I19</f>
        <v>768000000</v>
      </c>
      <c r="J19" t="str">
        <f>計算表!J19</f>
        <v>神位1階</v>
      </c>
      <c r="K19">
        <f>計算表!K19</f>
        <v>15</v>
      </c>
      <c r="L19">
        <f>計算表!L19</f>
        <v>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>
        <f>計算表!B20</f>
        <v>0</v>
      </c>
      <c r="C20" t="str">
        <f>計算表!C20</f>
        <v>1-轉生對照表</v>
      </c>
      <c r="D20" t="str">
        <f>計算表!D20</f>
        <v>轉生 12 次</v>
      </c>
      <c r="E20" t="str">
        <f>計算表!E20</f>
        <v>（查表）</v>
      </c>
      <c r="F20" t="str">
        <f>計算表!F20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0">
        <f>計算表!G20</f>
        <v>100</v>
      </c>
      <c r="H20" t="str">
        <f>計算表!H20</f>
        <v>10^15</v>
      </c>
      <c r="I20">
        <f>計算表!I20</f>
        <v>1536000000</v>
      </c>
      <c r="J20" t="str">
        <f>計算表!J20</f>
        <v>神位2階</v>
      </c>
      <c r="K20">
        <f>計算表!K20</f>
        <v>15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>
        <f>計算表!B21</f>
        <v>0</v>
      </c>
      <c r="C21" t="str">
        <f>計算表!C21</f>
        <v>1-轉生對照表</v>
      </c>
      <c r="D21" t="str">
        <f>計算表!D21</f>
        <v>轉生 13 次</v>
      </c>
      <c r="E21" t="str">
        <f>計算表!E21</f>
        <v>（查表）</v>
      </c>
      <c r="F21" t="str">
        <f>計算表!F21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1">
        <f>計算表!G21</f>
        <v>150</v>
      </c>
      <c r="H21" t="str">
        <f>計算表!H21</f>
        <v>10^17</v>
      </c>
      <c r="I21">
        <f>計算表!I21</f>
        <v>3072000000</v>
      </c>
      <c r="J21" t="str">
        <f>計算表!J21</f>
        <v>神位3階</v>
      </c>
      <c r="K21">
        <f>計算表!K21</f>
        <v>15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>
        <f>計算表!B22</f>
        <v>0</v>
      </c>
      <c r="C22" t="str">
        <f>計算表!C22</f>
        <v>1-轉生對照表</v>
      </c>
      <c r="D22" t="str">
        <f>計算表!D22</f>
        <v>轉生 14 次</v>
      </c>
      <c r="E22" t="str">
        <f>計算表!E22</f>
        <v>（查表）</v>
      </c>
      <c r="F22" t="str">
        <f>計算表!F22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2">
        <f>計算表!G22</f>
        <v>200</v>
      </c>
      <c r="H22" t="str">
        <f>計算表!H22</f>
        <v>10^19</v>
      </c>
      <c r="I22">
        <f>計算表!I22</f>
        <v>6144000000</v>
      </c>
      <c r="J22" t="str">
        <f>計算表!J22</f>
        <v>神位4階</v>
      </c>
      <c r="K22">
        <f>計算表!K22</f>
        <v>15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>
        <f>計算表!B23</f>
        <v>0</v>
      </c>
      <c r="C23" t="str">
        <f>計算表!C23</f>
        <v>1-轉生對照表</v>
      </c>
      <c r="D23" t="str">
        <f>計算表!D23</f>
        <v>轉生 15 次</v>
      </c>
      <c r="E23" t="str">
        <f>計算表!E23</f>
        <v>（查表）</v>
      </c>
      <c r="F23" t="str">
        <f>計算表!F23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3">
        <f>計算表!G23</f>
        <v>300</v>
      </c>
      <c r="H23" t="str">
        <f>計算表!H23</f>
        <v>10^21</v>
      </c>
      <c r="I23">
        <f>計算表!I23</f>
        <v>12288000000</v>
      </c>
      <c r="J23" t="str">
        <f>計算表!J23</f>
        <v>神位5階</v>
      </c>
      <c r="K23">
        <f>計算表!K23</f>
        <v>15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>
        <f>計算表!B24</f>
        <v>0</v>
      </c>
      <c r="C24" t="str">
        <f>計算表!C24</f>
        <v>1-轉生對照表</v>
      </c>
      <c r="D24" t="str">
        <f>計算表!D24</f>
        <v>轉生 16 次</v>
      </c>
      <c r="E24" t="str">
        <f>計算表!E24</f>
        <v>（查表）</v>
      </c>
      <c r="F24" t="str">
        <f>計算表!F24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4">
        <f>計算表!G24</f>
        <v>450</v>
      </c>
      <c r="H24" t="str">
        <f>計算表!H24</f>
        <v>10^23</v>
      </c>
      <c r="I24">
        <f>計算表!I24</f>
        <v>24576000000</v>
      </c>
      <c r="J24" t="str">
        <f>計算表!J24</f>
        <v>神位6階</v>
      </c>
      <c r="K24">
        <f>計算表!K24</f>
        <v>15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>
        <f>計算表!B25</f>
        <v>0</v>
      </c>
      <c r="C25" t="str">
        <f>計算表!C25</f>
        <v>1-轉生對照表</v>
      </c>
      <c r="D25" t="str">
        <f>計算表!D25</f>
        <v>轉生 17 次</v>
      </c>
      <c r="E25" t="str">
        <f>計算表!E25</f>
        <v>（查表）</v>
      </c>
      <c r="F25" t="str">
        <f>計算表!F25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5">
        <f>計算表!G25</f>
        <v>650</v>
      </c>
      <c r="H25" t="str">
        <f>計算表!H25</f>
        <v>10^25</v>
      </c>
      <c r="I25">
        <f>計算表!I25</f>
        <v>49152000000</v>
      </c>
      <c r="J25" t="str">
        <f>計算表!J25</f>
        <v>神位7階</v>
      </c>
      <c r="K25">
        <f>計算表!K25</f>
        <v>15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>
        <f>計算表!B26</f>
        <v>0</v>
      </c>
      <c r="C26" t="str">
        <f>計算表!C26</f>
        <v>1-轉生對照表</v>
      </c>
      <c r="D26" t="str">
        <f>計算表!D26</f>
        <v>轉生 18 次</v>
      </c>
      <c r="E26" t="str">
        <f>計算表!E26</f>
        <v>（查表）</v>
      </c>
      <c r="F26" t="str">
        <f>計算表!F26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6">
        <f>計算表!G26</f>
        <v>800</v>
      </c>
      <c r="H26" t="str">
        <f>計算表!H26</f>
        <v>10^27</v>
      </c>
      <c r="I26">
        <f>計算表!I26</f>
        <v>98304000000</v>
      </c>
      <c r="J26" t="str">
        <f>計算表!J26</f>
        <v>神位8階</v>
      </c>
      <c r="K26">
        <f>計算表!K26</f>
        <v>15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>
        <f>計算表!B27</f>
        <v>0</v>
      </c>
      <c r="C27" t="str">
        <f>計算表!C27</f>
        <v>1-轉生對照表</v>
      </c>
      <c r="D27" t="str">
        <f>計算表!D27</f>
        <v>轉生 19 次</v>
      </c>
      <c r="E27" t="str">
        <f>計算表!E27</f>
        <v>（查表）</v>
      </c>
      <c r="F27" t="str">
        <f>計算表!F27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7">
        <f>計算表!G27</f>
        <v>1200</v>
      </c>
      <c r="H27" t="str">
        <f>計算表!H27</f>
        <v>10^29</v>
      </c>
      <c r="I27">
        <f>計算表!I27</f>
        <v>196608000000</v>
      </c>
      <c r="J27" t="str">
        <f>計算表!J27</f>
        <v>神位9階</v>
      </c>
      <c r="K27">
        <f>計算表!K27</f>
        <v>15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>
        <f>計算表!B28</f>
        <v>0</v>
      </c>
      <c r="C28" t="str">
        <f>計算表!C28</f>
        <v>1-轉生對照表</v>
      </c>
      <c r="D28" t="str">
        <f>計算表!D28</f>
        <v>轉生 20 次</v>
      </c>
      <c r="E28" t="str">
        <f>計算表!E28</f>
        <v>（查表）</v>
      </c>
      <c r="F28" t="str">
        <f>計算表!F28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8">
        <f>計算表!G28</f>
        <v>2500</v>
      </c>
      <c r="H28" t="str">
        <f>計算表!H28</f>
        <v>10^33</v>
      </c>
      <c r="I28">
        <f>計算表!I28</f>
        <v>393216000000</v>
      </c>
      <c r="J28" t="str">
        <f>計算表!J28</f>
        <v>神位終階</v>
      </c>
      <c r="K28">
        <f>計算表!K28</f>
        <v>15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>
        <f>計算表!B29</f>
        <v>0</v>
      </c>
      <c r="C29" t="str">
        <f>計算表!C29</f>
        <v>2-屬性派生</v>
      </c>
      <c r="D29" t="str">
        <f>計算表!D29</f>
        <v>生命上限</v>
      </c>
      <c r="E29" t="str">
        <f>計算表!E29</f>
        <v>(a+(等級-1)×b+耐力×c+生命定值)×(1+生命%)</v>
      </c>
      <c r="F29" t="str">
        <f>計算表!F29</f>
        <v>a=基礎 b=每級 c=每點耐力。再乘轉生倍率。</v>
      </c>
      <c r="G29">
        <f>計算表!G29</f>
        <v>200</v>
      </c>
      <c r="H29">
        <f>計算表!H29</f>
        <v>25</v>
      </c>
      <c r="I29">
        <f>計算表!I29</f>
        <v>10</v>
      </c>
      <c r="J29">
        <f>計算表!J29</f>
        <v>0</v>
      </c>
      <c r="K29">
        <f>計算表!K29</f>
        <v>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>
        <f>計算表!B30</f>
        <v>0</v>
      </c>
      <c r="C30" t="str">
        <f>計算表!C30</f>
        <v>2-屬性派生</v>
      </c>
      <c r="D30" t="str">
        <f>計算表!D30</f>
        <v>法力上限</v>
      </c>
      <c r="E30" t="str">
        <f>計算表!E30</f>
        <v>(a+智力×b+法力定值)</v>
      </c>
      <c r="F30" t="str">
        <f>計算表!F30</f>
        <v>a=基礎 b=每點智力。再乘轉生倍率。</v>
      </c>
      <c r="G30">
        <f>計算表!G30</f>
        <v>40</v>
      </c>
      <c r="H30">
        <f>計算表!H30</f>
        <v>2</v>
      </c>
      <c r="I30">
        <f>計算表!I30</f>
        <v>0</v>
      </c>
      <c r="J30">
        <f>計算表!J30</f>
        <v>0</v>
      </c>
      <c r="K30">
        <f>計算表!K30</f>
        <v>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>
        <f>計算表!B31</f>
        <v>0</v>
      </c>
      <c r="C31" t="str">
        <f>計算表!C31</f>
        <v>2-屬性派生</v>
      </c>
      <c r="D31" t="str">
        <f>計算表!D31</f>
        <v>法力恢復/秒</v>
      </c>
      <c r="E31" t="str">
        <f>計算表!E31</f>
        <v>a+智力×b+加成</v>
      </c>
      <c r="F31" t="str">
        <f>計算表!F31</f>
        <v>a=基礎 b=每點智力。</v>
      </c>
      <c r="G31">
        <f>計算表!G31</f>
        <v>2</v>
      </c>
      <c r="H31">
        <f>計算表!H31</f>
        <v>2E-3</v>
      </c>
      <c r="I31">
        <f>計算表!I31</f>
        <v>0</v>
      </c>
      <c r="J31">
        <f>計算表!J31</f>
        <v>0</v>
      </c>
      <c r="K31">
        <f>計算表!K31</f>
        <v>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>
        <f>計算表!B32</f>
        <v>0</v>
      </c>
      <c r="C32" t="str">
        <f>計算表!C32</f>
        <v>2-屬性派生</v>
      </c>
      <c r="D32" t="str">
        <f>計算表!D32</f>
        <v>物理攻擊</v>
      </c>
      <c r="E32" t="str">
        <f>計算表!E32</f>
        <v>(a+物攻定值+b×物攻定值*c^轉生次數+力量×d)×(1+物攻%)</v>
      </c>
      <c r="F32" t="str">
        <f>計算表!F32</f>
        <v>a=基礎 b=定值加成 c=轉生加成指數底 d=每點力量。</v>
      </c>
      <c r="G32">
        <f>計算表!G32</f>
        <v>8</v>
      </c>
      <c r="H32">
        <f>計算表!H32</f>
        <v>1.2</v>
      </c>
      <c r="I32">
        <f>計算表!I32</f>
        <v>2.5</v>
      </c>
      <c r="J32">
        <f>計算表!J32</f>
        <v>1</v>
      </c>
      <c r="K32">
        <f>計算表!K32</f>
        <v>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>
        <f>計算表!B33</f>
        <v>0</v>
      </c>
      <c r="C33" t="str">
        <f>計算表!C33</f>
        <v>2-屬性派生</v>
      </c>
      <c r="D33" t="str">
        <f>計算表!D33</f>
        <v>魔法攻擊</v>
      </c>
      <c r="E33" t="str">
        <f>計算表!E33</f>
        <v>(a+魔攻定值+b×魔攻定值*c^轉生次數+智力×d)×(1+魔攻%)</v>
      </c>
      <c r="F33" t="str">
        <f>計算表!F33</f>
        <v>a=基礎 b=定值加成 c=轉生加成指數底 d=每點智力。</v>
      </c>
      <c r="G33">
        <f>計算表!G33</f>
        <v>6</v>
      </c>
      <c r="H33">
        <f>計算表!H33</f>
        <v>1.2</v>
      </c>
      <c r="I33">
        <f>計算表!I33</f>
        <v>2.5</v>
      </c>
      <c r="J33">
        <f>計算表!J33</f>
        <v>1</v>
      </c>
      <c r="K33">
        <f>計算表!K33</f>
        <v>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>
        <f>計算表!B34</f>
        <v>0</v>
      </c>
      <c r="C34" t="str">
        <f>計算表!C34</f>
        <v>2-屬性派生</v>
      </c>
      <c r="D34" t="str">
        <f>計算表!D34</f>
        <v>物理防禦</v>
      </c>
      <c r="E34" t="str">
        <f>計算表!E34</f>
        <v>(a+物防定值+b×物防定值*c^轉生次數+力量×d+耐力*e)×(1+物防%)</v>
      </c>
      <c r="F34" t="str">
        <f>計算表!F34</f>
        <v>a=基礎 b=定值加成 c=轉生加成指數底 d=每點力量 e=每點耐力。</v>
      </c>
      <c r="G34">
        <f>計算表!G34</f>
        <v>3</v>
      </c>
      <c r="H34">
        <f>計算表!H34</f>
        <v>0.75</v>
      </c>
      <c r="I34">
        <f>計算表!I34</f>
        <v>2.4</v>
      </c>
      <c r="J34">
        <f>計算表!J34</f>
        <v>0.35</v>
      </c>
      <c r="K34">
        <f>計算表!K34</f>
        <v>0.65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>
        <f>計算表!B35</f>
        <v>0</v>
      </c>
      <c r="C35" t="str">
        <f>計算表!C35</f>
        <v>2-屬性派生</v>
      </c>
      <c r="D35" t="str">
        <f>計算表!D35</f>
        <v>魔法防禦</v>
      </c>
      <c r="E35" t="str">
        <f>計算表!E35</f>
        <v>(a+魔防定值+b×魔防定值*c^轉生次數+智力×d+耐力*e)×(1+魔防%)</v>
      </c>
      <c r="F35" t="str">
        <f>計算表!F35</f>
        <v>a=基礎 b=定值加成 c=轉生加成指數底 d=每點智力 e=每點耐力。</v>
      </c>
      <c r="G35">
        <f>計算表!G35</f>
        <v>2</v>
      </c>
      <c r="H35">
        <f>計算表!H35</f>
        <v>0.75</v>
      </c>
      <c r="I35">
        <f>計算表!I35</f>
        <v>2.4</v>
      </c>
      <c r="J35">
        <f>計算表!J35</f>
        <v>0.35</v>
      </c>
      <c r="K35">
        <f>計算表!K35</f>
        <v>0.65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>
        <f>計算表!B36</f>
        <v>0</v>
      </c>
      <c r="C36" t="str">
        <f>計算表!C36</f>
        <v>2-屬性派生</v>
      </c>
      <c r="D36" t="str">
        <f>計算表!D36</f>
        <v>暴擊率</v>
      </c>
      <c r="E36" t="str">
        <f>計算表!E36</f>
        <v>a+敏捷×b+加成</v>
      </c>
      <c r="F36" t="str">
        <f>計算表!F36</f>
        <v>a=基礎% b=每點敏捷。上限 100%。</v>
      </c>
      <c r="G36">
        <f>計算表!G36</f>
        <v>5</v>
      </c>
      <c r="H36">
        <f>計算表!H36</f>
        <v>1.0000000000000001E-5</v>
      </c>
      <c r="I36">
        <f>計算表!I36</f>
        <v>0</v>
      </c>
      <c r="J36">
        <f>計算表!J36</f>
        <v>0</v>
      </c>
      <c r="K36">
        <f>計算表!K36</f>
        <v>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>
        <f>計算表!B37</f>
        <v>0</v>
      </c>
      <c r="C37" t="str">
        <f>計算表!C37</f>
        <v>2-屬性派生</v>
      </c>
      <c r="D37" t="str">
        <f>計算表!D37</f>
        <v>連擊數</v>
      </c>
      <c r="E37" t="str">
        <f>計算表!E37</f>
        <v>a* LN(暴擊率%) + b * 暴擊率% + c</v>
      </c>
      <c r="F37" t="str">
        <f>計算表!F37</f>
        <v>a=自然對數乘數 b=爆擊乘數 c=常數 。</v>
      </c>
      <c r="G37">
        <f>計算表!G37</f>
        <v>0.875</v>
      </c>
      <c r="H37">
        <f>計算表!H37</f>
        <v>2.5000000000000001E-3</v>
      </c>
      <c r="I37">
        <f>計算表!I37</f>
        <v>0.05</v>
      </c>
      <c r="J37">
        <f>計算表!J37</f>
        <v>0</v>
      </c>
      <c r="K37">
        <f>計算表!K37</f>
        <v>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>
        <f>計算表!B38</f>
        <v>0</v>
      </c>
      <c r="C38" t="str">
        <f>計算表!C38</f>
        <v>2-屬性派生</v>
      </c>
      <c r="D38" t="str">
        <f>計算表!D38</f>
        <v>暴擊傷害</v>
      </c>
      <c r="E38" t="str">
        <f>計算表!E38</f>
        <v>a+加成</v>
      </c>
      <c r="F38" t="str">
        <f>計算表!F38</f>
        <v>a=基礎%（無上限）。</v>
      </c>
      <c r="G38">
        <f>計算表!G38</f>
        <v>150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>
        <f>計算表!B39</f>
        <v>0</v>
      </c>
      <c r="C39" t="str">
        <f>計算表!C39</f>
        <v>2-屬性派生</v>
      </c>
      <c r="D39" t="str">
        <f>計算表!D39</f>
        <v>攻擊速度</v>
      </c>
      <c r="E39" t="str">
        <f>計算表!E39</f>
        <v>a×(1+(攻速%+敏捷×b)/100)</v>
      </c>
      <c r="F39" t="str">
        <f>計算表!F39</f>
        <v>a=基礎次/秒 b=每點敏捷%。下限 0.2、上限 5。</v>
      </c>
      <c r="G39">
        <f>計算表!G39</f>
        <v>1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>
        <f>計算表!B40</f>
        <v>0</v>
      </c>
      <c r="C40" t="str">
        <f>計算表!C40</f>
        <v>2-屬性派生</v>
      </c>
      <c r="D40" t="str">
        <f>計算表!D40</f>
        <v>命中率</v>
      </c>
      <c r="E40" t="str">
        <f>計算表!E40</f>
        <v>敏捷×a+加成</v>
      </c>
      <c r="F40" t="str">
        <f>計算表!F40</f>
        <v>a=每點敏捷%（減去敵方閃避後最低 5%）。</v>
      </c>
      <c r="G40">
        <f>計算表!G40</f>
        <v>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>
        <f>計算表!B41</f>
        <v>0</v>
      </c>
      <c r="C41" t="str">
        <f>計算表!C41</f>
        <v>2-屬性派生</v>
      </c>
      <c r="D41" t="str">
        <f>計算表!D41</f>
        <v>閃避率</v>
      </c>
      <c r="E41" t="str">
        <f>計算表!E41</f>
        <v>敏捷×a+加成</v>
      </c>
      <c r="F41" t="str">
        <f>計算表!F41</f>
        <v>a=每點敏捷%。</v>
      </c>
      <c r="G41">
        <f>計算表!G41</f>
        <v>3.4999999999999999E-6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>
        <f>計算表!B42</f>
        <v>0</v>
      </c>
      <c r="C42" t="str">
        <f>計算表!C42</f>
        <v>2-屬性派生</v>
      </c>
      <c r="D42" t="str">
        <f>計算表!D42</f>
        <v>負重上限</v>
      </c>
      <c r="E42" t="str">
        <f>計算表!E42</f>
        <v>力量×a+詞條</v>
      </c>
      <c r="F42" t="str">
        <f>計算表!F42</f>
        <v>a=每點力量。</v>
      </c>
      <c r="G42">
        <f>計算表!G42</f>
        <v>0.5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>
        <f>計算表!B43</f>
        <v>0</v>
      </c>
      <c r="C43" t="str">
        <f>計算表!C43</f>
        <v>2-屬性派生</v>
      </c>
      <c r="D43" t="str">
        <f>計算表!D43</f>
        <v>野外基礎生命恢復</v>
      </c>
      <c r="E43" t="str">
        <f>計算表!E43</f>
        <v>(最大生命×a% + b )/秒</v>
      </c>
      <c r="F43" t="str">
        <f>計算表!F43</f>
        <v>a=生命加成比例 b=基礎值。</v>
      </c>
      <c r="G43">
        <f>計算表!G43</f>
        <v>2</v>
      </c>
      <c r="H43">
        <f>計算表!H43</f>
        <v>20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>
        <f>計算表!B44</f>
        <v>0</v>
      </c>
      <c r="C44" t="str">
        <f>計算表!C44</f>
        <v>2-屬性派生</v>
      </c>
      <c r="D44" t="str">
        <f>計算表!D44</f>
        <v>全局減傷</v>
      </c>
      <c r="E44" t="str">
        <f>計算表!E44</f>
        <v>min(a%, 總合/(總合+b))</v>
      </c>
      <c r="F44" t="str">
        <f>計算表!F44</f>
        <v>a=減傷上限% b=分母常數。無此詞綴時倍率為 1。</v>
      </c>
      <c r="G44">
        <f>計算表!G44</f>
        <v>100</v>
      </c>
      <c r="H44">
        <f>計算表!H44</f>
        <v>100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>
        <f>計算表!B45</f>
        <v>0</v>
      </c>
      <c r="C45" t="str">
        <f>計算表!C45</f>
        <v>2-屬性上限</v>
      </c>
      <c r="D45" t="str">
        <f>計算表!D45</f>
        <v>暴擊率 上限</v>
      </c>
      <c r="E45" t="str">
        <f>計算表!E45</f>
        <v>上限 = a</v>
      </c>
      <c r="F45" t="str">
        <f>計算表!F45</f>
        <v>a=暴擊率上限（%）。攻擊時造成額外暴擊傷害的機率。</v>
      </c>
      <c r="G45">
        <f>計算表!G45</f>
        <v>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>
        <f>計算表!B46</f>
        <v>0</v>
      </c>
      <c r="C46" t="str">
        <f>計算表!C46</f>
        <v>2-屬性上限</v>
      </c>
      <c r="D46" t="str">
        <f>計算表!D46</f>
        <v>物理穿透 上限</v>
      </c>
      <c r="E46" t="str">
        <f>計算表!E46</f>
        <v>上限 = a</v>
      </c>
      <c r="F46" t="str">
        <f>計算表!F46</f>
        <v>a=物理穿透上限（%）；0＝無上限。2026-07-30 改版：穿透不再擋上限，實際忽略防禦%改由「3-戰鬥核心/穿透忽略防禦」的遞減曲線換算。</v>
      </c>
      <c r="G46">
        <f>計算表!G46</f>
        <v>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>
        <f>計算表!B47</f>
        <v>0</v>
      </c>
      <c r="C47" t="str">
        <f>計算表!C47</f>
        <v>2-屬性上限</v>
      </c>
      <c r="D47" t="str">
        <f>計算表!D47</f>
        <v>魔法穿透 上限</v>
      </c>
      <c r="E47" t="str">
        <f>計算表!E47</f>
        <v>上限 = a</v>
      </c>
      <c r="F47" t="str">
        <f>計算表!F47</f>
        <v>a=魔法穿透上限（%）；0＝無上限。2026-07-30 改版：穿透不再擋上限，實際忽略防禦%改由「3-戰鬥核心/穿透忽略防禦」的遞減曲線換算。</v>
      </c>
      <c r="G47">
        <f>計算表!G47</f>
        <v>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>
        <f>計算表!B48</f>
        <v>0</v>
      </c>
      <c r="C48" t="str">
        <f>計算表!C48</f>
        <v>2-屬性上限</v>
      </c>
      <c r="D48" t="str">
        <f>計算表!D48</f>
        <v>冷卻縮減 上限</v>
      </c>
      <c r="E48" t="str">
        <f>計算表!E48</f>
        <v>上限 = a</v>
      </c>
      <c r="F48" t="str">
        <f>計算表!F48</f>
        <v>a=冷卻縮減上限（%）。減少技能所需的冷卻時間。</v>
      </c>
      <c r="G48">
        <f>計算表!G48</f>
        <v>60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>
        <f>計算表!B49</f>
        <v>0</v>
      </c>
      <c r="C49" t="str">
        <f>計算表!C49</f>
        <v>2-屬性上限</v>
      </c>
      <c r="D49" t="str">
        <f>計算表!D49</f>
        <v>施法速度 上限</v>
      </c>
      <c r="E49" t="str">
        <f>計算表!E49</f>
        <v>上限 = a</v>
      </c>
      <c r="F49" t="str">
        <f>計算表!F49</f>
        <v>a=施法速度上限（%）。縮短技能的施放延遲或詠唱時間。</v>
      </c>
      <c r="G49">
        <f>計算表!G49</f>
        <v>50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>
        <f>計算表!B50</f>
        <v>0</v>
      </c>
      <c r="C50" t="str">
        <f>計算表!C50</f>
        <v>2-屬性上限</v>
      </c>
      <c r="D50" t="str">
        <f>計算表!D50</f>
        <v>吸血 上限</v>
      </c>
      <c r="E50" t="str">
        <f>計算表!E50</f>
        <v>上限 = a</v>
      </c>
      <c r="F50" t="str">
        <f>計算表!F50</f>
        <v>a=吸血上限（%）；0＝無上限。2026-07-30 改版：吸血不再擋上限、也不再以造成的傷害計算，每次回復 = 每秒生命回復 × 吸血%。</v>
      </c>
      <c r="G50">
        <f>計算表!G50</f>
        <v>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>
        <f>計算表!B51</f>
        <v>0</v>
      </c>
      <c r="C51" t="str">
        <f>計算表!C51</f>
        <v>2-屬性上限</v>
      </c>
      <c r="D51" t="str">
        <f>計算表!D51</f>
        <v>吸魔 上限</v>
      </c>
      <c r="E51" t="str">
        <f>計算表!E51</f>
        <v>上限 = a</v>
      </c>
      <c r="F51" t="str">
        <f>計算表!F51</f>
        <v>a=吸魔上限（%）；0＝無上限。2026-07-30 改版：吸魔不再擋上限、也不再以造成的傷害計算，每次回復 = 每秒法力恢復 × 吸魔%。</v>
      </c>
      <c r="G51">
        <f>計算表!G51</f>
        <v>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>
        <f>計算表!B52</f>
        <v>0</v>
      </c>
      <c r="C52" t="str">
        <f>計算表!C52</f>
        <v>2-屬性上限</v>
      </c>
      <c r="D52" t="str">
        <f>計算表!D52</f>
        <v>格擋率 上限</v>
      </c>
      <c r="E52" t="str">
        <f>計算表!E52</f>
        <v>上限 = a</v>
      </c>
      <c r="F52" t="str">
        <f>計算表!F52</f>
        <v>a=格擋率上限（%）。受到攻擊時觸發格擋以減輕傷害的機率。</v>
      </c>
      <c r="G52">
        <f>計算表!G52</f>
        <v>50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>
        <f>計算表!B53</f>
        <v>0</v>
      </c>
      <c r="C53" t="str">
        <f>計算表!C53</f>
        <v>2-屬性上限</v>
      </c>
      <c r="D53" t="str">
        <f>計算表!D53</f>
        <v>格擋減傷(詞條部分) 上限</v>
      </c>
      <c r="E53" t="str">
        <f>計算表!E53</f>
        <v>上限 = a</v>
      </c>
      <c r="F53" t="str">
        <f>計算表!F53</f>
        <v>a=格擋減傷「詞條部分」上限（%）。實際格擋減傷 = 30%基礎 + 詞條(≤a)，合計上限 80%。</v>
      </c>
      <c r="G53">
        <f>計算表!G53</f>
        <v>50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>
        <f>計算表!B54</f>
        <v>0</v>
      </c>
      <c r="C54" t="str">
        <f>計算表!C54</f>
        <v>2-屬性上限</v>
      </c>
      <c r="D54" t="str">
        <f>計算表!D54</f>
        <v>閃避率 上限</v>
      </c>
      <c r="E54" t="str">
        <f>計算表!E54</f>
        <v>上限 = a</v>
      </c>
      <c r="F54" t="str">
        <f>計算表!F54</f>
        <v>a=閃避率上限（%）。完全避開敵人攻擊的機率（受敵方命中率影響）。</v>
      </c>
      <c r="G54">
        <f>計算表!G54</f>
        <v>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>
        <f>計算表!B55</f>
        <v>0</v>
      </c>
      <c r="C55" t="str">
        <f>計算表!C55</f>
        <v>2-屬性上限</v>
      </c>
      <c r="D55" t="str">
        <f>計算表!D55</f>
        <v>韌性 上限</v>
      </c>
      <c r="E55" t="str">
        <f>計算表!E55</f>
        <v>上限 = a</v>
      </c>
      <c r="F55" t="str">
        <f>計算表!F55</f>
        <v>a=韌性上限（%）。2026-07-30 改版：上限 80%，且同時降低「被控場機率」、縮短「被控場持續時間」、降低「被敵人爆擊機率」（敵方爆擊率×(1-韌性%)）。</v>
      </c>
      <c r="G55">
        <f>計算表!G55</f>
        <v>80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>
        <f>計算表!B56</f>
        <v>0</v>
      </c>
      <c r="C56" t="str">
        <f>計算表!C56</f>
        <v>2-屬性上限</v>
      </c>
      <c r="D56" t="str">
        <f>計算表!D56</f>
        <v>控制抵抗 上限</v>
      </c>
      <c r="E56" t="str">
        <f>計算表!E56</f>
        <v>上限 = a</v>
      </c>
      <c r="F56" t="str">
        <f>計算表!F56</f>
        <v>a=控制抵抗上限（%）。全面降低所有負面異常狀態的命中率。</v>
      </c>
      <c r="G56">
        <f>計算表!G56</f>
        <v>80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>
        <f>計算表!B57</f>
        <v>0</v>
      </c>
      <c r="C57" t="str">
        <f>計算表!C57</f>
        <v>2-屬性上限</v>
      </c>
      <c r="D57" t="str">
        <f>計算表!D57</f>
        <v>控制時間縮減 上限</v>
      </c>
      <c r="E57" t="str">
        <f>計算表!E57</f>
        <v>上限 = a</v>
      </c>
      <c r="F57" t="str">
        <f>計算表!F57</f>
        <v>a=控制時間縮減上限（%）。減少被暈眩、減速等控制狀態的持續時間。</v>
      </c>
      <c r="G57">
        <f>計算表!G57</f>
        <v>60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>
        <f>計算表!B58</f>
        <v>0</v>
      </c>
      <c r="C58" t="str">
        <f>計算表!C58</f>
        <v>2-屬性上限</v>
      </c>
      <c r="D58" t="str">
        <f>計算表!D58</f>
        <v>移動速度 上限</v>
      </c>
      <c r="E58" t="str">
        <f>計算表!E58</f>
        <v>上限 = a</v>
      </c>
      <c r="F58" t="str">
        <f>計算表!F58</f>
        <v>a=移動速度上限（%）。提高探索地圖、遇敵或到達終點的速度。</v>
      </c>
      <c r="G58">
        <f>計算表!G58</f>
        <v>50</v>
      </c>
      <c r="H58">
        <f>計算表!H58</f>
        <v>0</v>
      </c>
      <c r="I58">
        <f>計算表!I58</f>
        <v>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>
        <f>計算表!B59</f>
        <v>0</v>
      </c>
      <c r="C59" t="str">
        <f>計算表!C59</f>
        <v>2-屬性上限</v>
      </c>
      <c r="D59" t="str">
        <f>計算表!D59</f>
        <v>幸運值 上限</v>
      </c>
      <c r="E59" t="str">
        <f>計算表!E59</f>
        <v>上限 = a</v>
      </c>
      <c r="F59" t="str">
        <f>計算表!F59</f>
        <v>a=幸運值上限（數值，非%）。幸運值越高，裝備產出時太古詞條越容易出現。</v>
      </c>
      <c r="G59">
        <f>計算表!G59</f>
        <v>100</v>
      </c>
      <c r="H59">
        <f>計算表!H59</f>
        <v>0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>
        <f>計算表!B60</f>
        <v>0</v>
      </c>
      <c r="C60" t="str">
        <f>計算表!C60</f>
        <v>2-屬性上限</v>
      </c>
      <c r="D60" t="str">
        <f>計算表!D60</f>
        <v>合成變異率 上限</v>
      </c>
      <c r="E60" t="str">
        <f>計算表!E60</f>
        <v>上限 = a</v>
      </c>
      <c r="F60" t="str">
        <f>計算表!F60</f>
        <v>a=合成變異率上限（%）。合成時發生特殊異變（如詞條升級）的機率。</v>
      </c>
      <c r="G60">
        <f>計算表!G60</f>
        <v>60</v>
      </c>
      <c r="H60">
        <f>計算表!H60</f>
        <v>0</v>
      </c>
      <c r="I60">
        <f>計算表!I60</f>
        <v>0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>
        <f>計算表!B61</f>
        <v>0</v>
      </c>
      <c r="C61" t="str">
        <f>計算表!C61</f>
        <v>2-屬性上限</v>
      </c>
      <c r="D61" t="str">
        <f>計算表!D61</f>
        <v>狂暴閾值 上限</v>
      </c>
      <c r="E61" t="str">
        <f>計算表!E61</f>
        <v>上限 = a</v>
      </c>
      <c r="F61" t="str">
        <f>計算表!F61</f>
        <v>a=狂暴閾值上限（%）。影響怪物進入狂暴狀態的時間點或血量條件。</v>
      </c>
      <c r="G61">
        <f>計算表!G61</f>
        <v>30</v>
      </c>
      <c r="H61">
        <f>計算表!H61</f>
        <v>0</v>
      </c>
      <c r="I61">
        <f>計算表!I61</f>
        <v>0</v>
      </c>
      <c r="J61">
        <f>計算表!J61</f>
        <v>0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>
        <f>計算表!B62</f>
        <v>0</v>
      </c>
      <c r="C62" t="str">
        <f>計算表!C62</f>
        <v>2-屬性上限</v>
      </c>
      <c r="D62" t="str">
        <f>計算表!D62</f>
        <v>詞條上限率 上限</v>
      </c>
      <c r="E62" t="str">
        <f>計算表!E62</f>
        <v>上限 = a</v>
      </c>
      <c r="F62" t="str">
        <f>計算表!F62</f>
        <v>a=詞條上限率上限（%）。影響裝備洗煉時更高數值的出現機率。</v>
      </c>
      <c r="G62">
        <f>計算表!G62</f>
        <v>100</v>
      </c>
      <c r="H62">
        <f>計算表!H62</f>
        <v>0</v>
      </c>
      <c r="I62">
        <f>計算表!I62</f>
        <v>0</v>
      </c>
      <c r="J62">
        <f>計算表!J62</f>
        <v>0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>
        <f>計算表!B63</f>
        <v>0</v>
      </c>
      <c r="C63" t="str">
        <f>計算表!C63</f>
        <v>2-屬性上限</v>
      </c>
      <c r="D63" t="str">
        <f>計算表!D63</f>
        <v>被動-連擊 上限</v>
      </c>
      <c r="E63" t="str">
        <f>計算表!E63</f>
        <v>上限 = a</v>
      </c>
      <c r="F63" t="str">
        <f>計算表!F63</f>
        <v>a=連擊被動觸發率上限（%）。</v>
      </c>
      <c r="G63">
        <f>計算表!G63</f>
        <v>45</v>
      </c>
      <c r="H63">
        <f>計算表!H63</f>
        <v>0</v>
      </c>
      <c r="I63">
        <f>計算表!I63</f>
        <v>0</v>
      </c>
      <c r="J63">
        <f>計算表!J63</f>
        <v>0</v>
      </c>
      <c r="K63">
        <f>計算表!K63</f>
        <v>0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>
        <f>計算表!B64</f>
        <v>0</v>
      </c>
      <c r="C64" t="str">
        <f>計算表!C64</f>
        <v>2-屬性上限</v>
      </c>
      <c r="D64" t="str">
        <f>計算表!D64</f>
        <v>被動-暈眩 上限</v>
      </c>
      <c r="E64" t="str">
        <f>計算表!E64</f>
        <v>上限 = a</v>
      </c>
      <c r="F64" t="str">
        <f>計算表!F64</f>
        <v>a=暈眩被動觸發率上限（%）。</v>
      </c>
      <c r="G64">
        <f>計算表!G64</f>
        <v>30</v>
      </c>
      <c r="H64">
        <f>計算表!H64</f>
        <v>0</v>
      </c>
      <c r="I64">
        <f>計算表!I64</f>
        <v>0</v>
      </c>
      <c r="J64">
        <f>計算表!J64</f>
        <v>0</v>
      </c>
      <c r="K64">
        <f>計算表!K64</f>
        <v>0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>
        <f>計算表!B65</f>
        <v>0</v>
      </c>
      <c r="C65" t="str">
        <f>計算表!C65</f>
        <v>3-戰鬥核心</v>
      </c>
      <c r="D65" t="str">
        <f>計算表!D65</f>
        <v>防禦減傷率</v>
      </c>
      <c r="E65" t="str">
        <f>計算表!E65</f>
        <v>防禦/(防禦+a+b×攻擊者等級)</v>
      </c>
      <c r="F65" t="str">
        <f>計算表!F65</f>
        <v>a=常數 b=每級係數。有效防禦≤0 時視為 0% 減傷。</v>
      </c>
      <c r="G65">
        <f>計算表!G65</f>
        <v>60</v>
      </c>
      <c r="H65">
        <f>計算表!H65</f>
        <v>8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>
        <f>計算表!B66</f>
        <v>0</v>
      </c>
      <c r="C66" t="str">
        <f>計算表!C66</f>
        <v>3-戰鬥核心</v>
      </c>
      <c r="D66" t="str">
        <f>計算表!D66</f>
        <v>敵種傷害抗性</v>
      </c>
      <c r="E66" t="str">
        <f>計算表!E66</f>
        <v>抗性值總合/(抗性值總合+a+b×攻擊者等級)</v>
      </c>
      <c r="F66" t="str">
        <f>計算表!F66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66">
        <f>計算表!G66</f>
        <v>100</v>
      </c>
      <c r="H66">
        <f>計算表!H66</f>
        <v>0.25</v>
      </c>
      <c r="I66">
        <f>計算表!I66</f>
        <v>0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>
        <f>計算表!B67</f>
        <v>0</v>
      </c>
      <c r="C67" t="str">
        <f>計算表!C67</f>
        <v>3-戰鬥核心</v>
      </c>
      <c r="D67" t="str">
        <f>計算表!D67</f>
        <v>物理抗性減傷</v>
      </c>
      <c r="E67" t="str">
        <f>計算表!E67</f>
        <v>抗性總合^a/(抗性總合^a+b+c×敵人等級)</v>
      </c>
      <c r="F67" t="str">
        <f>計算表!F67</f>
        <v>a=抗性次方 b=分母常數 c=敵人等級係數。抗性≤0 時不減傷。</v>
      </c>
      <c r="G67">
        <f>計算表!G67</f>
        <v>1.8</v>
      </c>
      <c r="H67">
        <f>計算表!H67</f>
        <v>10</v>
      </c>
      <c r="I67">
        <f>計算表!I67</f>
        <v>0.1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>
        <f>計算表!B68</f>
        <v>0</v>
      </c>
      <c r="C68" t="str">
        <f>計算表!C68</f>
        <v>3-戰鬥核心</v>
      </c>
      <c r="D68" t="str">
        <f>計算表!D68</f>
        <v>魔法抗性減傷</v>
      </c>
      <c r="E68" t="str">
        <f>計算表!E68</f>
        <v>抗性總合^a/(抗性總合^a+b+c×敵人等級)</v>
      </c>
      <c r="F68" t="str">
        <f>計算表!F68</f>
        <v>a=抗性次方 b=分母常數 c=敵人等級係數。抗性≤0 時不減傷。</v>
      </c>
      <c r="G68">
        <f>計算表!G68</f>
        <v>1.8</v>
      </c>
      <c r="H68">
        <f>計算表!H68</f>
        <v>10</v>
      </c>
      <c r="I68">
        <f>計算表!I68</f>
        <v>0.1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>
        <f>計算表!B69</f>
        <v>0</v>
      </c>
      <c r="C69" t="str">
        <f>計算表!C69</f>
        <v>3-戰鬥核心</v>
      </c>
      <c r="D69" t="str">
        <f>計算表!D69</f>
        <v>六系元素抗性減傷</v>
      </c>
      <c r="E69" t="str">
        <f>計算表!E69</f>
        <v>抗性總合^a/(抗性總合^a+b+c×敵人等級)</v>
      </c>
      <c r="F69" t="str">
        <f>計算表!F69</f>
        <v>a=抗性次方 b=分母常數 c=敵人等級係數。六系元素共用此曲線；抗性≤0 時不減傷。</v>
      </c>
      <c r="G69">
        <f>計算表!G69</f>
        <v>1.8</v>
      </c>
      <c r="H69">
        <f>計算表!H69</f>
        <v>10</v>
      </c>
      <c r="I69">
        <f>計算表!I69</f>
        <v>0.1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>
        <f>計算表!B70</f>
        <v>0</v>
      </c>
      <c r="C70" t="str">
        <f>計算表!C70</f>
        <v>3-戰鬥核心</v>
      </c>
      <c r="D70" t="str">
        <f>計算表!D70</f>
        <v>傷害浮動</v>
      </c>
      <c r="E70" t="str">
        <f>計算表!E70</f>
        <v>×rnd(a, b)</v>
      </c>
      <c r="F70" t="str">
        <f>計算表!F70</f>
        <v>每次傷害的隨機浮動區間。</v>
      </c>
      <c r="G70">
        <f>計算表!G70</f>
        <v>0.9</v>
      </c>
      <c r="H70">
        <f>計算表!H70</f>
        <v>1.1000000000000001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>
        <f>計算表!B71</f>
        <v>0</v>
      </c>
      <c r="C71" t="str">
        <f>計算表!C71</f>
        <v>3-戰鬥核心</v>
      </c>
      <c r="D71" t="str">
        <f>計算表!D71</f>
        <v>最低傷害下限</v>
      </c>
      <c r="E71" t="str">
        <f>計算表!E71</f>
        <v>max(a, 傷害)</v>
      </c>
      <c r="F71" t="str">
        <f>計算表!F71</f>
        <v>所有減傷/抗性/格擋結算後、護盾吸收前，每次命中至少造成 a 點傷害。</v>
      </c>
      <c r="G71">
        <f>計算表!G71</f>
        <v>1</v>
      </c>
      <c r="H71">
        <f>計算表!H71</f>
        <v>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>
        <f>計算表!B72</f>
        <v>0</v>
      </c>
      <c r="C72" t="str">
        <f>計算表!C72</f>
        <v>3-戰鬥核心</v>
      </c>
      <c r="D72" t="str">
        <f>計算表!D72</f>
        <v>減速狀態攻速</v>
      </c>
      <c r="E72" t="str">
        <f>計算表!E72</f>
        <v>攻速×a</v>
      </c>
      <c r="F72" t="str">
        <f>計算表!F72</f>
        <v>a=減速時攻擊冷卻累積倍率（-30%）。</v>
      </c>
      <c r="G72">
        <f>計算表!G72</f>
        <v>0.7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>
        <f>計算表!B73</f>
        <v>0</v>
      </c>
      <c r="C73" t="str">
        <f>計算表!C73</f>
        <v>3-戰鬥核心</v>
      </c>
      <c r="D73" t="str">
        <f>計算表!D73</f>
        <v>控場遞減</v>
      </c>
      <c r="E73" t="str">
        <f>計算表!E73</f>
        <v>控制持續時間×max(0, 1−每秒遞減率×經過秒數)</v>
      </c>
      <c r="F73" t="str">
        <f>計算表!F73</f>
        <v>普通敵人每秒遞減 1%；菁英每秒遞減 3%；BOSS 不受控場遞減。</v>
      </c>
      <c r="G73">
        <f>計算表!G73</f>
        <v>1</v>
      </c>
      <c r="H73">
        <f>計算表!H73</f>
        <v>3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>
        <f>計算表!B74</f>
        <v>0</v>
      </c>
      <c r="C74" t="str">
        <f>計算表!C74</f>
        <v>3-戰鬥核心</v>
      </c>
      <c r="D74" t="str">
        <f>計算表!D74</f>
        <v>擊殺回復</v>
      </c>
      <c r="E74" t="str">
        <f>計算表!E74</f>
        <v>最大生命×a%</v>
      </c>
      <c r="F74" t="str">
        <f>計算表!F74</f>
        <v>野外每擊殺一隻回復（吸魂被動再另加）。</v>
      </c>
      <c r="G74">
        <f>計算表!G74</f>
        <v>12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>
        <f>計算表!B75</f>
        <v>0</v>
      </c>
      <c r="C75" t="str">
        <f>計算表!C75</f>
        <v>3-戰鬥核心</v>
      </c>
      <c r="D75" t="str">
        <f>計算表!D75</f>
        <v>溢出治療轉護盾</v>
      </c>
      <c r="E75" t="str">
        <f>計算表!E75</f>
        <v>溢出×a%</v>
      </c>
      <c r="F75" t="str">
        <f>計算表!F75</f>
        <v>a=溢出治療轉為護盾的比例。</v>
      </c>
      <c r="G75">
        <f>計算表!G75</f>
        <v>1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>
        <f>計算表!B76</f>
        <v>0</v>
      </c>
      <c r="C76" t="str">
        <f>計算表!C76</f>
        <v>3-戰鬥核心</v>
      </c>
      <c r="D76" t="str">
        <f>計算表!D76</f>
        <v>護盾上限(治療轉化)</v>
      </c>
      <c r="E76" t="str">
        <f>計算表!E76</f>
        <v>最大生命×a%×(1+護盾效率%)</v>
      </c>
      <c r="F76" t="str">
        <f>計算表!F76</f>
        <v>a=治療轉護盾的上限比例。</v>
      </c>
      <c r="G76">
        <f>計算表!G76</f>
        <v>10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>
        <f>計算表!B77</f>
        <v>0</v>
      </c>
      <c r="C77" t="str">
        <f>計算表!C77</f>
        <v>3-戰鬥核心</v>
      </c>
      <c r="D77" t="str">
        <f>計算表!D77</f>
        <v>護盾上限(技能給予)</v>
      </c>
      <c r="E77" t="str">
        <f>計算表!E77</f>
        <v>最大生命×a%</v>
      </c>
      <c r="F77" t="str">
        <f>計算表!F77</f>
        <v>a=技能護盾上限比例；量本身再×(1+護盾效率%)。</v>
      </c>
      <c r="G77">
        <f>計算表!G77</f>
        <v>10000</v>
      </c>
      <c r="H77">
        <f>計算表!H77</f>
        <v>0</v>
      </c>
      <c r="I77">
        <f>計算表!I77</f>
        <v>0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>
        <f>計算表!B78</f>
        <v>0</v>
      </c>
      <c r="C78" t="str">
        <f>計算表!C78</f>
        <v>3-戰鬥核心</v>
      </c>
      <c r="D78" t="str">
        <f>計算表!D78</f>
        <v>聖佑(神鑄)減傷上限</v>
      </c>
      <c r="E78" t="str">
        <f>計算表!E78</f>
        <v>受傷×(1-min(值,a%))</v>
      </c>
      <c r="F78" t="str">
        <f>計算表!F78</f>
        <v>a=聖佑特效減傷上限。</v>
      </c>
      <c r="G78">
        <f>計算表!G78</f>
        <v>50</v>
      </c>
      <c r="H78">
        <f>計算表!H78</f>
        <v>0</v>
      </c>
      <c r="I78">
        <f>計算表!I78</f>
        <v>0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>
        <f>計算表!B79</f>
        <v>0</v>
      </c>
      <c r="C79" t="str">
        <f>計算表!C79</f>
        <v>3-戰鬥核心</v>
      </c>
      <c r="D79" t="str">
        <f>計算表!D79</f>
        <v>不朽(神鑄)回復</v>
      </c>
      <c r="E79" t="str">
        <f>計算表!E79</f>
        <v>致命時保 1 血並回復 a%，b 秒限一次</v>
      </c>
      <c r="F79" t="str">
        <f>計算表!F79</f>
        <v>a=回復最大生命% b=冷卻秒數。</v>
      </c>
      <c r="G79">
        <f>計算表!G79</f>
        <v>30</v>
      </c>
      <c r="H79">
        <f>計算表!H79</f>
        <v>60</v>
      </c>
      <c r="I79">
        <f>計算表!I79</f>
        <v>0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>
        <f>計算表!B80</f>
        <v>0</v>
      </c>
      <c r="C80" t="str">
        <f>計算表!C80</f>
        <v>3-戰鬥核心</v>
      </c>
      <c r="D80" t="str">
        <f>計算表!D80</f>
        <v>怪物固定戰鬥值</v>
      </c>
      <c r="E80" t="str">
        <f>計算表!E80</f>
        <v>命中a% 攻速b</v>
      </c>
      <c r="F80" t="str">
        <f>計算表!F80</f>
        <v>怪物固定值；初次出手延遲 = 1/攻速 + 0.4 秒。※2026-07-30 改版：暴擊率與爆擊傷害已移至「敵人爆擊」列（依敵種區分）。</v>
      </c>
      <c r="G80">
        <f>計算表!G80</f>
        <v>100</v>
      </c>
      <c r="H80">
        <f>計算表!H80</f>
        <v>0.75</v>
      </c>
      <c r="I80">
        <f>計算表!I80</f>
        <v>0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>
        <f>計算表!B81</f>
        <v>0</v>
      </c>
      <c r="C81" t="str">
        <f>計算表!C81</f>
        <v>3-戰鬥核心</v>
      </c>
      <c r="D81" t="str">
        <f>計算表!D81</f>
        <v>敵人爆擊</v>
      </c>
      <c r="E81" t="str">
        <f>計算表!E81</f>
        <v>爆擊率：普通a% 菁英b% BOSSc%；爆擊傷害 = 傷害×d%</v>
      </c>
      <c r="F81" t="str">
        <f>計算表!F81</f>
        <v>敵人攻擊玩家時同樣會爆擊。a/b/c=各敵種爆擊率 d=共用爆擊傷害倍率%。玩家韌性會折減被爆擊機率：實際爆擊率 = 敵種爆擊率×(1-韌性%)。</v>
      </c>
      <c r="G81">
        <f>計算表!G81</f>
        <v>8</v>
      </c>
      <c r="H81">
        <f>計算表!H81</f>
        <v>6</v>
      </c>
      <c r="I81">
        <f>計算表!I81</f>
        <v>4</v>
      </c>
      <c r="J81">
        <f>計算表!J81</f>
        <v>300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>
        <f>計算表!B82</f>
        <v>0</v>
      </c>
      <c r="C82" t="str">
        <f>計算表!C82</f>
        <v>3-戰鬥核心</v>
      </c>
      <c r="D82" t="str">
        <f>計算表!D82</f>
        <v>穿透忽略防禦</v>
      </c>
      <c r="E82" t="str">
        <f>計算表!E82</f>
        <v>忽略敵人防禦% = a×(總穿透加成%÷100×b)^c</v>
      </c>
      <c r="F82" t="str">
        <f>計算表!F82</f>
        <v>物理穿透與魔法穿透各自換算（不設上限）。a=係數 b=百分點換算 c=次方。曲線：穿透100%→22.9%、250%→42.7%、500%→68.4%、873%→100%、1000%→109.7%；超過100%的部分轉為增傷（150%＝完全忽略防禦後再×1.5）。</v>
      </c>
      <c r="G82">
        <f>計算表!G82</f>
        <v>0.01</v>
      </c>
      <c r="H82">
        <f>計算表!H82</f>
        <v>100</v>
      </c>
      <c r="I82">
        <f>計算表!I82</f>
        <v>0.68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>
        <f>計算表!B83</f>
        <v>0</v>
      </c>
      <c r="C83" t="str">
        <f>計算表!C83</f>
        <v>3-元素特效</v>
      </c>
      <c r="D83" t="str">
        <f>計算表!D83</f>
        <v>冰霜 特效</v>
      </c>
      <c r="E83" t="str">
        <f>計算表!E83</f>
        <v>每次命中 a% 機率觸發</v>
      </c>
      <c r="F83" t="str">
        <f>計算表!F83</f>
        <v>敵人減速 2 秒（受控制時間縮減影響、可被控制抵抗擋下）</v>
      </c>
      <c r="G83">
        <f>計算表!G83</f>
        <v>15</v>
      </c>
      <c r="H83">
        <f>計算表!H83</f>
        <v>0</v>
      </c>
      <c r="I83">
        <f>計算表!I83</f>
        <v>0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>
        <f>計算表!B84</f>
        <v>0</v>
      </c>
      <c r="C84" t="str">
        <f>計算表!C84</f>
        <v>3-元素特效</v>
      </c>
      <c r="D84" t="str">
        <f>計算表!D84</f>
        <v>雷電 特效</v>
      </c>
      <c r="E84" t="str">
        <f>計算表!E84</f>
        <v>每次命中 a% 機率觸發</v>
      </c>
      <c r="F84" t="str">
        <f>計算表!F84</f>
        <v>追加該次元素傷害 80% 的連鎖電擊</v>
      </c>
      <c r="G84">
        <f>計算表!G84</f>
        <v>10</v>
      </c>
      <c r="H84">
        <f>計算表!H84</f>
        <v>0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>
        <f>計算表!B85</f>
        <v>0</v>
      </c>
      <c r="C85" t="str">
        <f>計算表!C85</f>
        <v>3-元素特效</v>
      </c>
      <c r="D85" t="str">
        <f>計算表!D85</f>
        <v>劇毒 特效</v>
      </c>
      <c r="E85" t="str">
        <f>計算表!E85</f>
        <v>每次命中 a% 機率觸發</v>
      </c>
      <c r="F85" t="str">
        <f>計算表!F85</f>
        <v>中毒：每秒受元素傷害 50% 的跳傷，持續 4 秒（無視防禦）</v>
      </c>
      <c r="G85">
        <f>計算表!G85</f>
        <v>25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>
        <f>計算表!B86</f>
        <v>0</v>
      </c>
      <c r="C86" t="str">
        <f>計算表!C86</f>
        <v>3-元素特效</v>
      </c>
      <c r="D86" t="str">
        <f>計算表!D86</f>
        <v>聖光 特效</v>
      </c>
      <c r="E86" t="str">
        <f>計算表!E86</f>
        <v>每次命中 a% 機率觸發</v>
      </c>
      <c r="F86" t="str">
        <f>計算表!F86</f>
        <v>淨化攻擊者自身全部負面狀態</v>
      </c>
      <c r="G86">
        <f>計算表!G86</f>
        <v>20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>
        <f>計算表!B87</f>
        <v>0</v>
      </c>
      <c r="C87" t="str">
        <f>計算表!C87</f>
        <v>3-元素特效</v>
      </c>
      <c r="D87" t="str">
        <f>計算表!D87</f>
        <v>暗影 特效</v>
      </c>
      <c r="E87" t="str">
        <f>計算表!E87</f>
        <v>每次命中 a% 機率觸發</v>
      </c>
      <c r="F87" t="str">
        <f>計算表!F87</f>
        <v>汲取元素傷害的 25% 回復生命　※寫死：100%觸發、汲取元素傷害25%回復生命，無獨立可調參數。</v>
      </c>
      <c r="G87">
        <f>計算表!G87</f>
        <v>100</v>
      </c>
      <c r="H87">
        <f>計算表!H87</f>
        <v>0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>
        <f>計算表!B88</f>
        <v>0</v>
      </c>
      <c r="C88" t="str">
        <f>計算表!C88</f>
        <v>4-野外怪物</v>
      </c>
      <c r="D88" t="str">
        <f>計算表!D88</f>
        <v>生命</v>
      </c>
      <c r="E88" t="str">
        <f>計算表!E88</f>
        <v>(a+階段×b)×c^(階段-1)</v>
      </c>
      <c r="F88" t="str">
        <f>計算表!F88</f>
        <v>a=常數 b=每階 c=指數底。</v>
      </c>
      <c r="G88">
        <f>計算表!G88</f>
        <v>30</v>
      </c>
      <c r="H88">
        <f>計算表!H88</f>
        <v>20</v>
      </c>
      <c r="I88">
        <f>計算表!I88</f>
        <v>1.06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>
        <f>計算表!B89</f>
        <v>0</v>
      </c>
      <c r="C89" t="str">
        <f>計算表!C89</f>
        <v>4-野外怪物</v>
      </c>
      <c r="D89" t="str">
        <f>計算表!D89</f>
        <v>攻擊</v>
      </c>
      <c r="E89" t="str">
        <f>計算表!E89</f>
        <v>(a+階段×b)×c^(階段-1)</v>
      </c>
      <c r="F89" t="str">
        <f>計算表!F89</f>
        <v>a=常數 b=每階 c=指數底。</v>
      </c>
      <c r="G89">
        <f>計算表!G89</f>
        <v>3</v>
      </c>
      <c r="H89">
        <f>計算表!H89</f>
        <v>5</v>
      </c>
      <c r="I89">
        <f>計算表!I89</f>
        <v>1.0549999999999999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>
        <f>計算表!B90</f>
        <v>0</v>
      </c>
      <c r="C90" t="str">
        <f>計算表!C90</f>
        <v>4-野外怪物</v>
      </c>
      <c r="D90" t="str">
        <f>計算表!D90</f>
        <v>物理防禦</v>
      </c>
      <c r="E90" t="str">
        <f>計算表!E90</f>
        <v>(a+階段×b)×c^(階段-1)</v>
      </c>
      <c r="F90" t="str">
        <f>計算表!F90</f>
        <v>魔法防禦 = 物理防禦×0.75。</v>
      </c>
      <c r="G90">
        <f>計算表!G90</f>
        <v>2</v>
      </c>
      <c r="H90">
        <f>計算表!H90</f>
        <v>0.5</v>
      </c>
      <c r="I90">
        <f>計算表!I90</f>
        <v>1.06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>
        <f>計算表!B91</f>
        <v>0</v>
      </c>
      <c r="C91" t="str">
        <f>計算表!C91</f>
        <v>4-野外怪物</v>
      </c>
      <c r="D91" t="str">
        <f>計算表!D91</f>
        <v>金幣</v>
      </c>
      <c r="E91" t="str">
        <f>計算表!E91</f>
        <v>(a+階段×b)×c^(階段-1)</v>
      </c>
      <c r="F91" t="str">
        <f>計算表!F91</f>
        <v>a=常數 b=每階 c=指數底。</v>
      </c>
      <c r="G91">
        <f>計算表!G91</f>
        <v>250</v>
      </c>
      <c r="H91">
        <f>計算表!H91</f>
        <v>1</v>
      </c>
      <c r="I91">
        <f>計算表!I91</f>
        <v>1.018</v>
      </c>
      <c r="J91">
        <f>計算表!J91</f>
        <v>0</v>
      </c>
      <c r="K91">
        <f>計算表!K91</f>
        <v>0</v>
      </c>
      <c r="L91">
        <f>計算表!L91</f>
        <v>0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>
        <f>計算表!B92</f>
        <v>0</v>
      </c>
      <c r="C92" t="str">
        <f>計算表!C92</f>
        <v>4-野外怪物</v>
      </c>
      <c r="D92" t="str">
        <f>計算表!D92</f>
        <v>經驗</v>
      </c>
      <c r="E92" t="str">
        <f>計算表!E92</f>
        <v>(a+階段×b)×c^(階段-1)</v>
      </c>
      <c r="F92" t="str">
        <f>計算表!F92</f>
        <v>a=常數 b=每階 c=指數底。</v>
      </c>
      <c r="G92">
        <f>計算表!G92</f>
        <v>60</v>
      </c>
      <c r="H92">
        <f>計算表!H92</f>
        <v>1</v>
      </c>
      <c r="I92">
        <f>計算表!I92</f>
        <v>1.06</v>
      </c>
      <c r="J92">
        <f>計算表!J92</f>
        <v>0</v>
      </c>
      <c r="K92">
        <f>計算表!K92</f>
        <v>0</v>
      </c>
      <c r="L92">
        <f>計算表!L92</f>
        <v>0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>
        <f>計算表!B93</f>
        <v>0</v>
      </c>
      <c r="C93" t="str">
        <f>計算表!C93</f>
        <v>4-野外怪物</v>
      </c>
      <c r="D93" t="str">
        <f>計算表!D93</f>
        <v>攻擊速度</v>
      </c>
      <c r="E93" t="str">
        <f>計算表!E93</f>
        <v>a 次/秒</v>
      </c>
      <c r="F93" t="str">
        <f>計算表!F93</f>
        <v>a=普通怪攻速。</v>
      </c>
      <c r="G93">
        <f>計算表!G93</f>
        <v>1</v>
      </c>
      <c r="H93">
        <f>計算表!H93</f>
        <v>0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>
        <f>計算表!B94</f>
        <v>0</v>
      </c>
      <c r="C94" t="str">
        <f>計算表!C94</f>
        <v>4-野外怪物</v>
      </c>
      <c r="D94" t="str">
        <f>計算表!D94</f>
        <v>命中率</v>
      </c>
      <c r="E94" t="str">
        <f>計算表!E94</f>
        <v>a%+敵人等級×b%</v>
      </c>
      <c r="F94" t="str">
        <f>計算表!F94</f>
        <v>敵人等級=階段。實際命中率沿用戰鬥核心：clamp(命中-玩家閃避, 5, 100)。</v>
      </c>
      <c r="G94">
        <f>計算表!G94</f>
        <v>100</v>
      </c>
      <c r="H94" t="str">
        <f>計算表!H94</f>
        <v>{1~49=0.5}</v>
      </c>
      <c r="I94" t="str">
        <f>計算表!I94</f>
        <v>{50~99=0.7}</v>
      </c>
      <c r="J94" t="str">
        <f>計算表!J94</f>
        <v>{100~149=1}</v>
      </c>
      <c r="K94" t="str">
        <f>計算表!K94</f>
        <v>{150~199=1.4}</v>
      </c>
      <c r="L94" t="str">
        <f>計算表!L94</f>
        <v>{200~299=1.8}</v>
      </c>
      <c r="M94" t="str">
        <f>計算表!M94</f>
        <v>{300+=2}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>
        <f>計算表!B95</f>
        <v>0</v>
      </c>
      <c r="C95" t="str">
        <f>計算表!C95</f>
        <v>4-野外怪物</v>
      </c>
      <c r="D95" t="str">
        <f>計算表!D95</f>
        <v>閃避率</v>
      </c>
      <c r="E95" t="str">
        <f>計算表!E95</f>
        <v>a%+敵人等級×b%</v>
      </c>
      <c r="F95" t="str">
        <f>計算表!F95</f>
        <v>敵人等級=階段。實際命中率沿用戰鬥核心：clamp(閃避-玩家命中, 5, 100)。</v>
      </c>
      <c r="G95">
        <f>計算表!G95</f>
        <v>5</v>
      </c>
      <c r="H95" t="str">
        <f>計算表!H95</f>
        <v>{1~49=0.5}</v>
      </c>
      <c r="I95" t="str">
        <f>計算表!I95</f>
        <v>{50~99=0.65}</v>
      </c>
      <c r="J95" t="str">
        <f>計算表!J95</f>
        <v>{100~149=0.8}</v>
      </c>
      <c r="K95" t="str">
        <f>計算表!K95</f>
        <v>{150~199=1}</v>
      </c>
      <c r="L95" t="str">
        <f>計算表!L95</f>
        <v>{200~299=1.2}</v>
      </c>
      <c r="M95" t="str">
        <f>計算表!M95</f>
        <v>{300+=1.5}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>
        <f>計算表!B96</f>
        <v>0</v>
      </c>
      <c r="C96" t="str">
        <f>計算表!C96</f>
        <v>4-野外怪物</v>
      </c>
      <c r="D96" t="str">
        <f>計算表!D96</f>
        <v>菁英倍率</v>
      </c>
      <c r="E96" t="str">
        <f>計算表!E96</f>
        <v>生命×a 攻擊×b 金幣經驗×c 閃避d 攻速e</v>
      </c>
      <c r="F96" t="str">
        <f>計算表!F96</f>
        <v>菁英出現於階段為 10 的倍數，敵人數量與普通怪一致。</v>
      </c>
      <c r="G96">
        <f>計算表!G96</f>
        <v>5</v>
      </c>
      <c r="H96">
        <f>計算表!H96</f>
        <v>2</v>
      </c>
      <c r="I96">
        <f>計算表!I96</f>
        <v>2</v>
      </c>
      <c r="J96">
        <f>計算表!J96</f>
        <v>1.5</v>
      </c>
      <c r="K96">
        <f>計算表!K96</f>
        <v>1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>
        <f>計算表!B97</f>
        <v>0</v>
      </c>
      <c r="C97" t="str">
        <f>計算表!C97</f>
        <v>4-野外怪物</v>
      </c>
      <c r="D97" t="str">
        <f>計算表!D97</f>
        <v>野外菁英掉落倍率</v>
      </c>
      <c r="E97" t="str">
        <f>計算表!E97</f>
        <v>所有掉落 ×a</v>
      </c>
      <c r="F97" t="str">
        <f>計算表!F97</f>
        <v>菁英敵人裝備/材料/寶石/零件掉落率統一乘 a（程式實際值）。</v>
      </c>
      <c r="G97">
        <f>計算表!G97</f>
        <v>1.3</v>
      </c>
      <c r="H97">
        <f>計算表!H97</f>
        <v>0</v>
      </c>
      <c r="I97">
        <f>計算表!I97</f>
        <v>0</v>
      </c>
      <c r="J97">
        <f>計算表!J97</f>
        <v>0</v>
      </c>
      <c r="K97">
        <f>計算表!K97</f>
        <v>0</v>
      </c>
      <c r="L97">
        <f>計算表!L97</f>
        <v>0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>
        <f>計算表!B98</f>
        <v>0</v>
      </c>
      <c r="C98" t="str">
        <f>計算表!C98</f>
        <v>4-場景倍率</v>
      </c>
      <c r="D98" t="str">
        <f>計算表!D98</f>
        <v>草原</v>
      </c>
      <c r="E98" t="str">
        <f>計算表!E98</f>
        <v>（倍率）</v>
      </c>
      <c r="F98" t="str">
        <f>計算表!F98</f>
        <v>a=生命倍率 b=攻擊倍率 c=防禦倍率 d=攻速倍率 e=經驗金幣獎勵倍率</v>
      </c>
      <c r="G98">
        <f>計算表!G98</f>
        <v>1</v>
      </c>
      <c r="H98">
        <f>計算表!H98</f>
        <v>1</v>
      </c>
      <c r="I98">
        <f>計算表!I98</f>
        <v>1</v>
      </c>
      <c r="J98">
        <f>計算表!J98</f>
        <v>1</v>
      </c>
      <c r="K98">
        <f>計算表!K98</f>
        <v>1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>
        <f>計算表!B99</f>
        <v>0</v>
      </c>
      <c r="C99" t="str">
        <f>計算表!C99</f>
        <v>4-場景倍率</v>
      </c>
      <c r="D99" t="str">
        <f>計算表!D99</f>
        <v>荒漠</v>
      </c>
      <c r="E99" t="str">
        <f>計算表!E99</f>
        <v>（倍率）</v>
      </c>
      <c r="F99" t="str">
        <f>計算表!F99</f>
        <v>a=生命倍率 b=攻擊倍率 c=防禦倍率 d=攻速倍率 e=經驗金幣獎勵倍率</v>
      </c>
      <c r="G99">
        <f>計算表!G99</f>
        <v>2.2000000000000002</v>
      </c>
      <c r="H99">
        <f>計算表!H99</f>
        <v>1.8</v>
      </c>
      <c r="I99">
        <f>計算表!I99</f>
        <v>1.5</v>
      </c>
      <c r="J99">
        <f>計算表!J99</f>
        <v>1.25</v>
      </c>
      <c r="K99">
        <f>計算表!K99</f>
        <v>1.2</v>
      </c>
      <c r="L99">
        <f>計算表!L99</f>
        <v>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>
        <f>計算表!B100</f>
        <v>0</v>
      </c>
      <c r="C100" t="str">
        <f>計算表!C100</f>
        <v>4-場景倍率</v>
      </c>
      <c r="D100" t="str">
        <f>計算表!D100</f>
        <v>沼澤</v>
      </c>
      <c r="E100" t="str">
        <f>計算表!E100</f>
        <v>（倍率）</v>
      </c>
      <c r="F100" t="str">
        <f>計算表!F100</f>
        <v>a=生命倍率 b=攻擊倍率 c=防禦倍率 d=攻速倍率 e=經驗金幣獎勵倍率</v>
      </c>
      <c r="G100">
        <f>計算表!G100</f>
        <v>4.5</v>
      </c>
      <c r="H100">
        <f>計算表!H100</f>
        <v>3</v>
      </c>
      <c r="I100">
        <f>計算表!I100</f>
        <v>2.8</v>
      </c>
      <c r="J100">
        <f>計算表!J100</f>
        <v>1.5</v>
      </c>
      <c r="K100">
        <f>計算表!K100</f>
        <v>2.2000000000000002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>
        <f>計算表!B101</f>
        <v>0</v>
      </c>
      <c r="C101" t="str">
        <f>計算表!C101</f>
        <v>4-場景倍率</v>
      </c>
      <c r="D101" t="str">
        <f>計算表!D101</f>
        <v>太古戰場</v>
      </c>
      <c r="E101" t="str">
        <f>計算表!E101</f>
        <v>（倍率）</v>
      </c>
      <c r="F101" t="str">
        <f>計算表!F101</f>
        <v>a=生命倍率 b=攻擊倍率 c=防禦倍率 d=攻速倍率 e=經驗金幣獎勵倍率</v>
      </c>
      <c r="G101">
        <f>計算表!G101</f>
        <v>10</v>
      </c>
      <c r="H101">
        <f>計算表!H101</f>
        <v>5</v>
      </c>
      <c r="I101">
        <f>計算表!I101</f>
        <v>4</v>
      </c>
      <c r="J101">
        <f>計算表!J101</f>
        <v>1.75</v>
      </c>
      <c r="K101">
        <f>計算表!K101</f>
        <v>5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>
        <f>計算表!B102</f>
        <v>0</v>
      </c>
      <c r="C102" t="str">
        <f>計算表!C102</f>
        <v>4-場景倍率</v>
      </c>
      <c r="D102" t="str">
        <f>計算表!D102</f>
        <v>混沌界</v>
      </c>
      <c r="E102" t="str">
        <f>計算表!E102</f>
        <v>（倍率）</v>
      </c>
      <c r="F102" t="str">
        <f>計算表!F102</f>
        <v>a=生命倍率 b=攻擊倍率 c=防禦倍率 d=攻速倍率 e=經驗金幣獎勵倍率</v>
      </c>
      <c r="G102">
        <f>計算表!G102</f>
        <v>25</v>
      </c>
      <c r="H102">
        <f>計算表!H102</f>
        <v>10</v>
      </c>
      <c r="I102">
        <f>計算表!I102</f>
        <v>8</v>
      </c>
      <c r="J102">
        <f>計算表!J102</f>
        <v>2</v>
      </c>
      <c r="K102">
        <f>計算表!K102</f>
        <v>12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>
        <f>計算表!B103</f>
        <v>0</v>
      </c>
      <c r="C103" t="str">
        <f>計算表!C103</f>
        <v>4-場景倍率</v>
      </c>
      <c r="D103" t="str">
        <f>計算表!D103</f>
        <v>永恒神域</v>
      </c>
      <c r="E103" t="str">
        <f>計算表!E103</f>
        <v>（倍率）</v>
      </c>
      <c r="F103" t="str">
        <f>計算表!F103</f>
        <v>a=生命倍率 b=攻擊倍率 c=防禦倍率 d=攻速倍率 e=經驗金幣獎勵倍率</v>
      </c>
      <c r="G103">
        <f>計算表!G103</f>
        <v>60</v>
      </c>
      <c r="H103">
        <f>計算表!H103</f>
        <v>20</v>
      </c>
      <c r="I103">
        <f>計算表!I103</f>
        <v>15</v>
      </c>
      <c r="J103">
        <f>計算表!J103</f>
        <v>2.25</v>
      </c>
      <c r="K103">
        <f>計算表!K103</f>
        <v>25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 t="str">
        <f>計算表!B104</f>
        <v>新增</v>
      </c>
      <c r="C104" t="str">
        <f>計算表!C104</f>
        <v>4-敵人數量</v>
      </c>
      <c r="D104" t="str">
        <f>計算表!D104</f>
        <v>小怪 數量權重(草原1~20關)</v>
      </c>
      <c r="E104" t="str">
        <f>計算表!E104</f>
        <v>權重表：{數量,權重} 或 {下限~上限,權重}</v>
      </c>
      <c r="F104" t="str">
        <f>計算表!F104</f>
        <v>每波獨立擲骰。權重只看相對大小，總和不必湊 100；填 0 或留空＝不會被抽中。數量上限為棋盤總格數（見 4-戰場站位/棋盤格數）。</v>
      </c>
      <c r="G104" t="str">
        <f>計算表!G104</f>
        <v>{1~3,100}</v>
      </c>
      <c r="H104">
        <f>計算表!H104</f>
        <v>0</v>
      </c>
      <c r="I104">
        <f>計算表!I104</f>
        <v>0</v>
      </c>
      <c r="J104">
        <f>計算表!J104</f>
        <v>0</v>
      </c>
      <c r="K104">
        <f>計算表!K104</f>
        <v>0</v>
      </c>
      <c r="L104">
        <f>計算表!L104</f>
        <v>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 t="str">
        <f>計算表!B105</f>
        <v>新增</v>
      </c>
      <c r="C105" t="str">
        <f>計算表!C105</f>
        <v>4-敵人數量</v>
      </c>
      <c r="D105" t="str">
        <f>計算表!D105</f>
        <v>小怪 數量權重(草原21~40關)</v>
      </c>
      <c r="E105" t="str">
        <f>計算表!E105</f>
        <v>權重表：{數量,權重} 或 {下限~上限,權重}</v>
      </c>
      <c r="F105" t="str">
        <f>計算表!F105</f>
        <v>每波獨立擲骰。權重只看相對大小，總和不必湊 100；填 0 或留空＝不會被抽中。數量上限為棋盤總格數（見 4-戰場站位/棋盤格數）。</v>
      </c>
      <c r="G105" t="str">
        <f>計算表!G105</f>
        <v>{1~3,95}</v>
      </c>
      <c r="H105" t="str">
        <f>計算表!H105</f>
        <v>{4,5}</v>
      </c>
      <c r="I105">
        <f>計算表!I105</f>
        <v>0</v>
      </c>
      <c r="J105">
        <f>計算表!J105</f>
        <v>0</v>
      </c>
      <c r="K105">
        <f>計算表!K105</f>
        <v>0</v>
      </c>
      <c r="L105">
        <f>計算表!L105</f>
        <v>0</v>
      </c>
      <c r="M105">
        <f>計算表!M105</f>
        <v>0</v>
      </c>
      <c r="N105">
        <f>計算表!N105</f>
        <v>0</v>
      </c>
      <c r="O105">
        <f>計算表!O105</f>
        <v>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 t="str">
        <f>計算表!B106</f>
        <v>新增</v>
      </c>
      <c r="C106" t="str">
        <f>計算表!C106</f>
        <v>4-敵人數量</v>
      </c>
      <c r="D106" t="str">
        <f>計算表!D106</f>
        <v>小怪 數量權重(草原41~60關)</v>
      </c>
      <c r="E106" t="str">
        <f>計算表!E106</f>
        <v>權重表：{數量,權重} 或 {下限~上限,權重}</v>
      </c>
      <c r="F106" t="str">
        <f>計算表!F106</f>
        <v>每波獨立擲骰。權重只看相對大小，總和不必湊 100；填 0 或留空＝不會被抽中。數量上限為棋盤總格數（見 4-戰場站位/棋盤格數）。</v>
      </c>
      <c r="G106" t="str">
        <f>計算表!G106</f>
        <v>{1~3,90}</v>
      </c>
      <c r="H106" t="str">
        <f>計算表!H106</f>
        <v>{4,8}</v>
      </c>
      <c r="I106" t="str">
        <f>計算表!I106</f>
        <v>{5,2}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 t="str">
        <f>計算表!B107</f>
        <v>新增</v>
      </c>
      <c r="C107" t="str">
        <f>計算表!C107</f>
        <v>4-敵人數量</v>
      </c>
      <c r="D107" t="str">
        <f>計算表!D107</f>
        <v>小怪 數量權重(草原61~80關)</v>
      </c>
      <c r="E107" t="str">
        <f>計算表!E107</f>
        <v>權重表：{數量,權重} 或 {下限~上限,權重}</v>
      </c>
      <c r="F107" t="str">
        <f>計算表!F107</f>
        <v>每波獨立擲骰。權重只看相對大小，總和不必湊 100；填 0 或留空＝不會被抽中。數量上限為棋盤總格數（見 4-戰場站位/棋盤格數）。</v>
      </c>
      <c r="G107" t="str">
        <f>計算表!G107</f>
        <v>{1~3,88}</v>
      </c>
      <c r="H107" t="str">
        <f>計算表!H107</f>
        <v>{4,8}</v>
      </c>
      <c r="I107" t="str">
        <f>計算表!I107</f>
        <v>{5,3}</v>
      </c>
      <c r="J107" t="str">
        <f>計算表!J107</f>
        <v>{6,1}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 t="str">
        <f>計算表!B108</f>
        <v>新增</v>
      </c>
      <c r="C108" t="str">
        <f>計算表!C108</f>
        <v>4-敵人數量</v>
      </c>
      <c r="D108" t="str">
        <f>計算表!D108</f>
        <v>小怪 數量權重(草原81~100關)</v>
      </c>
      <c r="E108" t="str">
        <f>計算表!E108</f>
        <v>權重表：{數量,權重} 或 {下限~上限,權重}</v>
      </c>
      <c r="F108" t="str">
        <f>計算表!F108</f>
        <v>每波獨立擲骰。權重只看相對大小，總和不必湊 100；填 0 或留空＝不會被抽中。數量上限為棋盤總格數（見 4-戰場站位/棋盤格數）。</v>
      </c>
      <c r="G108" t="str">
        <f>計算表!G108</f>
        <v>{1~3,64}</v>
      </c>
      <c r="H108" t="str">
        <f>計算表!H108</f>
        <v>{4,20}</v>
      </c>
      <c r="I108" t="str">
        <f>計算表!I108</f>
        <v>{5,10}</v>
      </c>
      <c r="J108" t="str">
        <f>計算表!J108</f>
        <v>{6,5}</v>
      </c>
      <c r="K108" t="str">
        <f>計算表!K108</f>
        <v>{7~9,1}</v>
      </c>
      <c r="L108">
        <f>計算表!L108</f>
        <v>0</v>
      </c>
      <c r="M108">
        <f>計算表!M108</f>
        <v>0</v>
      </c>
      <c r="N108">
        <f>計算表!N108</f>
        <v>0</v>
      </c>
      <c r="O108">
        <f>計算表!O108</f>
        <v>0</v>
      </c>
      <c r="P108">
        <f>計算表!P108</f>
        <v>0</v>
      </c>
      <c r="Q108">
        <f>計算表!Q108</f>
        <v>0</v>
      </c>
      <c r="R108">
        <f>計算表!R108</f>
        <v>0</v>
      </c>
    </row>
    <row r="109" spans="1:18" x14ac:dyDescent="0.25">
      <c r="A109">
        <f>計算表!A109</f>
        <v>108</v>
      </c>
      <c r="B109">
        <f>計算表!B109</f>
        <v>0</v>
      </c>
      <c r="C109" t="str">
        <f>計算表!C109</f>
        <v>4-敵人數量</v>
      </c>
      <c r="D109" t="str">
        <f>計算表!D109</f>
        <v>小怪 數量權重</v>
      </c>
      <c r="E109" t="str">
        <f>計算表!E109</f>
        <v>權重表：{數量,權重} 或 {下限~上限,權重}</v>
      </c>
      <c r="F109" t="str">
        <f>計算表!F109</f>
        <v>每波獨立擲骰。權重只看相對大小，總和不必湊 100；填 0 或留空＝不會被抽中。數量上限為棋盤總格數（見 4-戰場站位/棋盤格數）。</v>
      </c>
      <c r="G109" t="str">
        <f>計算表!G109</f>
        <v>{1~3,5}</v>
      </c>
      <c r="H109" t="str">
        <f>計算表!H109</f>
        <v>{4,8}</v>
      </c>
      <c r="I109" t="str">
        <f>計算表!I109</f>
        <v>{5,10}</v>
      </c>
      <c r="J109" t="str">
        <f>計算表!J109</f>
        <v>{6,20}</v>
      </c>
      <c r="K109" t="str">
        <f>計算表!K109</f>
        <v>{7~9,10}</v>
      </c>
      <c r="L109" t="str">
        <f>計算表!L109</f>
        <v>{10~11,5}</v>
      </c>
      <c r="M109" t="str">
        <f>計算表!M109</f>
        <v>{12,4}</v>
      </c>
      <c r="N109" t="str">
        <f>計算表!N109</f>
        <v>{13,3}</v>
      </c>
      <c r="O109" t="str">
        <f>計算表!O109</f>
        <v>{14,2}</v>
      </c>
      <c r="P109" t="str">
        <f>計算表!P109</f>
        <v>{15,1}</v>
      </c>
      <c r="Q109" t="str">
        <f>計算表!Q109</f>
        <v>{16,0.5}</v>
      </c>
      <c r="R109">
        <f>計算表!R109</f>
        <v>0</v>
      </c>
    </row>
    <row r="110" spans="1:18" x14ac:dyDescent="0.25">
      <c r="A110">
        <f>計算表!A110</f>
        <v>109</v>
      </c>
      <c r="B110">
        <f>計算表!B110</f>
        <v>0</v>
      </c>
      <c r="C110" t="str">
        <f>計算表!C110</f>
        <v>4-敵人數量</v>
      </c>
      <c r="D110" t="str">
        <f>計算表!D110</f>
        <v>菁英 數量權重</v>
      </c>
      <c r="E110" t="str">
        <f>計算表!E110</f>
        <v>權重表：{數量,權重} 或 {下限~上限,權重}</v>
      </c>
      <c r="F110" t="str">
        <f>計算表!F110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10" t="str">
        <f>計算表!G110</f>
        <v>{1,60}</v>
      </c>
      <c r="H110" t="str">
        <f>計算表!H110</f>
        <v>{2,30}</v>
      </c>
      <c r="I110" t="str">
        <f>計算表!I110</f>
        <v>{3,10}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>
        <f>計算表!B111</f>
        <v>0</v>
      </c>
      <c r="C111" t="str">
        <f>計算表!C111</f>
        <v>4-敵人數量</v>
      </c>
      <c r="D111" t="str">
        <f>計算表!D111</f>
        <v>BOSS 數量權重</v>
      </c>
      <c r="E111" t="str">
        <f>計算表!E111</f>
        <v>權重表：{數量,權重} 或 {下限~上限,權重}</v>
      </c>
      <c r="F111" t="str">
        <f>計算表!F111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11" t="str">
        <f>計算表!G111</f>
        <v>{1,100}</v>
      </c>
      <c r="H111">
        <f>計算表!H111</f>
        <v>0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>
        <f>計算表!B112</f>
        <v>0</v>
      </c>
      <c r="C112" t="str">
        <f>計算表!C112</f>
        <v>4-戰場站位</v>
      </c>
      <c r="D112" t="str">
        <f>計算表!D112</f>
        <v>棋盤格數</v>
      </c>
      <c r="E112" t="str">
        <f>計算表!E112</f>
        <v>敵方 a 行 × b 列</v>
      </c>
      <c r="F112" t="str">
        <f>計算表!F112</f>
        <v>a=行數（由左至右；越右離我方越遠）b=列數。我方視為棋盤左側的單一單位。</v>
      </c>
      <c r="G112">
        <f>計算表!G112</f>
        <v>4</v>
      </c>
      <c r="H112">
        <f>計算表!H112</f>
        <v>4</v>
      </c>
      <c r="I112">
        <f>計算表!I112</f>
        <v>0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>
        <f>計算表!B113</f>
        <v>0</v>
      </c>
      <c r="C113" t="str">
        <f>計算表!C113</f>
        <v>4-戰場站位</v>
      </c>
      <c r="D113" t="str">
        <f>計算表!D113</f>
        <v>距離規則</v>
      </c>
      <c r="E113" t="str">
        <f>計算表!E113</f>
        <v>距離 = a×(行-1) + (中央列 ? b : c)</v>
      </c>
      <c r="F113" t="str">
        <f>計算表!F113</f>
        <v>數字越小越近。普攻與技能都以此挑最近目標；同距離隨機挑一個；鎖定後直到目標死亡才換。</v>
      </c>
      <c r="G113">
        <f>計算表!G113</f>
        <v>2</v>
      </c>
      <c r="H113">
        <f>計算表!H113</f>
        <v>1</v>
      </c>
      <c r="I113">
        <f>計算表!I113</f>
        <v>2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>
        <f>計算表!B114</f>
        <v>0</v>
      </c>
      <c r="C114" t="str">
        <f>計算表!C114</f>
        <v>4-戰場站位</v>
      </c>
      <c r="D114" t="str">
        <f>計算表!D114</f>
        <v>BOSS 佔格</v>
      </c>
      <c r="E114" t="str">
        <f>計算表!E114</f>
        <v>a 行 × b 列</v>
      </c>
      <c r="F114" t="str">
        <f>計算表!F114</f>
        <v>BOSS 佔多格；受範圍傷害仍只算命中 1 次。棋盤放不下時自動退回 1×1。</v>
      </c>
      <c r="G114">
        <f>計算表!G114</f>
        <v>2</v>
      </c>
      <c r="H114">
        <f>計算表!H114</f>
        <v>2</v>
      </c>
      <c r="I114">
        <f>計算表!I114</f>
        <v>0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>
        <f>計算表!B115</f>
        <v>0</v>
      </c>
      <c r="C115" t="str">
        <f>計算表!C115</f>
        <v>4-野外BOSS</v>
      </c>
      <c r="D115" t="str">
        <f>計算表!D115</f>
        <v>出現階段</v>
      </c>
      <c r="E115" t="str">
        <f>計算表!E115</f>
        <v>每 a 階出現一次</v>
      </c>
      <c r="F115" t="str">
        <f>計算表!F115</f>
        <v>野外 BOSS 出現於階段為 a 的倍數；與菁英階段重疊時 BOSS 優先。固定單一敵人。</v>
      </c>
      <c r="G115">
        <f>計算表!G115</f>
        <v>50</v>
      </c>
      <c r="H115">
        <f>計算表!H115</f>
        <v>0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>
        <f>計算表!B116</f>
        <v>0</v>
      </c>
      <c r="C116" t="str">
        <f>計算表!C116</f>
        <v>4-野外BOSS</v>
      </c>
      <c r="D116" t="str">
        <f>計算表!D116</f>
        <v>數值倍率</v>
      </c>
      <c r="E116" t="str">
        <f>計算表!E116</f>
        <v>生命×a 攻擊×b 防禦×c 金幣經驗×d 閃避+e 攻速f</v>
      </c>
      <c r="F116" t="str">
        <f>計算表!F116</f>
        <v>相對於同階段普通怪。e=閃避加成（百分點）f=攻速絕對值（次/秒）。BOSS 免疫控場遞減。</v>
      </c>
      <c r="G116">
        <f>計算表!G116</f>
        <v>20</v>
      </c>
      <c r="H116">
        <f>計算表!H116</f>
        <v>6</v>
      </c>
      <c r="I116">
        <f>計算表!I116</f>
        <v>4</v>
      </c>
      <c r="J116">
        <f>計算表!J116</f>
        <v>12</v>
      </c>
      <c r="K116">
        <f>計算表!K116</f>
        <v>5</v>
      </c>
      <c r="L116">
        <f>計算表!L116</f>
        <v>1.2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>
        <f>計算表!B117</f>
        <v>0</v>
      </c>
      <c r="C117" t="str">
        <f>計算表!C117</f>
        <v>4-野外BOSS</v>
      </c>
      <c r="D117" t="str">
        <f>計算表!D117</f>
        <v>掉落倍率</v>
      </c>
      <c r="E117" t="str">
        <f>計算表!E117</f>
        <v>所有掉落 ×a</v>
      </c>
      <c r="F117" t="str">
        <f>計算表!F117</f>
        <v>BOSS 的裝備/材料/寶石/零件掉落率統一乘 a（比照野外菁英掉落倍率）。</v>
      </c>
      <c r="G117">
        <f>計算表!G117</f>
        <v>3</v>
      </c>
      <c r="H117">
        <f>計算表!H117</f>
        <v>0</v>
      </c>
      <c r="I117">
        <f>計算表!I117</f>
        <v>0</v>
      </c>
      <c r="J117">
        <f>計算表!J117</f>
        <v>0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>
        <f>計算表!B118</f>
        <v>0</v>
      </c>
      <c r="C118" t="str">
        <f>計算表!C118</f>
        <v>4-場景倍率</v>
      </c>
      <c r="D118" t="str">
        <f>計算表!D118</f>
        <v>草原</v>
      </c>
      <c r="E118" t="str">
        <f>計算表!E118</f>
        <v>（查表）</v>
      </c>
      <c r="F118" t="str">
        <f>計算表!F118</f>
        <v>a=生命 b=攻擊 c=防禦 d=攻速 e=經驗/金幣/材料倍率 f=解鎖條件。裝備掉落表不受場景倍率影響。</v>
      </c>
      <c r="G118">
        <f>計算表!G118</f>
        <v>1</v>
      </c>
      <c r="H118">
        <f>計算表!H118</f>
        <v>1</v>
      </c>
      <c r="I118">
        <f>計算表!I118</f>
        <v>1</v>
      </c>
      <c r="J118">
        <f>計算表!J118</f>
        <v>1</v>
      </c>
      <c r="K118">
        <f>計算表!K118</f>
        <v>1</v>
      </c>
      <c r="L118" t="str">
        <f>計算表!L118</f>
        <v>—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>
        <f>計算表!B119</f>
        <v>0</v>
      </c>
      <c r="C119" t="str">
        <f>計算表!C119</f>
        <v>4-場景倍率</v>
      </c>
      <c r="D119" t="str">
        <f>計算表!D119</f>
        <v>荒漠</v>
      </c>
      <c r="E119" t="str">
        <f>計算表!E119</f>
        <v>（查表）</v>
      </c>
      <c r="F119" t="str">
        <f>計算表!F119</f>
        <v>a=生命 b=攻擊 c=防禦 d=攻速 e=經驗/金幣/材料倍率 f=解鎖條件。裝備掉落表不受場景倍率影響。</v>
      </c>
      <c r="G119">
        <f>計算表!G119</f>
        <v>2.2000000000000002</v>
      </c>
      <c r="H119">
        <f>計算表!H119</f>
        <v>1.8</v>
      </c>
      <c r="I119">
        <f>計算表!I119</f>
        <v>1.6</v>
      </c>
      <c r="J119">
        <f>計算表!J119</f>
        <v>1.5</v>
      </c>
      <c r="K119">
        <f>計算表!K119</f>
        <v>1.25</v>
      </c>
      <c r="L119" t="str">
        <f>計算表!L119</f>
        <v>草原最高 100 階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>
        <f>計算表!B120</f>
        <v>0</v>
      </c>
      <c r="C120" t="str">
        <f>計算表!C120</f>
        <v>4-場景倍率</v>
      </c>
      <c r="D120" t="str">
        <f>計算表!D120</f>
        <v>沼澤</v>
      </c>
      <c r="E120" t="str">
        <f>計算表!E120</f>
        <v>（查表）</v>
      </c>
      <c r="F120" t="str">
        <f>計算表!F120</f>
        <v>a=生命 b=攻擊 c=防禦 d=攻速 e=經驗/金幣/材料倍率 f=解鎖條件。裝備掉落表不受場景倍率影響。</v>
      </c>
      <c r="G120">
        <f>計算表!G120</f>
        <v>4</v>
      </c>
      <c r="H120">
        <f>計算表!H120</f>
        <v>2.8</v>
      </c>
      <c r="I120">
        <f>計算表!I120</f>
        <v>2.4</v>
      </c>
      <c r="J120">
        <f>計算表!J120</f>
        <v>2</v>
      </c>
      <c r="K120">
        <f>計算表!K120</f>
        <v>1.5</v>
      </c>
      <c r="L120" t="str">
        <f>計算表!L120</f>
        <v>荒漠最高 100 階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>
        <f>計算表!B121</f>
        <v>0</v>
      </c>
      <c r="C121" t="str">
        <f>計算表!C121</f>
        <v>4-高塔BOSS</v>
      </c>
      <c r="D121" t="str">
        <f>計算表!D121</f>
        <v>對應野外階段</v>
      </c>
      <c r="E121" t="str">
        <f>計算表!E121</f>
        <v>a+樓層×b（試煉a、b｜地獄c、d｜煉獄e、f）</v>
      </c>
      <c r="F121" t="str">
        <f>計算表!F121</f>
        <v>各塔獨立：試煉用a、b，地獄用c、d，煉獄用e、f。以此階段的野外怪為基準。</v>
      </c>
      <c r="G121">
        <f>計算表!G121</f>
        <v>4</v>
      </c>
      <c r="H121">
        <f>計算表!H121</f>
        <v>5</v>
      </c>
      <c r="I121">
        <f>計算表!I121</f>
        <v>4</v>
      </c>
      <c r="J121">
        <f>計算表!J121</f>
        <v>5</v>
      </c>
      <c r="K121">
        <f>計算表!K121</f>
        <v>4</v>
      </c>
      <c r="L121">
        <f>計算表!L121</f>
        <v>5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>
        <f>計算表!B122</f>
        <v>0</v>
      </c>
      <c r="C122" t="str">
        <f>計算表!C122</f>
        <v>4-高塔BOSS</v>
      </c>
      <c r="D122" t="str">
        <f>計算表!D122</f>
        <v>BOSS 等級</v>
      </c>
      <c r="E122" t="str">
        <f>計算表!E122</f>
        <v>對應階段+a（試煉a｜地獄b｜煉獄c）</v>
      </c>
      <c r="F122" t="str">
        <f>計算表!F122</f>
        <v>各塔獨立等級加值：a=試煉 b=地獄 c=煉獄。</v>
      </c>
      <c r="G122">
        <f>計算表!G122</f>
        <v>3</v>
      </c>
      <c r="H122">
        <f>計算表!H122</f>
        <v>3</v>
      </c>
      <c r="I122">
        <f>計算表!I122</f>
        <v>3</v>
      </c>
      <c r="J122">
        <f>計算表!J122</f>
        <v>0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>
        <f>計算表!B123</f>
        <v>0</v>
      </c>
      <c r="C123" t="str">
        <f>計算表!C123</f>
        <v>4-高塔BOSS</v>
      </c>
      <c r="D123" t="str">
        <f>計算表!D123</f>
        <v>命中率</v>
      </c>
      <c r="E123" t="str">
        <f>計算表!E123</f>
        <v>a%+樓層×b%（試煉a、b｜地獄c、d｜煉獄e、f）</v>
      </c>
      <c r="F123" t="str">
        <f>計算表!F123</f>
        <v>各塔獨立：試煉用a、b，地獄用c、d，煉獄用e、f。實際命中率沿用戰鬥核心：clamp(命中-玩家閃避, 5, 100)。</v>
      </c>
      <c r="G123">
        <f>計算表!G123</f>
        <v>200</v>
      </c>
      <c r="H123">
        <f>計算表!H123</f>
        <v>70</v>
      </c>
      <c r="I123">
        <f>計算表!I123</f>
        <v>200</v>
      </c>
      <c r="J123">
        <f>計算表!J123</f>
        <v>70</v>
      </c>
      <c r="K123">
        <f>計算表!K123</f>
        <v>200</v>
      </c>
      <c r="L123">
        <f>計算表!L123</f>
        <v>70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>
        <f>計算表!B124</f>
        <v>0</v>
      </c>
      <c r="C124" t="str">
        <f>計算表!C124</f>
        <v>4-高塔BOSS</v>
      </c>
      <c r="D124" t="str">
        <f>計算表!D124</f>
        <v>挑戰金幣消耗</v>
      </c>
      <c r="E124" t="str">
        <f>計算表!E124</f>
        <v>round(a×樓層^b)</v>
      </c>
      <c r="F124" t="str">
        <f>計算表!F124</f>
        <v>開始挑戰前扣除，失敗或撤退不退回。</v>
      </c>
      <c r="G124" t="str">
        <f>計算表!G124</f>
        <v>{1~50,a=10000,b=1.8}</v>
      </c>
      <c r="H124" t="str">
        <f>計算表!H124</f>
        <v>{51~100,a=50000,b=2}</v>
      </c>
      <c r="I124" t="str">
        <f>計算表!I124</f>
        <v>{101~150,a=100000,b=2.2}</v>
      </c>
      <c r="J124">
        <f>計算表!J124</f>
        <v>0</v>
      </c>
      <c r="K124">
        <f>計算表!K124</f>
        <v>0</v>
      </c>
      <c r="L124">
        <f>計算表!L124</f>
        <v>0</v>
      </c>
      <c r="M124">
        <f>計算表!M124</f>
        <v>0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>
        <f>計算表!B125</f>
        <v>0</v>
      </c>
      <c r="C125" t="str">
        <f>計算表!C125</f>
        <v>4-高塔BOSS</v>
      </c>
      <c r="D125" t="str">
        <f>計算表!D125</f>
        <v>生命</v>
      </c>
      <c r="E125" t="str">
        <f>計算表!E125</f>
        <v>基準生命×a（試煉a｜地獄b｜煉獄c）</v>
      </c>
      <c r="F125" t="str">
        <f>計算表!F125</f>
        <v>各塔獨立總倍率（直接乘基準生命、不再鏈乘）：a=試煉 b=地獄 c=煉獄。</v>
      </c>
      <c r="G125">
        <f>計算表!G125</f>
        <v>20</v>
      </c>
      <c r="H125">
        <f>計算表!H125</f>
        <v>400</v>
      </c>
      <c r="I125">
        <f>計算表!I125</f>
        <v>4000</v>
      </c>
      <c r="J125">
        <f>計算表!J125</f>
        <v>0</v>
      </c>
      <c r="K125">
        <f>計算表!K125</f>
        <v>0</v>
      </c>
      <c r="L125">
        <f>計算表!L125</f>
        <v>0</v>
      </c>
      <c r="M125">
        <f>計算表!M125</f>
        <v>0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>
        <f>計算表!B126</f>
        <v>0</v>
      </c>
      <c r="C126" t="str">
        <f>計算表!C126</f>
        <v>4-高塔BOSS</v>
      </c>
      <c r="D126" t="str">
        <f>計算表!D126</f>
        <v>攻擊</v>
      </c>
      <c r="E126" t="str">
        <f>計算表!E126</f>
        <v>基準攻擊×a（試煉a｜地獄b｜煉獄c）</v>
      </c>
      <c r="F126" t="str">
        <f>計算表!F126</f>
        <v>各塔獨立總倍率（直接乘基準攻擊、不再鏈乘）：a=試煉 b=地獄 c=煉獄。</v>
      </c>
      <c r="G126">
        <f>計算表!G126</f>
        <v>3</v>
      </c>
      <c r="H126">
        <f>計算表!H126</f>
        <v>15</v>
      </c>
      <c r="I126">
        <f>計算表!I126</f>
        <v>75</v>
      </c>
      <c r="J126">
        <f>計算表!J126</f>
        <v>0</v>
      </c>
      <c r="K126">
        <f>計算表!K126</f>
        <v>0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>
        <f>計算表!B127</f>
        <v>0</v>
      </c>
      <c r="C127" t="str">
        <f>計算表!C127</f>
        <v>4-高塔BOSS</v>
      </c>
      <c r="D127" t="str">
        <f>計算表!D127</f>
        <v>物/魔防</v>
      </c>
      <c r="E127" t="str">
        <f>計算表!E127</f>
        <v>基準物/魔防×a（試煉a｜地獄b｜煉獄c）</v>
      </c>
      <c r="F127" t="str">
        <f>計算表!F127</f>
        <v>各塔獨立防禦倍率：a=試煉 b=地獄 c=煉獄。</v>
      </c>
      <c r="G127">
        <f>計算表!G127</f>
        <v>10</v>
      </c>
      <c r="H127">
        <f>計算表!H127</f>
        <v>10</v>
      </c>
      <c r="I127">
        <f>計算表!I127</f>
        <v>10</v>
      </c>
      <c r="J127">
        <f>計算表!J127</f>
        <v>0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>
        <f>計算表!B128</f>
        <v>0</v>
      </c>
      <c r="C128" t="str">
        <f>計算表!C128</f>
        <v>4-高塔BOSS</v>
      </c>
      <c r="D128" t="str">
        <f>計算表!D128</f>
        <v>攻速 / 控制抵抗</v>
      </c>
      <c r="E128" t="str">
        <f>計算表!E128</f>
        <v>攻速a 次/秒；控制抵抗b%（試煉a、b｜地獄c、d｜煉獄e、f）</v>
      </c>
      <c r="F128" t="str">
        <f>計算表!F128</f>
        <v>各塔獨立：試煉用a、b，地獄用c、d，煉獄用e、f。</v>
      </c>
      <c r="G128">
        <f>計算表!G128</f>
        <v>3</v>
      </c>
      <c r="H128">
        <f>計算表!H128</f>
        <v>70</v>
      </c>
      <c r="I128">
        <f>計算表!I128</f>
        <v>3</v>
      </c>
      <c r="J128">
        <f>計算表!J128</f>
        <v>70</v>
      </c>
      <c r="K128">
        <f>計算表!K128</f>
        <v>3</v>
      </c>
      <c r="L128">
        <f>計算表!L128</f>
        <v>70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>
        <f>計算表!B129</f>
        <v>0</v>
      </c>
      <c r="C129" t="str">
        <f>計算表!C129</f>
        <v>4-高塔BOSS</v>
      </c>
      <c r="D129" t="str">
        <f>計算表!D129</f>
        <v>閃避率</v>
      </c>
      <c r="E129" t="str">
        <f>計算表!E129</f>
        <v>min(a+樓層*c, b)%（試煉a~c｜地獄d~f｜煉獄g~i）</v>
      </c>
      <c r="F129" t="str">
        <f>計算表!F129</f>
        <v>各塔獨立：a/d/g=基礎 b/e/h=上限 c/f/i=加乘值。</v>
      </c>
      <c r="G129">
        <f>計算表!G129</f>
        <v>20</v>
      </c>
      <c r="H129">
        <f>計算表!H129</f>
        <v>10000000</v>
      </c>
      <c r="I129">
        <f>計算表!I129</f>
        <v>40</v>
      </c>
      <c r="J129">
        <f>計算表!J129</f>
        <v>20</v>
      </c>
      <c r="K129">
        <f>計算表!K129</f>
        <v>10000000</v>
      </c>
      <c r="L129">
        <f>計算表!L129</f>
        <v>40</v>
      </c>
      <c r="M129">
        <f>計算表!M129</f>
        <v>20</v>
      </c>
      <c r="N129">
        <f>計算表!N129</f>
        <v>10000000</v>
      </c>
      <c r="O129">
        <f>計算表!O129</f>
        <v>40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>
        <f>計算表!B130</f>
        <v>0</v>
      </c>
      <c r="C130" t="str">
        <f>計算表!C130</f>
        <v>4-高塔BOSS</v>
      </c>
      <c r="D130" t="str">
        <f>計算表!D130</f>
        <v>元素附傷(元素 BOSS)</v>
      </c>
      <c r="E130" t="str">
        <f>計算表!E130</f>
        <v>總魔攻×a（試煉a｜地獄b｜煉獄c）</v>
      </c>
      <c r="F130" t="str">
        <f>計算表!F130</f>
        <v>各塔獨立係數：a=試煉 b=地獄 c=煉獄。以魔法攻擊結算。</v>
      </c>
      <c r="G130">
        <f>計算表!G130</f>
        <v>3</v>
      </c>
      <c r="H130">
        <f>計算表!H130</f>
        <v>3</v>
      </c>
      <c r="I130">
        <f>計算表!I130</f>
        <v>3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>
        <f>計算表!B131</f>
        <v>0</v>
      </c>
      <c r="C131" t="str">
        <f>計算表!C131</f>
        <v>4-高塔BOSS</v>
      </c>
      <c r="D131" t="str">
        <f>計算表!D131</f>
        <v>經驗</v>
      </c>
      <c r="E131" t="str">
        <f>計算表!E131</f>
        <v>建議野外階段普通怪經驗×a（試煉a｜地獄b｜煉獄c）</v>
      </c>
      <c r="F131" t="str">
        <f>計算表!F131</f>
        <v>各塔獨立倍率：a=試煉 b=地獄 c=煉獄。再套用玩家經驗加成。</v>
      </c>
      <c r="G131">
        <f>計算表!G131</f>
        <v>2</v>
      </c>
      <c r="H131">
        <f>計算表!H131</f>
        <v>2</v>
      </c>
      <c r="I131">
        <f>計算表!I131</f>
        <v>2</v>
      </c>
      <c r="J131">
        <f>計算表!J131</f>
        <v>0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>
        <f>計算表!B132</f>
        <v>0</v>
      </c>
      <c r="C132" t="str">
        <f>計算表!C132</f>
        <v>4-高塔BOSS</v>
      </c>
      <c r="D132" t="str">
        <f>計算表!D132</f>
        <v>戰鬥規則</v>
      </c>
      <c r="E132" t="str">
        <f>計算表!E132</f>
        <v>限時a秒；b秒檢查狂暴（血量&gt;50%+狂暴閾值→傷害×c）；每d秒蓄力重擊×2.2（試煉a~d｜地獄e~h｜煉獄i~l）</v>
      </c>
      <c r="F132" t="str">
        <f>計算表!F132</f>
        <v>各塔獨立：試煉a~d、地獄e~h、煉獄i~l；每組依序＝限時、狂暴檢查、狂暴傷害倍率、蓄力周期。</v>
      </c>
      <c r="G132">
        <f>計算表!G132</f>
        <v>60</v>
      </c>
      <c r="H132">
        <f>計算表!H132</f>
        <v>40</v>
      </c>
      <c r="I132">
        <f>計算表!I132</f>
        <v>3</v>
      </c>
      <c r="J132">
        <f>計算表!J132</f>
        <v>8</v>
      </c>
      <c r="K132">
        <f>計算表!K132</f>
        <v>60</v>
      </c>
      <c r="L132">
        <f>計算表!L132</f>
        <v>40</v>
      </c>
      <c r="M132">
        <f>計算表!M132</f>
        <v>3</v>
      </c>
      <c r="N132">
        <f>計算表!N132</f>
        <v>8</v>
      </c>
      <c r="O132">
        <f>計算表!O132</f>
        <v>60</v>
      </c>
      <c r="P132">
        <f>計算表!P132</f>
        <v>40</v>
      </c>
      <c r="Q132">
        <f>計算表!Q132</f>
        <v>3</v>
      </c>
      <c r="R132">
        <f>計算表!R132</f>
        <v>8</v>
      </c>
    </row>
    <row r="133" spans="1:18" x14ac:dyDescent="0.25">
      <c r="A133">
        <f>計算表!A133</f>
        <v>132</v>
      </c>
      <c r="B133">
        <f>計算表!B133</f>
        <v>0</v>
      </c>
      <c r="C133" t="str">
        <f>計算表!C133</f>
        <v>4-高塔BOSS</v>
      </c>
      <c r="D133" t="str">
        <f>計算表!D133</f>
        <v>地獄之塔範圍</v>
      </c>
      <c r="E133" t="str">
        <f>計算表!E133</f>
        <v>第a~b層</v>
      </c>
      <c r="F133" t="str">
        <f>計算表!F133</f>
        <v>a=起始層 b=結束層（100 層後未開放）。生命×5、攻擊×2。</v>
      </c>
      <c r="G133">
        <f>計算表!G133</f>
        <v>51</v>
      </c>
      <c r="H133">
        <f>計算表!H133</f>
        <v>100</v>
      </c>
      <c r="I133">
        <f>計算表!I133</f>
        <v>0</v>
      </c>
      <c r="J133">
        <f>計算表!J133</f>
        <v>0</v>
      </c>
      <c r="K133">
        <f>計算表!K133</f>
        <v>0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>
        <f>計算表!B134</f>
        <v>0</v>
      </c>
      <c r="C134" t="str">
        <f>計算表!C134</f>
        <v>4-高塔BOSS</v>
      </c>
      <c r="D134" t="str">
        <f>計算表!D134</f>
        <v>試煉之塔範圍</v>
      </c>
      <c r="E134" t="str">
        <f>計算表!E134</f>
        <v>第a~b層</v>
      </c>
      <c r="F134" t="str">
        <f>計算表!F134</f>
        <v>a=起始層 b=結束層。</v>
      </c>
      <c r="G134">
        <f>計算表!G134</f>
        <v>1</v>
      </c>
      <c r="H134">
        <f>計算表!H134</f>
        <v>50</v>
      </c>
      <c r="I134">
        <f>計算表!I134</f>
        <v>0</v>
      </c>
      <c r="J134">
        <f>計算表!J134</f>
        <v>0</v>
      </c>
      <c r="K134">
        <f>計算表!K134</f>
        <v>0</v>
      </c>
      <c r="L134">
        <f>計算表!L134</f>
        <v>0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>
        <f>計算表!B135</f>
        <v>0</v>
      </c>
      <c r="C135" t="str">
        <f>計算表!C135</f>
        <v>4-高塔BOSS</v>
      </c>
      <c r="D135" t="str">
        <f>計算表!D135</f>
        <v>魔魂本源(地獄之塔)</v>
      </c>
      <c r="E135" t="str">
        <f>計算表!E135</f>
        <v>min(100, a% + (樓層-51)×b%)</v>
      </c>
      <c r="F135" t="str">
        <f>計算表!F135</f>
        <v>僅地獄之塔；獨立判定 1 顆。</v>
      </c>
      <c r="G135">
        <f>計算表!G135</f>
        <v>5</v>
      </c>
      <c r="H135">
        <f>計算表!H135</f>
        <v>1</v>
      </c>
      <c r="I135">
        <f>計算表!I135</f>
        <v>0</v>
      </c>
      <c r="J135">
        <f>計算表!J135</f>
        <v>0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>
        <f>計算表!B136</f>
        <v>0</v>
      </c>
      <c r="C136" t="str">
        <f>計算表!C136</f>
        <v>4-高塔BOSS</v>
      </c>
      <c r="D136" t="str">
        <f>計算表!D136</f>
        <v>魔種(煉獄之塔)</v>
      </c>
      <c r="E136" t="str">
        <f>計算表!E136</f>
        <v>min(a%, b% + (BOSS層數-101)×c%)</v>
      </c>
      <c r="F136" t="str">
        <f>計算表!F136</f>
        <v>煉獄之塔 101~150 層 BOSS 額外掉落魔種；每場獨立判定。</v>
      </c>
      <c r="G136">
        <f>計算表!G136</f>
        <v>100</v>
      </c>
      <c r="H136">
        <f>計算表!H136</f>
        <v>10</v>
      </c>
      <c r="I136">
        <f>計算表!I136</f>
        <v>2</v>
      </c>
      <c r="J136">
        <f>計算表!J136</f>
        <v>0</v>
      </c>
      <c r="K136">
        <f>計算表!K136</f>
        <v>0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>
        <f>計算表!B137</f>
        <v>0</v>
      </c>
      <c r="C137" t="str">
        <f>計算表!C137</f>
        <v>4-高塔BOSS</v>
      </c>
      <c r="D137" t="str">
        <f>計算表!D137</f>
        <v>高塔 BOSS 魔塵</v>
      </c>
      <c r="E137" t="str">
        <f>計算表!E137</f>
        <v>min(a%, b% + 樓層×c%)</v>
      </c>
      <c r="F137" t="str">
        <f>計算表!F137</f>
        <v>a=上限 b=基礎 c=每層。</v>
      </c>
      <c r="G137">
        <f>計算表!G137</f>
        <v>30</v>
      </c>
      <c r="H137">
        <f>計算表!H137</f>
        <v>2</v>
      </c>
      <c r="I137">
        <f>計算表!I137</f>
        <v>0.2</v>
      </c>
      <c r="J137">
        <f>計算表!J137</f>
        <v>0</v>
      </c>
      <c r="K137">
        <f>計算表!K137</f>
        <v>0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>
        <f>計算表!B138</f>
        <v>0</v>
      </c>
      <c r="C138" t="str">
        <f>計算表!C138</f>
        <v>4-高塔BOSS</v>
      </c>
      <c r="D138" t="str">
        <f>計算表!D138</f>
        <v>試練之塔範圍</v>
      </c>
      <c r="E138" t="str">
        <f>計算表!E138</f>
        <v>{試煉之塔：第a~b層}{地獄之塔：第a~b層}{煉獄之塔：第a~b層}</v>
      </c>
      <c r="F138" t="str">
        <f>計算表!F138</f>
        <v>a=起始層 b=結束層。</v>
      </c>
      <c r="G138" t="str">
        <f>計算表!G138</f>
        <v>{1~50}</v>
      </c>
      <c r="H138" t="str">
        <f>計算表!H138</f>
        <v>{51~100}</v>
      </c>
      <c r="I138" t="str">
        <f>計算表!I138</f>
        <v>{101~150}</v>
      </c>
      <c r="J138">
        <f>計算表!J138</f>
        <v>0</v>
      </c>
      <c r="K138">
        <f>計算表!K138</f>
        <v>0</v>
      </c>
      <c r="L138">
        <f>計算表!L138</f>
        <v>0</v>
      </c>
      <c r="M138">
        <f>計算表!M138</f>
        <v>0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>
        <f>計算表!B139</f>
        <v>0</v>
      </c>
      <c r="C139" t="str">
        <f>計算表!C139</f>
        <v>5-掉落通則</v>
      </c>
      <c r="D139" t="str">
        <f>計算表!D139</f>
        <v>掉寶率效果折半</v>
      </c>
      <c r="E139" t="str">
        <f>計算表!E139</f>
        <v>有效掉寶率 = 來源合計×a</v>
      </c>
      <c r="F139" t="str">
        <f>計算表!F139</f>
        <v>裝備詞條/附魔/神鑄貪婪/技能尋寶/相關分解零件的掉寶率效果統一×a。</v>
      </c>
      <c r="G139">
        <f>計算表!G139</f>
        <v>0.5</v>
      </c>
      <c r="H139">
        <f>計算表!H139</f>
        <v>0</v>
      </c>
      <c r="I139">
        <f>計算表!I139</f>
        <v>0</v>
      </c>
      <c r="J139">
        <f>計算表!J139</f>
        <v>0</v>
      </c>
      <c r="K139">
        <f>計算表!K139</f>
        <v>0</v>
      </c>
      <c r="L139">
        <f>計算表!L139</f>
        <v>0</v>
      </c>
      <c r="M139">
        <f>計算表!M139</f>
        <v>0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>
        <f>計算表!B140</f>
        <v>0</v>
      </c>
      <c r="C140" t="str">
        <f>計算表!C140</f>
        <v>5-掉落通則</v>
      </c>
      <c r="D140" t="str">
        <f>計算表!D140</f>
        <v>加速齒輪固定加成</v>
      </c>
      <c r="E140" t="str">
        <f>計算表!E140</f>
        <v>實際加成 = 每階×階級 + a</v>
      </c>
      <c r="F140" t="str">
        <f>計算表!F140</f>
        <v>a=分解速度固定加成（個百分點）。</v>
      </c>
      <c r="G140">
        <f>計算表!G140</f>
        <v>50</v>
      </c>
      <c r="H140">
        <f>計算表!H140</f>
        <v>0</v>
      </c>
      <c r="I140">
        <f>計算表!I140</f>
        <v>0</v>
      </c>
      <c r="J140">
        <f>計算表!J140</f>
        <v>0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>
        <f>計算表!B141</f>
        <v>0</v>
      </c>
      <c r="C141" t="str">
        <f>計算表!C141</f>
        <v>5-掉落通則</v>
      </c>
      <c r="D141" t="str">
        <f>計算表!D141</f>
        <v>掉落件數規則(&gt;100%)</v>
      </c>
      <c r="E141" t="str">
        <f>計算表!E141</f>
        <v>⌊機率/100⌋ + (餘數% 再 1 件)</v>
      </c>
      <c r="F141" t="str">
        <f>計算表!F141</f>
        <v>每品質獨立擲骰；實際機率 = 表值×(1+有效掉寶率%)，野外菁英再×1.5。　※規則寫死：機率整數部分必掉，餘數再擲一次。</v>
      </c>
      <c r="G141">
        <f>計算表!G141</f>
        <v>0</v>
      </c>
      <c r="H141">
        <f>計算表!H141</f>
        <v>0</v>
      </c>
      <c r="I141">
        <f>計算表!I141</f>
        <v>0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>
        <f>計算表!B142</f>
        <v>0</v>
      </c>
      <c r="C142" t="str">
        <f>計算表!C142</f>
        <v>5-稀有度擲骰</v>
      </c>
      <c r="D142" t="str">
        <f>計算表!D142</f>
        <v>權重加成 b</v>
      </c>
      <c r="E142" t="str">
        <f>計算表!E142</f>
        <v>b = 1 + 有效掉寶加成/a + 階段×c</v>
      </c>
      <c r="F142" t="str">
        <f>計算表!F142</f>
        <v>a=掉寶除數 c=每階加成。</v>
      </c>
      <c r="G142">
        <f>計算表!G142</f>
        <v>200</v>
      </c>
      <c r="H142">
        <f>計算表!H142</f>
        <v>6.0000000000000001E-3</v>
      </c>
      <c r="I142">
        <f>計算表!I142</f>
        <v>0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>
        <f>計算表!B143</f>
        <v>0</v>
      </c>
      <c r="C143" t="str">
        <f>計算表!C143</f>
        <v>5-稀有度擲骰</v>
      </c>
      <c r="D143" t="str">
        <f>計算表!D143</f>
        <v>普通 權重</v>
      </c>
      <c r="E143" t="str">
        <f>計算表!E143</f>
        <v>權重 = a×min(b, c)</v>
      </c>
      <c r="F143" t="str">
        <f>計算表!F143</f>
        <v>a=基礎權重 b=權重加成 c=加成上限 d=出現門檻。普通無加成。神鑄創世不參與此擲骰。(裝備合成才有作用，目前功能關閉中)</v>
      </c>
      <c r="G143">
        <f>計算表!G143</f>
        <v>55</v>
      </c>
      <c r="H143" t="str">
        <f>計算表!H143</f>
        <v>b</v>
      </c>
      <c r="I143" t="str">
        <f>計算表!I143</f>
        <v>-</v>
      </c>
      <c r="J143" t="str">
        <f>計算表!J143</f>
        <v>—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>
        <f>計算表!B144</f>
        <v>0</v>
      </c>
      <c r="C144" t="str">
        <f>計算表!C144</f>
        <v>5-稀有度擲骰</v>
      </c>
      <c r="D144" t="str">
        <f>計算表!D144</f>
        <v>精良 權重</v>
      </c>
      <c r="E144" t="str">
        <f>計算表!E144</f>
        <v>權重 = a×min(b, c)</v>
      </c>
      <c r="F144" t="str">
        <f>計算表!F144</f>
        <v>a=基礎權重 b=權重加成 c=加成上限 d=出現門檻。普通無加成。神鑄創世不參與此擲骰。(裝備合成才有作用，目前功能關閉中)</v>
      </c>
      <c r="G144">
        <f>計算表!G144</f>
        <v>25</v>
      </c>
      <c r="H144" t="str">
        <f>計算表!H144</f>
        <v>b</v>
      </c>
      <c r="I144">
        <f>計算表!I144</f>
        <v>2</v>
      </c>
      <c r="J144" t="str">
        <f>計算表!J144</f>
        <v>—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>
        <f>計算表!B145</f>
        <v>0</v>
      </c>
      <c r="C145" t="str">
        <f>計算表!C145</f>
        <v>5-稀有度擲骰</v>
      </c>
      <c r="D145" t="str">
        <f>計算表!D145</f>
        <v>稀有 權重</v>
      </c>
      <c r="E145" t="str">
        <f>計算表!E145</f>
        <v>權重 = a×min(b, c)</v>
      </c>
      <c r="F145" t="str">
        <f>計算表!F145</f>
        <v>a=基礎權重 b=權重加成 c=加成上限 d=出現門檻。普通無加成。神鑄創世不參與此擲骰。(裝備合成才有作用，目前功能關閉中)</v>
      </c>
      <c r="G145">
        <f>計算表!G145</f>
        <v>12</v>
      </c>
      <c r="H145" t="str">
        <f>計算表!H145</f>
        <v>b</v>
      </c>
      <c r="I145">
        <f>計算表!I145</f>
        <v>2.5</v>
      </c>
      <c r="J145" t="str">
        <f>計算表!J145</f>
        <v>—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>
        <f>計算表!B146</f>
        <v>0</v>
      </c>
      <c r="C146" t="str">
        <f>計算表!C146</f>
        <v>5-稀有度擲骰</v>
      </c>
      <c r="D146" t="str">
        <f>計算表!D146</f>
        <v>獨特 權重</v>
      </c>
      <c r="E146" t="str">
        <f>計算表!E146</f>
        <v>權重 = a×min(b, c)</v>
      </c>
      <c r="F146" t="str">
        <f>計算表!F146</f>
        <v>a=基礎權重 b=權重加成 c=加成上限 d=出現門檻。普通無加成。神鑄創世不參與此擲骰。(裝備合成才有作用，目前功能關閉中)</v>
      </c>
      <c r="G146">
        <f>計算表!G146</f>
        <v>5.5</v>
      </c>
      <c r="H146" t="str">
        <f>計算表!H146</f>
        <v>b</v>
      </c>
      <c r="I146">
        <f>計算表!I146</f>
        <v>3</v>
      </c>
      <c r="J146" t="str">
        <f>計算表!J146</f>
        <v>—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>
        <f>計算表!B147</f>
        <v>0</v>
      </c>
      <c r="C147" t="str">
        <f>計算表!C147</f>
        <v>5-稀有度擲骰</v>
      </c>
      <c r="D147" t="str">
        <f>計算表!D147</f>
        <v>史詩 權重</v>
      </c>
      <c r="E147" t="str">
        <f>計算表!E147</f>
        <v>權重 = a×min(b, c)</v>
      </c>
      <c r="F147" t="str">
        <f>計算表!F147</f>
        <v>a=基礎權重 b=權重加成 c=加成上限 d=出現門檻。普通無加成。神鑄創世不參與此擲骰。(裝備合成才有作用，目前功能關閉中)</v>
      </c>
      <c r="G147">
        <f>計算表!G147</f>
        <v>1.8</v>
      </c>
      <c r="H147" t="str">
        <f>計算表!H147</f>
        <v>b</v>
      </c>
      <c r="I147">
        <f>計算表!I147</f>
        <v>3.5</v>
      </c>
      <c r="J147" t="str">
        <f>計算表!J147</f>
        <v>階段 8+</v>
      </c>
      <c r="K147">
        <f>計算表!K147</f>
        <v>0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>
        <f>計算表!B148</f>
        <v>0</v>
      </c>
      <c r="C148" t="str">
        <f>計算表!C148</f>
        <v>5-稀有度擲骰</v>
      </c>
      <c r="D148" t="str">
        <f>計算表!D148</f>
        <v>傳說 權重</v>
      </c>
      <c r="E148" t="str">
        <f>計算表!E148</f>
        <v>權重 = a×min(b, c)</v>
      </c>
      <c r="F148" t="str">
        <f>計算表!F148</f>
        <v>a=基礎權重 b=權重加成 c=加成上限 d=出現門檻。普通無加成。神鑄創世不參與此擲骰。(裝備合成才有作用，目前功能關閉中)</v>
      </c>
      <c r="G148">
        <f>計算表!G148</f>
        <v>0.35</v>
      </c>
      <c r="H148" t="str">
        <f>計算表!H148</f>
        <v>b</v>
      </c>
      <c r="I148">
        <f>計算表!I148</f>
        <v>4</v>
      </c>
      <c r="J148" t="str">
        <f>計算表!J148</f>
        <v>階段 15+</v>
      </c>
      <c r="K148">
        <f>計算表!K148</f>
        <v>0</v>
      </c>
      <c r="L148">
        <f>計算表!L148</f>
        <v>0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>
        <f>計算表!B149</f>
        <v>0</v>
      </c>
      <c r="C149" t="str">
        <f>計算表!C149</f>
        <v>5-稀有度擲骰</v>
      </c>
      <c r="D149" t="str">
        <f>計算表!D149</f>
        <v>神話 權重</v>
      </c>
      <c r="E149" t="str">
        <f>計算表!E149</f>
        <v>權重 = a×min(b, c)</v>
      </c>
      <c r="F149" t="str">
        <f>計算表!F149</f>
        <v>a=基礎權重 b=權重加成 c=加成上限 d=出現門檻。普通無加成。神鑄創世不參與此擲骰。(裝備合成才有作用，目前功能關閉中)</v>
      </c>
      <c r="G149">
        <f>計算表!G149</f>
        <v>0.08</v>
      </c>
      <c r="H149" t="str">
        <f>計算表!H149</f>
        <v>b</v>
      </c>
      <c r="I149">
        <f>計算表!I149</f>
        <v>4.5</v>
      </c>
      <c r="J149" t="str">
        <f>計算表!J149</f>
        <v>階段 25+</v>
      </c>
      <c r="K149">
        <f>計算表!K149</f>
        <v>0</v>
      </c>
      <c r="L149">
        <f>計算表!L149</f>
        <v>0</v>
      </c>
      <c r="M149">
        <f>計算表!M149</f>
        <v>0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>
        <f>計算表!B150</f>
        <v>0</v>
      </c>
      <c r="C150" t="str">
        <f>計算表!C150</f>
        <v>5-稀有度擲骰</v>
      </c>
      <c r="D150" t="str">
        <f>計算表!D150</f>
        <v>創世 權重</v>
      </c>
      <c r="E150" t="str">
        <f>計算表!E150</f>
        <v>權重 = a×min(b, c)</v>
      </c>
      <c r="F150" t="str">
        <f>計算表!F150</f>
        <v>a=基礎權重 b=權重加成 c=加成上限 d=出現門檻。普通無加成。神鑄創世不參與此擲骰。(裝備合成才有作用，目前功能關閉中)</v>
      </c>
      <c r="G150">
        <f>計算表!G150</f>
        <v>1.4999999999999999E-2</v>
      </c>
      <c r="H150" t="str">
        <f>計算表!H150</f>
        <v>b</v>
      </c>
      <c r="I150">
        <f>計算表!I150</f>
        <v>5</v>
      </c>
      <c r="J150" t="str">
        <f>計算表!J150</f>
        <v>階段 40+</v>
      </c>
      <c r="K150">
        <f>計算表!K150</f>
        <v>0</v>
      </c>
      <c r="L150">
        <f>計算表!L150</f>
        <v>0</v>
      </c>
      <c r="M150">
        <f>計算表!M150</f>
        <v>0</v>
      </c>
      <c r="N150">
        <f>計算表!N150</f>
        <v>0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>
        <f>計算表!B151</f>
        <v>0</v>
      </c>
      <c r="C151" t="str">
        <f>計算表!C151</f>
        <v>5-野外裝備掉落</v>
      </c>
      <c r="D151" t="str">
        <f>計算表!D151</f>
        <v>普通裝備</v>
      </c>
      <c r="E151" t="str">
        <f>計算表!E151</f>
        <v>各怪物等級區間掉落率%（{等級下限~上限=機率}）</v>
      </c>
      <c r="F151" t="str">
        <f>計算表!F151</f>
        <v>每品質獨立擲骰。實際機率 = 表值×(1+有效掉寶率%)，菁英再×1.5；場景倍率不作用於裝備。</v>
      </c>
      <c r="G151" t="str">
        <f>計算表!G151</f>
        <v>{1~19=25}</v>
      </c>
      <c r="H151" t="str">
        <f>計算表!H151</f>
        <v>{20~99=35}</v>
      </c>
      <c r="I151" t="str">
        <f>計算表!I151</f>
        <v>{100~149=40}</v>
      </c>
      <c r="J151" t="str">
        <f>計算表!J151</f>
        <v>{150~199=50}</v>
      </c>
      <c r="K151" t="str">
        <f>計算表!K151</f>
        <v>{200~249=50}</v>
      </c>
      <c r="L151" t="str">
        <f>計算表!L151</f>
        <v>{250~299=50}</v>
      </c>
      <c r="M151" t="str">
        <f>計算表!M151</f>
        <v>{300+=50}</v>
      </c>
      <c r="N151">
        <f>計算表!N151</f>
        <v>0</v>
      </c>
      <c r="O151">
        <f>計算表!O151</f>
        <v>0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>
        <f>計算表!B152</f>
        <v>0</v>
      </c>
      <c r="C152" t="str">
        <f>計算表!C152</f>
        <v>5-野外裝備掉落</v>
      </c>
      <c r="D152" t="str">
        <f>計算表!D152</f>
        <v>精良裝備</v>
      </c>
      <c r="E152" t="str">
        <f>計算表!E152</f>
        <v>各怪物等級區間掉落率%（{等級下限~上限=機率}）</v>
      </c>
      <c r="F152" t="str">
        <f>計算表!F152</f>
        <v>每品質獨立擲骰。實際機率 = 表值×(1+有效掉寶率%)，菁英再×1.5；場景倍率不作用於裝備。</v>
      </c>
      <c r="G152" t="str">
        <f>計算表!G152</f>
        <v>{1~19=15}</v>
      </c>
      <c r="H152" t="str">
        <f>計算表!H152</f>
        <v>{20~99=20}</v>
      </c>
      <c r="I152" t="str">
        <f>計算表!I152</f>
        <v>{100~149=30}</v>
      </c>
      <c r="J152" t="str">
        <f>計算表!J152</f>
        <v>{150~199=40}</v>
      </c>
      <c r="K152" t="str">
        <f>計算表!K152</f>
        <v>{200~249=40}</v>
      </c>
      <c r="L152" t="str">
        <f>計算表!L152</f>
        <v>{250~299=40}</v>
      </c>
      <c r="M152" t="str">
        <f>計算表!M152</f>
        <v>{300+=40}</v>
      </c>
      <c r="N152">
        <f>計算表!N152</f>
        <v>0</v>
      </c>
      <c r="O152">
        <f>計算表!O152</f>
        <v>0</v>
      </c>
      <c r="P152">
        <f>計算表!P152</f>
        <v>0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>
        <f>計算表!B153</f>
        <v>0</v>
      </c>
      <c r="C153" t="str">
        <f>計算表!C153</f>
        <v>5-野外裝備掉落</v>
      </c>
      <c r="D153" t="str">
        <f>計算表!D153</f>
        <v>稀有裝備</v>
      </c>
      <c r="E153" t="str">
        <f>計算表!E153</f>
        <v>各怪物等級區間掉落率%（{等級下限~上限=機率}）</v>
      </c>
      <c r="F153" t="str">
        <f>計算表!F153</f>
        <v>每品質獨立擲骰。實際機率 = 表值×(1+有效掉寶率%)，菁英再×1.5；場景倍率不作用於裝備。</v>
      </c>
      <c r="G153" t="str">
        <f>計算表!G153</f>
        <v>{1~19=10}</v>
      </c>
      <c r="H153" t="str">
        <f>計算表!H153</f>
        <v>{20~99=15}</v>
      </c>
      <c r="I153" t="str">
        <f>計算表!I153</f>
        <v>{100~149=20}</v>
      </c>
      <c r="J153" t="str">
        <f>計算表!J153</f>
        <v>{150~199=30}</v>
      </c>
      <c r="K153" t="str">
        <f>計算表!K153</f>
        <v>{200~249=30}</v>
      </c>
      <c r="L153" t="str">
        <f>計算表!L153</f>
        <v>{250~299=30}</v>
      </c>
      <c r="M153" t="str">
        <f>計算表!M153</f>
        <v>{300+=30}</v>
      </c>
      <c r="N153">
        <f>計算表!N153</f>
        <v>0</v>
      </c>
      <c r="O153">
        <f>計算表!O153</f>
        <v>0</v>
      </c>
      <c r="P153">
        <f>計算表!P153</f>
        <v>0</v>
      </c>
      <c r="Q153">
        <f>計算表!Q153</f>
        <v>0</v>
      </c>
      <c r="R153">
        <f>計算表!R153</f>
        <v>0</v>
      </c>
    </row>
    <row r="154" spans="1:18" x14ac:dyDescent="0.25">
      <c r="A154">
        <f>計算表!A154</f>
        <v>153</v>
      </c>
      <c r="B154">
        <f>計算表!B154</f>
        <v>0</v>
      </c>
      <c r="C154" t="str">
        <f>計算表!C154</f>
        <v>5-野外裝備掉落</v>
      </c>
      <c r="D154" t="str">
        <f>計算表!D154</f>
        <v>獨特裝備</v>
      </c>
      <c r="E154" t="str">
        <f>計算表!E154</f>
        <v>各怪物等級區間掉落率%（{等級下限~上限=機率}）</v>
      </c>
      <c r="F154" t="str">
        <f>計算表!F154</f>
        <v>每品質獨立擲骰。實際機率 = 表值×(1+有效掉寶率%)，菁英再×1.5；場景倍率不作用於裝備。</v>
      </c>
      <c r="G154" t="str">
        <f>計算表!G154</f>
        <v>{1~19=0}</v>
      </c>
      <c r="H154" t="str">
        <f>計算表!H154</f>
        <v>{20~99=5}</v>
      </c>
      <c r="I154" t="str">
        <f>計算表!I154</f>
        <v>{100~149=10}</v>
      </c>
      <c r="J154" t="str">
        <f>計算表!J154</f>
        <v>{150~199=10}</v>
      </c>
      <c r="K154" t="str">
        <f>計算表!K154</f>
        <v>{200~249=15}</v>
      </c>
      <c r="L154" t="str">
        <f>計算表!L154</f>
        <v>{250~299=15}</v>
      </c>
      <c r="M154" t="str">
        <f>計算表!M154</f>
        <v>{300+=20}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>
        <f>計算表!B155</f>
        <v>0</v>
      </c>
      <c r="C155" t="str">
        <f>計算表!C155</f>
        <v>5-野外裝備掉落</v>
      </c>
      <c r="D155" t="str">
        <f>計算表!D155</f>
        <v>史詩裝備</v>
      </c>
      <c r="E155" t="str">
        <f>計算表!E155</f>
        <v>各怪物等級區間掉落率%（{等級下限~上限=機率}）</v>
      </c>
      <c r="F155" t="str">
        <f>計算表!F155</f>
        <v>每品質獨立擲骰。實際機率 = 表值×(1+有效掉寶率%)，菁英再×1.5；場景倍率不作用於裝備。</v>
      </c>
      <c r="G155" t="str">
        <f>計算表!G155</f>
        <v>{1~49=0}</v>
      </c>
      <c r="H155" t="str">
        <f>計算表!H155</f>
        <v>{50~99=0.5}</v>
      </c>
      <c r="I155" t="str">
        <f>計算表!I155</f>
        <v>{100~149=2.5}</v>
      </c>
      <c r="J155" t="str">
        <f>計算表!J155</f>
        <v>{150~199=5}</v>
      </c>
      <c r="K155" t="str">
        <f>計算表!K155</f>
        <v>{200~249=6}</v>
      </c>
      <c r="L155" t="str">
        <f>計算表!L155</f>
        <v>{250~299=7}</v>
      </c>
      <c r="M155" t="str">
        <f>計算表!M155</f>
        <v>{300+=8}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>
        <f>計算表!B156</f>
        <v>0</v>
      </c>
      <c r="C156" t="str">
        <f>計算表!C156</f>
        <v>5-野外裝備掉落</v>
      </c>
      <c r="D156" t="str">
        <f>計算表!D156</f>
        <v>傳說裝備</v>
      </c>
      <c r="E156" t="str">
        <f>計算表!E156</f>
        <v>各怪物等級區間掉落率%（{等級下限~上限=機率}）</v>
      </c>
      <c r="F156" t="str">
        <f>計算表!F156</f>
        <v>每品質獨立擲骰。實際機率 = 表值×(1+有效掉寶率%)，菁英再×1.5；場景倍率不作用於裝備。</v>
      </c>
      <c r="G156" t="str">
        <f>計算表!G156</f>
        <v>{1~49=0}</v>
      </c>
      <c r="H156" t="str">
        <f>計算表!H156</f>
        <v>{50~99=0}</v>
      </c>
      <c r="I156" t="str">
        <f>計算表!I156</f>
        <v>{100~149=1}</v>
      </c>
      <c r="J156" t="str">
        <f>計算表!J156</f>
        <v>{150~199=2}</v>
      </c>
      <c r="K156" t="str">
        <f>計算表!K156</f>
        <v>{200~249=3}</v>
      </c>
      <c r="L156" t="str">
        <f>計算表!L156</f>
        <v>{250~299=3.5}</v>
      </c>
      <c r="M156" t="str">
        <f>計算表!M156</f>
        <v>{300+=4}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>
        <f>計算表!B157</f>
        <v>0</v>
      </c>
      <c r="C157" t="str">
        <f>計算表!C157</f>
        <v>5-野外裝備掉落</v>
      </c>
      <c r="D157" t="str">
        <f>計算表!D157</f>
        <v>神話裝備</v>
      </c>
      <c r="E157" t="str">
        <f>計算表!E157</f>
        <v>各怪物等級區間掉落率%（{等級下限~上限=機率}）</v>
      </c>
      <c r="F157" t="str">
        <f>計算表!F157</f>
        <v>每品質獨立擲骰。實際機率 = 表值×(1+有效掉寶率%)，菁英再×1.5；場景倍率不作用於裝備。</v>
      </c>
      <c r="G157" t="str">
        <f>計算表!G157</f>
        <v>{1~49=0}</v>
      </c>
      <c r="H157" t="str">
        <f>計算表!H157</f>
        <v>{50~99=0}</v>
      </c>
      <c r="I157" t="str">
        <f>計算表!I157</f>
        <v>{100~149=0}</v>
      </c>
      <c r="J157" t="str">
        <f>計算表!J157</f>
        <v>{150~199=0.05}</v>
      </c>
      <c r="K157" t="str">
        <f>計算表!K157</f>
        <v>{200~249=0.1}</v>
      </c>
      <c r="L157" t="str">
        <f>計算表!L157</f>
        <v>{250~299=0.15}</v>
      </c>
      <c r="M157" t="str">
        <f>計算表!M157</f>
        <v>{300+=0.2}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>
        <f>計算表!B158</f>
        <v>0</v>
      </c>
      <c r="C158" t="str">
        <f>計算表!C158</f>
        <v>5-野外裝備掉落</v>
      </c>
      <c r="D158" t="str">
        <f>計算表!D158</f>
        <v>創世裝備</v>
      </c>
      <c r="E158" t="str">
        <f>計算表!E158</f>
        <v>各怪物等級區間掉落率%（{等級下限~上限=機率}）</v>
      </c>
      <c r="F158" t="str">
        <f>計算表!F158</f>
        <v>每品質獨立擲骰。實際機率 = 表值×(1+有效掉寶率%)，菁英再×1.5；場景倍率不作用於裝備。</v>
      </c>
      <c r="G158" t="str">
        <f>計算表!G158</f>
        <v>{1~49=0}</v>
      </c>
      <c r="H158" t="str">
        <f>計算表!H158</f>
        <v>{50~99=0}</v>
      </c>
      <c r="I158" t="str">
        <f>計算表!I158</f>
        <v>{100~149=0}</v>
      </c>
      <c r="J158" t="str">
        <f>計算表!J158</f>
        <v>{150~199=0}</v>
      </c>
      <c r="K158" t="str">
        <f>計算表!K158</f>
        <v>{200~249=0}</v>
      </c>
      <c r="L158" t="str">
        <f>計算表!L158</f>
        <v>{250~299=0}</v>
      </c>
      <c r="M158" t="str">
        <f>計算表!M158</f>
        <v>{300+=0}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>
        <f>計算表!B159</f>
        <v>0</v>
      </c>
      <c r="C159" t="str">
        <f>計算表!C159</f>
        <v>5-野外裝備掉落</v>
      </c>
      <c r="D159" t="str">
        <f>計算表!D159</f>
        <v>混沌裝備</v>
      </c>
      <c r="E159" t="str">
        <f>計算表!E159</f>
        <v>掉落門檻／機率／場景開關</v>
      </c>
      <c r="F159" t="str">
        <f>計算表!F159</f>
        <v>551 級起於太古戰場／混沌界／永恒神域掉落，機率 a%，場景開關 b/c/d。a=1、b/c/d=1 表示三場景皆開啟。</v>
      </c>
      <c r="G159">
        <f>計算表!G159</f>
        <v>551</v>
      </c>
      <c r="H159">
        <f>計算表!H159</f>
        <v>1</v>
      </c>
      <c r="I159">
        <f>計算表!I159</f>
        <v>1</v>
      </c>
      <c r="J159">
        <f>計算表!J159</f>
        <v>1</v>
      </c>
      <c r="K159">
        <f>計算表!K159</f>
        <v>1</v>
      </c>
      <c r="L159">
        <f>計算表!L159</f>
        <v>0</v>
      </c>
      <c r="M159">
        <f>計算表!M159</f>
        <v>0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>
        <f>計算表!B160</f>
        <v>0</v>
      </c>
      <c r="C160" t="str">
        <f>計算表!C160</f>
        <v>5-野外寶石掉落</v>
      </c>
      <c r="D160" t="str">
        <f>計算表!D160</f>
        <v>怪物等級 1~50</v>
      </c>
      <c r="E160" t="str">
        <f>計算表!E160</f>
        <v>各階級獨立判定機率%</v>
      </c>
      <c r="F160" t="str">
        <f>計算表!F160</f>
        <v>a=1級 b=2級 c=3級 d=4級 e=5級。實際機率 ×(1+掉寶率%)×場景倍率。</v>
      </c>
      <c r="G160">
        <f>計算表!G160</f>
        <v>2</v>
      </c>
      <c r="H160">
        <f>計算表!H160</f>
        <v>0.5</v>
      </c>
      <c r="I160">
        <f>計算表!I160</f>
        <v>0.2</v>
      </c>
      <c r="J160">
        <f>計算表!J160</f>
        <v>0</v>
      </c>
      <c r="K160">
        <f>計算表!K160</f>
        <v>0</v>
      </c>
      <c r="L160">
        <f>計算表!L160</f>
        <v>0</v>
      </c>
      <c r="M160">
        <f>計算表!M160</f>
        <v>0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>
        <f>計算表!B161</f>
        <v>0</v>
      </c>
      <c r="C161" t="str">
        <f>計算表!C161</f>
        <v>5-野外寶石掉落</v>
      </c>
      <c r="D161" t="str">
        <f>計算表!D161</f>
        <v>怪物等級 51~100</v>
      </c>
      <c r="E161" t="str">
        <f>計算表!E161</f>
        <v>各階級獨立判定機率%</v>
      </c>
      <c r="F161" t="str">
        <f>計算表!F161</f>
        <v>a=1級 b=2級 c=3級 d=4級 e=5級。實際機率 ×(1+掉寶率%)×場景倍率。</v>
      </c>
      <c r="G161">
        <f>計算表!G161</f>
        <v>4</v>
      </c>
      <c r="H161">
        <f>計算表!H161</f>
        <v>0.8</v>
      </c>
      <c r="I161">
        <f>計算表!I161</f>
        <v>0.3</v>
      </c>
      <c r="J161">
        <f>計算表!J161</f>
        <v>0</v>
      </c>
      <c r="K161">
        <f>計算表!K161</f>
        <v>0</v>
      </c>
      <c r="L161">
        <f>計算表!L161</f>
        <v>0</v>
      </c>
      <c r="M161">
        <f>計算表!M161</f>
        <v>0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>
        <f>計算表!B162</f>
        <v>0</v>
      </c>
      <c r="C162" t="str">
        <f>計算表!C162</f>
        <v>5-野外寶石掉落</v>
      </c>
      <c r="D162" t="str">
        <f>計算表!D162</f>
        <v>怪物等級 101~150</v>
      </c>
      <c r="E162" t="str">
        <f>計算表!E162</f>
        <v>各階級獨立判定機率%</v>
      </c>
      <c r="F162" t="str">
        <f>計算表!F162</f>
        <v>a=1級 b=2級 c=3級 d=4級 e=5級。實際機率 ×(1+掉寶率%)×場景倍率。</v>
      </c>
      <c r="G162">
        <f>計算表!G162</f>
        <v>6</v>
      </c>
      <c r="H162">
        <f>計算表!H162</f>
        <v>1.1000000000000001</v>
      </c>
      <c r="I162">
        <f>計算表!I162</f>
        <v>0.4</v>
      </c>
      <c r="J162">
        <f>計算表!J162</f>
        <v>0</v>
      </c>
      <c r="K162">
        <f>計算表!K162</f>
        <v>0</v>
      </c>
      <c r="L162">
        <f>計算表!L162</f>
        <v>0</v>
      </c>
      <c r="M162">
        <f>計算表!M162</f>
        <v>0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>
        <f>計算表!B163</f>
        <v>0</v>
      </c>
      <c r="C163" t="str">
        <f>計算表!C163</f>
        <v>5-野外寶石掉落</v>
      </c>
      <c r="D163" t="str">
        <f>計算表!D163</f>
        <v>怪物等級 151~200</v>
      </c>
      <c r="E163" t="str">
        <f>計算表!E163</f>
        <v>各階級獨立判定機率%</v>
      </c>
      <c r="F163" t="str">
        <f>計算表!F163</f>
        <v>a=1級 b=2級 c=3級 d=4級 e=5級。實際機率 ×(1+掉寶率%)×場景倍率。</v>
      </c>
      <c r="G163">
        <f>計算表!G163</f>
        <v>8</v>
      </c>
      <c r="H163">
        <f>計算表!H163</f>
        <v>1.4</v>
      </c>
      <c r="I163">
        <f>計算表!I163</f>
        <v>0.5</v>
      </c>
      <c r="J163">
        <f>計算表!J163</f>
        <v>0.1</v>
      </c>
      <c r="K163">
        <f>計算表!K163</f>
        <v>0</v>
      </c>
      <c r="L163">
        <f>計算表!L163</f>
        <v>0</v>
      </c>
      <c r="M163">
        <f>計算表!M163</f>
        <v>0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>
        <f>計算表!B164</f>
        <v>0</v>
      </c>
      <c r="C164" t="str">
        <f>計算表!C164</f>
        <v>5-野外寶石掉落</v>
      </c>
      <c r="D164" t="str">
        <f>計算表!D164</f>
        <v>怪物等級 201~250</v>
      </c>
      <c r="E164" t="str">
        <f>計算表!E164</f>
        <v>各階級獨立判定機率%</v>
      </c>
      <c r="F164" t="str">
        <f>計算表!F164</f>
        <v>a=1級 b=2級 c=3級 d=4級 e=5級。實際機率 ×(1+掉寶率%)×場景倍率。</v>
      </c>
      <c r="G164">
        <f>計算表!G164</f>
        <v>10</v>
      </c>
      <c r="H164">
        <f>計算表!H164</f>
        <v>1.7</v>
      </c>
      <c r="I164">
        <f>計算表!I164</f>
        <v>0.6</v>
      </c>
      <c r="J164">
        <f>計算表!J164</f>
        <v>0.2</v>
      </c>
      <c r="K164">
        <f>計算表!K164</f>
        <v>0</v>
      </c>
      <c r="L164">
        <f>計算表!L164</f>
        <v>0</v>
      </c>
      <c r="M164">
        <f>計算表!M164</f>
        <v>0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>
        <f>計算表!B165</f>
        <v>0</v>
      </c>
      <c r="C165" t="str">
        <f>計算表!C165</f>
        <v>5-野外寶石掉落</v>
      </c>
      <c r="D165" t="str">
        <f>計算表!D165</f>
        <v>怪物等級 251~300</v>
      </c>
      <c r="E165" t="str">
        <f>計算表!E165</f>
        <v>各階級獨立判定機率%</v>
      </c>
      <c r="F165" t="str">
        <f>計算表!F165</f>
        <v>a=1級 b=2級 c=3級 d=4級 e=5級。實際機率 ×(1+掉寶率%)×場景倍率。</v>
      </c>
      <c r="G165">
        <f>計算表!G165</f>
        <v>12</v>
      </c>
      <c r="H165">
        <f>計算表!H165</f>
        <v>2</v>
      </c>
      <c r="I165">
        <f>計算表!I165</f>
        <v>0.7</v>
      </c>
      <c r="J165">
        <f>計算表!J165</f>
        <v>0.3</v>
      </c>
      <c r="K165">
        <f>計算表!K165</f>
        <v>0.2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>
        <f>計算表!B166</f>
        <v>0</v>
      </c>
      <c r="C166" t="str">
        <f>計算表!C166</f>
        <v>5-野外寶石掉落</v>
      </c>
      <c r="D166" t="str">
        <f>計算表!D166</f>
        <v>怪物等級 301+</v>
      </c>
      <c r="E166" t="str">
        <f>計算表!E166</f>
        <v>各階級獨立判定機率%</v>
      </c>
      <c r="F166" t="str">
        <f>計算表!F166</f>
        <v>a=1級 b=2級 c=3級 d=4級 e=5級。實際機率 ×(1+掉寶率%)×場景倍率。</v>
      </c>
      <c r="G166">
        <f>計算表!G166</f>
        <v>14</v>
      </c>
      <c r="H166">
        <f>計算表!H166</f>
        <v>2.2999999999999998</v>
      </c>
      <c r="I166">
        <f>計算表!I166</f>
        <v>0.8</v>
      </c>
      <c r="J166">
        <f>計算表!J166</f>
        <v>0.4</v>
      </c>
      <c r="K166">
        <f>計算表!K166</f>
        <v>0.3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>
        <f>計算表!B167</f>
        <v>0</v>
      </c>
      <c r="C167" t="str">
        <f>計算表!C167</f>
        <v>5-野外材料</v>
      </c>
      <c r="D167" t="str">
        <f>計算表!D167</f>
        <v>附魔書</v>
      </c>
      <c r="E167" t="str">
        <f>計算表!E167</f>
        <v>a% × (1+掉寶率%) × 場景倍率</v>
      </c>
      <c r="F167" t="str">
        <f>計算表!F167</f>
        <v>階段 8+，隨機一種。</v>
      </c>
      <c r="G167">
        <f>計算表!G167</f>
        <v>4</v>
      </c>
      <c r="H167">
        <f>計算表!H167</f>
        <v>0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>
        <f>計算表!B168</f>
        <v>0</v>
      </c>
      <c r="C168" t="str">
        <f>計算表!C168</f>
        <v>5-野外材料</v>
      </c>
      <c r="D168" t="str">
        <f>計算表!D168</f>
        <v>魔塵</v>
      </c>
      <c r="E168" t="str">
        <f>計算表!E168</f>
        <v>min(a%, b% + (敵人等級-c)×d%)</v>
      </c>
      <c r="F168" t="str">
        <f>計算表!F168</f>
        <v>敵人等級 150+，每次成功固定 1 顆；不受掉寶率與場景倍率影響。</v>
      </c>
      <c r="G168">
        <f>計算表!G168</f>
        <v>5</v>
      </c>
      <c r="H168">
        <f>計算表!H168</f>
        <v>1</v>
      </c>
      <c r="I168">
        <f>計算表!I168</f>
        <v>49</v>
      </c>
      <c r="J168">
        <f>計算表!J168</f>
        <v>0.1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>
        <f>計算表!B169</f>
        <v>0</v>
      </c>
      <c r="C169" t="str">
        <f>計算表!C169</f>
        <v>5-野外材料</v>
      </c>
      <c r="D169" t="str">
        <f>計算表!D169</f>
        <v>太古精華</v>
      </c>
      <c r="E169" t="str">
        <f>計算表!E169</f>
        <v>min(a%, b% + (敵人等級-c)×d%)</v>
      </c>
      <c r="F169" t="str">
        <f>計算表!F169</f>
        <v>敵人等級達 c 級以上才會掉落，每隻獨立判定 1 顆；不受掉寶率與場景倍率影響。</v>
      </c>
      <c r="G169">
        <f>計算表!G169</f>
        <v>10</v>
      </c>
      <c r="H169">
        <f>計算表!H169</f>
        <v>1</v>
      </c>
      <c r="I169">
        <f>計算表!I169</f>
        <v>49</v>
      </c>
      <c r="J169">
        <f>計算表!J169</f>
        <v>0.1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>
        <f>計算表!B170</f>
        <v>0</v>
      </c>
      <c r="C170" t="str">
        <f>計算表!C170</f>
        <v>5-野外材料</v>
      </c>
      <c r="D170" t="str">
        <f>計算表!D170</f>
        <v>自動機組零件</v>
      </c>
      <c r="E170" t="str">
        <f>計算表!E170</f>
        <v>機率a%（菁英×1.5）</v>
      </c>
      <c r="F170" t="str">
        <f>計算表!F170</f>
        <v>階段 5+。階級 = clamp(1+⌊階段/12⌋+(菁英?1:0), 1, 7)。</v>
      </c>
      <c r="G170">
        <f>計算表!G170</f>
        <v>0.5</v>
      </c>
      <c r="H170">
        <f>計算表!H170</f>
        <v>0</v>
      </c>
      <c r="I170">
        <f>計算表!I170</f>
        <v>0</v>
      </c>
      <c r="J170">
        <f>計算表!J170</f>
        <v>0</v>
      </c>
      <c r="K170">
        <f>計算表!K170</f>
        <v>0</v>
      </c>
      <c r="L170">
        <f>計算表!L170</f>
        <v>0</v>
      </c>
      <c r="M170">
        <f>計算表!M170</f>
        <v>0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>
        <f>計算表!B171</f>
        <v>0</v>
      </c>
      <c r="C171" t="str">
        <f>計算表!C171</f>
        <v>5-太古詞條</v>
      </c>
      <c r="D171" t="str">
        <f>計算表!D171</f>
        <v>高塔太古精華機率</v>
      </c>
      <c r="E171" t="str">
        <f>計算表!E171</f>
        <v>min(a%, b% + (樓層-c)×d%)</v>
      </c>
      <c r="F171" t="str">
        <f>計算表!F171</f>
        <v>以樓層計算；每場獨立判定 1 顆。</v>
      </c>
      <c r="G171">
        <f>計算表!G171</f>
        <v>100</v>
      </c>
      <c r="H171">
        <f>計算表!H171</f>
        <v>10</v>
      </c>
      <c r="I171">
        <f>計算表!I171</f>
        <v>40</v>
      </c>
      <c r="J171">
        <f>計算表!J171</f>
        <v>2</v>
      </c>
      <c r="K171">
        <f>計算表!K171</f>
        <v>0</v>
      </c>
      <c r="L171">
        <f>計算表!L171</f>
        <v>0</v>
      </c>
      <c r="M171">
        <f>計算表!M171</f>
        <v>0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>
        <f>計算表!B172</f>
        <v>0</v>
      </c>
      <c r="C172" t="str">
        <f>計算表!C172</f>
        <v>5-太古詞條</v>
      </c>
      <c r="D172" t="str">
        <f>計算表!D172</f>
        <v>太古詞條產生率(2詞條)</v>
      </c>
      <c r="E172" t="str">
        <f>計算表!E172</f>
        <v>權重擲骰：a~c = 0~2條太古的權重%</v>
      </c>
      <c r="F172" t="str">
        <f>計算表!F172</f>
        <v>裝備產出時依詞條數量決定太古條數與隨機位置（位置永久固定，洗煉不變）。a=0條 b=1條 c=2條。</v>
      </c>
      <c r="G172">
        <f>計算表!G172</f>
        <v>92</v>
      </c>
      <c r="H172">
        <f>計算表!H172</f>
        <v>7.5</v>
      </c>
      <c r="I172">
        <f>計算表!I172</f>
        <v>0.5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>
        <f>計算表!B173</f>
        <v>0</v>
      </c>
      <c r="C173" t="str">
        <f>計算表!C173</f>
        <v>5-太古詞條</v>
      </c>
      <c r="D173" t="str">
        <f>計算表!D173</f>
        <v>太古詞條產生率(3詞條)</v>
      </c>
      <c r="E173" t="str">
        <f>計算表!E173</f>
        <v>權重擲骰：a~d = 0~3條太古的權重%</v>
      </c>
      <c r="F173" t="str">
        <f>計算表!F173</f>
        <v>裝備產出時依詞條數量決定太古條數與隨機位置（位置永久固定，洗煉不變）。a=0條 b=1條 c=2條 d=3條。</v>
      </c>
      <c r="G173">
        <f>計算表!G173</f>
        <v>78.099999999999994</v>
      </c>
      <c r="H173">
        <f>計算表!H173</f>
        <v>19.2</v>
      </c>
      <c r="I173">
        <f>計算表!I173</f>
        <v>2.4</v>
      </c>
      <c r="J173">
        <f>計算表!J173</f>
        <v>0.3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>
        <f>計算表!B174</f>
        <v>0</v>
      </c>
      <c r="C174" t="str">
        <f>計算表!C174</f>
        <v>5-太古詞條</v>
      </c>
      <c r="D174" t="str">
        <f>計算表!D174</f>
        <v>太古詞條產生率(4詞條)</v>
      </c>
      <c r="E174" t="str">
        <f>計算表!E174</f>
        <v>權重擲骰：a~e = 0~4條太古的權重%</v>
      </c>
      <c r="F174" t="str">
        <f>計算表!F174</f>
        <v>裝備產出時依詞條數量決定太古條數與隨機位置（位置永久固定，洗煉不變）。a=0條 b=1條 c=2條 d=3條 e=4條。</v>
      </c>
      <c r="G174">
        <f>計算表!G174</f>
        <v>72.11</v>
      </c>
      <c r="H174">
        <f>計算表!H174</f>
        <v>22.12</v>
      </c>
      <c r="I174">
        <f>計算表!I174</f>
        <v>4.6100000000000003</v>
      </c>
      <c r="J174">
        <f>計算表!J174</f>
        <v>0.96</v>
      </c>
      <c r="K174">
        <f>計算表!K174</f>
        <v>0.2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>
        <f>計算表!B175</f>
        <v>0</v>
      </c>
      <c r="C175" t="str">
        <f>計算表!C175</f>
        <v>5-太古詞條</v>
      </c>
      <c r="D175" t="str">
        <f>計算表!D175</f>
        <v>太古詞條產生率(5詞條)</v>
      </c>
      <c r="E175" t="str">
        <f>計算表!E175</f>
        <v>權重擲骰：a~f = 0~5條太古的權重%</v>
      </c>
      <c r="F175" t="str">
        <f>計算表!F175</f>
        <v>裝備產出時依詞條數量決定太古條數與隨機位置（位置永久固定，洗煉不變）。a=0條 b=1條 c=2條 d=3條 e=4條 f=5條。</v>
      </c>
      <c r="G175">
        <f>計算表!G175</f>
        <v>74.349999999999994</v>
      </c>
      <c r="H175">
        <f>計算表!H175</f>
        <v>18.739999999999998</v>
      </c>
      <c r="I175">
        <f>計算表!I175</f>
        <v>5.07</v>
      </c>
      <c r="J175">
        <f>計算表!J175</f>
        <v>1.37</v>
      </c>
      <c r="K175">
        <f>計算表!K175</f>
        <v>0.37</v>
      </c>
      <c r="L175">
        <f>計算表!L175</f>
        <v>0.1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>
        <f>計算表!B176</f>
        <v>0</v>
      </c>
      <c r="C176" t="str">
        <f>計算表!C176</f>
        <v>5-太古詞條</v>
      </c>
      <c r="D176" t="str">
        <f>計算表!D176</f>
        <v>太古詞條產生率(6詞條)</v>
      </c>
      <c r="E176" t="str">
        <f>計算表!E176</f>
        <v>權重擲骰：a~g = 0~6條太古的權重%</v>
      </c>
      <c r="F176" t="str">
        <f>計算表!F176</f>
        <v>裝備產出時依詞條數量決定太古條數與隨機位置（位置永久固定，洗煉不變）。a=0條 b=1條 c=2條 d=3條 e=4條 f=5條 g=6條。</v>
      </c>
      <c r="G176">
        <f>計算表!G176</f>
        <v>76.87</v>
      </c>
      <c r="H176">
        <f>計算表!H176</f>
        <v>15.04</v>
      </c>
      <c r="I176">
        <f>計算表!I176</f>
        <v>5.28</v>
      </c>
      <c r="J176">
        <f>計算表!J176</f>
        <v>1.85</v>
      </c>
      <c r="K176">
        <f>計算表!K176</f>
        <v>0.65</v>
      </c>
      <c r="L176">
        <f>計算表!L176</f>
        <v>0.23</v>
      </c>
      <c r="M176">
        <f>計算表!M176</f>
        <v>0.08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>
        <f>計算表!B177</f>
        <v>0</v>
      </c>
      <c r="C177" t="str">
        <f>計算表!C177</f>
        <v>5-太古詞條</v>
      </c>
      <c r="D177" t="str">
        <f>計算表!D177</f>
        <v>太古詞條產生率(7詞條)</v>
      </c>
      <c r="E177" t="str">
        <f>計算表!E177</f>
        <v>權重擲骰：a~h = 0~7條太古的權重%</v>
      </c>
      <c r="F177" t="str">
        <f>計算表!F177</f>
        <v>裝備產出時依詞條數量決定太古條數與隨機位置（位置永久固定，洗煉不變）。a=0條 b=1條 c=2條 d=3條 e=4條 f=5條 g=6條 h=7條。</v>
      </c>
      <c r="G177">
        <f>計算表!G177</f>
        <v>69.92</v>
      </c>
      <c r="H177">
        <f>計算表!H177</f>
        <v>18.53</v>
      </c>
      <c r="I177">
        <f>計算表!I177</f>
        <v>7.13</v>
      </c>
      <c r="J177">
        <f>計算表!J177</f>
        <v>2.74</v>
      </c>
      <c r="K177">
        <f>計算表!K177</f>
        <v>1.05</v>
      </c>
      <c r="L177">
        <f>計算表!L177</f>
        <v>0.41</v>
      </c>
      <c r="M177">
        <f>計算表!M177</f>
        <v>0.16</v>
      </c>
      <c r="N177">
        <f>計算表!N177</f>
        <v>0.06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>
        <f>計算表!B178</f>
        <v>0</v>
      </c>
      <c r="C178" t="str">
        <f>計算表!C178</f>
        <v>5-太古詞條</v>
      </c>
      <c r="D178" t="str">
        <f>計算表!D178</f>
        <v>太古詞條產生率(8詞條)</v>
      </c>
      <c r="E178" t="str">
        <f>計算表!E178</f>
        <v>權重擲骰：a~i = 0~8條太古的權重%</v>
      </c>
      <c r="F178" t="str">
        <f>計算表!F178</f>
        <v>裝備產出時依詞條數量決定太古條數與隨機位置（位置永久固定，洗煉不變）。a=0條 b=1條 c=2條 d=3條 e=4條 f=5條 g=6條 h=7條 i=8條。</v>
      </c>
      <c r="G178">
        <f>計算表!G178</f>
        <v>64.22</v>
      </c>
      <c r="H178">
        <f>計算表!H178</f>
        <v>21.19</v>
      </c>
      <c r="I178">
        <f>計算表!I178</f>
        <v>8.65</v>
      </c>
      <c r="J178">
        <f>計算表!J178</f>
        <v>3.53</v>
      </c>
      <c r="K178">
        <f>計算表!K178</f>
        <v>1.44</v>
      </c>
      <c r="L178">
        <f>計算表!L178</f>
        <v>0.59</v>
      </c>
      <c r="M178">
        <f>計算表!M178</f>
        <v>0.24</v>
      </c>
      <c r="N178">
        <f>計算表!N178</f>
        <v>0.1</v>
      </c>
      <c r="O178">
        <f>計算表!O178</f>
        <v>0.04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>
        <f>計算表!B179</f>
        <v>0</v>
      </c>
      <c r="C179" t="str">
        <f>計算表!C179</f>
        <v>5-太古詞條</v>
      </c>
      <c r="D179" t="str">
        <f>計算表!D179</f>
        <v>太古詞條產生率(9詞條)</v>
      </c>
      <c r="E179" t="str">
        <f>計算表!E179</f>
        <v>權重擲骰：a~j = 0~9條太古的權重%</v>
      </c>
      <c r="F179" t="str">
        <f>計算表!F179</f>
        <v>裝備產出時依詞條數量決定太古條數與隨機位置（位置永久固定，洗煉不變）。a=0條 b=1條 c=2條 d=3條 e=4條 f=5條 g=6條 h=7條 i=8條 j=9條。</v>
      </c>
      <c r="G179">
        <f>計算表!G179</f>
        <v>59.92</v>
      </c>
      <c r="H179">
        <f>計算表!H179</f>
        <v>23.53</v>
      </c>
      <c r="I179">
        <f>計算表!I179</f>
        <v>9.7200000000000006</v>
      </c>
      <c r="J179">
        <f>計算表!J179</f>
        <v>4.0199999999999996</v>
      </c>
      <c r="K179">
        <f>計算表!K179</f>
        <v>1.66</v>
      </c>
      <c r="L179">
        <f>計算表!L179</f>
        <v>0.69</v>
      </c>
      <c r="M179">
        <f>計算表!M179</f>
        <v>0.28000000000000003</v>
      </c>
      <c r="N179">
        <f>計算表!N179</f>
        <v>0.12</v>
      </c>
      <c r="O179">
        <f>計算表!O179</f>
        <v>0.05</v>
      </c>
      <c r="P179">
        <f>計算表!P179</f>
        <v>0.02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>
        <f>計算表!B180</f>
        <v>0</v>
      </c>
      <c r="C180" t="str">
        <f>計算表!C180</f>
        <v>5-太古詞條</v>
      </c>
      <c r="D180" t="str">
        <f>計算表!D180</f>
        <v>太古詞條產生率(10詞條)</v>
      </c>
      <c r="E180" t="str">
        <f>計算表!E180</f>
        <v>權重擲骰：a~k = 0~10條太古的權重%</v>
      </c>
      <c r="F180" t="str">
        <f>計算表!F180</f>
        <v>裝備產出時依詞條數量決定太古條數與隨機位置（位置永久固定，洗煉不變）。a=0條 b=1條 c=2條 d=3條 e=4條 f=5條 g=6條 h=7條 i=8條 j=9條 k=10條。</v>
      </c>
      <c r="G180">
        <f>計算表!G180</f>
        <v>54.72</v>
      </c>
      <c r="H180">
        <f>計算表!H180</f>
        <v>26.42</v>
      </c>
      <c r="I180">
        <f>計算表!I180</f>
        <v>11.01</v>
      </c>
      <c r="J180">
        <f>計算表!J180</f>
        <v>4.59</v>
      </c>
      <c r="K180">
        <f>計算表!K180</f>
        <v>1.91</v>
      </c>
      <c r="L180">
        <f>計算表!L180</f>
        <v>0.8</v>
      </c>
      <c r="M180">
        <f>計算表!M180</f>
        <v>0.33</v>
      </c>
      <c r="N180">
        <f>計算表!N180</f>
        <v>0.14000000000000001</v>
      </c>
      <c r="O180">
        <f>計算表!O180</f>
        <v>0.06</v>
      </c>
      <c r="P180">
        <f>計算表!P180</f>
        <v>0.02</v>
      </c>
      <c r="Q180">
        <f>計算表!Q180</f>
        <v>0.01</v>
      </c>
      <c r="R180">
        <f>計算表!R180</f>
        <v>0</v>
      </c>
    </row>
    <row r="181" spans="1:18" x14ac:dyDescent="0.25">
      <c r="A181">
        <f>計算表!A181</f>
        <v>180</v>
      </c>
      <c r="B181">
        <f>計算表!B181</f>
        <v>0</v>
      </c>
      <c r="C181" t="str">
        <f>計算表!C181</f>
        <v>5-太古詞條</v>
      </c>
      <c r="D181" t="str">
        <f>計算表!D181</f>
        <v>太古詞條數值倍率</v>
      </c>
      <c r="E181" t="str">
        <f>計算表!E181</f>
        <v>原詞條上限 × a</v>
      </c>
      <c r="F181" t="str">
        <f>計算表!F181</f>
        <v>a=太古詞條強度倍率（上限已含×1.2，再×a）。</v>
      </c>
      <c r="G181">
        <f>計算表!G181</f>
        <v>1.35</v>
      </c>
      <c r="H181">
        <f>計算表!H181</f>
        <v>0</v>
      </c>
      <c r="I181">
        <f>計算表!I181</f>
        <v>0</v>
      </c>
      <c r="J181">
        <f>計算表!J181</f>
        <v>0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>
        <f>計算表!B182</f>
        <v>0</v>
      </c>
      <c r="C182" t="str">
        <f>計算表!C182</f>
        <v>5-太古詞條</v>
      </c>
      <c r="D182" t="str">
        <f>計算表!D182</f>
        <v>太古幸運權重倍率</v>
      </c>
      <c r="E182" t="str">
        <f>計算表!E182</f>
        <v>m = a × 幸運值總合 / (幸運值總合 + 太古幸運權重分母)</v>
      </c>
      <c r="F182" t="str">
        <f>計算表!F182</f>
        <v>a=幸運值影響倍率；m 用於提高太古詞條數的高條數權重。</v>
      </c>
      <c r="G182">
        <f>計算表!G182</f>
        <v>0.5</v>
      </c>
      <c r="H182">
        <f>計算表!H182</f>
        <v>0</v>
      </c>
      <c r="I182">
        <f>計算表!I182</f>
        <v>0</v>
      </c>
      <c r="J182">
        <f>計算表!J182</f>
        <v>0</v>
      </c>
      <c r="K182">
        <f>計算表!K182</f>
        <v>0</v>
      </c>
      <c r="L182">
        <f>計算表!L182</f>
        <v>0</v>
      </c>
      <c r="M182">
        <f>計算表!M182</f>
        <v>0</v>
      </c>
      <c r="N182">
        <f>計算表!N182</f>
        <v>0</v>
      </c>
      <c r="O182">
        <f>計算表!O182</f>
        <v>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>
        <f>計算表!B183</f>
        <v>0</v>
      </c>
      <c r="C183" t="str">
        <f>計算表!C183</f>
        <v>5-太古詞條</v>
      </c>
      <c r="D183" t="str">
        <f>計算表!D183</f>
        <v>太古幸運權重分母</v>
      </c>
      <c r="E183" t="str">
        <f>計算表!E183</f>
        <v>m = 太古幸運權重倍率 × 幸運值總合 / (幸運值總合 + a)</v>
      </c>
      <c r="F183" t="str">
        <f>計算表!F183</f>
        <v>a=幸運值飽和分母；幸運值越高，m 越接近太古幸運權重倍率。</v>
      </c>
      <c r="G183">
        <f>計算表!G183</f>
        <v>4000</v>
      </c>
      <c r="H183">
        <f>計算表!H183</f>
        <v>0</v>
      </c>
      <c r="I183">
        <f>計算表!I183</f>
        <v>0</v>
      </c>
      <c r="J183">
        <f>計算表!J183</f>
        <v>0</v>
      </c>
      <c r="K183">
        <f>計算表!K183</f>
        <v>0</v>
      </c>
      <c r="L183">
        <f>計算表!L183</f>
        <v>0</v>
      </c>
      <c r="M183">
        <f>計算表!M183</f>
        <v>0</v>
      </c>
      <c r="N183">
        <f>計算表!N183</f>
        <v>0</v>
      </c>
      <c r="O183">
        <f>計算表!O183</f>
        <v>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計算表!A184</f>
        <v>183</v>
      </c>
      <c r="B184">
        <f>計算表!B184</f>
        <v>0</v>
      </c>
      <c r="C184" t="str">
        <f>計算表!C184</f>
        <v>5-高塔獎勵</v>
      </c>
      <c r="D184" t="str">
        <f>計算表!D184</f>
        <v>零件階級</v>
      </c>
      <c r="E184" t="str">
        <f>計算表!E184</f>
        <v>clamp(1+⌊(樓層-1)/a⌋, 1, 7)</v>
      </c>
      <c r="F184" t="str">
        <f>計算表!F184</f>
        <v>首通必得、重複通關 30%。</v>
      </c>
      <c r="G184">
        <f>計算表!G184</f>
        <v>4</v>
      </c>
      <c r="H184">
        <f>計算表!H184</f>
        <v>0</v>
      </c>
      <c r="I184">
        <f>計算表!I184</f>
        <v>0</v>
      </c>
      <c r="J184">
        <f>計算表!J184</f>
        <v>0</v>
      </c>
      <c r="K184">
        <f>計算表!K184</f>
        <v>0</v>
      </c>
      <c r="L184">
        <f>計算表!L184</f>
        <v>0</v>
      </c>
      <c r="M184">
        <f>計算表!M184</f>
        <v>0</v>
      </c>
      <c r="N184">
        <f>計算表!N184</f>
        <v>0</v>
      </c>
      <c r="O184">
        <f>計算表!O184</f>
        <v>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x14ac:dyDescent="0.25">
      <c r="A185">
        <f>計算表!A185</f>
        <v>184</v>
      </c>
      <c r="B185">
        <f>計算表!B185</f>
        <v>0</v>
      </c>
      <c r="C185" t="str">
        <f>計算表!C185</f>
        <v>5-高塔獎勵</v>
      </c>
      <c r="D185" t="str">
        <f>計算表!D185</f>
        <v>金幣</v>
      </c>
      <c r="E185" t="str">
        <f>計算表!E185</f>
        <v>a×樓層（首通×2）</v>
      </c>
      <c r="F185" t="str">
        <f>計算表!F185</f>
        <v>a=每層金幣。</v>
      </c>
      <c r="G185">
        <f>計算表!G185</f>
        <v>200</v>
      </c>
      <c r="H185">
        <f>計算表!H185</f>
        <v>0</v>
      </c>
      <c r="I185">
        <f>計算表!I185</f>
        <v>0</v>
      </c>
      <c r="J185">
        <f>計算表!J185</f>
        <v>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x14ac:dyDescent="0.25">
      <c r="A186">
        <f>計算表!A186</f>
        <v>185</v>
      </c>
      <c r="B186">
        <f>計算表!B186</f>
        <v>0</v>
      </c>
      <c r="C186" t="str">
        <f>計算表!C186</f>
        <v>5-高塔獎勵</v>
      </c>
      <c r="D186" t="str">
        <f>計算表!D186</f>
        <v>寶石</v>
      </c>
      <c r="E186" t="str">
        <f>計算表!E186</f>
        <v>clamp(1+⌊樓層/a⌋, 1, 5)，隨機種類×2 顆</v>
      </c>
      <c r="F186" t="str">
        <f>計算表!F186</f>
        <v>a=樓層除數。</v>
      </c>
      <c r="G186">
        <f>計算表!G186</f>
        <v>4</v>
      </c>
      <c r="H186">
        <f>計算表!H186</f>
        <v>0</v>
      </c>
      <c r="I186">
        <f>計算表!I186</f>
        <v>0</v>
      </c>
      <c r="J186">
        <f>計算表!J186</f>
        <v>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x14ac:dyDescent="0.25">
      <c r="A187">
        <f>計算表!A187</f>
        <v>186</v>
      </c>
      <c r="B187">
        <f>計算表!B187</f>
        <v>0</v>
      </c>
      <c r="C187" t="str">
        <f>計算表!C187</f>
        <v>5-高塔獎勵</v>
      </c>
      <c r="D187" t="str">
        <f>計算表!D187</f>
        <v>附魔精華</v>
      </c>
      <c r="E187" t="str">
        <f>計算表!E187</f>
        <v>a+樓層</v>
      </c>
      <c r="F187" t="str">
        <f>計算表!F187</f>
        <v>a=常數（另附魔書×2）。</v>
      </c>
      <c r="G187">
        <f>計算表!G187</f>
        <v>3</v>
      </c>
      <c r="H187">
        <f>計算表!H187</f>
        <v>0</v>
      </c>
      <c r="I187">
        <f>計算表!I187</f>
        <v>0</v>
      </c>
      <c r="J187">
        <f>計算表!J187</f>
        <v>0</v>
      </c>
      <c r="K187">
        <f>計算表!K187</f>
        <v>0</v>
      </c>
      <c r="L187">
        <f>計算表!L187</f>
        <v>0</v>
      </c>
      <c r="M187">
        <f>計算表!M187</f>
        <v>0</v>
      </c>
      <c r="N187">
        <f>計算表!N187</f>
        <v>0</v>
      </c>
      <c r="O187">
        <f>計算表!O187</f>
        <v>0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x14ac:dyDescent="0.25">
      <c r="A188">
        <f>計算表!A188</f>
        <v>187</v>
      </c>
      <c r="B188">
        <f>計算表!B188</f>
        <v>0</v>
      </c>
      <c r="C188" t="str">
        <f>計算表!C188</f>
        <v>5-高塔獎勵</v>
      </c>
      <c r="D188" t="str">
        <f>計算表!D188</f>
        <v>裝備戰利品等級</v>
      </c>
      <c r="E188" t="str">
        <f>計算表!E188</f>
        <v>a+樓層×b</v>
      </c>
      <c r="F188" t="str">
        <f>計算表!F188</f>
        <v>依 BOSS 掉落表擲骰。</v>
      </c>
      <c r="G188">
        <f>計算表!G188</f>
        <v>4</v>
      </c>
      <c r="H188">
        <f>計算表!H188</f>
        <v>5</v>
      </c>
      <c r="I188">
        <f>計算表!I188</f>
        <v>0</v>
      </c>
      <c r="J188">
        <f>計算表!J188</f>
        <v>0</v>
      </c>
      <c r="K188">
        <f>計算表!K188</f>
        <v>0</v>
      </c>
      <c r="L188">
        <f>計算表!L188</f>
        <v>0</v>
      </c>
      <c r="M188">
        <f>計算表!M188</f>
        <v>0</v>
      </c>
      <c r="N188">
        <f>計算表!N188</f>
        <v>0</v>
      </c>
      <c r="O188">
        <f>計算表!O188</f>
        <v>0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x14ac:dyDescent="0.25">
      <c r="A189">
        <f>計算表!A189</f>
        <v>188</v>
      </c>
      <c r="B189">
        <f>計算表!B189</f>
        <v>0</v>
      </c>
      <c r="C189" t="str">
        <f>計算表!C189</f>
        <v>5-高塔裝備掉落</v>
      </c>
      <c r="D189" t="str">
        <f>計算表!D189</f>
        <v>普通裝備</v>
      </c>
      <c r="E189" t="str">
        <f>計算表!E189</f>
        <v>各樓層區間掉落率%（{樓層下限~上限=機率}）</v>
      </c>
      <c r="F189" t="str">
        <f>計算表!F189</f>
        <v>每品質獨立擲骰，&gt;100% 依必掉+餘數規則；實際機率 ×(1+有效掉寶率%)。</v>
      </c>
      <c r="G189" t="str">
        <f>計算表!G189</f>
        <v>{1~5=0}</v>
      </c>
      <c r="H189" t="str">
        <f>計算表!H189</f>
        <v>{6~10=0}</v>
      </c>
      <c r="I189" t="str">
        <f>計算表!I189</f>
        <v>{11~15=0}</v>
      </c>
      <c r="J189" t="str">
        <f>計算表!J189</f>
        <v>{16~20=0}</v>
      </c>
      <c r="K189" t="str">
        <f>計算表!K189</f>
        <v>{21~25=0}</v>
      </c>
      <c r="L189" t="str">
        <f>計算表!L189</f>
        <v>{26~30=0}</v>
      </c>
      <c r="M189" t="str">
        <f>計算表!M189</f>
        <v>{31+=0}</v>
      </c>
      <c r="N189">
        <f>計算表!N189</f>
        <v>0</v>
      </c>
      <c r="O189">
        <f>計算表!O189</f>
        <v>0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x14ac:dyDescent="0.25">
      <c r="A190">
        <f>計算表!A190</f>
        <v>189</v>
      </c>
      <c r="B190">
        <f>計算表!B190</f>
        <v>0</v>
      </c>
      <c r="C190" t="str">
        <f>計算表!C190</f>
        <v>5-高塔裝備掉落</v>
      </c>
      <c r="D190" t="str">
        <f>計算表!D190</f>
        <v>精良裝備</v>
      </c>
      <c r="E190" t="str">
        <f>計算表!E190</f>
        <v>各樓層區間掉落率%（{樓層下限~上限=機率}）</v>
      </c>
      <c r="F190" t="str">
        <f>計算表!F190</f>
        <v>每品質獨立擲骰，&gt;100% 依必掉+餘數規則；實際機率 ×(1+有效掉寶率%)。</v>
      </c>
      <c r="G190" t="str">
        <f>計算表!G190</f>
        <v>{1~5=0}</v>
      </c>
      <c r="H190" t="str">
        <f>計算表!H190</f>
        <v>{6~10=0}</v>
      </c>
      <c r="I190" t="str">
        <f>計算表!I190</f>
        <v>{11~15=0}</v>
      </c>
      <c r="J190" t="str">
        <f>計算表!J190</f>
        <v>{16~20=0}</v>
      </c>
      <c r="K190" t="str">
        <f>計算表!K190</f>
        <v>{21~25=0}</v>
      </c>
      <c r="L190" t="str">
        <f>計算表!L190</f>
        <v>{26~30=0}</v>
      </c>
      <c r="M190" t="str">
        <f>計算表!M190</f>
        <v>{31+=0}</v>
      </c>
      <c r="N190">
        <f>計算表!N190</f>
        <v>0</v>
      </c>
      <c r="O190">
        <f>計算表!O190</f>
        <v>0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x14ac:dyDescent="0.25">
      <c r="A191">
        <f>計算表!A191</f>
        <v>190</v>
      </c>
      <c r="B191">
        <f>計算表!B191</f>
        <v>0</v>
      </c>
      <c r="C191" t="str">
        <f>計算表!C191</f>
        <v>5-高塔裝備掉落</v>
      </c>
      <c r="D191" t="str">
        <f>計算表!D191</f>
        <v>稀有裝備</v>
      </c>
      <c r="E191" t="str">
        <f>計算表!E191</f>
        <v>各樓層區間掉落率%（{樓層下限~上限=機率}）</v>
      </c>
      <c r="F191" t="str">
        <f>計算表!F191</f>
        <v>每品質獨立擲骰，&gt;100% 依必掉+餘數規則；實際機率 ×(1+有效掉寶率%)。</v>
      </c>
      <c r="G191" t="str">
        <f>計算表!G191</f>
        <v>{1~5=100}</v>
      </c>
      <c r="H191" t="str">
        <f>計算表!H191</f>
        <v>{6~10=100}</v>
      </c>
      <c r="I191" t="str">
        <f>計算表!I191</f>
        <v>{11~15=0}</v>
      </c>
      <c r="J191" t="str">
        <f>計算表!J191</f>
        <v>{16~20=0}</v>
      </c>
      <c r="K191" t="str">
        <f>計算表!K191</f>
        <v>{21~25=0}</v>
      </c>
      <c r="L191" t="str">
        <f>計算表!L191</f>
        <v>{26~30=0}</v>
      </c>
      <c r="M191" t="str">
        <f>計算表!M191</f>
        <v>{31+=0}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x14ac:dyDescent="0.25">
      <c r="A192">
        <f>計算表!A192</f>
        <v>191</v>
      </c>
      <c r="B192">
        <f>計算表!B192</f>
        <v>0</v>
      </c>
      <c r="C192" t="str">
        <f>計算表!C192</f>
        <v>5-高塔裝備掉落</v>
      </c>
      <c r="D192" t="str">
        <f>計算表!D192</f>
        <v>獨特裝備</v>
      </c>
      <c r="E192" t="str">
        <f>計算表!E192</f>
        <v>各樓層區間掉落率%（{樓層下限~上限=機率}）</v>
      </c>
      <c r="F192" t="str">
        <f>計算表!F192</f>
        <v>每品質獨立擲骰，&gt;100% 依必掉+餘數規則；實際機率 ×(1+有效掉寶率%)。</v>
      </c>
      <c r="G192" t="str">
        <f>計算表!G192</f>
        <v>{1~5=50}</v>
      </c>
      <c r="H192" t="str">
        <f>計算表!H192</f>
        <v>{6~10=100}</v>
      </c>
      <c r="I192" t="str">
        <f>計算表!I192</f>
        <v>{11~15=100}</v>
      </c>
      <c r="J192" t="str">
        <f>計算表!J192</f>
        <v>{16~20=150}</v>
      </c>
      <c r="K192" t="str">
        <f>計算表!K192</f>
        <v>{21~25=250}</v>
      </c>
      <c r="L192" t="str">
        <f>計算表!L192</f>
        <v>{26~30=300}</v>
      </c>
      <c r="M192" t="str">
        <f>計算表!M192</f>
        <v>{31+=300}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x14ac:dyDescent="0.25">
      <c r="A193">
        <f>計算表!A193</f>
        <v>192</v>
      </c>
      <c r="B193">
        <f>計算表!B193</f>
        <v>0</v>
      </c>
      <c r="C193" t="str">
        <f>計算表!C193</f>
        <v>5-高塔裝備掉落</v>
      </c>
      <c r="D193" t="str">
        <f>計算表!D193</f>
        <v>史詩裝備</v>
      </c>
      <c r="E193" t="str">
        <f>計算表!E193</f>
        <v>各樓層區間掉落率%（{樓層下限~上限=機率}）</v>
      </c>
      <c r="F193" t="str">
        <f>計算表!F193</f>
        <v>每品質獨立擲骰，&gt;100% 依必掉+餘數規則；實際機率 ×(1+有效掉寶率%)。</v>
      </c>
      <c r="G193" t="str">
        <f>計算表!G193</f>
        <v>{1~5=10}</v>
      </c>
      <c r="H193" t="str">
        <f>計算表!H193</f>
        <v>{6~10=20}</v>
      </c>
      <c r="I193" t="str">
        <f>計算表!I193</f>
        <v>{11~15=100}</v>
      </c>
      <c r="J193" t="str">
        <f>計算表!J193</f>
        <v>{16~20=100}</v>
      </c>
      <c r="K193" t="str">
        <f>計算表!K193</f>
        <v>{21~25=150}</v>
      </c>
      <c r="L193" t="str">
        <f>計算表!L193</f>
        <v>{26~30=200}</v>
      </c>
      <c r="M193" t="str">
        <f>計算表!M193</f>
        <v>{31+=200}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x14ac:dyDescent="0.25">
      <c r="A194">
        <f>計算表!A194</f>
        <v>193</v>
      </c>
      <c r="B194">
        <f>計算表!B194</f>
        <v>0</v>
      </c>
      <c r="C194" t="str">
        <f>計算表!C194</f>
        <v>5-高塔裝備掉落</v>
      </c>
      <c r="D194" t="str">
        <f>計算表!D194</f>
        <v>傳說裝備</v>
      </c>
      <c r="E194" t="str">
        <f>計算表!E194</f>
        <v>各樓層區間掉落率%（{樓層下限~上限=機率}）</v>
      </c>
      <c r="F194" t="str">
        <f>計算表!F194</f>
        <v>每品質獨立擲骰，&gt;100% 依必掉+餘數規則；實際機率 ×(1+有效掉寶率%)。</v>
      </c>
      <c r="G194" t="str">
        <f>計算表!G194</f>
        <v>{1~5=5}</v>
      </c>
      <c r="H194" t="str">
        <f>計算表!H194</f>
        <v>{6~10=10}</v>
      </c>
      <c r="I194" t="str">
        <f>計算表!I194</f>
        <v>{11~15=50}</v>
      </c>
      <c r="J194" t="str">
        <f>計算表!J194</f>
        <v>{16~20=50}</v>
      </c>
      <c r="K194" t="str">
        <f>計算表!K194</f>
        <v>{21~25=100}</v>
      </c>
      <c r="L194" t="str">
        <f>計算表!L194</f>
        <v>{26~30=150}</v>
      </c>
      <c r="M194" t="str">
        <f>計算表!M194</f>
        <v>{31+=150}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x14ac:dyDescent="0.25">
      <c r="A195">
        <f>計算表!A195</f>
        <v>194</v>
      </c>
      <c r="B195">
        <f>計算表!B195</f>
        <v>0</v>
      </c>
      <c r="C195" t="str">
        <f>計算表!C195</f>
        <v>5-高塔裝備掉落</v>
      </c>
      <c r="D195" t="str">
        <f>計算表!D195</f>
        <v>神話裝備</v>
      </c>
      <c r="E195" t="str">
        <f>計算表!E195</f>
        <v>各樓層區間掉落率%（{樓層下限~上限=機率}）</v>
      </c>
      <c r="F195" t="str">
        <f>計算表!F195</f>
        <v>每品質獨立擲骰，&gt;100% 依必掉+餘數規則；實際機率 ×(1+有效掉寶率%)。</v>
      </c>
      <c r="G195" t="str">
        <f>計算表!G195</f>
        <v>{1~5=0}</v>
      </c>
      <c r="H195" t="str">
        <f>計算表!H195</f>
        <v>{6~10=2}</v>
      </c>
      <c r="I195" t="str">
        <f>計算表!I195</f>
        <v>{11~15=5}</v>
      </c>
      <c r="J195" t="str">
        <f>計算表!J195</f>
        <v>{16~20=20}</v>
      </c>
      <c r="K195" t="str">
        <f>計算表!K195</f>
        <v>{21~25=33}</v>
      </c>
      <c r="L195" t="str">
        <f>計算表!L195</f>
        <v>{26~30=40}</v>
      </c>
      <c r="M195" t="str">
        <f>計算表!M195</f>
        <v>{31+=50}</v>
      </c>
      <c r="N195">
        <f>計算表!N195</f>
        <v>0</v>
      </c>
      <c r="O195">
        <f>計算表!O195</f>
        <v>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x14ac:dyDescent="0.25">
      <c r="A196">
        <f>計算表!A196</f>
        <v>195</v>
      </c>
      <c r="B196">
        <f>計算表!B196</f>
        <v>0</v>
      </c>
      <c r="C196" t="str">
        <f>計算表!C196</f>
        <v>5-高塔裝備掉落</v>
      </c>
      <c r="D196" t="str">
        <f>計算表!D196</f>
        <v>創世裝備</v>
      </c>
      <c r="E196" t="str">
        <f>計算表!E196</f>
        <v>各樓層區間掉落率%（{樓層下限~上限=機率}）</v>
      </c>
      <c r="F196" t="str">
        <f>計算表!F196</f>
        <v>每品質獨立擲骰，&gt;100% 依必掉+餘數規則；實際機率 ×(1+有效掉寶率%)。</v>
      </c>
      <c r="G196" t="str">
        <f>計算表!G196</f>
        <v>{1~5=0}</v>
      </c>
      <c r="H196" t="str">
        <f>計算表!H196</f>
        <v>{6~10=0}</v>
      </c>
      <c r="I196" t="str">
        <f>計算表!I196</f>
        <v>{11~15=1}</v>
      </c>
      <c r="J196" t="str">
        <f>計算表!J196</f>
        <v>{16~20=2.5}</v>
      </c>
      <c r="K196" t="str">
        <f>計算表!K196</f>
        <v>{21~25=5}</v>
      </c>
      <c r="L196" t="str">
        <f>計算表!L196</f>
        <v>{26~30=10}</v>
      </c>
      <c r="M196" t="str">
        <f>計算表!M196</f>
        <v>{31+=15}</v>
      </c>
      <c r="N196">
        <f>計算表!N196</f>
        <v>0</v>
      </c>
      <c r="O196">
        <f>計算表!O196</f>
        <v>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x14ac:dyDescent="0.25">
      <c r="A197">
        <f>計算表!A197</f>
        <v>196</v>
      </c>
      <c r="B197">
        <f>計算表!B197</f>
        <v>0</v>
      </c>
      <c r="C197" t="str">
        <f>計算表!C197</f>
        <v>6-裝備</v>
      </c>
      <c r="D197" t="str">
        <f>計算表!D197</f>
        <v>詞條數值</v>
      </c>
      <c r="E197" t="str">
        <f>計算表!E197</f>
        <v>(base+base×lv係數×(裝備等級-1))×稀有度倍率×rnd(0.8,1.2)</v>
      </c>
      <c r="F197" t="str">
        <f>計算表!F197</f>
        <v>base/lv係數見「詞條池」；稀有度倍率見「稀有度表」。　※指標列：base/lv 見「表-詞條池」，稀有度倍率見「表-稀有度」。</v>
      </c>
      <c r="G197">
        <f>計算表!G197</f>
        <v>0</v>
      </c>
      <c r="H197">
        <f>計算表!H197</f>
        <v>0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x14ac:dyDescent="0.25">
      <c r="A198">
        <f>計算表!A198</f>
        <v>197</v>
      </c>
      <c r="B198">
        <f>計算表!B198</f>
        <v>0</v>
      </c>
      <c r="C198" t="str">
        <f>計算表!C198</f>
        <v>6-裝備</v>
      </c>
      <c r="D198" t="str">
        <f>計算表!D198</f>
        <v>太古詞條數值</v>
      </c>
      <c r="E198" t="str">
        <f>計算表!E198</f>
        <v>基準值×1.2×a</v>
      </c>
      <c r="F198" t="str">
        <f>計算表!F198</f>
        <v>a=太古倍率（=原上限的 135%）。　※實際由「5-太古詞條/太古詞條數值倍率」控制，本列不生效。</v>
      </c>
      <c r="G198">
        <f>計算表!G198</f>
        <v>1.35</v>
      </c>
      <c r="H198">
        <f>計算表!H198</f>
        <v>0</v>
      </c>
      <c r="I198">
        <f>計算表!I198</f>
        <v>0</v>
      </c>
      <c r="J198">
        <f>計算表!J198</f>
        <v>0</v>
      </c>
      <c r="K198">
        <f>計算表!K198</f>
        <v>0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x14ac:dyDescent="0.25">
      <c r="A199">
        <f>計算表!A199</f>
        <v>198</v>
      </c>
      <c r="B199">
        <f>計算表!B199</f>
        <v>0</v>
      </c>
      <c r="C199" t="str">
        <f>計算表!C199</f>
        <v>6-裝備</v>
      </c>
      <c r="D199" t="str">
        <f>計算表!D199</f>
        <v>強化倍率</v>
      </c>
      <c r="E199" t="str">
        <f>計算表!E199</f>
        <v>1 + a×強化等級</v>
      </c>
      <c r="F199" t="str">
        <f>計算表!F199</f>
        <v>裝備每 +1，全詞條數值 +5%。</v>
      </c>
      <c r="G199">
        <f>計算表!G199</f>
        <v>0.05</v>
      </c>
      <c r="H199">
        <f>計算表!H199</f>
        <v>0</v>
      </c>
      <c r="I199">
        <f>計算表!I199</f>
        <v>0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x14ac:dyDescent="0.25">
      <c r="A200">
        <f>計算表!A200</f>
        <v>199</v>
      </c>
      <c r="B200">
        <f>計算表!B200</f>
        <v>0</v>
      </c>
      <c r="C200" t="str">
        <f>計算表!C200</f>
        <v>6-裝備</v>
      </c>
      <c r="D200" t="str">
        <f>計算表!D200</f>
        <v>特殊被動數值</v>
      </c>
      <c r="E200" t="str">
        <f>計算表!E200</f>
        <v>base + perR×(稀有度-a)</v>
      </c>
      <c r="F200" t="str">
        <f>計算表!F200</f>
        <v>a=稀有級索引（稀有=基準）。base/perR 見「特殊被動表」。　※指標列：base/perR 見「表-特殊被動」。</v>
      </c>
      <c r="G200">
        <f>計算表!G200</f>
        <v>2</v>
      </c>
      <c r="H200">
        <f>計算表!H200</f>
        <v>0</v>
      </c>
      <c r="I200">
        <f>計算表!I200</f>
        <v>0</v>
      </c>
      <c r="J200">
        <f>計算表!J200</f>
        <v>0</v>
      </c>
      <c r="K200">
        <f>計算表!K200</f>
        <v>0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x14ac:dyDescent="0.25">
      <c r="A201">
        <f>計算表!A201</f>
        <v>200</v>
      </c>
      <c r="B201">
        <f>計算表!B201</f>
        <v>0</v>
      </c>
      <c r="C201" t="str">
        <f>計算表!C201</f>
        <v>6-裝備</v>
      </c>
      <c r="D201" t="str">
        <f>計算表!D201</f>
        <v>神鑄特效數值</v>
      </c>
      <c r="E201" t="str">
        <f>計算表!E201</f>
        <v>base × rnd(0.8, 1.2)</v>
      </c>
      <c r="F201" t="str">
        <f>計算表!F201</f>
        <v>base 見「神鑄特效表」。神力為額外乘區、彼此相乘。　※指標列：base 見「表-神鑄特效」。</v>
      </c>
      <c r="G201">
        <f>計算表!G201</f>
        <v>0</v>
      </c>
      <c r="H201">
        <f>計算表!H201</f>
        <v>0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x14ac:dyDescent="0.25">
      <c r="A202">
        <f>計算表!A202</f>
        <v>201</v>
      </c>
      <c r="B202">
        <f>計算表!B202</f>
        <v>0</v>
      </c>
      <c r="C202" t="str">
        <f>計算表!C202</f>
        <v>6-裝備</v>
      </c>
      <c r="D202" t="str">
        <f>計算表!D202</f>
        <v>附魔-攻擊類</v>
      </c>
      <c r="E202" t="str">
        <f>計算表!E202</f>
        <v>(a+裝備等級×b)×稀有度倍率×(1+c×寶石等級)</v>
      </c>
      <c r="F202" t="str">
        <f>計算表!F202</f>
        <v>火焰附魔再×1.25。寶石等級只在混合合成帶入。</v>
      </c>
      <c r="G202">
        <f>計算表!G202</f>
        <v>5</v>
      </c>
      <c r="H202">
        <f>計算表!H202</f>
        <v>1.2</v>
      </c>
      <c r="I202">
        <f>計算表!I202</f>
        <v>0.15</v>
      </c>
      <c r="J202">
        <f>計算表!J202</f>
        <v>0</v>
      </c>
      <c r="K202">
        <f>計算表!K202</f>
        <v>0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x14ac:dyDescent="0.25">
      <c r="A203">
        <f>計算表!A203</f>
        <v>202</v>
      </c>
      <c r="B203">
        <f>計算表!B203</f>
        <v>0</v>
      </c>
      <c r="C203" t="str">
        <f>計算表!C203</f>
        <v>6-裝備</v>
      </c>
      <c r="D203" t="str">
        <f>計算表!D203</f>
        <v>附魔-防禦/功能類</v>
      </c>
      <c r="E203" t="str">
        <f>計算表!E203</f>
        <v>min(a + 稀有度×b + 寶石等級×c, d)</v>
      </c>
      <c r="F203" t="str">
        <f>計算表!F203</f>
        <v>a=基礎 b=每階 c=每寶石等級 d=上限%。</v>
      </c>
      <c r="G203">
        <f>計算表!G203</f>
        <v>8</v>
      </c>
      <c r="H203">
        <f>計算表!H203</f>
        <v>4</v>
      </c>
      <c r="I203">
        <f>計算表!I203</f>
        <v>3</v>
      </c>
      <c r="J203">
        <f>計算表!J203</f>
        <v>60</v>
      </c>
      <c r="K203">
        <f>計算表!K203</f>
        <v>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x14ac:dyDescent="0.25">
      <c r="A204">
        <f>計算表!A204</f>
        <v>203</v>
      </c>
      <c r="B204">
        <f>計算表!B204</f>
        <v>0</v>
      </c>
      <c r="C204" t="str">
        <f>計算表!C204</f>
        <v>6-裝備</v>
      </c>
      <c r="D204" t="str">
        <f>計算表!D204</f>
        <v>手動附魔費用</v>
      </c>
      <c r="E204" t="str">
        <f>計算表!E204</f>
        <v>a 本附魔書 + b 附魔精華</v>
      </c>
      <c r="F204" t="str">
        <f>計算表!F204</f>
        <v>取下返還書、不退精華。</v>
      </c>
      <c r="G204">
        <f>計算表!G204</f>
        <v>1</v>
      </c>
      <c r="H204">
        <f>計算表!H204</f>
        <v>1</v>
      </c>
      <c r="I204">
        <f>計算表!I204</f>
        <v>0</v>
      </c>
      <c r="J204">
        <f>計算表!J204</f>
        <v>0</v>
      </c>
      <c r="K204">
        <f>計算表!K204</f>
        <v>0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x14ac:dyDescent="0.25">
      <c r="A205">
        <f>計算表!A205</f>
        <v>204</v>
      </c>
      <c r="B205">
        <f>計算表!B205</f>
        <v>0</v>
      </c>
      <c r="C205" t="str">
        <f>計算表!C205</f>
        <v>6-裝備</v>
      </c>
      <c r="D205" t="str">
        <f>計算表!D205</f>
        <v>戰力評分</v>
      </c>
      <c r="E205" t="str">
        <f>計算表!E205</f>
        <v>Σ(詞條×權重×強化)+Σ(寶石×權重) →被動×1.15 →神鑄特效×(1+a×件數) →+Σ(附魔×1.2攻/×2防) →×(1+稀有度×b)</v>
      </c>
      <c r="F205" t="str">
        <f>計算表!F205</f>
        <v>詞條/寶石權重見 Equipment_Affix 表各詞條列的「戰力權重」欄。a=每條神鑄特效加成 b=稀有度加成。自動換裝門檻：新評分&gt;舊×1.02。</v>
      </c>
      <c r="G205">
        <f>計算表!G205</f>
        <v>0.15</v>
      </c>
      <c r="H205">
        <f>計算表!H205</f>
        <v>0.06</v>
      </c>
      <c r="I205">
        <f>計算表!I205</f>
        <v>0</v>
      </c>
      <c r="J205">
        <f>計算表!J205</f>
        <v>0</v>
      </c>
      <c r="K205">
        <f>計算表!K205</f>
        <v>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x14ac:dyDescent="0.25">
      <c r="A206">
        <f>計算表!A206</f>
        <v>205</v>
      </c>
      <c r="B206">
        <f>計算表!B206</f>
        <v>0</v>
      </c>
      <c r="C206" t="str">
        <f>計算表!C206</f>
        <v>6-裝備</v>
      </c>
      <c r="D206" t="str">
        <f>計算表!D206</f>
        <v>分解-碎片</v>
      </c>
      <c r="E206" t="str">
        <f>計算表!E206</f>
        <v>max(1, (a+裝備等級×b)×分解係數×rnd(0.85,1.15))</v>
      </c>
      <c r="F206" t="str">
        <f>計算表!F206</f>
        <v>分解係數見「稀有度表」salv 欄。</v>
      </c>
      <c r="G206">
        <f>計算表!G206</f>
        <v>2</v>
      </c>
      <c r="H206">
        <f>計算表!H206</f>
        <v>0.6</v>
      </c>
      <c r="I206">
        <f>計算表!I206</f>
        <v>0</v>
      </c>
      <c r="J206">
        <f>計算表!J206</f>
        <v>0</v>
      </c>
      <c r="K206">
        <f>計算表!K206</f>
        <v>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x14ac:dyDescent="0.25">
      <c r="A207">
        <f>計算表!A207</f>
        <v>206</v>
      </c>
      <c r="B207">
        <f>計算表!B207</f>
        <v>0</v>
      </c>
      <c r="C207" t="str">
        <f>計算表!C207</f>
        <v>6-裝備</v>
      </c>
      <c r="D207" t="str">
        <f>計算表!D207</f>
        <v>分解-金幣</v>
      </c>
      <c r="E207" t="str">
        <f>計算表!E207</f>
        <v>(a+裝備等級)×分解係數×b</v>
      </c>
      <c r="F207" t="str">
        <f>計算表!F207</f>
        <v>a=常數 b=金幣係數。</v>
      </c>
      <c r="G207">
        <f>計算表!G207</f>
        <v>3</v>
      </c>
      <c r="H207">
        <f>計算表!H207</f>
        <v>0.5</v>
      </c>
      <c r="I207">
        <f>計算表!I207</f>
        <v>0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x14ac:dyDescent="0.25">
      <c r="A208">
        <f>計算表!A208</f>
        <v>207</v>
      </c>
      <c r="B208">
        <f>計算表!B208</f>
        <v>0</v>
      </c>
      <c r="C208" t="str">
        <f>計算表!C208</f>
        <v>6-分解精華機率</v>
      </c>
      <c r="D208" t="str">
        <f>計算表!D208</f>
        <v>附魔精華拆解機率</v>
      </c>
      <c r="E208" t="str">
        <f>計算表!E208</f>
        <v>稀有度基礎機率 × (1+精粹透鏡加成/100)</v>
      </c>
      <c r="F208" t="str">
        <f>計算表!F208</f>
        <v>一列列出各稀有度基礎機率%。&gt;100% 採必得+餘數。</v>
      </c>
      <c r="G208">
        <f>計算表!G208</f>
        <v>5</v>
      </c>
      <c r="H208">
        <f>計算表!H208</f>
        <v>7.5</v>
      </c>
      <c r="I208">
        <f>計算表!I208</f>
        <v>10</v>
      </c>
      <c r="J208">
        <f>計算表!J208</f>
        <v>15</v>
      </c>
      <c r="K208">
        <f>計算表!K208</f>
        <v>20</v>
      </c>
      <c r="L208">
        <f>計算表!L208</f>
        <v>25</v>
      </c>
      <c r="M208">
        <f>計算表!M208</f>
        <v>30</v>
      </c>
      <c r="N208">
        <f>計算表!N208</f>
        <v>100</v>
      </c>
      <c r="O208">
        <f>計算表!O208</f>
        <v>100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x14ac:dyDescent="0.25">
      <c r="A209">
        <f>計算表!A209</f>
        <v>208</v>
      </c>
      <c r="B209">
        <f>計算表!B209</f>
        <v>0</v>
      </c>
      <c r="C209" t="str">
        <f>計算表!C209</f>
        <v>6-分解精華機率</v>
      </c>
      <c r="D209" t="str">
        <f>計算表!D209</f>
        <v>太古精華拆解機率(依稀有度)</v>
      </c>
      <c r="E209" t="str">
        <f>計算表!E209</f>
        <v>基礎機率×太古萃取器倍率；另每條太古詞條 50% 判定</v>
      </c>
      <c r="F209" t="str">
        <f>計算表!F209</f>
        <v>史詩0.5 傳說1 神話10 創世100 神鑄100（普通~獨特不掉）。</v>
      </c>
      <c r="G209">
        <f>計算表!G209</f>
        <v>0</v>
      </c>
      <c r="H209">
        <f>計算表!H209</f>
        <v>0</v>
      </c>
      <c r="I209">
        <f>計算表!I209</f>
        <v>0</v>
      </c>
      <c r="J209">
        <f>計算表!J209</f>
        <v>0.1</v>
      </c>
      <c r="K209">
        <f>計算表!K209</f>
        <v>0.5</v>
      </c>
      <c r="L209">
        <f>計算表!L209</f>
        <v>1</v>
      </c>
      <c r="M209">
        <f>計算表!M209</f>
        <v>10</v>
      </c>
      <c r="N209">
        <f>計算表!N209</f>
        <v>100</v>
      </c>
      <c r="O209">
        <f>計算表!O209</f>
        <v>100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x14ac:dyDescent="0.25">
      <c r="A210">
        <f>計算表!A210</f>
        <v>209</v>
      </c>
      <c r="B210">
        <f>計算表!B210</f>
        <v>0</v>
      </c>
      <c r="C210" t="str">
        <f>計算表!C210</f>
        <v>6-神鑄</v>
      </c>
      <c r="D210" t="str">
        <f>計算表!D210</f>
        <v>裝備神鑄成功率</v>
      </c>
      <c r="E210" t="str">
        <f>計算表!E210</f>
        <v>clamp(基礎 + 魔塵數×a, 0, 100)</v>
      </c>
      <c r="F210" t="str">
        <f>計算表!F210</f>
        <v>傳統品質每魔塵 a%；混沌品質另由「裝備神鑄混沌魔塵加成」控制。</v>
      </c>
      <c r="G210">
        <f>計算表!G210</f>
        <v>5</v>
      </c>
      <c r="H210">
        <f>計算表!H210</f>
        <v>0</v>
      </c>
      <c r="I210">
        <f>計算表!I210</f>
        <v>0</v>
      </c>
      <c r="J210">
        <f>計算表!J210</f>
        <v>0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x14ac:dyDescent="0.25">
      <c r="A211">
        <f>計算表!A211</f>
        <v>210</v>
      </c>
      <c r="B211">
        <f>計算表!B211</f>
        <v>0</v>
      </c>
      <c r="C211" t="str">
        <f>計算表!C211</f>
        <v>6-神鑄</v>
      </c>
      <c r="D211" t="str">
        <f>計算表!D211</f>
        <v>裝備神鑄基礎成功率</v>
      </c>
      <c r="E211" t="str">
        <f>計算表!E211</f>
        <v>傳說a 神話b 創世c 混沌d（%）</v>
      </c>
      <c r="F211" t="str">
        <f>計算表!F211</f>
        <v>依素材品質。</v>
      </c>
      <c r="G211">
        <f>計算表!G211</f>
        <v>55</v>
      </c>
      <c r="H211">
        <f>計算表!H211</f>
        <v>40</v>
      </c>
      <c r="I211">
        <f>計算表!I211</f>
        <v>25</v>
      </c>
      <c r="J211">
        <f>計算表!J211</f>
        <v>20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x14ac:dyDescent="0.25">
      <c r="A212">
        <f>計算表!A212</f>
        <v>211</v>
      </c>
      <c r="B212">
        <f>計算表!B212</f>
        <v>0</v>
      </c>
      <c r="C212" t="str">
        <f>計算表!C212</f>
        <v>6-神鑄</v>
      </c>
      <c r="D212" t="str">
        <f>計算表!D212</f>
        <v>裝備神鑄金幣</v>
      </c>
      <c r="E212" t="str">
        <f>計算表!E212</f>
        <v>傳說a 神話b 創世c 混沌d</v>
      </c>
      <c r="F212" t="str">
        <f>計算表!F212</f>
        <v>單次金幣消耗；混沌暫定 5 億。</v>
      </c>
      <c r="G212">
        <f>計算表!G212</f>
        <v>5000000</v>
      </c>
      <c r="H212">
        <f>計算表!H212</f>
        <v>20000000</v>
      </c>
      <c r="I212">
        <f>計算表!I212</f>
        <v>100000000</v>
      </c>
      <c r="J212">
        <f>計算表!J212</f>
        <v>500000000</v>
      </c>
      <c r="K212">
        <f>計算表!K212</f>
        <v>0</v>
      </c>
      <c r="L212">
        <f>計算表!L212</f>
        <v>0</v>
      </c>
      <c r="M212">
        <f>計算表!M212</f>
        <v>0</v>
      </c>
      <c r="N212">
        <f>計算表!N212</f>
        <v>0</v>
      </c>
      <c r="O212">
        <f>計算表!O212</f>
        <v>0</v>
      </c>
      <c r="P212">
        <f>計算表!P212</f>
        <v>0</v>
      </c>
      <c r="Q212">
        <f>計算表!Q212</f>
        <v>0</v>
      </c>
      <c r="R212">
        <f>計算表!R212</f>
        <v>0</v>
      </c>
    </row>
    <row r="213" spans="1:18" x14ac:dyDescent="0.25">
      <c r="A213">
        <f>計算表!A213</f>
        <v>212</v>
      </c>
      <c r="B213">
        <f>計算表!B213</f>
        <v>0</v>
      </c>
      <c r="C213" t="str">
        <f>計算表!C213</f>
        <v>6-神鑄</v>
      </c>
      <c r="D213" t="str">
        <f>計算表!D213</f>
        <v>裝備神鑄時間(秒)</v>
      </c>
      <c r="E213" t="str">
        <f>計算表!E213</f>
        <v>傳說a 神話b 創世c 混沌d</v>
      </c>
      <c r="F213">
        <f>計算表!F213</f>
        <v>0</v>
      </c>
      <c r="G213">
        <f>計算表!G213</f>
        <v>3</v>
      </c>
      <c r="H213">
        <f>計算表!H213</f>
        <v>5</v>
      </c>
      <c r="I213">
        <f>計算表!I213</f>
        <v>8</v>
      </c>
      <c r="J213">
        <f>計算表!J213</f>
        <v>13</v>
      </c>
      <c r="K213">
        <f>計算表!K213</f>
        <v>0</v>
      </c>
      <c r="L213">
        <f>計算表!L213</f>
        <v>0</v>
      </c>
      <c r="M213">
        <f>計算表!M213</f>
        <v>0</v>
      </c>
      <c r="N213">
        <f>計算表!N213</f>
        <v>0</v>
      </c>
      <c r="O213">
        <f>計算表!O213</f>
        <v>0</v>
      </c>
      <c r="P213">
        <f>計算表!P213</f>
        <v>0</v>
      </c>
      <c r="Q213">
        <f>計算表!Q213</f>
        <v>0</v>
      </c>
      <c r="R213">
        <f>計算表!R213</f>
        <v>0</v>
      </c>
    </row>
    <row r="214" spans="1:18" x14ac:dyDescent="0.25">
      <c r="A214">
        <f>計算表!A214</f>
        <v>213</v>
      </c>
      <c r="B214">
        <f>計算表!B214</f>
        <v>0</v>
      </c>
      <c r="C214" t="str">
        <f>計算表!C214</f>
        <v>6-神鑄</v>
      </c>
      <c r="D214" t="str">
        <f>計算表!D214</f>
        <v>裝備神鑄混沌魔塵加成</v>
      </c>
      <c r="E214" t="str">
        <f>計算表!E214</f>
        <v>混沌品質每個魔塵增加 a% 成功率</v>
      </c>
      <c r="F214" t="str">
        <f>計算表!F214</f>
        <v>僅適用 6 件混沌裝備神鑄為神鑄混沌。</v>
      </c>
      <c r="G214">
        <f>計算表!G214</f>
        <v>3</v>
      </c>
      <c r="H214">
        <f>計算表!H214</f>
        <v>0</v>
      </c>
      <c r="I214">
        <f>計算表!I214</f>
        <v>0</v>
      </c>
      <c r="J214">
        <f>計算表!J214</f>
        <v>0</v>
      </c>
      <c r="K214">
        <f>計算表!K214</f>
        <v>0</v>
      </c>
      <c r="L214">
        <f>計算表!L214</f>
        <v>0</v>
      </c>
      <c r="M214">
        <f>計算表!M214</f>
        <v>0</v>
      </c>
      <c r="N214">
        <f>計算表!N214</f>
        <v>0</v>
      </c>
      <c r="O214">
        <f>計算表!O214</f>
        <v>0</v>
      </c>
      <c r="P214">
        <f>計算表!P214</f>
        <v>0</v>
      </c>
      <c r="Q214">
        <f>計算表!Q214</f>
        <v>0</v>
      </c>
      <c r="R214">
        <f>計算表!R214</f>
        <v>0</v>
      </c>
    </row>
    <row r="215" spans="1:18" x14ac:dyDescent="0.25">
      <c r="A215">
        <f>計算表!A215</f>
        <v>214</v>
      </c>
      <c r="B215">
        <f>計算表!B215</f>
        <v>0</v>
      </c>
      <c r="C215" t="str">
        <f>計算表!C215</f>
        <v>7-洗煉</v>
      </c>
      <c r="D215" t="str">
        <f>計算表!D215</f>
        <v>混沌精華費用</v>
      </c>
      <c r="E215" t="str">
        <f>計算表!E215</f>
        <v>混沌品質洗煉精華消耗 a</v>
      </c>
      <c r="F215" t="str">
        <f>計算表!F215</f>
        <v>可自行調整。</v>
      </c>
      <c r="G215">
        <f>計算表!G215</f>
        <v>27</v>
      </c>
      <c r="H215">
        <f>計算表!H215</f>
        <v>0</v>
      </c>
      <c r="I215">
        <f>計算表!I215</f>
        <v>0</v>
      </c>
      <c r="J215">
        <f>計算表!J215</f>
        <v>0</v>
      </c>
      <c r="K215">
        <f>計算表!K215</f>
        <v>0</v>
      </c>
      <c r="L215">
        <f>計算表!L215</f>
        <v>0</v>
      </c>
      <c r="M215">
        <f>計算表!M215</f>
        <v>0</v>
      </c>
      <c r="N215">
        <f>計算表!N215</f>
        <v>0</v>
      </c>
      <c r="O215">
        <f>計算表!O215</f>
        <v>0</v>
      </c>
      <c r="P215">
        <f>計算表!P215</f>
        <v>0</v>
      </c>
      <c r="Q215">
        <f>計算表!Q215</f>
        <v>0</v>
      </c>
      <c r="R215">
        <f>計算表!R215</f>
        <v>0</v>
      </c>
    </row>
    <row r="216" spans="1:18" x14ac:dyDescent="0.25">
      <c r="A216">
        <f>計算表!A216</f>
        <v>215</v>
      </c>
      <c r="B216">
        <f>計算表!B216</f>
        <v>0</v>
      </c>
      <c r="C216" t="str">
        <f>計算表!C216</f>
        <v>7-洗煉</v>
      </c>
      <c r="D216" t="str">
        <f>計算表!D216</f>
        <v>神鑄混沌精華費用</v>
      </c>
      <c r="E216" t="str">
        <f>計算表!E216</f>
        <v>神鑄混沌品質洗煉精華消耗 a</v>
      </c>
      <c r="F216" t="str">
        <f>計算表!F216</f>
        <v>可自行調整。</v>
      </c>
      <c r="G216">
        <f>計算表!G216</f>
        <v>36</v>
      </c>
      <c r="H216">
        <f>計算表!H216</f>
        <v>0</v>
      </c>
      <c r="I216">
        <f>計算表!I216</f>
        <v>0</v>
      </c>
      <c r="J216">
        <f>計算表!J216</f>
        <v>0</v>
      </c>
      <c r="K216">
        <f>計算表!K216</f>
        <v>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x14ac:dyDescent="0.25">
      <c r="A217">
        <f>計算表!A217</f>
        <v>216</v>
      </c>
      <c r="B217">
        <f>計算表!B217</f>
        <v>0</v>
      </c>
      <c r="C217" t="str">
        <f>計算表!C217</f>
        <v>6-神鑄</v>
      </c>
      <c r="D217" t="str">
        <f>計算表!D217</f>
        <v>寶石神鑄成功率</v>
      </c>
      <c r="E217" t="str">
        <f>計算表!E217</f>
        <v>clamp(基礎 + 魔塵數×a, 0, 100)</v>
      </c>
      <c r="F217" t="str">
        <f>計算表!F217</f>
        <v>基礎：5階45 6階35 7階25 8階15 9階5。a=每魔塵加成%。</v>
      </c>
      <c r="G217">
        <f>計算表!G217</f>
        <v>3</v>
      </c>
      <c r="H217">
        <f>計算表!H217</f>
        <v>0</v>
      </c>
      <c r="I217">
        <f>計算表!I217</f>
        <v>0</v>
      </c>
      <c r="J217">
        <f>計算表!J217</f>
        <v>0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x14ac:dyDescent="0.25">
      <c r="A218">
        <f>計算表!A218</f>
        <v>217</v>
      </c>
      <c r="B218">
        <f>計算表!B218</f>
        <v>0</v>
      </c>
      <c r="C218" t="str">
        <f>計算表!C218</f>
        <v>6-神鑄</v>
      </c>
      <c r="D218" t="str">
        <f>計算表!D218</f>
        <v>寶石神鑄基礎成功率</v>
      </c>
      <c r="E218" t="str">
        <f>計算表!E218</f>
        <v>5階a 6階b 7階c 8階d 9階e（%）</v>
      </c>
      <c r="F218" t="str">
        <f>計算表!F218</f>
        <v>依素材階級。</v>
      </c>
      <c r="G218">
        <f>計算表!G218</f>
        <v>50</v>
      </c>
      <c r="H218">
        <f>計算表!H218</f>
        <v>40</v>
      </c>
      <c r="I218">
        <f>計算表!I218</f>
        <v>35</v>
      </c>
      <c r="J218">
        <f>計算表!J218</f>
        <v>25</v>
      </c>
      <c r="K218">
        <f>計算表!K218</f>
        <v>15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x14ac:dyDescent="0.25">
      <c r="A219">
        <f>計算表!A219</f>
        <v>218</v>
      </c>
      <c r="B219">
        <f>計算表!B219</f>
        <v>0</v>
      </c>
      <c r="C219" t="str">
        <f>計算表!C219</f>
        <v>6-神鑄</v>
      </c>
      <c r="D219" t="str">
        <f>計算表!D219</f>
        <v>寶石神鑄金幣</v>
      </c>
      <c r="E219" t="str">
        <f>計算表!E219</f>
        <v>a + (素材階級-b)×a</v>
      </c>
      <c r="F219" t="str">
        <f>計算表!F219</f>
        <v>a=基礎 b=起始階級。</v>
      </c>
      <c r="G219">
        <f>計算表!G219</f>
        <v>1000000</v>
      </c>
      <c r="H219">
        <f>計算表!H219</f>
        <v>5</v>
      </c>
      <c r="I219">
        <f>計算表!I219</f>
        <v>0</v>
      </c>
      <c r="J219">
        <f>計算表!J219</f>
        <v>0</v>
      </c>
      <c r="K219">
        <f>計算表!K219</f>
        <v>0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x14ac:dyDescent="0.25">
      <c r="A220">
        <f>計算表!A220</f>
        <v>219</v>
      </c>
      <c r="B220">
        <f>計算表!B220</f>
        <v>0</v>
      </c>
      <c r="C220" t="str">
        <f>計算表!C220</f>
        <v>6-神鑄</v>
      </c>
      <c r="D220" t="str">
        <f>計算表!D220</f>
        <v>寶石神鑄時間(秒)</v>
      </c>
      <c r="E220" t="str">
        <f>計算表!E220</f>
        <v>5階a 6階b 7階c 8階d 9階e</v>
      </c>
      <c r="F220">
        <f>計算表!F220</f>
        <v>0</v>
      </c>
      <c r="G220">
        <f>計算表!G220</f>
        <v>1</v>
      </c>
      <c r="H220">
        <f>計算表!H220</f>
        <v>2</v>
      </c>
      <c r="I220">
        <f>計算表!I220</f>
        <v>3</v>
      </c>
      <c r="J220">
        <f>計算表!J220</f>
        <v>4</v>
      </c>
      <c r="K220">
        <f>計算表!K220</f>
        <v>6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x14ac:dyDescent="0.25">
      <c r="A221">
        <f>計算表!A221</f>
        <v>220</v>
      </c>
      <c r="B221">
        <f>計算表!B221</f>
        <v>0</v>
      </c>
      <c r="C221" t="str">
        <f>計算表!C221</f>
        <v>6-神鑄</v>
      </c>
      <c r="D221" t="str">
        <f>計算表!D221</f>
        <v>神鑄失敗</v>
      </c>
      <c r="E221" t="str">
        <f>計算表!E221</f>
        <v>裝備消耗a件退b件；寶石消耗a顆退b顆；每次失敗得魔塵1</v>
      </c>
      <c r="F221" t="str">
        <f>計算表!F221</f>
        <v>a=消耗 b=退回。</v>
      </c>
      <c r="G221">
        <f>計算表!G221</f>
        <v>3</v>
      </c>
      <c r="H221">
        <f>計算表!H221</f>
        <v>3</v>
      </c>
      <c r="I221">
        <f>計算表!I221</f>
        <v>0</v>
      </c>
      <c r="J221">
        <f>計算表!J221</f>
        <v>0</v>
      </c>
      <c r="K221">
        <f>計算表!K221</f>
        <v>0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x14ac:dyDescent="0.25">
      <c r="A222">
        <f>計算表!A222</f>
        <v>221</v>
      </c>
      <c r="B222">
        <f>計算表!B222</f>
        <v>0</v>
      </c>
      <c r="C222" t="str">
        <f>計算表!C222</f>
        <v>6-神鑄</v>
      </c>
      <c r="D222" t="str">
        <f>計算表!D222</f>
        <v>神鑄槽位 / 魔塵上限</v>
      </c>
      <c r="E222" t="str">
        <f>計算表!E222</f>
        <v>法陣a格；魔塵最多b個</v>
      </c>
      <c r="F222" t="str">
        <f>計算表!F222</f>
        <v>a=槽位 b=魔塵上限。</v>
      </c>
      <c r="G222">
        <f>計算表!G222</f>
        <v>6</v>
      </c>
      <c r="H222">
        <f>計算表!H222</f>
        <v>6</v>
      </c>
      <c r="I222">
        <f>計算表!I222</f>
        <v>0</v>
      </c>
      <c r="J222">
        <f>計算表!J222</f>
        <v>0</v>
      </c>
      <c r="K222">
        <f>計算表!K222</f>
        <v>0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x14ac:dyDescent="0.25">
      <c r="A223">
        <f>計算表!A223</f>
        <v>222</v>
      </c>
      <c r="B223">
        <f>計算表!B223</f>
        <v>0</v>
      </c>
      <c r="C223" t="str">
        <f>計算表!C223</f>
        <v>7-強化</v>
      </c>
      <c r="D223" t="str">
        <f>計算表!D223</f>
        <v>基礎成功率</v>
      </c>
      <c r="E223" t="str">
        <f>計算表!E223</f>
        <v>+5 以內 100%；之後 max(a%, 100% - (目標等級-5)×b%)</v>
      </c>
      <c r="F223" t="str">
        <f>計算表!F223</f>
        <v>a=下限 b=每級遞減。實際=基礎+強化成功率屬性。</v>
      </c>
      <c r="G223">
        <f>計算表!G223</f>
        <v>30</v>
      </c>
      <c r="H223">
        <f>計算表!H223</f>
        <v>6</v>
      </c>
      <c r="I223">
        <f>計算表!I223</f>
        <v>0</v>
      </c>
      <c r="J223">
        <f>計算表!J223</f>
        <v>0</v>
      </c>
      <c r="K223">
        <f>計算表!K223</f>
        <v>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x14ac:dyDescent="0.25">
      <c r="A224">
        <f>計算表!A224</f>
        <v>223</v>
      </c>
      <c r="B224">
        <f>計算表!B224</f>
        <v>0</v>
      </c>
      <c r="C224" t="str">
        <f>計算表!C224</f>
        <v>7-強化</v>
      </c>
      <c r="D224" t="str">
        <f>計算表!D224</f>
        <v>金幣費用</v>
      </c>
      <c r="E224" t="str">
        <f>計算表!E224</f>
        <v>a × b^目前強化等級 × (1+裝備等級×c)</v>
      </c>
      <c r="F224">
        <f>計算表!F224</f>
        <v>0</v>
      </c>
      <c r="G224">
        <f>計算表!G224</f>
        <v>25</v>
      </c>
      <c r="H224">
        <f>計算表!H224</f>
        <v>1.45</v>
      </c>
      <c r="I224">
        <f>計算表!I224</f>
        <v>0.08</v>
      </c>
      <c r="J224">
        <f>計算表!J224</f>
        <v>0</v>
      </c>
      <c r="K224">
        <f>計算表!K224</f>
        <v>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x14ac:dyDescent="0.25">
      <c r="A225">
        <f>計算表!A225</f>
        <v>224</v>
      </c>
      <c r="B225">
        <f>計算表!B225</f>
        <v>0</v>
      </c>
      <c r="C225" t="str">
        <f>計算表!C225</f>
        <v>7-強化</v>
      </c>
      <c r="D225" t="str">
        <f>計算表!D225</f>
        <v>碎片費用</v>
      </c>
      <c r="E225" t="str">
        <f>計算表!E225</f>
        <v>a × b^目前強化等級 × (1+裝備等級×c)</v>
      </c>
      <c r="F225">
        <f>計算表!F225</f>
        <v>0</v>
      </c>
      <c r="G225">
        <f>計算表!G225</f>
        <v>8</v>
      </c>
      <c r="H225">
        <f>計算表!H225</f>
        <v>1.35</v>
      </c>
      <c r="I225">
        <f>計算表!I225</f>
        <v>0.04</v>
      </c>
      <c r="J225">
        <f>計算表!J225</f>
        <v>0</v>
      </c>
      <c r="K225">
        <f>計算表!K225</f>
        <v>0</v>
      </c>
      <c r="L225">
        <f>計算表!L225</f>
        <v>0</v>
      </c>
      <c r="M225">
        <f>計算表!M225</f>
        <v>0</v>
      </c>
      <c r="N225">
        <f>計算表!N225</f>
        <v>0</v>
      </c>
      <c r="O225">
        <f>計算表!O225</f>
        <v>0</v>
      </c>
      <c r="P225">
        <f>計算表!P225</f>
        <v>0</v>
      </c>
      <c r="Q225">
        <f>計算表!Q225</f>
        <v>0</v>
      </c>
      <c r="R225">
        <f>計算表!R225</f>
        <v>0</v>
      </c>
    </row>
    <row r="226" spans="1:18" x14ac:dyDescent="0.25">
      <c r="A226">
        <f>計算表!A226</f>
        <v>225</v>
      </c>
      <c r="B226">
        <f>計算表!B226</f>
        <v>0</v>
      </c>
      <c r="C226" t="str">
        <f>計算表!C226</f>
        <v>7-強化</v>
      </c>
      <c r="D226" t="str">
        <f>計算表!D226</f>
        <v>失敗懲罰</v>
      </c>
      <c r="E226" t="str">
        <f>計算表!E226</f>
        <v>消耗半數費用，強化等級不變</v>
      </c>
      <c r="F226" t="str">
        <f>計算表!F226</f>
        <v>寫死：失敗消耗半數費用。</v>
      </c>
      <c r="G226">
        <f>計算表!G226</f>
        <v>0</v>
      </c>
      <c r="H226">
        <f>計算表!H226</f>
        <v>0</v>
      </c>
      <c r="I226">
        <f>計算表!I226</f>
        <v>0</v>
      </c>
      <c r="J226">
        <f>計算表!J226</f>
        <v>0</v>
      </c>
      <c r="K226">
        <f>計算表!K226</f>
        <v>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x14ac:dyDescent="0.25">
      <c r="A227">
        <f>計算表!A227</f>
        <v>226</v>
      </c>
      <c r="B227">
        <f>計算表!B227</f>
        <v>0</v>
      </c>
      <c r="C227" t="str">
        <f>計算表!C227</f>
        <v>7-洗煉</v>
      </c>
      <c r="D227" t="str">
        <f>計算表!D227</f>
        <v>金幣費用</v>
      </c>
      <c r="E227" t="str">
        <f>計算表!E227</f>
        <v>a × b^稀有度 × (1+裝備等級×c)</v>
      </c>
      <c r="F227">
        <f>計算表!F227</f>
        <v>0</v>
      </c>
      <c r="G227">
        <f>計算表!G227</f>
        <v>40</v>
      </c>
      <c r="H227">
        <f>計算表!H227</f>
        <v>1.7</v>
      </c>
      <c r="I227">
        <f>計算表!I227</f>
        <v>0.15</v>
      </c>
      <c r="J227">
        <f>計算表!J227</f>
        <v>0</v>
      </c>
      <c r="K227">
        <f>計算表!K227</f>
        <v>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x14ac:dyDescent="0.25">
      <c r="A228">
        <f>計算表!A228</f>
        <v>227</v>
      </c>
      <c r="B228">
        <f>計算表!B228</f>
        <v>0</v>
      </c>
      <c r="C228" t="str">
        <f>計算表!C228</f>
        <v>7-洗煉</v>
      </c>
      <c r="D228" t="str">
        <f>計算表!D228</f>
        <v>精華費用</v>
      </c>
      <c r="E228" t="str">
        <f>計算表!E228</f>
        <v>普通~傳說 1+稀有度；神話a 創世b 神鑄c</v>
      </c>
      <c r="F228" t="str">
        <f>計算表!F228</f>
        <v>a/b/c=神話/創世/神鑄創世固定值。</v>
      </c>
      <c r="G228">
        <f>計算表!G228</f>
        <v>9</v>
      </c>
      <c r="H228">
        <f>計算表!H228</f>
        <v>14</v>
      </c>
      <c r="I228">
        <f>計算表!I228</f>
        <v>20</v>
      </c>
      <c r="J228">
        <f>計算表!J228</f>
        <v>0</v>
      </c>
      <c r="K228">
        <f>計算表!K228</f>
        <v>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x14ac:dyDescent="0.25">
      <c r="A229">
        <f>計算表!A229</f>
        <v>228</v>
      </c>
      <c r="B229">
        <f>計算表!B229</f>
        <v>0</v>
      </c>
      <c r="C229" t="str">
        <f>計算表!C229</f>
        <v>7-洗煉</v>
      </c>
      <c r="D229" t="str">
        <f>計算表!D229</f>
        <v>數值洗煉分段權重</v>
      </c>
      <c r="E229" t="str">
        <f>計算表!E229</f>
        <v>先平分洗煉數值範圍，再以權重選擇低／高段：A=a；B=b＋（詞條上限率/100）^c</v>
      </c>
      <c r="F229" t="str">
        <f>計算表!F229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29">
        <f>計算表!G229</f>
        <v>1</v>
      </c>
      <c r="H229">
        <f>計算表!H229</f>
        <v>1</v>
      </c>
      <c r="I229">
        <f>計算表!I229</f>
        <v>0.33329999999999999</v>
      </c>
      <c r="J229">
        <f>計算表!J229</f>
        <v>0</v>
      </c>
      <c r="K229">
        <f>計算表!K229</f>
        <v>0</v>
      </c>
      <c r="L229">
        <f>計算表!L229</f>
        <v>0</v>
      </c>
      <c r="M229">
        <f>計算表!M229</f>
        <v>0</v>
      </c>
      <c r="N229">
        <f>計算表!N229</f>
        <v>0</v>
      </c>
      <c r="O229">
        <f>計算表!O229</f>
        <v>0</v>
      </c>
      <c r="P229">
        <f>計算表!P229</f>
        <v>0</v>
      </c>
      <c r="Q229">
        <f>計算表!Q229</f>
        <v>0</v>
      </c>
      <c r="R229">
        <f>計算表!R229</f>
        <v>0</v>
      </c>
    </row>
    <row r="230" spans="1:18" x14ac:dyDescent="0.25">
      <c r="A230">
        <f>計算表!A230</f>
        <v>229</v>
      </c>
      <c r="B230">
        <f>計算表!B230</f>
        <v>0</v>
      </c>
      <c r="C230" t="str">
        <f>計算表!C230</f>
        <v>7-合成</v>
      </c>
      <c r="D230" t="str">
        <f>計算表!D230</f>
        <v>大成功率</v>
      </c>
      <c r="E230" t="str">
        <f>計算表!E230</f>
        <v>a% + 幸運核心×每階8%</v>
      </c>
      <c r="F230" t="str">
        <f>計算表!F230</f>
        <v>a=基礎%。</v>
      </c>
      <c r="G230">
        <f>計算表!G230</f>
        <v>5</v>
      </c>
      <c r="H230">
        <f>計算表!H230</f>
        <v>0</v>
      </c>
      <c r="I230">
        <f>計算表!I230</f>
        <v>0</v>
      </c>
      <c r="J230">
        <f>計算表!J230</f>
        <v>0</v>
      </c>
      <c r="K230">
        <f>計算表!K230</f>
        <v>0</v>
      </c>
      <c r="L230">
        <f>計算表!L230</f>
        <v>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x14ac:dyDescent="0.25">
      <c r="A231">
        <f>計算表!A231</f>
        <v>230</v>
      </c>
      <c r="B231">
        <f>計算表!B231</f>
        <v>0</v>
      </c>
      <c r="C231" t="str">
        <f>計算表!C231</f>
        <v>7-合成</v>
      </c>
      <c r="D231" t="str">
        <f>計算表!D231</f>
        <v>品質合成</v>
      </c>
      <c r="E231" t="str">
        <f>計算表!E231</f>
        <v>3 件同稀有度 → 1 件高一階（等級=平均）；大成功再+1 階</v>
      </c>
      <c r="F231" t="str">
        <f>計算表!F231</f>
        <v>合成功能已停用(SYNTHESIS_ENABLED=false)，本列未生效。</v>
      </c>
      <c r="G231">
        <f>計算表!G231</f>
        <v>0</v>
      </c>
      <c r="H231">
        <f>計算表!H231</f>
        <v>0</v>
      </c>
      <c r="I231">
        <f>計算表!I231</f>
        <v>0</v>
      </c>
      <c r="J231">
        <f>計算表!J231</f>
        <v>0</v>
      </c>
      <c r="K231">
        <f>計算表!K231</f>
        <v>0</v>
      </c>
      <c r="L231">
        <f>計算表!L231</f>
        <v>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x14ac:dyDescent="0.25">
      <c r="A232">
        <f>計算表!A232</f>
        <v>231</v>
      </c>
      <c r="B232">
        <f>計算表!B232</f>
        <v>0</v>
      </c>
      <c r="C232" t="str">
        <f>計算表!C232</f>
        <v>7-合成</v>
      </c>
      <c r="D232" t="str">
        <f>計算表!D232</f>
        <v>混合合成</v>
      </c>
      <c r="E232" t="str">
        <f>計算表!E232</f>
        <v>1 裝備+1 寶石+1 附魔書 → 附魔（威力吃寶石等級）；大成功稀有度+1</v>
      </c>
      <c r="F232" t="str">
        <f>計算表!F232</f>
        <v>合成功能已停用，本列未生效。</v>
      </c>
      <c r="G232">
        <f>計算表!G232</f>
        <v>0</v>
      </c>
      <c r="H232">
        <f>計算表!H232</f>
        <v>0</v>
      </c>
      <c r="I232">
        <f>計算表!I232</f>
        <v>0</v>
      </c>
      <c r="J232">
        <f>計算表!J232</f>
        <v>0</v>
      </c>
      <c r="K232">
        <f>計算表!K232</f>
        <v>0</v>
      </c>
      <c r="L232">
        <f>計算表!L232</f>
        <v>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x14ac:dyDescent="0.25">
      <c r="A233">
        <f>計算表!A233</f>
        <v>232</v>
      </c>
      <c r="B233">
        <f>計算表!B233</f>
        <v>0</v>
      </c>
      <c r="C233" t="str">
        <f>計算表!C233</f>
        <v>7-合成</v>
      </c>
      <c r="D233" t="str">
        <f>計算表!D233</f>
        <v>合成變異</v>
      </c>
      <c r="E233" t="str">
        <f>計算表!E233</f>
        <v>機率=合成變異率屬性（上限60%）；附魔威力×1.5 並追加 1 條詞條</v>
      </c>
      <c r="F233" t="str">
        <f>計算表!F233</f>
        <v>合成功能已停用，本列未生效。</v>
      </c>
      <c r="G233">
        <f>計算表!G233</f>
        <v>0</v>
      </c>
      <c r="H233">
        <f>計算表!H233</f>
        <v>0</v>
      </c>
      <c r="I233">
        <f>計算表!I233</f>
        <v>0</v>
      </c>
      <c r="J233">
        <f>計算表!J233</f>
        <v>0</v>
      </c>
      <c r="K233">
        <f>計算表!K233</f>
        <v>0</v>
      </c>
      <c r="L233">
        <f>計算表!L233</f>
        <v>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x14ac:dyDescent="0.25">
      <c r="A234">
        <f>計算表!A234</f>
        <v>233</v>
      </c>
      <c r="B234">
        <f>計算表!B234</f>
        <v>0</v>
      </c>
      <c r="C234" t="str">
        <f>計算表!C234</f>
        <v>7-分解速度</v>
      </c>
      <c r="D234" t="str">
        <f>計算表!D234</f>
        <v>分解處理速度</v>
      </c>
      <c r="E234" t="str">
        <f>計算表!E234</f>
        <v>間隔 = a 秒 ÷ (1+加速加成)</v>
      </c>
      <c r="F234" t="str">
        <f>計算表!F234</f>
        <v>加速齒輪每階+25%，另固定+50 個百分點。　※＝生產線處理間隔，由「7-容量/生產線處理間隔」控制，本列不生效。</v>
      </c>
      <c r="G234">
        <f>計算表!G234</f>
        <v>2</v>
      </c>
      <c r="H234">
        <f>計算表!H234</f>
        <v>0</v>
      </c>
      <c r="I234">
        <f>計算表!I234</f>
        <v>0</v>
      </c>
      <c r="J234">
        <f>計算表!J234</f>
        <v>0</v>
      </c>
      <c r="K234">
        <f>計算表!K234</f>
        <v>0</v>
      </c>
      <c r="L234">
        <f>計算表!L234</f>
        <v>0</v>
      </c>
      <c r="M234">
        <f>計算表!M234</f>
        <v>0</v>
      </c>
      <c r="N234">
        <f>計算表!N234</f>
        <v>0</v>
      </c>
      <c r="O234">
        <f>計算表!O234</f>
        <v>0</v>
      </c>
      <c r="P234">
        <f>計算表!P234</f>
        <v>0</v>
      </c>
      <c r="Q234">
        <f>計算表!Q234</f>
        <v>0</v>
      </c>
      <c r="R234">
        <f>計算表!R234</f>
        <v>0</v>
      </c>
    </row>
    <row r="235" spans="1:18" x14ac:dyDescent="0.25">
      <c r="A235">
        <f>計算表!A235</f>
        <v>234</v>
      </c>
      <c r="B235">
        <f>計算表!B235</f>
        <v>0</v>
      </c>
      <c r="C235" t="str">
        <f>計算表!C235</f>
        <v>7-分解槽</v>
      </c>
      <c r="D235" t="str">
        <f>計算表!D235</f>
        <v>分解槽解鎖費用</v>
      </c>
      <c r="E235" t="str">
        <f>計算表!E235</f>
        <v>a × b^(目標格數-1)</v>
      </c>
      <c r="F235" t="str">
        <f>計算表!F235</f>
        <v>初始 10 格、上限 20 格。</v>
      </c>
      <c r="G235">
        <f>計算表!G235</f>
        <v>10000</v>
      </c>
      <c r="H235">
        <f>計算表!H235</f>
        <v>3</v>
      </c>
      <c r="I235">
        <f>計算表!I235</f>
        <v>0</v>
      </c>
      <c r="J235">
        <f>計算表!J235</f>
        <v>0</v>
      </c>
      <c r="K235">
        <f>計算表!K235</f>
        <v>0</v>
      </c>
      <c r="L235">
        <f>計算表!L235</f>
        <v>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x14ac:dyDescent="0.25">
      <c r="A236">
        <f>計算表!A236</f>
        <v>235</v>
      </c>
      <c r="B236">
        <f>計算表!B236</f>
        <v>0</v>
      </c>
      <c r="C236" t="str">
        <f>計算表!C236</f>
        <v>7-容量</v>
      </c>
      <c r="D236" t="str">
        <f>計算表!D236</f>
        <v>輸送帶容量</v>
      </c>
      <c r="E236" t="str">
        <f>計算表!E236</f>
        <v>a（固定上限）</v>
      </c>
      <c r="F236" t="str">
        <f>計算表!F236</f>
        <v>程式實際為固定 20000；超出的新裝備直接丟棄。</v>
      </c>
      <c r="G236">
        <f>計算表!G236</f>
        <v>20000</v>
      </c>
      <c r="H236">
        <f>計算表!H236</f>
        <v>0</v>
      </c>
      <c r="I236">
        <f>計算表!I236</f>
        <v>0</v>
      </c>
      <c r="J236">
        <f>計算表!J236</f>
        <v>0</v>
      </c>
      <c r="K236">
        <f>計算表!K236</f>
        <v>0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x14ac:dyDescent="0.25">
      <c r="A237">
        <f>計算表!A237</f>
        <v>236</v>
      </c>
      <c r="B237">
        <f>計算表!B237</f>
        <v>0</v>
      </c>
      <c r="C237" t="str">
        <f>計算表!C237</f>
        <v>7-容量</v>
      </c>
      <c r="D237" t="str">
        <f>計算表!D237</f>
        <v>合成暫存區</v>
      </c>
      <c r="E237" t="str">
        <f>計算表!E237</f>
        <v>a + ⌊負重上限/b⌋</v>
      </c>
      <c r="F237">
        <f>計算表!F237</f>
        <v>0</v>
      </c>
      <c r="G237">
        <f>計算表!G237</f>
        <v>30</v>
      </c>
      <c r="H237">
        <f>計算表!H237</f>
        <v>2</v>
      </c>
      <c r="I237">
        <f>計算表!I237</f>
        <v>0</v>
      </c>
      <c r="J237">
        <f>計算表!J237</f>
        <v>0</v>
      </c>
      <c r="K237">
        <f>計算表!K237</f>
        <v>0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x14ac:dyDescent="0.25">
      <c r="A238">
        <f>計算表!A238</f>
        <v>237</v>
      </c>
      <c r="B238">
        <f>計算表!B238</f>
        <v>0</v>
      </c>
      <c r="C238" t="str">
        <f>計算表!C238</f>
        <v>7-容量</v>
      </c>
      <c r="D238" t="str">
        <f>計算表!D238</f>
        <v>背包容量</v>
      </c>
      <c r="E238" t="str">
        <f>計算表!E238</f>
        <v>a + 背包擴充上限次數b</v>
      </c>
      <c r="F238" t="str">
        <f>計算表!F238</f>
        <v>a=初始格數 b為上限值；滿了自動分解新進裝備。</v>
      </c>
      <c r="G238">
        <f>計算表!G238</f>
        <v>100</v>
      </c>
      <c r="H238">
        <f>計算表!H238</f>
        <v>1000</v>
      </c>
      <c r="I238">
        <f>計算表!I238</f>
        <v>0</v>
      </c>
      <c r="J238">
        <f>計算表!J238</f>
        <v>0</v>
      </c>
      <c r="K238">
        <f>計算表!K238</f>
        <v>0</v>
      </c>
      <c r="L238">
        <f>計算表!L238</f>
        <v>0</v>
      </c>
      <c r="M238">
        <f>計算表!M238</f>
        <v>0</v>
      </c>
      <c r="N238">
        <f>計算表!N238</f>
        <v>0</v>
      </c>
      <c r="O238">
        <f>計算表!O238</f>
        <v>0</v>
      </c>
      <c r="P238">
        <f>計算表!P238</f>
        <v>0</v>
      </c>
      <c r="Q238">
        <f>計算表!Q238</f>
        <v>0</v>
      </c>
      <c r="R238">
        <f>計算表!R238</f>
        <v>0</v>
      </c>
    </row>
    <row r="239" spans="1:18" x14ac:dyDescent="0.25">
      <c r="A239">
        <f>計算表!A239</f>
        <v>238</v>
      </c>
      <c r="B239">
        <f>計算表!B239</f>
        <v>0</v>
      </c>
      <c r="C239" t="str">
        <f>計算表!C239</f>
        <v>7-容量</v>
      </c>
      <c r="D239" t="str">
        <f>計算表!D239</f>
        <v>背包擴充費用</v>
      </c>
      <c r="E239" t="str">
        <f>計算表!E239</f>
        <v>a + b × c^購買次數</v>
      </c>
      <c r="F239" t="str">
        <f>計算表!F239</f>
        <v>a=基值值 b=擴充倍數 c=指數底；達上限後不可再擴充。</v>
      </c>
      <c r="G239">
        <f>計算表!G239</f>
        <v>10000</v>
      </c>
      <c r="H239">
        <f>計算表!H239</f>
        <v>10000</v>
      </c>
      <c r="I239">
        <f>計算表!I239</f>
        <v>1.02</v>
      </c>
      <c r="J239">
        <f>計算表!J239</f>
        <v>0</v>
      </c>
      <c r="K239">
        <f>計算表!K239</f>
        <v>0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x14ac:dyDescent="0.25">
      <c r="A240">
        <f>計算表!A240</f>
        <v>239</v>
      </c>
      <c r="B240">
        <f>計算表!B240</f>
        <v>0</v>
      </c>
      <c r="C240" t="str">
        <f>計算表!C240</f>
        <v>7-容量</v>
      </c>
      <c r="D240" t="str">
        <f>計算表!D240</f>
        <v>生產線處理間隔</v>
      </c>
      <c r="E240" t="str">
        <f>計算表!E240</f>
        <v>a 秒/件</v>
      </c>
      <c r="F240">
        <f>計算表!F240</f>
        <v>0</v>
      </c>
      <c r="G240">
        <f>計算表!G240</f>
        <v>2</v>
      </c>
      <c r="H240">
        <f>計算表!H240</f>
        <v>0</v>
      </c>
      <c r="I240">
        <f>計算表!I240</f>
        <v>0</v>
      </c>
      <c r="J240">
        <f>計算表!J240</f>
        <v>0</v>
      </c>
      <c r="K240">
        <f>計算表!K240</f>
        <v>0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x14ac:dyDescent="0.25">
      <c r="A241">
        <f>計算表!A241</f>
        <v>240</v>
      </c>
      <c r="B241">
        <f>計算表!B241</f>
        <v>0</v>
      </c>
      <c r="C241" t="str">
        <f>計算表!C241</f>
        <v>8-寶石</v>
      </c>
      <c r="D241" t="str">
        <f>計算表!D241</f>
        <v>能力數值(1~5階)</v>
      </c>
      <c r="E241" t="str">
        <f>計算表!E241</f>
        <v>base × 等級 × (1 + a×(等級-1))</v>
      </c>
      <c r="F241" t="str">
        <f>計算表!F241</f>
        <v>base 見「寶石種類表」。Lv1×1 Lv2×2.4 Lv3×4.2 Lv4×6.4 Lv5×9。</v>
      </c>
      <c r="G241">
        <f>計算表!G241</f>
        <v>0.2</v>
      </c>
      <c r="H241">
        <f>計算表!H241</f>
        <v>0</v>
      </c>
      <c r="I241">
        <f>計算表!I241</f>
        <v>0</v>
      </c>
      <c r="J241">
        <f>計算表!J241</f>
        <v>0</v>
      </c>
      <c r="K241">
        <f>計算表!K241</f>
        <v>0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x14ac:dyDescent="0.25">
      <c r="A242">
        <f>計算表!A242</f>
        <v>241</v>
      </c>
      <c r="B242">
        <f>計算表!B242</f>
        <v>0</v>
      </c>
      <c r="C242" t="str">
        <f>計算表!C242</f>
        <v>8-寶石</v>
      </c>
      <c r="D242" t="str">
        <f>計算表!D242</f>
        <v>能力數值(6~10階神鑄)</v>
      </c>
      <c r="E242" t="str">
        <f>計算表!E242</f>
        <v>五階數值 × a^(階級-5)</v>
      </c>
      <c r="F242" t="str">
        <f>計算表!F242</f>
        <v>每高 1 階能力×a。</v>
      </c>
      <c r="G242">
        <f>計算表!G242</f>
        <v>2</v>
      </c>
      <c r="H242">
        <f>計算表!H242</f>
        <v>0</v>
      </c>
      <c r="I242">
        <f>計算表!I242</f>
        <v>0</v>
      </c>
      <c r="J242">
        <f>計算表!J242</f>
        <v>0</v>
      </c>
      <c r="K242">
        <f>計算表!K242</f>
        <v>0</v>
      </c>
      <c r="L242">
        <f>計算表!L242</f>
        <v>0</v>
      </c>
      <c r="M242">
        <f>計算表!M242</f>
        <v>0</v>
      </c>
      <c r="N242">
        <f>計算表!N242</f>
        <v>0</v>
      </c>
      <c r="O242">
        <f>計算表!O242</f>
        <v>0</v>
      </c>
      <c r="P242">
        <f>計算表!P242</f>
        <v>0</v>
      </c>
      <c r="Q242">
        <f>計算表!Q242</f>
        <v>0</v>
      </c>
      <c r="R242">
        <f>計算表!R242</f>
        <v>0</v>
      </c>
    </row>
    <row r="243" spans="1:18" x14ac:dyDescent="0.25">
      <c r="A243">
        <f>計算表!A243</f>
        <v>242</v>
      </c>
      <c r="B243">
        <f>計算表!B243</f>
        <v>0</v>
      </c>
      <c r="C243" t="str">
        <f>計算表!C243</f>
        <v>8-寶石</v>
      </c>
      <c r="D243" t="str">
        <f>計算表!D243</f>
        <v>寶石升階(工廠自動)</v>
      </c>
      <c r="E243" t="str">
        <f>計算表!E243</f>
        <v>c 顆同種同級 → 1 顆同種高一級</v>
      </c>
      <c r="F243" t="str">
        <f>計算表!F243</f>
        <v>免費、自動（熔爐合成節點開關）。　※合成功能已停用，本列未生效。</v>
      </c>
      <c r="G243">
        <f>計算表!G243</f>
        <v>3</v>
      </c>
      <c r="H243">
        <f>計算表!H243</f>
        <v>0</v>
      </c>
      <c r="I243">
        <f>計算表!I243</f>
        <v>0</v>
      </c>
      <c r="J243">
        <f>計算表!J243</f>
        <v>0</v>
      </c>
      <c r="K243">
        <f>計算表!K243</f>
        <v>0</v>
      </c>
      <c r="L243">
        <f>計算表!L243</f>
        <v>0</v>
      </c>
      <c r="M243">
        <f>計算表!M243</f>
        <v>0</v>
      </c>
      <c r="N243">
        <f>計算表!N243</f>
        <v>0</v>
      </c>
      <c r="O243">
        <f>計算表!O243</f>
        <v>0</v>
      </c>
      <c r="P243">
        <f>計算表!P243</f>
        <v>0</v>
      </c>
      <c r="Q243">
        <f>計算表!Q243</f>
        <v>0</v>
      </c>
      <c r="R243">
        <f>計算表!R243</f>
        <v>0</v>
      </c>
    </row>
    <row r="244" spans="1:18" x14ac:dyDescent="0.25">
      <c r="A244">
        <f>計算表!A244</f>
        <v>243</v>
      </c>
      <c r="B244">
        <f>計算表!B244</f>
        <v>0</v>
      </c>
      <c r="C244" t="str">
        <f>計算表!C244</f>
        <v>8-寶石</v>
      </c>
      <c r="D244" t="str">
        <f>計算表!D244</f>
        <v>寶石合成(手動)</v>
      </c>
      <c r="E244" t="str">
        <f>計算表!E244</f>
        <v>a 顆同種同級 → 1 顆同種下一階</v>
      </c>
      <c r="F244" t="str">
        <f>計算表!F244</f>
        <v>a=3；手動合成素材數量（3 合 1）；金幣另見「寶石合成金幣」。</v>
      </c>
      <c r="G244">
        <f>計算表!G244</f>
        <v>3</v>
      </c>
      <c r="H244">
        <f>計算表!H244</f>
        <v>0</v>
      </c>
      <c r="I244">
        <f>計算表!I244</f>
        <v>0</v>
      </c>
      <c r="J244">
        <f>計算表!J244</f>
        <v>0</v>
      </c>
      <c r="K244">
        <f>計算表!K244</f>
        <v>0</v>
      </c>
      <c r="L244">
        <f>計算表!L244</f>
        <v>0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x14ac:dyDescent="0.25">
      <c r="A245">
        <f>計算表!A245</f>
        <v>244</v>
      </c>
      <c r="B245">
        <f>計算表!B245</f>
        <v>0</v>
      </c>
      <c r="C245" t="str">
        <f>計算表!C245</f>
        <v>8-寶石</v>
      </c>
      <c r="D245" t="str">
        <f>計算表!D245</f>
        <v>寶石合成金幣</v>
      </c>
      <c r="E245" t="str">
        <f>計算表!E245</f>
        <v>依素材等級 a/b/c/d/e</v>
      </c>
      <c r="F245" t="str">
        <f>計算表!F245</f>
        <v>1級→2級 a、2級→3級 b …。</v>
      </c>
      <c r="G245">
        <f>計算表!G245</f>
        <v>100</v>
      </c>
      <c r="H245">
        <f>計算表!H245</f>
        <v>300</v>
      </c>
      <c r="I245">
        <f>計算表!I245</f>
        <v>900</v>
      </c>
      <c r="J245">
        <f>計算表!J245</f>
        <v>2700</v>
      </c>
      <c r="K245">
        <f>計算表!K245</f>
        <v>8100</v>
      </c>
      <c r="L245">
        <f>計算表!L245</f>
        <v>0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x14ac:dyDescent="0.25">
      <c r="A246">
        <f>計算表!A246</f>
        <v>245</v>
      </c>
      <c r="B246">
        <f>計算表!B246</f>
        <v>0</v>
      </c>
      <c r="C246" t="str">
        <f>計算表!C246</f>
        <v>8-寶石</v>
      </c>
      <c r="D246" t="str">
        <f>計算表!D246</f>
        <v>寶石轉換(九宮格)</v>
      </c>
      <c r="E246" t="str">
        <f>計算表!E246</f>
        <v>a 格；每格上限 b 顆；同階轉換數量不變（免費）</v>
      </c>
      <c r="F246" t="str">
        <f>計算表!F246</f>
        <v>融合寶石無法轉換。</v>
      </c>
      <c r="G246">
        <f>計算表!G246</f>
        <v>9</v>
      </c>
      <c r="H246">
        <f>計算表!H246</f>
        <v>1000</v>
      </c>
      <c r="I246">
        <f>計算表!I246</f>
        <v>0</v>
      </c>
      <c r="J246">
        <f>計算表!J246</f>
        <v>0</v>
      </c>
      <c r="K246">
        <f>計算表!K246</f>
        <v>0</v>
      </c>
      <c r="L246">
        <f>計算表!L246</f>
        <v>0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x14ac:dyDescent="0.25">
      <c r="A247">
        <f>計算表!A247</f>
        <v>246</v>
      </c>
      <c r="B247">
        <f>計算表!B247</f>
        <v>0</v>
      </c>
      <c r="C247" t="str">
        <f>計算表!C247</f>
        <v>8-寶石</v>
      </c>
      <c r="D247" t="str">
        <f>計算表!D247</f>
        <v>寶石拆解(一般)</v>
      </c>
      <c r="E247" t="str">
        <f>計算表!E247</f>
        <v>⌊3^(N-1) × a⌋ 顆同種 1 級</v>
      </c>
      <c r="F247" t="str">
        <f>計算表!F247</f>
        <v>a=保留比例（損失 30%）。2級→2 3級→6 4級→18 5級→56。</v>
      </c>
      <c r="G247">
        <f>計算表!G247</f>
        <v>0.7</v>
      </c>
      <c r="H247">
        <f>計算表!H247</f>
        <v>0</v>
      </c>
      <c r="I247">
        <f>計算表!I247</f>
        <v>0</v>
      </c>
      <c r="J247">
        <f>計算表!J247</f>
        <v>0</v>
      </c>
      <c r="K247">
        <f>計算表!K247</f>
        <v>0</v>
      </c>
      <c r="L247">
        <f>計算表!L247</f>
        <v>0</v>
      </c>
      <c r="M247">
        <f>計算表!M247</f>
        <v>0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x14ac:dyDescent="0.25">
      <c r="A248">
        <f>計算表!A248</f>
        <v>247</v>
      </c>
      <c r="B248">
        <f>計算表!B248</f>
        <v>0</v>
      </c>
      <c r="C248" t="str">
        <f>計算表!C248</f>
        <v>8-寶石</v>
      </c>
      <c r="D248" t="str">
        <f>計算表!D248</f>
        <v>寶石拆解(融合)</v>
      </c>
      <c r="E248" t="str">
        <f>計算表!E248</f>
        <v>⌊81×leaves × a⌋ 顆 1 級（依屬性均分）</v>
      </c>
      <c r="F248" t="str">
        <f>計算表!F248</f>
        <v>leaves=素材 5 階總數（融合時雙方相加）。　※與「寶石拆解(一般)」共用保留率，本列不生效。</v>
      </c>
      <c r="G248">
        <f>計算表!G248</f>
        <v>0.7</v>
      </c>
      <c r="H248">
        <f>計算表!H248</f>
        <v>0</v>
      </c>
      <c r="I248">
        <f>計算表!I248</f>
        <v>0</v>
      </c>
      <c r="J248">
        <f>計算表!J248</f>
        <v>0</v>
      </c>
      <c r="K248">
        <f>計算表!K248</f>
        <v>0</v>
      </c>
      <c r="L248">
        <f>計算表!L248</f>
        <v>0</v>
      </c>
      <c r="M248">
        <f>計算表!M248</f>
        <v>0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x14ac:dyDescent="0.25">
      <c r="A249">
        <f>計算表!A249</f>
        <v>248</v>
      </c>
      <c r="B249">
        <f>計算表!B249</f>
        <v>0</v>
      </c>
      <c r="C249" t="str">
        <f>計算表!C249</f>
        <v>8-寶石</v>
      </c>
      <c r="D249" t="str">
        <f>計算表!D249</f>
        <v>寶石融合成功率</v>
      </c>
      <c r="E249" t="str">
        <f>計算表!E249</f>
        <v>max(a%, b% - c%×雙方融合次數和)</v>
      </c>
      <c r="F249" t="str">
        <f>計算表!F249</f>
        <v>僅 5 階；產出雙屬性。</v>
      </c>
      <c r="G249">
        <f>計算表!G249</f>
        <v>10</v>
      </c>
      <c r="H249">
        <f>計算表!H249</f>
        <v>60</v>
      </c>
      <c r="I249">
        <f>計算表!I249</f>
        <v>10</v>
      </c>
      <c r="J249">
        <f>計算表!J249</f>
        <v>0</v>
      </c>
      <c r="K249">
        <f>計算表!K249</f>
        <v>0</v>
      </c>
      <c r="L249">
        <f>計算表!L249</f>
        <v>0</v>
      </c>
      <c r="M249">
        <f>計算表!M249</f>
        <v>0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x14ac:dyDescent="0.25">
      <c r="A250">
        <f>計算表!A250</f>
        <v>249</v>
      </c>
      <c r="B250">
        <f>計算表!B250</f>
        <v>0</v>
      </c>
      <c r="C250" t="str">
        <f>計算表!C250</f>
        <v>8-寶石</v>
      </c>
      <c r="D250" t="str">
        <f>計算表!D250</f>
        <v>寶石融合數值</v>
      </c>
      <c r="E250" t="str">
        <f>計算表!E250</f>
        <v>同屬性 rnd(較小值,較大值×2)；異屬性 原值×rnd(0.5,1.5)</v>
      </c>
      <c r="F250" t="str">
        <f>計算表!F250</f>
        <v>失敗：較弱一方降解為 50% 機率 4~8 顆 Lv1 / 50% 機率 2~4 顆 Lv2。　※結構寫死：同屬性 rnd(小,大×2)、異屬性 原值×rnd(0.5,1.5)。</v>
      </c>
      <c r="G250">
        <f>計算表!G250</f>
        <v>0</v>
      </c>
      <c r="H250">
        <f>計算表!H250</f>
        <v>0</v>
      </c>
      <c r="I250">
        <f>計算表!I250</f>
        <v>0</v>
      </c>
      <c r="J250">
        <f>計算表!J250</f>
        <v>0</v>
      </c>
      <c r="K250">
        <f>計算表!K250</f>
        <v>0</v>
      </c>
      <c r="L250">
        <f>計算表!L250</f>
        <v>0</v>
      </c>
      <c r="M250">
        <f>計算表!M250</f>
        <v>0</v>
      </c>
      <c r="N250">
        <f>計算表!N250</f>
        <v>0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x14ac:dyDescent="0.25">
      <c r="A251">
        <f>計算表!A251</f>
        <v>250</v>
      </c>
      <c r="B251">
        <f>計算表!B251</f>
        <v>0</v>
      </c>
      <c r="C251" t="str">
        <f>計算表!C251</f>
        <v>8-寶石商店</v>
      </c>
      <c r="D251" t="str">
        <f>計算表!D251</f>
        <v>升級費用</v>
      </c>
      <c r="E251" t="str">
        <f>計算表!E251</f>
        <v>a + 商店等級^b × c</v>
      </c>
      <c r="F251" t="str">
        <f>計算表!F251</f>
        <v>Lv.1~20；Lv.20 滿級。</v>
      </c>
      <c r="G251">
        <f>計算表!G251</f>
        <v>10000</v>
      </c>
      <c r="H251">
        <f>計算表!H251</f>
        <v>3</v>
      </c>
      <c r="I251">
        <f>計算表!I251</f>
        <v>4000000</v>
      </c>
      <c r="J251">
        <f>計算表!J251</f>
        <v>0</v>
      </c>
      <c r="K251">
        <f>計算表!K251</f>
        <v>0</v>
      </c>
      <c r="L251">
        <f>計算表!L251</f>
        <v>0</v>
      </c>
      <c r="M251">
        <f>計算表!M251</f>
        <v>0</v>
      </c>
      <c r="N251">
        <f>計算表!N251</f>
        <v>0</v>
      </c>
      <c r="O251">
        <f>計算表!O251</f>
        <v>0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x14ac:dyDescent="0.25">
      <c r="A252">
        <f>計算表!A252</f>
        <v>251</v>
      </c>
      <c r="B252">
        <f>計算表!B252</f>
        <v>0</v>
      </c>
      <c r="C252" t="str">
        <f>計算表!C252</f>
        <v>8-寶石商店</v>
      </c>
      <c r="D252" t="str">
        <f>計算表!D252</f>
        <v>手動刷新費用</v>
      </c>
      <c r="E252" t="str">
        <f>計算表!E252</f>
        <v>a × (下一次重置序號^b)</v>
      </c>
      <c r="F252" t="str">
        <f>計算表!F252</f>
        <v>第一次刷新序號為 1。</v>
      </c>
      <c r="G252">
        <f>計算表!G252</f>
        <v>5000</v>
      </c>
      <c r="H252">
        <f>計算表!H252</f>
        <v>2.5</v>
      </c>
      <c r="I252">
        <f>計算表!I252</f>
        <v>0</v>
      </c>
      <c r="J252">
        <f>計算表!J252</f>
        <v>0</v>
      </c>
      <c r="K252">
        <f>計算表!K252</f>
        <v>0</v>
      </c>
      <c r="L252">
        <f>計算表!L252</f>
        <v>0</v>
      </c>
      <c r="M252">
        <f>計算表!M252</f>
        <v>0</v>
      </c>
      <c r="N252">
        <f>計算表!N252</f>
        <v>0</v>
      </c>
      <c r="O252">
        <f>計算表!O252</f>
        <v>0</v>
      </c>
      <c r="P252">
        <f>計算表!P252</f>
        <v>0</v>
      </c>
      <c r="Q252">
        <f>計算表!Q252</f>
        <v>0</v>
      </c>
      <c r="R252">
        <f>計算表!R252</f>
        <v>0</v>
      </c>
    </row>
    <row r="253" spans="1:18" x14ac:dyDescent="0.25">
      <c r="A253">
        <f>計算表!A253</f>
        <v>252</v>
      </c>
      <c r="B253">
        <f>計算表!B253</f>
        <v>0</v>
      </c>
      <c r="C253" t="str">
        <f>計算表!C253</f>
        <v>8-寶石商店</v>
      </c>
      <c r="D253" t="str">
        <f>計算表!D253</f>
        <v>刷新週期</v>
      </c>
      <c r="E253" t="str">
        <f>計算表!E253</f>
        <v>a 小時重置刷新次數</v>
      </c>
      <c r="F253">
        <f>計算表!F253</f>
        <v>0</v>
      </c>
      <c r="G253">
        <f>計算表!G253</f>
        <v>8</v>
      </c>
      <c r="H253">
        <f>計算表!H253</f>
        <v>0</v>
      </c>
      <c r="I253">
        <f>計算表!I253</f>
        <v>0</v>
      </c>
      <c r="J253">
        <f>計算表!J253</f>
        <v>0</v>
      </c>
      <c r="K253">
        <f>計算表!K253</f>
        <v>0</v>
      </c>
      <c r="L253">
        <f>計算表!L253</f>
        <v>0</v>
      </c>
      <c r="M253">
        <f>計算表!M253</f>
        <v>0</v>
      </c>
      <c r="N253">
        <f>計算表!N253</f>
        <v>0</v>
      </c>
      <c r="O253">
        <f>計算表!O253</f>
        <v>0</v>
      </c>
      <c r="P253">
        <f>計算表!P253</f>
        <v>0</v>
      </c>
      <c r="Q253">
        <f>計算表!Q253</f>
        <v>0</v>
      </c>
      <c r="R253">
        <f>計算表!R253</f>
        <v>0</v>
      </c>
    </row>
    <row r="254" spans="1:18" x14ac:dyDescent="0.25">
      <c r="A254">
        <f>計算表!A254</f>
        <v>253</v>
      </c>
      <c r="B254">
        <f>計算表!B254</f>
        <v>0</v>
      </c>
      <c r="C254" t="str">
        <f>計算表!C254</f>
        <v>8-寶石商店</v>
      </c>
      <c r="D254" t="str">
        <f>計算表!D254</f>
        <v>寶石標價(Lv1~10)</v>
      </c>
      <c r="E254" t="str">
        <f>計算表!E254</f>
        <v>各階價格</v>
      </c>
      <c r="F254" t="str">
        <f>計算表!F254</f>
        <v>a=Lv1 … j=Lv10。</v>
      </c>
      <c r="G254">
        <f>計算表!G254</f>
        <v>10000</v>
      </c>
      <c r="H254">
        <f>計算表!H254</f>
        <v>100000</v>
      </c>
      <c r="I254">
        <f>計算表!I254</f>
        <v>500000</v>
      </c>
      <c r="J254">
        <f>計算表!J254</f>
        <v>2000000</v>
      </c>
      <c r="K254">
        <f>計算表!K254</f>
        <v>10000000</v>
      </c>
      <c r="L254">
        <f>計算表!L254</f>
        <v>50000000</v>
      </c>
      <c r="M254">
        <f>計算表!M254</f>
        <v>200000000</v>
      </c>
      <c r="N254">
        <f>計算表!N254</f>
        <v>1000000000</v>
      </c>
      <c r="O254">
        <f>計算表!O254</f>
        <v>10000000000</v>
      </c>
      <c r="P254">
        <f>計算表!P254</f>
        <v>1000000000000</v>
      </c>
      <c r="Q254">
        <f>計算表!Q254</f>
        <v>0</v>
      </c>
      <c r="R254">
        <f>計算表!R254</f>
        <v>0</v>
      </c>
    </row>
    <row r="255" spans="1:18" x14ac:dyDescent="0.25">
      <c r="A255">
        <f>計算表!A255</f>
        <v>254</v>
      </c>
      <c r="B255">
        <f>計算表!B255</f>
        <v>0</v>
      </c>
      <c r="C255" t="str">
        <f>計算表!C255</f>
        <v>8-寶店刷出數量</v>
      </c>
      <c r="D255" t="str">
        <f>計算表!D255</f>
        <v>商店 Lv.1</v>
      </c>
      <c r="E255" t="str">
        <f>計算表!E255</f>
        <v>刷出數量=機率%（每格獨立）</v>
      </c>
      <c r="F255" t="str">
        <f>計算表!F255</f>
        <v>格式「刷出數量=機率%」，機率總和 100。</v>
      </c>
      <c r="G255" t="str">
        <f>計算表!G255</f>
        <v>5=50</v>
      </c>
      <c r="H255" t="str">
        <f>計算表!H255</f>
        <v>6=50</v>
      </c>
      <c r="I255">
        <f>計算表!I255</f>
        <v>0</v>
      </c>
      <c r="J255">
        <f>計算表!J255</f>
        <v>0</v>
      </c>
      <c r="K255">
        <f>計算表!K255</f>
        <v>0</v>
      </c>
      <c r="L255">
        <f>計算表!L255</f>
        <v>0</v>
      </c>
      <c r="M255">
        <f>計算表!M255</f>
        <v>0</v>
      </c>
      <c r="N255">
        <f>計算表!N255</f>
        <v>0</v>
      </c>
      <c r="O255">
        <f>計算表!O255</f>
        <v>0</v>
      </c>
      <c r="P255">
        <f>計算表!P255</f>
        <v>0</v>
      </c>
      <c r="Q255">
        <f>計算表!Q255</f>
        <v>0</v>
      </c>
      <c r="R255">
        <f>計算表!R255</f>
        <v>0</v>
      </c>
    </row>
    <row r="256" spans="1:18" x14ac:dyDescent="0.25">
      <c r="A256">
        <f>計算表!A256</f>
        <v>255</v>
      </c>
      <c r="B256">
        <f>計算表!B256</f>
        <v>0</v>
      </c>
      <c r="C256" t="str">
        <f>計算表!C256</f>
        <v>8-寶店刷出數量</v>
      </c>
      <c r="D256" t="str">
        <f>計算表!D256</f>
        <v>商店 Lv.2</v>
      </c>
      <c r="E256" t="str">
        <f>計算表!E256</f>
        <v>刷出數量=機率%（每格獨立）</v>
      </c>
      <c r="F256" t="str">
        <f>計算表!F256</f>
        <v>格式「刷出數量=機率%」，機率總和 100。</v>
      </c>
      <c r="G256" t="str">
        <f>計算表!G256</f>
        <v>5=50</v>
      </c>
      <c r="H256" t="str">
        <f>計算表!H256</f>
        <v>6=40</v>
      </c>
      <c r="I256" t="str">
        <f>計算表!I256</f>
        <v>7=10</v>
      </c>
      <c r="J256">
        <f>計算表!J256</f>
        <v>0</v>
      </c>
      <c r="K256">
        <f>計算表!K256</f>
        <v>0</v>
      </c>
      <c r="L256">
        <f>計算表!L256</f>
        <v>0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x14ac:dyDescent="0.25">
      <c r="A257">
        <f>計算表!A257</f>
        <v>256</v>
      </c>
      <c r="B257">
        <f>計算表!B257</f>
        <v>0</v>
      </c>
      <c r="C257" t="str">
        <f>計算表!C257</f>
        <v>8-寶店刷出數量</v>
      </c>
      <c r="D257" t="str">
        <f>計算表!D257</f>
        <v>商店 Lv.3</v>
      </c>
      <c r="E257" t="str">
        <f>計算表!E257</f>
        <v>刷出數量=機率%（每格獨立）</v>
      </c>
      <c r="F257" t="str">
        <f>計算表!F257</f>
        <v>格式「刷出數量=機率%」，機率總和 100。</v>
      </c>
      <c r="G257" t="str">
        <f>計算表!G257</f>
        <v>5=50</v>
      </c>
      <c r="H257" t="str">
        <f>計算表!H257</f>
        <v>6=30</v>
      </c>
      <c r="I257" t="str">
        <f>計算表!I257</f>
        <v>7=10</v>
      </c>
      <c r="J257" t="str">
        <f>計算表!J257</f>
        <v>8=10</v>
      </c>
      <c r="K257">
        <f>計算表!K257</f>
        <v>0</v>
      </c>
      <c r="L257">
        <f>計算表!L257</f>
        <v>0</v>
      </c>
      <c r="M257">
        <f>計算表!M257</f>
        <v>0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x14ac:dyDescent="0.25">
      <c r="A258">
        <f>計算表!A258</f>
        <v>257</v>
      </c>
      <c r="B258">
        <f>計算表!B258</f>
        <v>0</v>
      </c>
      <c r="C258" t="str">
        <f>計算表!C258</f>
        <v>8-寶店刷出數量</v>
      </c>
      <c r="D258" t="str">
        <f>計算表!D258</f>
        <v>商店 Lv.4</v>
      </c>
      <c r="E258" t="str">
        <f>計算表!E258</f>
        <v>刷出數量=機率%（每格獨立）</v>
      </c>
      <c r="F258" t="str">
        <f>計算表!F258</f>
        <v>格式「刷出數量=機率%」，機率總和 100。</v>
      </c>
      <c r="G258" t="str">
        <f>計算表!G258</f>
        <v>5=45</v>
      </c>
      <c r="H258" t="str">
        <f>計算表!H258</f>
        <v>6=30</v>
      </c>
      <c r="I258" t="str">
        <f>計算表!I258</f>
        <v>7=15</v>
      </c>
      <c r="J258" t="str">
        <f>計算表!J258</f>
        <v>8=10</v>
      </c>
      <c r="K258">
        <f>計算表!K258</f>
        <v>0</v>
      </c>
      <c r="L258">
        <f>計算表!L258</f>
        <v>0</v>
      </c>
      <c r="M258">
        <f>計算表!M258</f>
        <v>0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x14ac:dyDescent="0.25">
      <c r="A259">
        <f>計算表!A259</f>
        <v>258</v>
      </c>
      <c r="B259">
        <f>計算表!B259</f>
        <v>0</v>
      </c>
      <c r="C259" t="str">
        <f>計算表!C259</f>
        <v>8-寶店刷出數量</v>
      </c>
      <c r="D259" t="str">
        <f>計算表!D259</f>
        <v>商店 Lv.5</v>
      </c>
      <c r="E259" t="str">
        <f>計算表!E259</f>
        <v>刷出數量=機率%（每格獨立）</v>
      </c>
      <c r="F259" t="str">
        <f>計算表!F259</f>
        <v>格式「刷出數量=機率%」，機率總和 100。</v>
      </c>
      <c r="G259" t="str">
        <f>計算表!G259</f>
        <v>5=40</v>
      </c>
      <c r="H259" t="str">
        <f>計算表!H259</f>
        <v>6=30</v>
      </c>
      <c r="I259" t="str">
        <f>計算表!I259</f>
        <v>7=15</v>
      </c>
      <c r="J259" t="str">
        <f>計算表!J259</f>
        <v>8=15</v>
      </c>
      <c r="K259">
        <f>計算表!K259</f>
        <v>0</v>
      </c>
      <c r="L259">
        <f>計算表!L259</f>
        <v>0</v>
      </c>
      <c r="M259">
        <f>計算表!M259</f>
        <v>0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x14ac:dyDescent="0.25">
      <c r="A260">
        <f>計算表!A260</f>
        <v>259</v>
      </c>
      <c r="B260">
        <f>計算表!B260</f>
        <v>0</v>
      </c>
      <c r="C260" t="str">
        <f>計算表!C260</f>
        <v>8-寶店刷出數量</v>
      </c>
      <c r="D260" t="str">
        <f>計算表!D260</f>
        <v>商店 Lv.6</v>
      </c>
      <c r="E260" t="str">
        <f>計算表!E260</f>
        <v>刷出數量=機率%（每格獨立）</v>
      </c>
      <c r="F260" t="str">
        <f>計算表!F260</f>
        <v>格式「刷出數量=機率%」，機率總和 100。</v>
      </c>
      <c r="G260" t="str">
        <f>計算表!G260</f>
        <v>5=35</v>
      </c>
      <c r="H260" t="str">
        <f>計算表!H260</f>
        <v>6=30</v>
      </c>
      <c r="I260" t="str">
        <f>計算表!I260</f>
        <v>7=15</v>
      </c>
      <c r="J260" t="str">
        <f>計算表!J260</f>
        <v>8=15</v>
      </c>
      <c r="K260" t="str">
        <f>計算表!K260</f>
        <v>9=5</v>
      </c>
      <c r="L260">
        <f>計算表!L260</f>
        <v>0</v>
      </c>
      <c r="M260">
        <f>計算表!M260</f>
        <v>0</v>
      </c>
      <c r="N260">
        <f>計算表!N260</f>
        <v>0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x14ac:dyDescent="0.25">
      <c r="A261">
        <f>計算表!A261</f>
        <v>260</v>
      </c>
      <c r="B261">
        <f>計算表!B261</f>
        <v>0</v>
      </c>
      <c r="C261" t="str">
        <f>計算表!C261</f>
        <v>8-寶店刷出數量</v>
      </c>
      <c r="D261" t="str">
        <f>計算表!D261</f>
        <v>商店 Lv.7</v>
      </c>
      <c r="E261" t="str">
        <f>計算表!E261</f>
        <v>刷出數量=機率%（每格獨立）</v>
      </c>
      <c r="F261" t="str">
        <f>計算表!F261</f>
        <v>格式「刷出數量=機率%」，機率總和 100。</v>
      </c>
      <c r="G261" t="str">
        <f>計算表!G261</f>
        <v>6=35</v>
      </c>
      <c r="H261" t="str">
        <f>計算表!H261</f>
        <v>7=30</v>
      </c>
      <c r="I261" t="str">
        <f>計算表!I261</f>
        <v>8=15</v>
      </c>
      <c r="J261" t="str">
        <f>計算表!J261</f>
        <v>9=15</v>
      </c>
      <c r="K261" t="str">
        <f>計算表!K261</f>
        <v>10=5</v>
      </c>
      <c r="L261">
        <f>計算表!L261</f>
        <v>0</v>
      </c>
      <c r="M261">
        <f>計算表!M261</f>
        <v>0</v>
      </c>
      <c r="N261">
        <f>計算表!N261</f>
        <v>0</v>
      </c>
      <c r="O261">
        <f>計算表!O261</f>
        <v>0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x14ac:dyDescent="0.25">
      <c r="A262">
        <f>計算表!A262</f>
        <v>261</v>
      </c>
      <c r="B262">
        <f>計算表!B262</f>
        <v>0</v>
      </c>
      <c r="C262" t="str">
        <f>計算表!C262</f>
        <v>8-寶店刷出數量</v>
      </c>
      <c r="D262" t="str">
        <f>計算表!D262</f>
        <v>商店 Lv.8</v>
      </c>
      <c r="E262" t="str">
        <f>計算表!E262</f>
        <v>刷出數量=機率%（每格獨立）</v>
      </c>
      <c r="F262" t="str">
        <f>計算表!F262</f>
        <v>格式「刷出數量=機率%」，機率總和 100。</v>
      </c>
      <c r="G262" t="str">
        <f>計算表!G262</f>
        <v>6=30</v>
      </c>
      <c r="H262" t="str">
        <f>計算表!H262</f>
        <v>7=30</v>
      </c>
      <c r="I262" t="str">
        <f>計算表!I262</f>
        <v>8=15</v>
      </c>
      <c r="J262" t="str">
        <f>計算表!J262</f>
        <v>9=15</v>
      </c>
      <c r="K262" t="str">
        <f>計算表!K262</f>
        <v>10=10</v>
      </c>
      <c r="L262">
        <f>計算表!L262</f>
        <v>0</v>
      </c>
      <c r="M262">
        <f>計算表!M262</f>
        <v>0</v>
      </c>
      <c r="N262">
        <f>計算表!N262</f>
        <v>0</v>
      </c>
      <c r="O262">
        <f>計算表!O262</f>
        <v>0</v>
      </c>
      <c r="P262">
        <f>計算表!P262</f>
        <v>0</v>
      </c>
      <c r="Q262">
        <f>計算表!Q262</f>
        <v>0</v>
      </c>
      <c r="R262">
        <f>計算表!R262</f>
        <v>0</v>
      </c>
    </row>
    <row r="263" spans="1:18" x14ac:dyDescent="0.25">
      <c r="A263">
        <f>計算表!A263</f>
        <v>262</v>
      </c>
      <c r="B263">
        <f>計算表!B263</f>
        <v>0</v>
      </c>
      <c r="C263" t="str">
        <f>計算表!C263</f>
        <v>8-寶店刷出數量</v>
      </c>
      <c r="D263" t="str">
        <f>計算表!D263</f>
        <v>商店 Lv.9</v>
      </c>
      <c r="E263" t="str">
        <f>計算表!E263</f>
        <v>刷出數量=機率%（每格獨立）</v>
      </c>
      <c r="F263" t="str">
        <f>計算表!F263</f>
        <v>格式「刷出數量=機率%」，機率總和 100。</v>
      </c>
      <c r="G263" t="str">
        <f>計算表!G263</f>
        <v>7=30</v>
      </c>
      <c r="H263" t="str">
        <f>計算表!H263</f>
        <v>8=30</v>
      </c>
      <c r="I263" t="str">
        <f>計算表!I263</f>
        <v>9=15</v>
      </c>
      <c r="J263" t="str">
        <f>計算表!J263</f>
        <v>10=15</v>
      </c>
      <c r="K263" t="str">
        <f>計算表!K263</f>
        <v>11=10</v>
      </c>
      <c r="L263">
        <f>計算表!L263</f>
        <v>0</v>
      </c>
      <c r="M263">
        <f>計算表!M263</f>
        <v>0</v>
      </c>
      <c r="N263">
        <f>計算表!N263</f>
        <v>0</v>
      </c>
      <c r="O263">
        <f>計算表!O263</f>
        <v>0</v>
      </c>
      <c r="P263">
        <f>計算表!P263</f>
        <v>0</v>
      </c>
      <c r="Q263">
        <f>計算表!Q263</f>
        <v>0</v>
      </c>
      <c r="R263">
        <f>計算表!R263</f>
        <v>0</v>
      </c>
    </row>
    <row r="264" spans="1:18" x14ac:dyDescent="0.25">
      <c r="A264">
        <f>計算表!A264</f>
        <v>263</v>
      </c>
      <c r="B264">
        <f>計算表!B264</f>
        <v>0</v>
      </c>
      <c r="C264" t="str">
        <f>計算表!C264</f>
        <v>8-寶店刷出數量</v>
      </c>
      <c r="D264" t="str">
        <f>計算表!D264</f>
        <v>商店 Lv.10</v>
      </c>
      <c r="E264" t="str">
        <f>計算表!E264</f>
        <v>刷出數量=機率%（每格獨立）</v>
      </c>
      <c r="F264" t="str">
        <f>計算表!F264</f>
        <v>格式「刷出數量=機率%」，機率總和 100。</v>
      </c>
      <c r="G264" t="str">
        <f>計算表!G264</f>
        <v>8=30</v>
      </c>
      <c r="H264" t="str">
        <f>計算表!H264</f>
        <v>9=30</v>
      </c>
      <c r="I264" t="str">
        <f>計算表!I264</f>
        <v>10=15</v>
      </c>
      <c r="J264" t="str">
        <f>計算表!J264</f>
        <v>11=15</v>
      </c>
      <c r="K264" t="str">
        <f>計算表!K264</f>
        <v>12=10</v>
      </c>
      <c r="L264">
        <f>計算表!L264</f>
        <v>0</v>
      </c>
      <c r="M264">
        <f>計算表!M264</f>
        <v>0</v>
      </c>
      <c r="N264">
        <f>計算表!N264</f>
        <v>0</v>
      </c>
      <c r="O264">
        <f>計算表!O264</f>
        <v>0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x14ac:dyDescent="0.25">
      <c r="A265">
        <f>計算表!A265</f>
        <v>264</v>
      </c>
      <c r="B265">
        <f>計算表!B265</f>
        <v>0</v>
      </c>
      <c r="C265" t="str">
        <f>計算表!C265</f>
        <v>8-寶店刷出數量</v>
      </c>
      <c r="D265" t="str">
        <f>計算表!D265</f>
        <v>商店 Lv.11</v>
      </c>
      <c r="E265" t="str">
        <f>計算表!E265</f>
        <v>刷出數量=機率%（每格獨立）</v>
      </c>
      <c r="F265" t="str">
        <f>計算表!F265</f>
        <v>格式「刷出數量=機率%」，機率總和 100。</v>
      </c>
      <c r="G265" t="str">
        <f>計算表!G265</f>
        <v>9=30</v>
      </c>
      <c r="H265" t="str">
        <f>計算表!H265</f>
        <v>10=30</v>
      </c>
      <c r="I265" t="str">
        <f>計算表!I265</f>
        <v>11=15</v>
      </c>
      <c r="J265" t="str">
        <f>計算表!J265</f>
        <v>12=15</v>
      </c>
      <c r="K265" t="str">
        <f>計算表!K265</f>
        <v>13=10</v>
      </c>
      <c r="L265">
        <f>計算表!L265</f>
        <v>0</v>
      </c>
      <c r="M265">
        <f>計算表!M265</f>
        <v>0</v>
      </c>
      <c r="N265">
        <f>計算表!N265</f>
        <v>0</v>
      </c>
      <c r="O265">
        <f>計算表!O265</f>
        <v>0</v>
      </c>
      <c r="P265">
        <f>計算表!P265</f>
        <v>0</v>
      </c>
      <c r="Q265">
        <f>計算表!Q265</f>
        <v>0</v>
      </c>
      <c r="R265">
        <f>計算表!R265</f>
        <v>0</v>
      </c>
    </row>
    <row r="266" spans="1:18" x14ac:dyDescent="0.25">
      <c r="A266">
        <f>計算表!A266</f>
        <v>265</v>
      </c>
      <c r="B266">
        <f>計算表!B266</f>
        <v>0</v>
      </c>
      <c r="C266" t="str">
        <f>計算表!C266</f>
        <v>8-寶店刷出數量</v>
      </c>
      <c r="D266" t="str">
        <f>計算表!D266</f>
        <v>商店 Lv.12</v>
      </c>
      <c r="E266" t="str">
        <f>計算表!E266</f>
        <v>刷出數量=機率%（每格獨立）</v>
      </c>
      <c r="F266" t="str">
        <f>計算表!F266</f>
        <v>格式「刷出數量=機率%」，機率總和 100。</v>
      </c>
      <c r="G266" t="str">
        <f>計算表!G266</f>
        <v>10=30</v>
      </c>
      <c r="H266" t="str">
        <f>計算表!H266</f>
        <v>11=30</v>
      </c>
      <c r="I266" t="str">
        <f>計算表!I266</f>
        <v>12=15</v>
      </c>
      <c r="J266" t="str">
        <f>計算表!J266</f>
        <v>13=15</v>
      </c>
      <c r="K266" t="str">
        <f>計算表!K266</f>
        <v>14=10</v>
      </c>
      <c r="L266">
        <f>計算表!L266</f>
        <v>0</v>
      </c>
      <c r="M266">
        <f>計算表!M266</f>
        <v>0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x14ac:dyDescent="0.25">
      <c r="A267">
        <f>計算表!A267</f>
        <v>266</v>
      </c>
      <c r="B267">
        <f>計算表!B267</f>
        <v>0</v>
      </c>
      <c r="C267" t="str">
        <f>計算表!C267</f>
        <v>8-寶店刷出數量</v>
      </c>
      <c r="D267" t="str">
        <f>計算表!D267</f>
        <v>商店 Lv.13</v>
      </c>
      <c r="E267" t="str">
        <f>計算表!E267</f>
        <v>刷出數量=機率%（每格獨立）</v>
      </c>
      <c r="F267" t="str">
        <f>計算表!F267</f>
        <v>格式「刷出數量=機率%」，機率總和 100。</v>
      </c>
      <c r="G267" t="str">
        <f>計算表!G267</f>
        <v>11=30</v>
      </c>
      <c r="H267" t="str">
        <f>計算表!H267</f>
        <v>12=30</v>
      </c>
      <c r="I267" t="str">
        <f>計算表!I267</f>
        <v>13=15</v>
      </c>
      <c r="J267" t="str">
        <f>計算表!J267</f>
        <v>14=15</v>
      </c>
      <c r="K267" t="str">
        <f>計算表!K267</f>
        <v>15=10</v>
      </c>
      <c r="L267">
        <f>計算表!L267</f>
        <v>0</v>
      </c>
      <c r="M267">
        <f>計算表!M267</f>
        <v>0</v>
      </c>
      <c r="N267">
        <f>計算表!N267</f>
        <v>0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x14ac:dyDescent="0.25">
      <c r="A268">
        <f>計算表!A268</f>
        <v>267</v>
      </c>
      <c r="B268">
        <f>計算表!B268</f>
        <v>0</v>
      </c>
      <c r="C268" t="str">
        <f>計算表!C268</f>
        <v>8-寶店刷出數量</v>
      </c>
      <c r="D268" t="str">
        <f>計算表!D268</f>
        <v>商店 Lv.14</v>
      </c>
      <c r="E268" t="str">
        <f>計算表!E268</f>
        <v>刷出數量=機率%（每格獨立）</v>
      </c>
      <c r="F268" t="str">
        <f>計算表!F268</f>
        <v>格式「刷出數量=機率%」，機率總和 100。</v>
      </c>
      <c r="G268" t="str">
        <f>計算表!G268</f>
        <v>12=30</v>
      </c>
      <c r="H268" t="str">
        <f>計算表!H268</f>
        <v>13=30</v>
      </c>
      <c r="I268" t="str">
        <f>計算表!I268</f>
        <v>14=15</v>
      </c>
      <c r="J268" t="str">
        <f>計算表!J268</f>
        <v>15=15</v>
      </c>
      <c r="K268" t="str">
        <f>計算表!K268</f>
        <v>16=10</v>
      </c>
      <c r="L268">
        <f>計算表!L268</f>
        <v>0</v>
      </c>
      <c r="M268">
        <f>計算表!M268</f>
        <v>0</v>
      </c>
      <c r="N268">
        <f>計算表!N268</f>
        <v>0</v>
      </c>
      <c r="O268">
        <f>計算表!O268</f>
        <v>0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x14ac:dyDescent="0.25">
      <c r="A269">
        <f>計算表!A269</f>
        <v>268</v>
      </c>
      <c r="B269">
        <f>計算表!B269</f>
        <v>0</v>
      </c>
      <c r="C269" t="str">
        <f>計算表!C269</f>
        <v>8-寶店刷出數量</v>
      </c>
      <c r="D269" t="str">
        <f>計算表!D269</f>
        <v>商店 Lv.15</v>
      </c>
      <c r="E269" t="str">
        <f>計算表!E269</f>
        <v>刷出數量=機率%（每格獨立）</v>
      </c>
      <c r="F269" t="str">
        <f>計算表!F269</f>
        <v>格式「刷出數量=機率%」，機率總和 100。</v>
      </c>
      <c r="G269" t="str">
        <f>計算表!G269</f>
        <v>13=30</v>
      </c>
      <c r="H269" t="str">
        <f>計算表!H269</f>
        <v>14=30</v>
      </c>
      <c r="I269" t="str">
        <f>計算表!I269</f>
        <v>15=15</v>
      </c>
      <c r="J269" t="str">
        <f>計算表!J269</f>
        <v>16=15</v>
      </c>
      <c r="K269" t="str">
        <f>計算表!K269</f>
        <v>17=10</v>
      </c>
      <c r="L269">
        <f>計算表!L269</f>
        <v>0</v>
      </c>
      <c r="M269">
        <f>計算表!M269</f>
        <v>0</v>
      </c>
      <c r="N269">
        <f>計算表!N269</f>
        <v>0</v>
      </c>
      <c r="O269">
        <f>計算表!O269</f>
        <v>0</v>
      </c>
      <c r="P269">
        <f>計算表!P269</f>
        <v>0</v>
      </c>
      <c r="Q269">
        <f>計算表!Q269</f>
        <v>0</v>
      </c>
      <c r="R269">
        <f>計算表!R269</f>
        <v>0</v>
      </c>
    </row>
    <row r="270" spans="1:18" x14ac:dyDescent="0.25">
      <c r="A270">
        <f>計算表!A270</f>
        <v>269</v>
      </c>
      <c r="B270">
        <f>計算表!B270</f>
        <v>0</v>
      </c>
      <c r="C270" t="str">
        <f>計算表!C270</f>
        <v>8-寶店刷出數量</v>
      </c>
      <c r="D270" t="str">
        <f>計算表!D270</f>
        <v>商店 Lv.16</v>
      </c>
      <c r="E270" t="str">
        <f>計算表!E270</f>
        <v>刷出數量=機率%（每格獨立）</v>
      </c>
      <c r="F270" t="str">
        <f>計算表!F270</f>
        <v>格式「刷出數量=機率%」，機率總和 100。</v>
      </c>
      <c r="G270" t="str">
        <f>計算表!G270</f>
        <v>14=30</v>
      </c>
      <c r="H270" t="str">
        <f>計算表!H270</f>
        <v>15=30</v>
      </c>
      <c r="I270" t="str">
        <f>計算表!I270</f>
        <v>16=15</v>
      </c>
      <c r="J270" t="str">
        <f>計算表!J270</f>
        <v>17=15</v>
      </c>
      <c r="K270" t="str">
        <f>計算表!K270</f>
        <v>18=10</v>
      </c>
      <c r="L270">
        <f>計算表!L270</f>
        <v>0</v>
      </c>
      <c r="M270">
        <f>計算表!M270</f>
        <v>0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x14ac:dyDescent="0.25">
      <c r="A271">
        <f>計算表!A271</f>
        <v>270</v>
      </c>
      <c r="B271">
        <f>計算表!B271</f>
        <v>0</v>
      </c>
      <c r="C271" t="str">
        <f>計算表!C271</f>
        <v>8-寶店刷出數量</v>
      </c>
      <c r="D271" t="str">
        <f>計算表!D271</f>
        <v>商店 Lv.17</v>
      </c>
      <c r="E271" t="str">
        <f>計算表!E271</f>
        <v>刷出數量=機率%（每格獨立）</v>
      </c>
      <c r="F271" t="str">
        <f>計算表!F271</f>
        <v>格式「刷出數量=機率%」，機率總和 100。</v>
      </c>
      <c r="G271" t="str">
        <f>計算表!G271</f>
        <v>15=30</v>
      </c>
      <c r="H271" t="str">
        <f>計算表!H271</f>
        <v>16=30</v>
      </c>
      <c r="I271" t="str">
        <f>計算表!I271</f>
        <v>17=15</v>
      </c>
      <c r="J271" t="str">
        <f>計算表!J271</f>
        <v>18=15</v>
      </c>
      <c r="K271" t="str">
        <f>計算表!K271</f>
        <v>19=10</v>
      </c>
      <c r="L271">
        <f>計算表!L271</f>
        <v>0</v>
      </c>
      <c r="M271">
        <f>計算表!M271</f>
        <v>0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x14ac:dyDescent="0.25">
      <c r="A272">
        <f>計算表!A272</f>
        <v>271</v>
      </c>
      <c r="B272">
        <f>計算表!B272</f>
        <v>0</v>
      </c>
      <c r="C272" t="str">
        <f>計算表!C272</f>
        <v>8-寶店刷出數量</v>
      </c>
      <c r="D272" t="str">
        <f>計算表!D272</f>
        <v>商店 Lv.18</v>
      </c>
      <c r="E272" t="str">
        <f>計算表!E272</f>
        <v>刷出數量=機率%（每格獨立）</v>
      </c>
      <c r="F272" t="str">
        <f>計算表!F272</f>
        <v>格式「刷出數量=機率%」，機率總和 100。</v>
      </c>
      <c r="G272" t="str">
        <f>計算表!G272</f>
        <v>15=10</v>
      </c>
      <c r="H272" t="str">
        <f>計算表!H272</f>
        <v>16=20</v>
      </c>
      <c r="I272" t="str">
        <f>計算表!I272</f>
        <v>17=30</v>
      </c>
      <c r="J272" t="str">
        <f>計算表!J272</f>
        <v>18=15</v>
      </c>
      <c r="K272" t="str">
        <f>計算表!K272</f>
        <v>19=15</v>
      </c>
      <c r="L272" t="str">
        <f>計算表!L272</f>
        <v>20=10</v>
      </c>
      <c r="M272">
        <f>計算表!M272</f>
        <v>0</v>
      </c>
      <c r="N272">
        <f>計算表!N272</f>
        <v>0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x14ac:dyDescent="0.25">
      <c r="A273">
        <f>計算表!A273</f>
        <v>272</v>
      </c>
      <c r="B273">
        <f>計算表!B273</f>
        <v>0</v>
      </c>
      <c r="C273" t="str">
        <f>計算表!C273</f>
        <v>8-寶店刷出數量</v>
      </c>
      <c r="D273" t="str">
        <f>計算表!D273</f>
        <v>商店 Lv.19</v>
      </c>
      <c r="E273" t="str">
        <f>計算表!E273</f>
        <v>刷出數量=機率%（每格獨立）</v>
      </c>
      <c r="F273" t="str">
        <f>計算表!F273</f>
        <v>格式「刷出數量=機率%」，機率總和 100。</v>
      </c>
      <c r="G273" t="str">
        <f>計算表!G273</f>
        <v>15=10</v>
      </c>
      <c r="H273" t="str">
        <f>計算表!H273</f>
        <v>16=20</v>
      </c>
      <c r="I273" t="str">
        <f>計算表!I273</f>
        <v>17=30</v>
      </c>
      <c r="J273" t="str">
        <f>計算表!J273</f>
        <v>18=15</v>
      </c>
      <c r="K273" t="str">
        <f>計算表!K273</f>
        <v>19=15</v>
      </c>
      <c r="L273" t="str">
        <f>計算表!L273</f>
        <v>20=10</v>
      </c>
      <c r="M273">
        <f>計算表!M273</f>
        <v>0</v>
      </c>
      <c r="N273">
        <f>計算表!N273</f>
        <v>0</v>
      </c>
      <c r="O273">
        <f>計算表!O273</f>
        <v>0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x14ac:dyDescent="0.25">
      <c r="A274">
        <f>計算表!A274</f>
        <v>273</v>
      </c>
      <c r="B274">
        <f>計算表!B274</f>
        <v>0</v>
      </c>
      <c r="C274" t="str">
        <f>計算表!C274</f>
        <v>8-寶店刷出數量</v>
      </c>
      <c r="D274" t="str">
        <f>計算表!D274</f>
        <v>商店 Lv.20</v>
      </c>
      <c r="E274" t="str">
        <f>計算表!E274</f>
        <v>刷出數量=機率%（每格獨立）</v>
      </c>
      <c r="F274" t="str">
        <f>計算表!F274</f>
        <v>格式「刷出數量=機率%」，機率總和 100。</v>
      </c>
      <c r="G274" t="str">
        <f>計算表!G274</f>
        <v>15=10</v>
      </c>
      <c r="H274" t="str">
        <f>計算表!H274</f>
        <v>16=20</v>
      </c>
      <c r="I274" t="str">
        <f>計算表!I274</f>
        <v>17=30</v>
      </c>
      <c r="J274" t="str">
        <f>計算表!J274</f>
        <v>18=15</v>
      </c>
      <c r="K274" t="str">
        <f>計算表!K274</f>
        <v>19=15</v>
      </c>
      <c r="L274" t="str">
        <f>計算表!L274</f>
        <v>20=10</v>
      </c>
      <c r="M274">
        <f>計算表!M274</f>
        <v>0</v>
      </c>
      <c r="N274">
        <f>計算表!N274</f>
        <v>0</v>
      </c>
      <c r="O274">
        <f>計算表!O274</f>
        <v>0</v>
      </c>
      <c r="P274">
        <f>計算表!P274</f>
        <v>0</v>
      </c>
      <c r="Q274">
        <f>計算表!Q274</f>
        <v>0</v>
      </c>
      <c r="R274">
        <f>計算表!R274</f>
        <v>0</v>
      </c>
    </row>
    <row r="275" spans="1:18" x14ac:dyDescent="0.25">
      <c r="A275">
        <f>計算表!A275</f>
        <v>274</v>
      </c>
      <c r="B275">
        <f>計算表!B275</f>
        <v>0</v>
      </c>
      <c r="C275" t="str">
        <f>計算表!C275</f>
        <v>8-寶店刷出階級</v>
      </c>
      <c r="D275" t="str">
        <f>計算表!D275</f>
        <v>商店 Lv.1</v>
      </c>
      <c r="E275" t="str">
        <f>計算表!E275</f>
        <v>寶石階級=機率%（每顆獨立）</v>
      </c>
      <c r="F275" t="str">
        <f>計算表!F275</f>
        <v>格式「階級=機率%」，機率總和 100。</v>
      </c>
      <c r="G275" t="str">
        <f>計算表!G275</f>
        <v>1=75</v>
      </c>
      <c r="H275" t="str">
        <f>計算表!H275</f>
        <v>2=20</v>
      </c>
      <c r="I275" t="str">
        <f>計算表!I275</f>
        <v>3=4</v>
      </c>
      <c r="J275" t="str">
        <f>計算表!J275</f>
        <v>4=1</v>
      </c>
      <c r="K275">
        <f>計算表!K275</f>
        <v>0</v>
      </c>
      <c r="L275">
        <f>計算表!L275</f>
        <v>0</v>
      </c>
      <c r="M275">
        <f>計算表!M275</f>
        <v>0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x14ac:dyDescent="0.25">
      <c r="A276">
        <f>計算表!A276</f>
        <v>275</v>
      </c>
      <c r="B276">
        <f>計算表!B276</f>
        <v>0</v>
      </c>
      <c r="C276" t="str">
        <f>計算表!C276</f>
        <v>8-寶店刷出階級</v>
      </c>
      <c r="D276" t="str">
        <f>計算表!D276</f>
        <v>商店 Lv.2</v>
      </c>
      <c r="E276" t="str">
        <f>計算表!E276</f>
        <v>寶石階級=機率%（每顆獨立）</v>
      </c>
      <c r="F276" t="str">
        <f>計算表!F276</f>
        <v>格式「階級=機率%」，機率總和 100。</v>
      </c>
      <c r="G276" t="str">
        <f>計算表!G276</f>
        <v>1=73</v>
      </c>
      <c r="H276" t="str">
        <f>計算表!H276</f>
        <v>2=20</v>
      </c>
      <c r="I276" t="str">
        <f>計算表!I276</f>
        <v>3=5</v>
      </c>
      <c r="J276" t="str">
        <f>計算表!J276</f>
        <v>4=2</v>
      </c>
      <c r="K276">
        <f>計算表!K276</f>
        <v>0</v>
      </c>
      <c r="L276">
        <f>計算表!L276</f>
        <v>0</v>
      </c>
      <c r="M276">
        <f>計算表!M276</f>
        <v>0</v>
      </c>
      <c r="N276">
        <f>計算表!N276</f>
        <v>0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x14ac:dyDescent="0.25">
      <c r="A277">
        <f>計算表!A277</f>
        <v>276</v>
      </c>
      <c r="B277">
        <f>計算表!B277</f>
        <v>0</v>
      </c>
      <c r="C277" t="str">
        <f>計算表!C277</f>
        <v>8-寶店刷出階級</v>
      </c>
      <c r="D277" t="str">
        <f>計算表!D277</f>
        <v>商店 Lv.3</v>
      </c>
      <c r="E277" t="str">
        <f>計算表!E277</f>
        <v>寶石階級=機率%（每顆獨立）</v>
      </c>
      <c r="F277" t="str">
        <f>計算表!F277</f>
        <v>格式「階級=機率%」，機率總和 100。</v>
      </c>
      <c r="G277" t="str">
        <f>計算表!G277</f>
        <v>1=71</v>
      </c>
      <c r="H277" t="str">
        <f>計算表!H277</f>
        <v>2=20</v>
      </c>
      <c r="I277" t="str">
        <f>計算表!I277</f>
        <v>3=6</v>
      </c>
      <c r="J277" t="str">
        <f>計算表!J277</f>
        <v>4=3</v>
      </c>
      <c r="K277">
        <f>計算表!K277</f>
        <v>0</v>
      </c>
      <c r="L277">
        <f>計算表!L277</f>
        <v>0</v>
      </c>
      <c r="M277">
        <f>計算表!M277</f>
        <v>0</v>
      </c>
      <c r="N277">
        <f>計算表!N277</f>
        <v>0</v>
      </c>
      <c r="O277">
        <f>計算表!O277</f>
        <v>0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x14ac:dyDescent="0.25">
      <c r="A278">
        <f>計算表!A278</f>
        <v>277</v>
      </c>
      <c r="B278">
        <f>計算表!B278</f>
        <v>0</v>
      </c>
      <c r="C278" t="str">
        <f>計算表!C278</f>
        <v>8-寶店刷出階級</v>
      </c>
      <c r="D278" t="str">
        <f>計算表!D278</f>
        <v>商店 Lv.4</v>
      </c>
      <c r="E278" t="str">
        <f>計算表!E278</f>
        <v>寶石階級=機率%（每顆獨立）</v>
      </c>
      <c r="F278" t="str">
        <f>計算表!F278</f>
        <v>格式「階級=機率%」，機率總和 100。</v>
      </c>
      <c r="G278" t="str">
        <f>計算表!G278</f>
        <v>1=70.5</v>
      </c>
      <c r="H278" t="str">
        <f>計算表!H278</f>
        <v>2=20</v>
      </c>
      <c r="I278" t="str">
        <f>計算表!I278</f>
        <v>3=6</v>
      </c>
      <c r="J278" t="str">
        <f>計算表!J278</f>
        <v>4=3</v>
      </c>
      <c r="K278" t="str">
        <f>計算表!K278</f>
        <v>5=0.5</v>
      </c>
      <c r="L278">
        <f>計算表!L278</f>
        <v>0</v>
      </c>
      <c r="M278">
        <f>計算表!M278</f>
        <v>0</v>
      </c>
      <c r="N278">
        <f>計算表!N278</f>
        <v>0</v>
      </c>
      <c r="O278">
        <f>計算表!O278</f>
        <v>0</v>
      </c>
      <c r="P278">
        <f>計算表!P278</f>
        <v>0</v>
      </c>
      <c r="Q278">
        <f>計算表!Q278</f>
        <v>0</v>
      </c>
      <c r="R278">
        <f>計算表!R278</f>
        <v>0</v>
      </c>
    </row>
    <row r="279" spans="1:18" x14ac:dyDescent="0.25">
      <c r="A279">
        <f>計算表!A279</f>
        <v>278</v>
      </c>
      <c r="B279">
        <f>計算表!B279</f>
        <v>0</v>
      </c>
      <c r="C279" t="str">
        <f>計算表!C279</f>
        <v>8-寶店刷出階級</v>
      </c>
      <c r="D279" t="str">
        <f>計算表!D279</f>
        <v>商店 Lv.5</v>
      </c>
      <c r="E279" t="str">
        <f>計算表!E279</f>
        <v>寶石階級=機率%（每顆獨立）</v>
      </c>
      <c r="F279" t="str">
        <f>計算表!F279</f>
        <v>格式「階級=機率%」，機率總和 100。</v>
      </c>
      <c r="G279" t="str">
        <f>計算表!G279</f>
        <v>1=69</v>
      </c>
      <c r="H279" t="str">
        <f>計算表!H279</f>
        <v>2=20</v>
      </c>
      <c r="I279" t="str">
        <f>計算表!I279</f>
        <v>3=6</v>
      </c>
      <c r="J279" t="str">
        <f>計算表!J279</f>
        <v>4=4</v>
      </c>
      <c r="K279" t="str">
        <f>計算表!K279</f>
        <v>5=1</v>
      </c>
      <c r="L279">
        <f>計算表!L279</f>
        <v>0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x14ac:dyDescent="0.25">
      <c r="A280">
        <f>計算表!A280</f>
        <v>279</v>
      </c>
      <c r="B280">
        <f>計算表!B280</f>
        <v>0</v>
      </c>
      <c r="C280" t="str">
        <f>計算表!C280</f>
        <v>8-寶店刷出階級</v>
      </c>
      <c r="D280" t="str">
        <f>計算表!D280</f>
        <v>商店 Lv.6</v>
      </c>
      <c r="E280" t="str">
        <f>計算表!E280</f>
        <v>寶石階級=機率%（每顆獨立）</v>
      </c>
      <c r="F280" t="str">
        <f>計算表!F280</f>
        <v>格式「階級=機率%」，機率總和 100。</v>
      </c>
      <c r="G280" t="str">
        <f>計算表!G280</f>
        <v>1=67.5</v>
      </c>
      <c r="H280" t="str">
        <f>計算表!H280</f>
        <v>2=20</v>
      </c>
      <c r="I280" t="str">
        <f>計算表!I280</f>
        <v>3=6</v>
      </c>
      <c r="J280" t="str">
        <f>計算表!J280</f>
        <v>4=5</v>
      </c>
      <c r="K280" t="str">
        <f>計算表!K280</f>
        <v>5=1.5</v>
      </c>
      <c r="L280">
        <f>計算表!L280</f>
        <v>0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x14ac:dyDescent="0.25">
      <c r="A281">
        <f>計算表!A281</f>
        <v>280</v>
      </c>
      <c r="B281">
        <f>計算表!B281</f>
        <v>0</v>
      </c>
      <c r="C281" t="str">
        <f>計算表!C281</f>
        <v>8-寶店刷出階級</v>
      </c>
      <c r="D281" t="str">
        <f>計算表!D281</f>
        <v>商店 Lv.7</v>
      </c>
      <c r="E281" t="str">
        <f>計算表!E281</f>
        <v>寶石階級=機率%（每顆獨立）</v>
      </c>
      <c r="F281" t="str">
        <f>計算表!F281</f>
        <v>格式「階級=機率%」，機率總和 100。</v>
      </c>
      <c r="G281" t="str">
        <f>計算表!G281</f>
        <v>1=64</v>
      </c>
      <c r="H281" t="str">
        <f>計算表!H281</f>
        <v>2=20</v>
      </c>
      <c r="I281" t="str">
        <f>計算表!I281</f>
        <v>3=8</v>
      </c>
      <c r="J281" t="str">
        <f>計算表!J281</f>
        <v>4=6</v>
      </c>
      <c r="K281" t="str">
        <f>計算表!K281</f>
        <v>5=2</v>
      </c>
      <c r="L281">
        <f>計算表!L281</f>
        <v>0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x14ac:dyDescent="0.25">
      <c r="A282">
        <f>計算表!A282</f>
        <v>281</v>
      </c>
      <c r="B282">
        <f>計算表!B282</f>
        <v>0</v>
      </c>
      <c r="C282" t="str">
        <f>計算表!C282</f>
        <v>8-寶店刷出階級</v>
      </c>
      <c r="D282" t="str">
        <f>計算表!D282</f>
        <v>商店 Lv.8</v>
      </c>
      <c r="E282" t="str">
        <f>計算表!E282</f>
        <v>寶石階級=機率%（每顆獨立）</v>
      </c>
      <c r="F282" t="str">
        <f>計算表!F282</f>
        <v>格式「階級=機率%」，機率總和 100。</v>
      </c>
      <c r="G282" t="str">
        <f>計算表!G282</f>
        <v>1=61.5</v>
      </c>
      <c r="H282" t="str">
        <f>計算表!H282</f>
        <v>2=20</v>
      </c>
      <c r="I282" t="str">
        <f>計算表!I282</f>
        <v>3=9</v>
      </c>
      <c r="J282" t="str">
        <f>計算表!J282</f>
        <v>4=7</v>
      </c>
      <c r="K282" t="str">
        <f>計算表!K282</f>
        <v>5=2.5</v>
      </c>
      <c r="L282">
        <f>計算表!L282</f>
        <v>0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x14ac:dyDescent="0.25">
      <c r="A283">
        <f>計算表!A283</f>
        <v>282</v>
      </c>
      <c r="B283">
        <f>計算表!B283</f>
        <v>0</v>
      </c>
      <c r="C283" t="str">
        <f>計算表!C283</f>
        <v>8-寶店刷出階級</v>
      </c>
      <c r="D283" t="str">
        <f>計算表!D283</f>
        <v>商店 Lv.9</v>
      </c>
      <c r="E283" t="str">
        <f>計算表!E283</f>
        <v>寶石階級=機率%（每顆獨立）</v>
      </c>
      <c r="F283" t="str">
        <f>計算表!F283</f>
        <v>格式「階級=機率%」，機率總和 100。</v>
      </c>
      <c r="G283" t="str">
        <f>計算表!G283</f>
        <v>1=59</v>
      </c>
      <c r="H283" t="str">
        <f>計算表!H283</f>
        <v>2=20</v>
      </c>
      <c r="I283" t="str">
        <f>計算表!I283</f>
        <v>3=10</v>
      </c>
      <c r="J283" t="str">
        <f>計算表!J283</f>
        <v>4=8</v>
      </c>
      <c r="K283" t="str">
        <f>計算表!K283</f>
        <v>5=3</v>
      </c>
      <c r="L283">
        <f>計算表!L283</f>
        <v>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x14ac:dyDescent="0.25">
      <c r="A284">
        <f>計算表!A284</f>
        <v>283</v>
      </c>
      <c r="B284">
        <f>計算表!B284</f>
        <v>0</v>
      </c>
      <c r="C284" t="str">
        <f>計算表!C284</f>
        <v>8-寶店刷出階級</v>
      </c>
      <c r="D284" t="str">
        <f>計算表!D284</f>
        <v>商店 Lv.10</v>
      </c>
      <c r="E284" t="str">
        <f>計算表!E284</f>
        <v>寶石階級=機率%（每顆獨立）</v>
      </c>
      <c r="F284" t="str">
        <f>計算表!F284</f>
        <v>格式「階級=機率%」，機率總和 100。</v>
      </c>
      <c r="G284" t="str">
        <f>計算表!G284</f>
        <v>1=58</v>
      </c>
      <c r="H284" t="str">
        <f>計算表!H284</f>
        <v>2=20</v>
      </c>
      <c r="I284" t="str">
        <f>計算表!I284</f>
        <v>3=10</v>
      </c>
      <c r="J284" t="str">
        <f>計算表!J284</f>
        <v>4=8</v>
      </c>
      <c r="K284" t="str">
        <f>計算表!K284</f>
        <v>5=3.5</v>
      </c>
      <c r="L284" t="str">
        <f>計算表!L284</f>
        <v>6=0.5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x14ac:dyDescent="0.25">
      <c r="A285">
        <f>計算表!A285</f>
        <v>284</v>
      </c>
      <c r="B285">
        <f>計算表!B285</f>
        <v>0</v>
      </c>
      <c r="C285" t="str">
        <f>計算表!C285</f>
        <v>8-寶店刷出階級</v>
      </c>
      <c r="D285" t="str">
        <f>計算表!D285</f>
        <v>商店 Lv.11</v>
      </c>
      <c r="E285" t="str">
        <f>計算表!E285</f>
        <v>寶石階級=機率%（每顆獨立）</v>
      </c>
      <c r="F285" t="str">
        <f>計算表!F285</f>
        <v>格式「階級=機率%」，機率總和 100。</v>
      </c>
      <c r="G285" t="str">
        <f>計算表!G285</f>
        <v>1=57.25</v>
      </c>
      <c r="H285" t="str">
        <f>計算表!H285</f>
        <v>2=20</v>
      </c>
      <c r="I285" t="str">
        <f>計算表!I285</f>
        <v>3=10</v>
      </c>
      <c r="J285" t="str">
        <f>計算表!J285</f>
        <v>4=8</v>
      </c>
      <c r="K285" t="str">
        <f>計算表!K285</f>
        <v>5=4</v>
      </c>
      <c r="L285" t="str">
        <f>計算表!L285</f>
        <v>6=0.75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x14ac:dyDescent="0.25">
      <c r="A286">
        <f>計算表!A286</f>
        <v>285</v>
      </c>
      <c r="B286">
        <f>計算表!B286</f>
        <v>0</v>
      </c>
      <c r="C286" t="str">
        <f>計算表!C286</f>
        <v>8-寶店刷出階級</v>
      </c>
      <c r="D286" t="str">
        <f>計算表!D286</f>
        <v>商店 Lv.12</v>
      </c>
      <c r="E286" t="str">
        <f>計算表!E286</f>
        <v>寶石階級=機率%（每顆獨立）</v>
      </c>
      <c r="F286" t="str">
        <f>計算表!F286</f>
        <v>格式「階級=機率%」，機率總和 100。</v>
      </c>
      <c r="G286" t="str">
        <f>計算表!G286</f>
        <v>1=53.5</v>
      </c>
      <c r="H286" t="str">
        <f>計算表!H286</f>
        <v>2=20</v>
      </c>
      <c r="I286" t="str">
        <f>計算表!I286</f>
        <v>3=12</v>
      </c>
      <c r="J286" t="str">
        <f>計算表!J286</f>
        <v>4=9</v>
      </c>
      <c r="K286" t="str">
        <f>計算表!K286</f>
        <v>5=4.5</v>
      </c>
      <c r="L286" t="str">
        <f>計算表!L286</f>
        <v>6=1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x14ac:dyDescent="0.25">
      <c r="A287">
        <f>計算表!A287</f>
        <v>286</v>
      </c>
      <c r="B287">
        <f>計算表!B287</f>
        <v>0</v>
      </c>
      <c r="C287" t="str">
        <f>計算表!C287</f>
        <v>8-寶店刷出階級</v>
      </c>
      <c r="D287" t="str">
        <f>計算表!D287</f>
        <v>商店 Lv.13</v>
      </c>
      <c r="E287" t="str">
        <f>計算表!E287</f>
        <v>寶石階級=機率%（每顆獨立）</v>
      </c>
      <c r="F287" t="str">
        <f>計算表!F287</f>
        <v>格式「階級=機率%」，機率總和 100。</v>
      </c>
      <c r="G287" t="str">
        <f>計算表!G287</f>
        <v>1=53.25</v>
      </c>
      <c r="H287" t="str">
        <f>計算表!H287</f>
        <v>2=20</v>
      </c>
      <c r="I287" t="str">
        <f>計算表!I287</f>
        <v>3=12</v>
      </c>
      <c r="J287" t="str">
        <f>計算表!J287</f>
        <v>4=9</v>
      </c>
      <c r="K287" t="str">
        <f>計算表!K287</f>
        <v>5=4.5</v>
      </c>
      <c r="L287" t="str">
        <f>計算表!L287</f>
        <v>6=1.25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x14ac:dyDescent="0.25">
      <c r="A288">
        <f>計算表!A288</f>
        <v>287</v>
      </c>
      <c r="B288">
        <f>計算表!B288</f>
        <v>0</v>
      </c>
      <c r="C288" t="str">
        <f>計算表!C288</f>
        <v>8-寶店刷出階級</v>
      </c>
      <c r="D288" t="str">
        <f>計算表!D288</f>
        <v>商店 Lv.14</v>
      </c>
      <c r="E288" t="str">
        <f>計算表!E288</f>
        <v>寶石階級=機率%（每顆獨立）</v>
      </c>
      <c r="F288" t="str">
        <f>計算表!F288</f>
        <v>格式「階級=機率%」，機率總和 100。</v>
      </c>
      <c r="G288" t="str">
        <f>計算表!G288</f>
        <v>1=53</v>
      </c>
      <c r="H288" t="str">
        <f>計算表!H288</f>
        <v>2=20</v>
      </c>
      <c r="I288" t="str">
        <f>計算表!I288</f>
        <v>3=12</v>
      </c>
      <c r="J288" t="str">
        <f>計算表!J288</f>
        <v>4=9</v>
      </c>
      <c r="K288" t="str">
        <f>計算表!K288</f>
        <v>5=4.5</v>
      </c>
      <c r="L288" t="str">
        <f>計算表!L288</f>
        <v>6=1.5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x14ac:dyDescent="0.25">
      <c r="A289">
        <f>計算表!A289</f>
        <v>288</v>
      </c>
      <c r="B289">
        <f>計算表!B289</f>
        <v>0</v>
      </c>
      <c r="C289" t="str">
        <f>計算表!C289</f>
        <v>8-寶店刷出階級</v>
      </c>
      <c r="D289" t="str">
        <f>計算表!D289</f>
        <v>商店 Lv.15</v>
      </c>
      <c r="E289" t="str">
        <f>計算表!E289</f>
        <v>寶石階級=機率%（每顆獨立）</v>
      </c>
      <c r="F289" t="str">
        <f>計算表!F289</f>
        <v>格式「階級=機率%」，機率總和 100。</v>
      </c>
      <c r="G289" t="str">
        <f>計算表!G289</f>
        <v>1=51.5</v>
      </c>
      <c r="H289" t="str">
        <f>計算表!H289</f>
        <v>2=20</v>
      </c>
      <c r="I289" t="str">
        <f>計算表!I289</f>
        <v>3=12</v>
      </c>
      <c r="J289" t="str">
        <f>計算表!J289</f>
        <v>4=10</v>
      </c>
      <c r="K289" t="str">
        <f>計算表!K289</f>
        <v>5=5</v>
      </c>
      <c r="L289" t="str">
        <f>計算表!L289</f>
        <v>6=1</v>
      </c>
      <c r="M289" t="str">
        <f>計算表!M289</f>
        <v>7=0.5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x14ac:dyDescent="0.25">
      <c r="A290">
        <f>計算表!A290</f>
        <v>289</v>
      </c>
      <c r="B290">
        <f>計算表!B290</f>
        <v>0</v>
      </c>
      <c r="C290" t="str">
        <f>計算表!C290</f>
        <v>8-寶店刷出階級</v>
      </c>
      <c r="D290" t="str">
        <f>計算表!D290</f>
        <v>商店 Lv.16</v>
      </c>
      <c r="E290" t="str">
        <f>計算表!E290</f>
        <v>寶石階級=機率%（每顆獨立）</v>
      </c>
      <c r="F290" t="str">
        <f>計算表!F290</f>
        <v>格式「階級=機率%」，機率總和 100。</v>
      </c>
      <c r="G290" t="str">
        <f>計算表!G290</f>
        <v>1=50.75</v>
      </c>
      <c r="H290" t="str">
        <f>計算表!H290</f>
        <v>2=20</v>
      </c>
      <c r="I290" t="str">
        <f>計算表!I290</f>
        <v>3=12</v>
      </c>
      <c r="J290" t="str">
        <f>計算表!J290</f>
        <v>4=10</v>
      </c>
      <c r="K290" t="str">
        <f>計算表!K290</f>
        <v>5=5</v>
      </c>
      <c r="L290" t="str">
        <f>計算表!L290</f>
        <v>6=1.25</v>
      </c>
      <c r="M290" t="str">
        <f>計算表!M290</f>
        <v>7=1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x14ac:dyDescent="0.25">
      <c r="A291">
        <f>計算表!A291</f>
        <v>290</v>
      </c>
      <c r="B291">
        <f>計算表!B291</f>
        <v>0</v>
      </c>
      <c r="C291" t="str">
        <f>計算表!C291</f>
        <v>8-寶店刷出階級</v>
      </c>
      <c r="D291" t="str">
        <f>計算表!D291</f>
        <v>商店 Lv.17</v>
      </c>
      <c r="E291" t="str">
        <f>計算表!E291</f>
        <v>寶石階級=機率%（每顆獨立）</v>
      </c>
      <c r="F291" t="str">
        <f>計算表!F291</f>
        <v>格式「階級=機率%」，機率總和 100。</v>
      </c>
      <c r="G291" t="str">
        <f>計算表!G291</f>
        <v>1=50.5</v>
      </c>
      <c r="H291" t="str">
        <f>計算表!H291</f>
        <v>2=20</v>
      </c>
      <c r="I291" t="str">
        <f>計算表!I291</f>
        <v>3=12</v>
      </c>
      <c r="J291" t="str">
        <f>計算表!J291</f>
        <v>4=10</v>
      </c>
      <c r="K291" t="str">
        <f>計算表!K291</f>
        <v>5=5</v>
      </c>
      <c r="L291" t="str">
        <f>計算表!L291</f>
        <v>6=1.25</v>
      </c>
      <c r="M291" t="str">
        <f>計算表!M291</f>
        <v>7=1.25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x14ac:dyDescent="0.25">
      <c r="A292">
        <f>計算表!A292</f>
        <v>291</v>
      </c>
      <c r="B292">
        <f>計算表!B292</f>
        <v>0</v>
      </c>
      <c r="C292" t="str">
        <f>計算表!C292</f>
        <v>8-寶店刷出階級</v>
      </c>
      <c r="D292" t="str">
        <f>計算表!D292</f>
        <v>商店 Lv.18</v>
      </c>
      <c r="E292" t="str">
        <f>計算表!E292</f>
        <v>寶石階級=機率%（每顆獨立）</v>
      </c>
      <c r="F292" t="str">
        <f>計算表!F292</f>
        <v>格式「階級=機率%」，機率總和 100。</v>
      </c>
      <c r="G292" t="str">
        <f>計算表!G292</f>
        <v>1=50</v>
      </c>
      <c r="H292" t="str">
        <f>計算表!H292</f>
        <v>2=20</v>
      </c>
      <c r="I292" t="str">
        <f>計算表!I292</f>
        <v>3=12</v>
      </c>
      <c r="J292" t="str">
        <f>計算表!J292</f>
        <v>4=10</v>
      </c>
      <c r="K292" t="str">
        <f>計算表!K292</f>
        <v>5=5</v>
      </c>
      <c r="L292" t="str">
        <f>計算表!L292</f>
        <v>6=1.25</v>
      </c>
      <c r="M292" t="str">
        <f>計算表!M292</f>
        <v>7=1.25</v>
      </c>
      <c r="N292" t="str">
        <f>計算表!N292</f>
        <v>8=0.5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x14ac:dyDescent="0.25">
      <c r="A293">
        <f>計算表!A293</f>
        <v>292</v>
      </c>
      <c r="B293">
        <f>計算表!B293</f>
        <v>0</v>
      </c>
      <c r="C293" t="str">
        <f>計算表!C293</f>
        <v>8-寶店刷出階級</v>
      </c>
      <c r="D293" t="str">
        <f>計算表!D293</f>
        <v>商店 Lv.19</v>
      </c>
      <c r="E293" t="str">
        <f>計算表!E293</f>
        <v>寶石階級=機率%（每顆獨立）</v>
      </c>
      <c r="F293" t="str">
        <f>計算表!F293</f>
        <v>格式「階級=機率%」，機率總和 100。</v>
      </c>
      <c r="G293" t="str">
        <f>計算表!G293</f>
        <v>1=49.65</v>
      </c>
      <c r="H293" t="str">
        <f>計算表!H293</f>
        <v>2=20</v>
      </c>
      <c r="I293" t="str">
        <f>計算表!I293</f>
        <v>3=12</v>
      </c>
      <c r="J293" t="str">
        <f>計算表!J293</f>
        <v>4=10</v>
      </c>
      <c r="K293" t="str">
        <f>計算表!K293</f>
        <v>5=5</v>
      </c>
      <c r="L293" t="str">
        <f>計算表!L293</f>
        <v>6=1.25</v>
      </c>
      <c r="M293" t="str">
        <f>計算表!M293</f>
        <v>7=1.25</v>
      </c>
      <c r="N293" t="str">
        <f>計算表!N293</f>
        <v>8=0.75</v>
      </c>
      <c r="O293" t="str">
        <f>計算表!O293</f>
        <v>9=0.1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x14ac:dyDescent="0.25">
      <c r="A294">
        <f>計算表!A294</f>
        <v>293</v>
      </c>
      <c r="B294">
        <f>計算表!B294</f>
        <v>0</v>
      </c>
      <c r="C294" t="str">
        <f>計算表!C294</f>
        <v>8-寶店刷出階級</v>
      </c>
      <c r="D294" t="str">
        <f>計算表!D294</f>
        <v>商店 Lv.20</v>
      </c>
      <c r="E294" t="str">
        <f>計算表!E294</f>
        <v>寶石階級=機率%（每顆獨立）</v>
      </c>
      <c r="F294" t="str">
        <f>計算表!F294</f>
        <v>格式「階級=機率%」，機率總和 100。</v>
      </c>
      <c r="G294" t="str">
        <f>計算表!G294</f>
        <v>1=48.9</v>
      </c>
      <c r="H294" t="str">
        <f>計算表!H294</f>
        <v>2=20</v>
      </c>
      <c r="I294" t="str">
        <f>計算表!I294</f>
        <v>3=12</v>
      </c>
      <c r="J294" t="str">
        <f>計算表!J294</f>
        <v>4=10</v>
      </c>
      <c r="K294" t="str">
        <f>計算表!K294</f>
        <v>5=5</v>
      </c>
      <c r="L294" t="str">
        <f>計算表!L294</f>
        <v>6=1.25</v>
      </c>
      <c r="M294" t="str">
        <f>計算表!M294</f>
        <v>7=1.25</v>
      </c>
      <c r="N294" t="str">
        <f>計算表!N294</f>
        <v>8=1</v>
      </c>
      <c r="O294" t="str">
        <f>計算表!O294</f>
        <v>9=0.5</v>
      </c>
      <c r="P294" t="str">
        <f>計算表!P294</f>
        <v>10=0.1</v>
      </c>
      <c r="Q294">
        <f>計算表!Q294</f>
        <v>0</v>
      </c>
      <c r="R294">
        <f>計算表!R294</f>
        <v>0</v>
      </c>
    </row>
    <row r="295" spans="1:18" x14ac:dyDescent="0.25">
      <c r="A295">
        <f>計算表!A295</f>
        <v>294</v>
      </c>
      <c r="B295">
        <f>計算表!B295</f>
        <v>0</v>
      </c>
      <c r="C295" t="str">
        <f>計算表!C295</f>
        <v>9-技能</v>
      </c>
      <c r="D295" t="str">
        <f>計算表!D295</f>
        <v>技能原始傷害</v>
      </c>
      <c r="E295" t="str">
        <f>計算表!E295</f>
        <v>(base + per×(等級-1))% × 攻擊力</v>
      </c>
      <c r="F295" t="str">
        <f>計算表!F295</f>
        <v>各技能 base/per 見 skills.js 的 SKILLS 表（未納入本表）。</v>
      </c>
      <c r="G295">
        <f>計算表!G295</f>
        <v>0</v>
      </c>
      <c r="H295">
        <f>計算表!H295</f>
        <v>0</v>
      </c>
      <c r="I295">
        <f>計算表!I295</f>
        <v>0</v>
      </c>
      <c r="J295">
        <f>計算表!J295</f>
        <v>0</v>
      </c>
      <c r="K295">
        <f>計算表!K295</f>
        <v>0</v>
      </c>
      <c r="L295">
        <f>計算表!L295</f>
        <v>0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x14ac:dyDescent="0.25">
      <c r="A296">
        <f>計算表!A296</f>
        <v>295</v>
      </c>
      <c r="B296">
        <f>計算表!B296</f>
        <v>0</v>
      </c>
      <c r="C296" t="str">
        <f>計算表!C296</f>
        <v>9-技能</v>
      </c>
      <c r="D296" t="str">
        <f>計算表!D296</f>
        <v>一般技能法力消耗</v>
      </c>
      <c r="E296" t="str">
        <f>計算表!E296</f>
        <v>round(原始消耗 × (1 + a×(技能等級-1)))</v>
      </c>
      <c r="F296" t="str">
        <f>計算表!F296</f>
        <v>非複利。a=每級增幅。</v>
      </c>
      <c r="G296">
        <f>計算表!G296</f>
        <v>0.1</v>
      </c>
      <c r="H296">
        <f>計算表!H296</f>
        <v>0</v>
      </c>
      <c r="I296">
        <f>計算表!I296</f>
        <v>0</v>
      </c>
      <c r="J296">
        <f>計算表!J296</f>
        <v>0</v>
      </c>
      <c r="K296">
        <f>計算表!K296</f>
        <v>0</v>
      </c>
      <c r="L296">
        <f>計算表!L296</f>
        <v>0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x14ac:dyDescent="0.25">
      <c r="A297">
        <f>計算表!A297</f>
        <v>296</v>
      </c>
      <c r="B297">
        <f>計算表!B297</f>
        <v>0</v>
      </c>
      <c r="C297" t="str">
        <f>計算表!C297</f>
        <v>9-技能</v>
      </c>
      <c r="D297" t="str">
        <f>計算表!D297</f>
        <v>多敵人技能傷害</v>
      </c>
      <c r="E297" t="str">
        <f>計算表!E297</f>
        <v>原始傷害 × (1+範圍傷害%) ÷ 目標數</v>
      </c>
      <c r="F297" t="str">
        <f>計算表!F297</f>
        <v>單一目標不套用範圍傷害、也不除以目標數。　※規則寫死：原始傷害×(1+範圍傷害%)÷目標數。</v>
      </c>
      <c r="G297">
        <f>計算表!G297</f>
        <v>0</v>
      </c>
      <c r="H297">
        <f>計算表!H297</f>
        <v>0</v>
      </c>
      <c r="I297">
        <f>計算表!I297</f>
        <v>0</v>
      </c>
      <c r="J297">
        <f>計算表!J297</f>
        <v>0</v>
      </c>
      <c r="K297">
        <f>計算表!K297</f>
        <v>0</v>
      </c>
      <c r="L297">
        <f>計算表!L297</f>
        <v>0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x14ac:dyDescent="0.25">
      <c r="A298">
        <f>計算表!A298</f>
        <v>297</v>
      </c>
      <c r="B298">
        <f>計算表!B298</f>
        <v>0</v>
      </c>
      <c r="C298" t="str">
        <f>計算表!C298</f>
        <v>9-技能</v>
      </c>
      <c r="D298" t="str">
        <f>計算表!D298</f>
        <v>實際冷卻</v>
      </c>
      <c r="E298" t="str">
        <f>計算表!E298</f>
        <v>技能冷卻 × (1 - 冷卻縮減%)</v>
      </c>
      <c r="F298" t="str">
        <f>計算表!F298</f>
        <v>規則寫死：技能CD×(1-冷卻縮減%)。</v>
      </c>
      <c r="G298">
        <f>計算表!G298</f>
        <v>0</v>
      </c>
      <c r="H298">
        <f>計算表!H298</f>
        <v>0</v>
      </c>
      <c r="I298">
        <f>計算表!I298</f>
        <v>0</v>
      </c>
      <c r="J298">
        <f>計算表!J298</f>
        <v>0</v>
      </c>
      <c r="K298">
        <f>計算表!K298</f>
        <v>0</v>
      </c>
      <c r="L298">
        <f>計算表!L298</f>
        <v>0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x14ac:dyDescent="0.25">
      <c r="A299">
        <f>計算表!A299</f>
        <v>298</v>
      </c>
      <c r="B299">
        <f>計算表!B299</f>
        <v>0</v>
      </c>
      <c r="C299" t="str">
        <f>計算表!C299</f>
        <v>9-技能</v>
      </c>
      <c r="D299" t="str">
        <f>計算表!D299</f>
        <v>施放硬直</v>
      </c>
      <c r="E299" t="str">
        <f>計算表!E299</f>
        <v>0 秒</v>
      </c>
      <c r="F299" t="str">
        <f>計算表!F299</f>
        <v>普攻與技能並行；技能施放間隔由技能共用冷卻（GCD）控制。</v>
      </c>
      <c r="G299">
        <f>計算表!G299</f>
        <v>0</v>
      </c>
      <c r="H299">
        <f>計算表!H299</f>
        <v>0</v>
      </c>
      <c r="I299">
        <f>計算表!I299</f>
        <v>0</v>
      </c>
      <c r="J299">
        <f>計算表!J299</f>
        <v>0</v>
      </c>
      <c r="K299">
        <f>計算表!K299</f>
        <v>0</v>
      </c>
      <c r="L299">
        <f>計算表!L299</f>
        <v>0</v>
      </c>
      <c r="M299">
        <f>計算表!M299</f>
        <v>0</v>
      </c>
      <c r="N299">
        <f>計算表!N299</f>
        <v>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x14ac:dyDescent="0.25">
      <c r="A300">
        <f>計算表!A300</f>
        <v>299</v>
      </c>
      <c r="B300">
        <f>計算表!B300</f>
        <v>0</v>
      </c>
      <c r="C300" t="str">
        <f>計算表!C300</f>
        <v>9-技能</v>
      </c>
      <c r="D300" t="str">
        <f>計算表!D300</f>
        <v>技能共用冷卻(GCD)</v>
      </c>
      <c r="E300" t="str">
        <f>計算表!E300</f>
        <v>a 秒（固定，不受冷卻縮減影響）</v>
      </c>
      <c r="F300" t="str">
        <f>計算表!F300</f>
        <v>技能最短施放間隔；普攻擊殺後換目標也沿用此間隔。</v>
      </c>
      <c r="G300">
        <f>計算表!G300</f>
        <v>0.4</v>
      </c>
      <c r="H300">
        <f>計算表!H300</f>
        <v>0</v>
      </c>
      <c r="I300">
        <f>計算表!I300</f>
        <v>0</v>
      </c>
      <c r="J300">
        <f>計算表!J300</f>
        <v>0</v>
      </c>
      <c r="K300">
        <f>計算表!K300</f>
        <v>0</v>
      </c>
      <c r="L300">
        <f>計算表!L300</f>
        <v>0</v>
      </c>
      <c r="M300">
        <f>計算表!M300</f>
        <v>0</v>
      </c>
      <c r="N300">
        <f>計算表!N300</f>
        <v>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x14ac:dyDescent="0.25">
      <c r="A301">
        <f>計算表!A301</f>
        <v>300</v>
      </c>
      <c r="B301">
        <f>計算表!B301</f>
        <v>0</v>
      </c>
      <c r="C301" t="str">
        <f>計算表!C301</f>
        <v>9-技能</v>
      </c>
      <c r="D301" t="str">
        <f>計算表!D301</f>
        <v>升級費用</v>
      </c>
      <c r="E301" t="str">
        <f>計算表!E301</f>
        <v>a×當前等級 + b^(1 + 當前等級/c)</v>
      </c>
      <c r="F301" t="str">
        <f>計算表!F301</f>
        <v>上限 5,000,000；降級全額退還。</v>
      </c>
      <c r="G301">
        <f>計算表!G301</f>
        <v>1000</v>
      </c>
      <c r="H301">
        <f>計算表!H301</f>
        <v>20</v>
      </c>
      <c r="I301">
        <f>計算表!I301</f>
        <v>10</v>
      </c>
      <c r="J301">
        <f>計算表!J301</f>
        <v>0</v>
      </c>
      <c r="K301">
        <f>計算表!K301</f>
        <v>0</v>
      </c>
      <c r="L301">
        <f>計算表!L301</f>
        <v>0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x14ac:dyDescent="0.25">
      <c r="A302">
        <f>計算表!A302</f>
        <v>301</v>
      </c>
      <c r="B302">
        <f>計算表!B302</f>
        <v>0</v>
      </c>
      <c r="C302" t="str">
        <f>計算表!C302</f>
        <v>9-技能</v>
      </c>
      <c r="D302" t="str">
        <f>計算表!D302</f>
        <v>等級上限</v>
      </c>
      <c r="E302" t="str">
        <f>計算表!E302</f>
        <v>全部技能（含被動/融合/潛力）10；轉生後 15</v>
      </c>
      <c r="F302" t="str">
        <f>計算表!F302</f>
        <v>2026-07-30 改制：上限走「轉生對照表」param e；4/8 級里程碑效果移除門檻、自 Lv.1 全附加。</v>
      </c>
      <c r="G302">
        <f>計算表!G302</f>
        <v>0</v>
      </c>
      <c r="H302">
        <f>計算表!H302</f>
        <v>0</v>
      </c>
      <c r="I302">
        <f>計算表!I302</f>
        <v>0</v>
      </c>
      <c r="J302">
        <f>計算表!J302</f>
        <v>0</v>
      </c>
      <c r="K302">
        <f>計算表!K302</f>
        <v>0</v>
      </c>
      <c r="L302">
        <f>計算表!L302</f>
        <v>0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x14ac:dyDescent="0.25">
      <c r="A303">
        <f>計算表!A303</f>
        <v>302</v>
      </c>
      <c r="B303">
        <f>計算表!B303</f>
        <v>0</v>
      </c>
      <c r="C303" t="str">
        <f>計算表!C303</f>
        <v>9-技能</v>
      </c>
      <c r="D303" t="str">
        <f>計算表!D303</f>
        <v>奧術衝擊(基礎技能)</v>
      </c>
      <c r="E303" t="str">
        <f>計算表!E303</f>
        <v>MP a／冷卻 b 秒／施法 c 秒／魔攻×d＋物攻×e</v>
      </c>
      <c r="F303" t="str">
        <f>計算表!F303</f>
        <v>固定自動施放技能常數。</v>
      </c>
      <c r="G303">
        <f>計算表!G303</f>
        <v>30</v>
      </c>
      <c r="H303">
        <f>計算表!H303</f>
        <v>10</v>
      </c>
      <c r="I303">
        <f>計算表!I303</f>
        <v>0.8</v>
      </c>
      <c r="J303">
        <f>計算表!J303</f>
        <v>1.5</v>
      </c>
      <c r="K303">
        <f>計算表!K303</f>
        <v>0.3</v>
      </c>
      <c r="L303">
        <f>計算表!L303</f>
        <v>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x14ac:dyDescent="0.25">
      <c r="A304">
        <f>計算表!A304</f>
        <v>303</v>
      </c>
      <c r="B304">
        <f>計算表!B304</f>
        <v>0</v>
      </c>
      <c r="C304" t="str">
        <f>計算表!C304</f>
        <v>9-融合</v>
      </c>
      <c r="D304" t="str">
        <f>計算表!D304</f>
        <v>素材繼承比例</v>
      </c>
      <c r="E304" t="str">
        <f>計算表!E304</f>
        <v>各素材 base/per × a 後加總</v>
      </c>
      <c r="F304" t="str">
        <f>計算表!F304</f>
        <v>2026-07-30 種子演算法後不再使用（FUSE_FACTOR 僅保留相容）；新演算法見「攻擊力四檔」等新列。</v>
      </c>
      <c r="G304">
        <f>計算表!G304</f>
        <v>0.75</v>
      </c>
      <c r="H304">
        <f>計算表!H304</f>
        <v>0</v>
      </c>
      <c r="I304">
        <f>計算表!I304</f>
        <v>0</v>
      </c>
      <c r="J304">
        <f>計算表!J304</f>
        <v>0</v>
      </c>
      <c r="K304">
        <f>計算表!K304</f>
        <v>0</v>
      </c>
      <c r="L304">
        <f>計算表!L304</f>
        <v>0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x14ac:dyDescent="0.25">
      <c r="A305">
        <f>計算表!A305</f>
        <v>304</v>
      </c>
      <c r="B305">
        <f>計算表!B305</f>
        <v>0</v>
      </c>
      <c r="C305" t="str">
        <f>計算表!C305</f>
        <v>9-融合</v>
      </c>
      <c r="D305" t="str">
        <f>計算表!D305</f>
        <v>融合冷卻</v>
      </c>
      <c r="E305" t="str">
        <f>計算表!E305</f>
        <v>素材最長冷卻 × a</v>
      </c>
      <c r="F305">
        <f>計算表!F305</f>
        <v>0</v>
      </c>
      <c r="G305">
        <f>計算表!G305</f>
        <v>1.25</v>
      </c>
      <c r="H305">
        <f>計算表!H305</f>
        <v>0</v>
      </c>
      <c r="I305">
        <f>計算表!I305</f>
        <v>0</v>
      </c>
      <c r="J305">
        <f>計算表!J305</f>
        <v>0</v>
      </c>
      <c r="K305">
        <f>計算表!K305</f>
        <v>0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x14ac:dyDescent="0.25">
      <c r="A306">
        <f>計算表!A306</f>
        <v>305</v>
      </c>
      <c r="B306">
        <f>計算表!B306</f>
        <v>0</v>
      </c>
      <c r="C306" t="str">
        <f>計算表!C306</f>
        <v>9-融合</v>
      </c>
      <c r="D306" t="str">
        <f>計算表!D306</f>
        <v>變異觸發率</v>
      </c>
      <c r="E306" t="str">
        <f>計算表!E306</f>
        <v>a%</v>
      </c>
      <c r="F306" t="str">
        <f>計算表!F306</f>
        <v>8 種變異，至多 1 種。b 不再使用。</v>
      </c>
      <c r="G306">
        <f>計算表!G306</f>
        <v>45</v>
      </c>
      <c r="H306">
        <f>計算表!H306</f>
        <v>0</v>
      </c>
      <c r="I306">
        <f>計算表!I306</f>
        <v>0</v>
      </c>
      <c r="J306">
        <f>計算表!J306</f>
        <v>0</v>
      </c>
      <c r="K306">
        <f>計算表!K306</f>
        <v>0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x14ac:dyDescent="0.25">
      <c r="A307">
        <f>計算表!A307</f>
        <v>306</v>
      </c>
      <c r="B307">
        <f>計算表!B307</f>
        <v>0</v>
      </c>
      <c r="C307" t="str">
        <f>計算表!C307</f>
        <v>9-融合</v>
      </c>
      <c r="D307" t="str">
        <f>計算表!D307</f>
        <v>DoT/控場/增益合併</v>
      </c>
      <c r="E307" t="str">
        <f>計算表!E307</f>
        <v>（種子演算法）buff/debuff 依鐘形權重取 1~N 個；數值於上限一半~上限均分 4 檔隨機</v>
      </c>
      <c r="F307" t="str">
        <f>計算表!F307</f>
        <v>2026-07-30 改制：舊合併規則廢止。增益/減益池=素材滿級效果同 key 取高；特效整包取 1 個素材（見「效果融合機率」）。</v>
      </c>
      <c r="G307">
        <f>計算表!G307</f>
        <v>0</v>
      </c>
      <c r="H307">
        <f>計算表!H307</f>
        <v>0</v>
      </c>
      <c r="I307">
        <f>計算表!I307</f>
        <v>0</v>
      </c>
      <c r="J307">
        <f>計算表!J307</f>
        <v>0</v>
      </c>
      <c r="K307">
        <f>計算表!K307</f>
        <v>0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x14ac:dyDescent="0.25">
      <c r="A308">
        <f>計算表!A308</f>
        <v>307</v>
      </c>
      <c r="B308">
        <f>計算表!B308</f>
        <v>0</v>
      </c>
      <c r="C308" t="str">
        <f>計算表!C308</f>
        <v>9-融合</v>
      </c>
      <c r="D308" t="str">
        <f>計算表!D308</f>
        <v>融合技能法力消耗</v>
      </c>
      <c r="E308" t="str">
        <f>計算表!E308</f>
        <v>round(素材原始消耗總和 × (1 + a×(融合技等級-1)))</v>
      </c>
      <c r="F308" t="str">
        <f>計算表!F308</f>
        <v>與「9-技能/一般技能法力消耗」共用公式，本列不生效。融合技法力=素材原始消耗總和。</v>
      </c>
      <c r="G308">
        <f>計算表!G308</f>
        <v>0.1</v>
      </c>
      <c r="H308">
        <f>計算表!H308</f>
        <v>0</v>
      </c>
      <c r="I308">
        <f>計算表!I308</f>
        <v>0</v>
      </c>
      <c r="J308">
        <f>計算表!J308</f>
        <v>0</v>
      </c>
      <c r="K308">
        <f>計算表!K308</f>
        <v>0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x14ac:dyDescent="0.25">
      <c r="A309">
        <f>計算表!A309</f>
        <v>308</v>
      </c>
      <c r="B309">
        <f>計算表!B309</f>
        <v>0</v>
      </c>
      <c r="C309" t="str">
        <f>計算表!C309</f>
        <v>10-離線</v>
      </c>
      <c r="D309" t="str">
        <f>計算表!D309</f>
        <v>有效離線時間</v>
      </c>
      <c r="E309" t="str">
        <f>計算表!E309</f>
        <v>min(實際離線秒數, a 小時)</v>
      </c>
      <c r="F309" t="str">
        <f>計算表!F309</f>
        <v>1 分鐘內不計。</v>
      </c>
      <c r="G309">
        <f>計算表!G309</f>
        <v>24</v>
      </c>
      <c r="H309">
        <f>計算表!H309</f>
        <v>0</v>
      </c>
      <c r="I309">
        <f>計算表!I309</f>
        <v>0</v>
      </c>
      <c r="J309">
        <f>計算表!J309</f>
        <v>0</v>
      </c>
      <c r="K309">
        <f>計算表!K309</f>
        <v>0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x14ac:dyDescent="0.25">
      <c r="A310">
        <f>計算表!A310</f>
        <v>309</v>
      </c>
      <c r="B310">
        <f>計算表!B310</f>
        <v>0</v>
      </c>
      <c r="C310" t="str">
        <f>計算表!C310</f>
        <v>10-離線</v>
      </c>
      <c r="D310" t="str">
        <f>計算表!D310</f>
        <v>計算等級</v>
      </c>
      <c r="E310" t="str">
        <f>計算表!E310</f>
        <v>捨去((目前地圖最高階段 - a) ÷ 10) × 10（下限 1）</v>
      </c>
      <c r="F310" t="str">
        <f>計算表!F310</f>
        <v>a=等級扣減；以此等級的當前場景菁英怪計算離線收益（例：沼澤最高 256 → 246 捨去個位數 → 240 級沼澤菁英）。</v>
      </c>
      <c r="G310">
        <f>計算表!G310</f>
        <v>10</v>
      </c>
      <c r="H310">
        <f>計算表!H310</f>
        <v>0</v>
      </c>
      <c r="I310">
        <f>計算表!I310</f>
        <v>0</v>
      </c>
      <c r="J310">
        <f>計算表!J310</f>
        <v>0</v>
      </c>
      <c r="K310">
        <f>計算表!K310</f>
        <v>0</v>
      </c>
      <c r="L310">
        <f>計算表!L310</f>
        <v>0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x14ac:dyDescent="0.25">
      <c r="A311">
        <f>計算表!A311</f>
        <v>310</v>
      </c>
      <c r="B311">
        <f>計算表!B311</f>
        <v>0</v>
      </c>
      <c r="C311" t="str">
        <f>計算表!C311</f>
        <v>10-離線</v>
      </c>
      <c r="D311" t="str">
        <f>計算表!D311</f>
        <v>擊殺速率</v>
      </c>
      <c r="E311" t="str">
        <f>計算表!E311</f>
        <v>每 a 秒擊殺 1 隻菁英怪</v>
      </c>
      <c r="F311" t="str">
        <f>計算表!F311</f>
        <v>a=擊殺間隔秒數；擊殺數 = ⌊有效離線秒數 ÷ a⌋，每隻菁英怪及其掉落單獨擲骰。</v>
      </c>
      <c r="G311">
        <f>計算表!G311</f>
        <v>20</v>
      </c>
      <c r="H311">
        <f>計算表!H311</f>
        <v>0</v>
      </c>
      <c r="I311">
        <f>計算表!I311</f>
        <v>0</v>
      </c>
      <c r="J311">
        <f>計算表!J311</f>
        <v>0</v>
      </c>
      <c r="K311">
        <f>計算表!K311</f>
        <v>0</v>
      </c>
      <c r="L311">
        <f>計算表!L311</f>
        <v>0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x14ac:dyDescent="0.25">
      <c r="A312">
        <f>計算表!A312</f>
        <v>311</v>
      </c>
      <c r="B312">
        <f>計算表!B312</f>
        <v>0</v>
      </c>
      <c r="C312" t="str">
        <f>計算表!C312</f>
        <v>表-稀有度</v>
      </c>
      <c r="D312" t="str">
        <f>計算表!D312</f>
        <v>普通</v>
      </c>
      <c r="E312" t="str">
        <f>計算表!E312</f>
        <v>（查表）</v>
      </c>
      <c r="F312" t="str">
        <f>計算表!F312</f>
        <v>a=詞條數值倍率 b=詞條數下限 c=詞條數上限 d=寶石插槽 e=附魔欄位 f=分解係數。</v>
      </c>
      <c r="G312">
        <f>計算表!G312</f>
        <v>1</v>
      </c>
      <c r="H312">
        <f>計算表!H312</f>
        <v>1</v>
      </c>
      <c r="I312">
        <f>計算表!I312</f>
        <v>1</v>
      </c>
      <c r="J312">
        <f>計算表!J312</f>
        <v>1</v>
      </c>
      <c r="K312">
        <f>計算表!K312</f>
        <v>0</v>
      </c>
      <c r="L312">
        <f>計算表!L312</f>
        <v>1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x14ac:dyDescent="0.25">
      <c r="A313">
        <f>計算表!A313</f>
        <v>312</v>
      </c>
      <c r="B313">
        <f>計算表!B313</f>
        <v>0</v>
      </c>
      <c r="C313" t="str">
        <f>計算表!C313</f>
        <v>表-稀有度</v>
      </c>
      <c r="D313" t="str">
        <f>計算表!D313</f>
        <v>精良</v>
      </c>
      <c r="E313" t="str">
        <f>計算表!E313</f>
        <v>（查表）</v>
      </c>
      <c r="F313" t="str">
        <f>計算表!F313</f>
        <v>a=詞條數值倍率 b=詞條數下限 c=詞條數上限 d=寶石插槽 e=附魔欄位 f=分解係數。</v>
      </c>
      <c r="G313">
        <f>計算表!G313</f>
        <v>1.35</v>
      </c>
      <c r="H313">
        <f>計算表!H313</f>
        <v>2</v>
      </c>
      <c r="I313">
        <f>計算表!I313</f>
        <v>2</v>
      </c>
      <c r="J313">
        <f>計算表!J313</f>
        <v>1</v>
      </c>
      <c r="K313">
        <f>計算表!K313</f>
        <v>1</v>
      </c>
      <c r="L313">
        <f>計算表!L313</f>
        <v>1.7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x14ac:dyDescent="0.25">
      <c r="A314">
        <f>計算表!A314</f>
        <v>313</v>
      </c>
      <c r="B314">
        <f>計算表!B314</f>
        <v>0</v>
      </c>
      <c r="C314" t="str">
        <f>計算表!C314</f>
        <v>表-稀有度</v>
      </c>
      <c r="D314" t="str">
        <f>計算表!D314</f>
        <v>稀有</v>
      </c>
      <c r="E314" t="str">
        <f>計算表!E314</f>
        <v>（查表）</v>
      </c>
      <c r="F314" t="str">
        <f>計算表!F314</f>
        <v>a=詞條數值倍率 b=詞條數下限 c=詞條數上限 d=寶石插槽 e=附魔欄位 f=分解係數。</v>
      </c>
      <c r="G314">
        <f>計算表!G314</f>
        <v>1.75</v>
      </c>
      <c r="H314">
        <f>計算表!H314</f>
        <v>2</v>
      </c>
      <c r="I314">
        <f>計算表!I314</f>
        <v>2</v>
      </c>
      <c r="J314">
        <f>計算表!J314</f>
        <v>1</v>
      </c>
      <c r="K314">
        <f>計算表!K314</f>
        <v>1</v>
      </c>
      <c r="L314">
        <f>計算表!L314</f>
        <v>2.8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x14ac:dyDescent="0.25">
      <c r="A315">
        <f>計算表!A315</f>
        <v>314</v>
      </c>
      <c r="B315">
        <f>計算表!B315</f>
        <v>0</v>
      </c>
      <c r="C315" t="str">
        <f>計算表!C315</f>
        <v>表-稀有度</v>
      </c>
      <c r="D315" t="str">
        <f>計算表!D315</f>
        <v>獨特</v>
      </c>
      <c r="E315" t="str">
        <f>計算表!E315</f>
        <v>（查表）</v>
      </c>
      <c r="F315" t="str">
        <f>計算表!F315</f>
        <v>a=詞條數值倍率 b=詞條數下限 c=詞條數上限 d=寶石插槽 e=附魔欄位 f=分解係數。</v>
      </c>
      <c r="G315">
        <f>計算表!G315</f>
        <v>2.2999999999999998</v>
      </c>
      <c r="H315">
        <f>計算表!H315</f>
        <v>3</v>
      </c>
      <c r="I315">
        <f>計算表!I315</f>
        <v>3</v>
      </c>
      <c r="J315">
        <f>計算表!J315</f>
        <v>2</v>
      </c>
      <c r="K315">
        <f>計算表!K315</f>
        <v>1</v>
      </c>
      <c r="L315">
        <f>計算表!L315</f>
        <v>4.5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x14ac:dyDescent="0.25">
      <c r="A316">
        <f>計算表!A316</f>
        <v>315</v>
      </c>
      <c r="B316">
        <f>計算表!B316</f>
        <v>0</v>
      </c>
      <c r="C316" t="str">
        <f>計算表!C316</f>
        <v>表-稀有度</v>
      </c>
      <c r="D316" t="str">
        <f>計算表!D316</f>
        <v>史詩</v>
      </c>
      <c r="E316" t="str">
        <f>計算表!E316</f>
        <v>（查表）</v>
      </c>
      <c r="F316" t="str">
        <f>計算表!F316</f>
        <v>a=詞條數值倍率 b=詞條數下限 c=詞條數上限 d=寶石插槽 e=附魔欄位 f=分解係數。</v>
      </c>
      <c r="G316">
        <f>計算表!G316</f>
        <v>3</v>
      </c>
      <c r="H316">
        <f>計算表!H316</f>
        <v>4</v>
      </c>
      <c r="I316">
        <f>計算表!I316</f>
        <v>4</v>
      </c>
      <c r="J316">
        <f>計算表!J316</f>
        <v>3</v>
      </c>
      <c r="K316">
        <f>計算表!K316</f>
        <v>2</v>
      </c>
      <c r="L316">
        <f>計算表!L316</f>
        <v>7.5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x14ac:dyDescent="0.25">
      <c r="A317">
        <f>計算表!A317</f>
        <v>316</v>
      </c>
      <c r="B317">
        <f>計算表!B317</f>
        <v>0</v>
      </c>
      <c r="C317" t="str">
        <f>計算表!C317</f>
        <v>表-稀有度</v>
      </c>
      <c r="D317" t="str">
        <f>計算表!D317</f>
        <v>傳說</v>
      </c>
      <c r="E317" t="str">
        <f>計算表!E317</f>
        <v>（查表）</v>
      </c>
      <c r="F317" t="str">
        <f>計算表!F317</f>
        <v>a=詞條數值倍率 b=詞條數下限 c=詞條數上限 d=寶石插槽 e=附魔欄位 f=分解係數。</v>
      </c>
      <c r="G317">
        <f>計算表!G317</f>
        <v>4</v>
      </c>
      <c r="H317">
        <f>計算表!H317</f>
        <v>5</v>
      </c>
      <c r="I317">
        <f>計算表!I317</f>
        <v>5</v>
      </c>
      <c r="J317">
        <f>計算表!J317</f>
        <v>4</v>
      </c>
      <c r="K317">
        <f>計算表!K317</f>
        <v>2</v>
      </c>
      <c r="L317">
        <f>計算表!L317</f>
        <v>12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x14ac:dyDescent="0.25">
      <c r="A318">
        <f>計算表!A318</f>
        <v>317</v>
      </c>
      <c r="B318">
        <f>計算表!B318</f>
        <v>0</v>
      </c>
      <c r="C318" t="str">
        <f>計算表!C318</f>
        <v>表-稀有度</v>
      </c>
      <c r="D318" t="str">
        <f>計算表!D318</f>
        <v>神話</v>
      </c>
      <c r="E318" t="str">
        <f>計算表!E318</f>
        <v>（查表）</v>
      </c>
      <c r="F318" t="str">
        <f>計算表!F318</f>
        <v>a=詞條數值倍率 b=詞條數下限 c=詞條數上限 d=寶石插槽 e=附魔欄位 f=分解係數。</v>
      </c>
      <c r="G318">
        <f>計算表!G318</f>
        <v>5.2</v>
      </c>
      <c r="H318">
        <f>計算表!H318</f>
        <v>6</v>
      </c>
      <c r="I318">
        <f>計算表!I318</f>
        <v>6</v>
      </c>
      <c r="J318">
        <f>計算表!J318</f>
        <v>5</v>
      </c>
      <c r="K318">
        <f>計算表!K318</f>
        <v>2</v>
      </c>
      <c r="L318">
        <f>計算表!L318</f>
        <v>19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x14ac:dyDescent="0.25">
      <c r="A319">
        <f>計算表!A319</f>
        <v>318</v>
      </c>
      <c r="B319">
        <f>計算表!B319</f>
        <v>0</v>
      </c>
      <c r="C319" t="str">
        <f>計算表!C319</f>
        <v>表-稀有度</v>
      </c>
      <c r="D319" t="str">
        <f>計算表!D319</f>
        <v>創世</v>
      </c>
      <c r="E319" t="str">
        <f>計算表!E319</f>
        <v>（查表）</v>
      </c>
      <c r="F319" t="str">
        <f>計算表!F319</f>
        <v>a=詞條數值倍率 b=詞條數下限 c=詞條數上限 d=寶石插槽 e=附魔欄位 f=分解係數。</v>
      </c>
      <c r="G319">
        <f>計算表!G319</f>
        <v>6.8</v>
      </c>
      <c r="H319">
        <f>計算表!H319</f>
        <v>7</v>
      </c>
      <c r="I319">
        <f>計算表!I319</f>
        <v>7</v>
      </c>
      <c r="J319">
        <f>計算表!J319</f>
        <v>6</v>
      </c>
      <c r="K319">
        <f>計算表!K319</f>
        <v>3</v>
      </c>
      <c r="L319">
        <f>計算表!L319</f>
        <v>30</v>
      </c>
      <c r="M319">
        <f>計算表!M319</f>
        <v>0</v>
      </c>
      <c r="N319">
        <f>計算表!N319</f>
        <v>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x14ac:dyDescent="0.25">
      <c r="A320">
        <f>計算表!A320</f>
        <v>319</v>
      </c>
      <c r="B320">
        <f>計算表!B320</f>
        <v>0</v>
      </c>
      <c r="C320" t="str">
        <f>計算表!C320</f>
        <v>表-稀有度</v>
      </c>
      <c r="D320" t="str">
        <f>計算表!D320</f>
        <v>神鑄創世</v>
      </c>
      <c r="E320" t="str">
        <f>計算表!E320</f>
        <v>（查表）</v>
      </c>
      <c r="F320" t="str">
        <f>計算表!F320</f>
        <v>a=詞條數值倍率 b=詞條數下限 c=詞條數上限 d=寶石插槽 e=附魔欄位 f=分解係數。</v>
      </c>
      <c r="G320">
        <f>計算表!G320</f>
        <v>10.199999999999999</v>
      </c>
      <c r="H320">
        <f>計算表!H320</f>
        <v>8</v>
      </c>
      <c r="I320">
        <f>計算表!I320</f>
        <v>8</v>
      </c>
      <c r="J320">
        <f>計算表!J320</f>
        <v>6</v>
      </c>
      <c r="K320">
        <f>計算表!K320</f>
        <v>3</v>
      </c>
      <c r="L320">
        <f>計算表!L320</f>
        <v>45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x14ac:dyDescent="0.25">
      <c r="A321">
        <f>計算表!A321</f>
        <v>320</v>
      </c>
      <c r="B321">
        <f>計算表!B321</f>
        <v>0</v>
      </c>
      <c r="C321" t="str">
        <f>計算表!C321</f>
        <v>表-自動機組零件</v>
      </c>
      <c r="D321" t="str">
        <f>計算表!D321</f>
        <v>加速齒輪</v>
      </c>
      <c r="E321" t="str">
        <f>計算表!E321</f>
        <v>效果值 = a × 階級(T1~T7)</v>
      </c>
      <c r="F321" t="str">
        <f>計算表!F321</f>
        <v>節點=b。分解速度 +v%/階（另固定+50 個百分點）（掉寶類零件效果實際×0.5）。</v>
      </c>
      <c r="G321">
        <f>計算表!G321</f>
        <v>25</v>
      </c>
      <c r="H321" t="str">
        <f>計算表!H321</f>
        <v>salvage</v>
      </c>
      <c r="I321">
        <f>計算表!I321</f>
        <v>0</v>
      </c>
      <c r="J321">
        <f>計算表!J321</f>
        <v>0</v>
      </c>
      <c r="K321">
        <f>計算表!K321</f>
        <v>0</v>
      </c>
      <c r="L321">
        <f>計算表!L321</f>
        <v>0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x14ac:dyDescent="0.25">
      <c r="A322">
        <f>計算表!A322</f>
        <v>321</v>
      </c>
      <c r="B322">
        <f>計算表!B322</f>
        <v>0</v>
      </c>
      <c r="C322" t="str">
        <f>計算表!C322</f>
        <v>表-自動機組零件</v>
      </c>
      <c r="D322" t="str">
        <f>計算表!D322</f>
        <v>碎片熔煉爐</v>
      </c>
      <c r="E322" t="str">
        <f>計算表!E322</f>
        <v>效果值 = a × 階級(T1~T7)</v>
      </c>
      <c r="F322" t="str">
        <f>計算表!F322</f>
        <v>節點=b。分解碎片產量 +v%/階（掉寶類零件效果實際×0.5）。</v>
      </c>
      <c r="G322">
        <f>計算表!G322</f>
        <v>20</v>
      </c>
      <c r="H322" t="str">
        <f>計算表!H322</f>
        <v>salvage</v>
      </c>
      <c r="I322">
        <f>計算表!I322</f>
        <v>0</v>
      </c>
      <c r="J322">
        <f>計算表!J322</f>
        <v>0</v>
      </c>
      <c r="K322">
        <f>計算表!K322</f>
        <v>0</v>
      </c>
      <c r="L322">
        <f>計算表!L322</f>
        <v>0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x14ac:dyDescent="0.25">
      <c r="A323">
        <f>計算表!A323</f>
        <v>322</v>
      </c>
      <c r="B323">
        <f>計算表!B323</f>
        <v>0</v>
      </c>
      <c r="C323" t="str">
        <f>計算表!C323</f>
        <v>表-自動機組零件</v>
      </c>
      <c r="D323" t="str">
        <f>計算表!D323</f>
        <v>淘金濾網</v>
      </c>
      <c r="E323" t="str">
        <f>計算表!E323</f>
        <v>效果值 = a × 階級(T1~T7)</v>
      </c>
      <c r="F323" t="str">
        <f>計算表!F323</f>
        <v>節點=b。分解金幣產量 +v%/階（掉寶類零件效果實際×0.5）。</v>
      </c>
      <c r="G323">
        <f>計算表!G323</f>
        <v>25</v>
      </c>
      <c r="H323" t="str">
        <f>計算表!H323</f>
        <v>salvage</v>
      </c>
      <c r="I323">
        <f>計算表!I323</f>
        <v>0</v>
      </c>
      <c r="J323">
        <f>計算表!J323</f>
        <v>0</v>
      </c>
      <c r="K323">
        <f>計算表!K323</f>
        <v>0</v>
      </c>
      <c r="L323">
        <f>計算表!L323</f>
        <v>0</v>
      </c>
      <c r="M323">
        <f>計算表!M323</f>
        <v>0</v>
      </c>
      <c r="N323">
        <f>計算表!N323</f>
        <v>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  <row r="324" spans="1:18" x14ac:dyDescent="0.25">
      <c r="A324">
        <f>計算表!A324</f>
        <v>323</v>
      </c>
      <c r="B324">
        <f>計算表!B324</f>
        <v>0</v>
      </c>
      <c r="C324" t="str">
        <f>計算表!C324</f>
        <v>表-自動機組零件</v>
      </c>
      <c r="D324" t="str">
        <f>計算表!D324</f>
        <v>精粹透鏡</v>
      </c>
      <c r="E324" t="str">
        <f>計算表!E324</f>
        <v>效果值 = a × 階級(T1~T7)</v>
      </c>
      <c r="F324" t="str">
        <f>計算表!F324</f>
        <v>節點=b。附魔精華拆解產出率 +v%/階（掉寶類零件效果實際×0.5）。</v>
      </c>
      <c r="G324">
        <f>計算表!G324</f>
        <v>20</v>
      </c>
      <c r="H324" t="str">
        <f>計算表!H324</f>
        <v>salvage</v>
      </c>
      <c r="I324">
        <f>計算表!I324</f>
        <v>0</v>
      </c>
      <c r="J324">
        <f>計算表!J324</f>
        <v>0</v>
      </c>
      <c r="K324">
        <f>計算表!K324</f>
        <v>0</v>
      </c>
      <c r="L324">
        <f>計算表!L324</f>
        <v>0</v>
      </c>
      <c r="M324">
        <f>計算表!M324</f>
        <v>0</v>
      </c>
      <c r="N324">
        <f>計算表!N324</f>
        <v>0</v>
      </c>
      <c r="O324">
        <f>計算表!O324</f>
        <v>0</v>
      </c>
      <c r="P324">
        <f>計算表!P324</f>
        <v>0</v>
      </c>
      <c r="Q324">
        <f>計算表!Q324</f>
        <v>0</v>
      </c>
      <c r="R324">
        <f>計算表!R324</f>
        <v>0</v>
      </c>
    </row>
    <row r="325" spans="1:18" x14ac:dyDescent="0.25">
      <c r="A325">
        <f>計算表!A325</f>
        <v>324</v>
      </c>
      <c r="B325">
        <f>計算表!B325</f>
        <v>0</v>
      </c>
      <c r="C325" t="str">
        <f>計算表!C325</f>
        <v>表-自動機組零件</v>
      </c>
      <c r="D325" t="str">
        <f>計算表!D325</f>
        <v>拓本回收臂</v>
      </c>
      <c r="E325" t="str">
        <f>計算表!E325</f>
        <v>效果值 = a × 階級(T1~T7)</v>
      </c>
      <c r="F325" t="str">
        <f>計算表!F325</f>
        <v>節點=b。分解 v%/階 機率回收 1 本附魔書（掉寶類零件效果實際×0.5）。</v>
      </c>
      <c r="G325">
        <f>計算表!G325</f>
        <v>0.4</v>
      </c>
      <c r="H325" t="str">
        <f>計算表!H325</f>
        <v>salvage</v>
      </c>
      <c r="I325">
        <f>計算表!I325</f>
        <v>0</v>
      </c>
      <c r="J325">
        <f>計算表!J325</f>
        <v>0</v>
      </c>
      <c r="K325">
        <f>計算表!K325</f>
        <v>0</v>
      </c>
      <c r="L325">
        <f>計算表!L325</f>
        <v>0</v>
      </c>
      <c r="M325">
        <f>計算表!M325</f>
        <v>0</v>
      </c>
      <c r="N325">
        <f>計算表!N325</f>
        <v>0</v>
      </c>
      <c r="O325">
        <f>計算表!O325</f>
        <v>0</v>
      </c>
      <c r="P325">
        <f>計算表!P325</f>
        <v>0</v>
      </c>
      <c r="Q325">
        <f>計算表!Q325</f>
        <v>0</v>
      </c>
      <c r="R325">
        <f>計算表!R325</f>
        <v>0</v>
      </c>
    </row>
    <row r="326" spans="1:18" x14ac:dyDescent="0.25">
      <c r="A326">
        <f>計算表!A326</f>
        <v>325</v>
      </c>
      <c r="B326">
        <f>計算表!B326</f>
        <v>0</v>
      </c>
      <c r="C326" t="str">
        <f>計算表!C326</f>
        <v>表-自動機組零件</v>
      </c>
      <c r="D326" t="str">
        <f>計算表!D326</f>
        <v>複製處理艙</v>
      </c>
      <c r="E326" t="str">
        <f>計算表!E326</f>
        <v>效果值 = a × 階級(T1~T7)</v>
      </c>
      <c r="F326" t="str">
        <f>計算表!F326</f>
        <v>節點=b。分解 v%/階 機率碎片+金幣翻倍（掉寶類零件效果實際×0.5）。</v>
      </c>
      <c r="G326">
        <f>計算表!G326</f>
        <v>3</v>
      </c>
      <c r="H326" t="str">
        <f>計算表!H326</f>
        <v>salvage</v>
      </c>
      <c r="I326">
        <f>計算表!I326</f>
        <v>0</v>
      </c>
      <c r="J326">
        <f>計算表!J326</f>
        <v>0</v>
      </c>
      <c r="K326">
        <f>計算表!K326</f>
        <v>0</v>
      </c>
      <c r="L326">
        <f>計算表!L326</f>
        <v>0</v>
      </c>
      <c r="M326">
        <f>計算表!M326</f>
        <v>0</v>
      </c>
      <c r="N326">
        <f>計算表!N326</f>
        <v>0</v>
      </c>
      <c r="O326">
        <f>計算表!O326</f>
        <v>0</v>
      </c>
      <c r="P326">
        <f>計算表!P326</f>
        <v>0</v>
      </c>
      <c r="Q326">
        <f>計算表!Q326</f>
        <v>0</v>
      </c>
      <c r="R326">
        <f>計算表!R326</f>
        <v>0</v>
      </c>
    </row>
    <row r="327" spans="1:18" x14ac:dyDescent="0.25">
      <c r="A327">
        <f>計算表!A327</f>
        <v>326</v>
      </c>
      <c r="B327">
        <f>計算表!B327</f>
        <v>0</v>
      </c>
      <c r="C327" t="str">
        <f>計算表!C327</f>
        <v>表-自動機組零件</v>
      </c>
      <c r="D327" t="str">
        <f>計算表!D327</f>
        <v>知識回收器</v>
      </c>
      <c r="E327" t="str">
        <f>計算表!E327</f>
        <v>效果值 = a × 階級(T1~T7)</v>
      </c>
      <c r="F327" t="str">
        <f>計算表!F327</f>
        <v>節點=b。分解 v%/階 機率獲得經驗(裝備等級×25)（掉寶類零件效果實際×0.5）。</v>
      </c>
      <c r="G327">
        <f>計算表!G327</f>
        <v>1.5</v>
      </c>
      <c r="H327" t="str">
        <f>計算表!H327</f>
        <v>salvage</v>
      </c>
      <c r="I327">
        <f>計算表!I327</f>
        <v>0</v>
      </c>
      <c r="J327">
        <f>計算表!J327</f>
        <v>0</v>
      </c>
      <c r="K327">
        <f>計算表!K327</f>
        <v>0</v>
      </c>
      <c r="L327">
        <f>計算表!L327</f>
        <v>0</v>
      </c>
      <c r="M327">
        <f>計算表!M327</f>
        <v>0</v>
      </c>
      <c r="N327">
        <f>計算表!N327</f>
        <v>0</v>
      </c>
      <c r="O327">
        <f>計算表!O327</f>
        <v>0</v>
      </c>
      <c r="P327">
        <f>計算表!P327</f>
        <v>0</v>
      </c>
      <c r="Q327">
        <f>計算表!Q327</f>
        <v>0</v>
      </c>
      <c r="R327">
        <f>計算表!R327</f>
        <v>0</v>
      </c>
    </row>
    <row r="328" spans="1:18" x14ac:dyDescent="0.25">
      <c r="A328">
        <f>計算表!A328</f>
        <v>327</v>
      </c>
      <c r="B328">
        <f>計算表!B328</f>
        <v>0</v>
      </c>
      <c r="C328" t="str">
        <f>計算表!C328</f>
        <v>表-自動機組零件</v>
      </c>
      <c r="D328" t="str">
        <f>計算表!D328</f>
        <v>探礦核心</v>
      </c>
      <c r="E328" t="str">
        <f>計算表!E328</f>
        <v>效果值 = a × 階級(T1~T7)</v>
      </c>
      <c r="F328" t="str">
        <f>計算表!F328</f>
        <v>節點=b。分解 v%/階 機率額外掉一個零件（掉寶類零件效果實際×0.5）。</v>
      </c>
      <c r="G328">
        <f>計算表!G328</f>
        <v>0.15</v>
      </c>
      <c r="H328" t="str">
        <f>計算表!H328</f>
        <v>salvage</v>
      </c>
      <c r="I328">
        <f>計算表!I328</f>
        <v>0</v>
      </c>
      <c r="J328">
        <f>計算表!J328</f>
        <v>0</v>
      </c>
      <c r="K328">
        <f>計算表!K328</f>
        <v>0</v>
      </c>
      <c r="L328">
        <f>計算表!L328</f>
        <v>0</v>
      </c>
      <c r="M328">
        <f>計算表!M328</f>
        <v>0</v>
      </c>
      <c r="N328">
        <f>計算表!N328</f>
        <v>0</v>
      </c>
      <c r="O328">
        <f>計算表!O328</f>
        <v>0</v>
      </c>
      <c r="P328">
        <f>計算表!P328</f>
        <v>0</v>
      </c>
      <c r="Q328">
        <f>計算表!Q328</f>
        <v>0</v>
      </c>
      <c r="R328">
        <f>計算表!R328</f>
        <v>0</v>
      </c>
    </row>
    <row r="329" spans="1:18" x14ac:dyDescent="0.25">
      <c r="A329">
        <f>計算表!A329</f>
        <v>328</v>
      </c>
      <c r="B329">
        <f>計算表!B329</f>
        <v>0</v>
      </c>
      <c r="C329" t="str">
        <f>計算表!C329</f>
        <v>表-自動機組零件</v>
      </c>
      <c r="D329" t="str">
        <f>計算表!D329</f>
        <v>幸運晶片</v>
      </c>
      <c r="E329" t="str">
        <f>計算表!E329</f>
        <v>效果值 = a × 階級(T1~T7)</v>
      </c>
      <c r="F329" t="str">
        <f>計算表!F329</f>
        <v>節點=b。分解 v%/階 機率大豐收(碎片/金幣/精華×3)（掉寶類零件效果實際×0.5）。</v>
      </c>
      <c r="G329">
        <f>計算表!G329</f>
        <v>0.5</v>
      </c>
      <c r="H329" t="str">
        <f>計算表!H329</f>
        <v>salvage</v>
      </c>
      <c r="I329">
        <f>計算表!I329</f>
        <v>0</v>
      </c>
      <c r="J329">
        <f>計算表!J329</f>
        <v>0</v>
      </c>
      <c r="K329">
        <f>計算表!K329</f>
        <v>0</v>
      </c>
      <c r="L329">
        <f>計算表!L329</f>
        <v>0</v>
      </c>
      <c r="M329">
        <f>計算表!M329</f>
        <v>0</v>
      </c>
      <c r="N329">
        <f>計算表!N329</f>
        <v>0</v>
      </c>
      <c r="O329">
        <f>計算表!O329</f>
        <v>0</v>
      </c>
      <c r="P329">
        <f>計算表!P329</f>
        <v>0</v>
      </c>
      <c r="Q329">
        <f>計算表!Q329</f>
        <v>0</v>
      </c>
      <c r="R329">
        <f>計算表!R329</f>
        <v>0</v>
      </c>
    </row>
    <row r="330" spans="1:18" x14ac:dyDescent="0.25">
      <c r="A330">
        <f>計算表!A330</f>
        <v>329</v>
      </c>
      <c r="B330">
        <f>計算表!B330</f>
        <v>0</v>
      </c>
      <c r="C330" t="str">
        <f>計算表!C330</f>
        <v>表-自動機組零件</v>
      </c>
      <c r="D330" t="str">
        <f>計算表!D330</f>
        <v>太古精華萃取器</v>
      </c>
      <c r="E330" t="str">
        <f>計算表!E330</f>
        <v>效果值 = a × 階級(T1~T7)</v>
      </c>
      <c r="F330" t="str">
        <f>計算表!F330</f>
        <v>節點=b。分解太古精華掉落率 +v%/階（掉寶類零件效果實際×0.5）。</v>
      </c>
      <c r="G330">
        <f>計算表!G330</f>
        <v>25</v>
      </c>
      <c r="H330" t="str">
        <f>計算表!H330</f>
        <v>salvage</v>
      </c>
      <c r="I330">
        <f>計算表!I330</f>
        <v>0</v>
      </c>
      <c r="J330">
        <f>計算表!J330</f>
        <v>0</v>
      </c>
      <c r="K330">
        <f>計算表!K330</f>
        <v>0</v>
      </c>
      <c r="L330">
        <f>計算表!L330</f>
        <v>0</v>
      </c>
      <c r="M330">
        <f>計算表!M330</f>
        <v>0</v>
      </c>
      <c r="N330">
        <f>計算表!N330</f>
        <v>0</v>
      </c>
      <c r="O330">
        <f>計算表!O330</f>
        <v>0</v>
      </c>
      <c r="P330">
        <f>計算表!P330</f>
        <v>0</v>
      </c>
      <c r="Q330">
        <f>計算表!Q330</f>
        <v>0</v>
      </c>
      <c r="R330">
        <f>計算表!R330</f>
        <v>0</v>
      </c>
    </row>
    <row r="331" spans="1:18" x14ac:dyDescent="0.25">
      <c r="A331">
        <f>計算表!A331</f>
        <v>330</v>
      </c>
      <c r="B331">
        <f>計算表!B331</f>
        <v>0</v>
      </c>
      <c r="C331" t="str">
        <f>計算表!C331</f>
        <v>表-自動機組零件</v>
      </c>
      <c r="D331" t="str">
        <f>計算表!D331</f>
        <v>幸運核心</v>
      </c>
      <c r="E331" t="str">
        <f>計算表!E331</f>
        <v>效果值 = a × 階級(T1~T7)</v>
      </c>
      <c r="F331" t="str">
        <f>計算表!F331</f>
        <v>節點=b。合成大成功率 +v%/階（掉寶類零件效果實際×0.5）。</v>
      </c>
      <c r="G331">
        <f>計算表!G331</f>
        <v>8</v>
      </c>
      <c r="H331" t="str">
        <f>計算表!H331</f>
        <v>synth</v>
      </c>
      <c r="I331">
        <f>計算表!I331</f>
        <v>0</v>
      </c>
      <c r="J331">
        <f>計算表!J331</f>
        <v>0</v>
      </c>
      <c r="K331">
        <f>計算表!K331</f>
        <v>0</v>
      </c>
      <c r="L331">
        <f>計算表!L331</f>
        <v>0</v>
      </c>
      <c r="M331">
        <f>計算表!M331</f>
        <v>0</v>
      </c>
      <c r="N331">
        <f>計算表!N331</f>
        <v>0</v>
      </c>
      <c r="O331">
        <f>計算表!O331</f>
        <v>0</v>
      </c>
      <c r="P331">
        <f>計算表!P331</f>
        <v>0</v>
      </c>
      <c r="Q331">
        <f>計算表!Q331</f>
        <v>0</v>
      </c>
      <c r="R331">
        <f>計算表!R331</f>
        <v>0</v>
      </c>
    </row>
    <row r="332" spans="1:18" x14ac:dyDescent="0.25">
      <c r="A332">
        <f>計算表!A332</f>
        <v>331</v>
      </c>
      <c r="B332">
        <f>計算表!B332</f>
        <v>0</v>
      </c>
      <c r="C332" t="str">
        <f>計算表!C332</f>
        <v>表-自動機組零件</v>
      </c>
      <c r="D332" t="str">
        <f>計算表!D332</f>
        <v>重骰模組</v>
      </c>
      <c r="E332" t="str">
        <f>計算表!E332</f>
        <v>效果值 = a × 階級(T1~T7)</v>
      </c>
      <c r="F332" t="str">
        <f>計算表!F332</f>
        <v>節點=b。合成詞條重骰機率 +v%/階（掉寶類零件效果實際×0.5）。</v>
      </c>
      <c r="G332">
        <f>計算表!G332</f>
        <v>15</v>
      </c>
      <c r="H332" t="str">
        <f>計算表!H332</f>
        <v>synth</v>
      </c>
      <c r="I332">
        <f>計算表!I332</f>
        <v>0</v>
      </c>
      <c r="J332">
        <f>計算表!J332</f>
        <v>0</v>
      </c>
      <c r="K332">
        <f>計算表!K332</f>
        <v>0</v>
      </c>
      <c r="L332">
        <f>計算表!L332</f>
        <v>0</v>
      </c>
      <c r="M332">
        <f>計算表!M332</f>
        <v>0</v>
      </c>
      <c r="N332">
        <f>計算表!N332</f>
        <v>0</v>
      </c>
      <c r="O332">
        <f>計算表!O332</f>
        <v>0</v>
      </c>
      <c r="P332">
        <f>計算表!P332</f>
        <v>0</v>
      </c>
      <c r="Q332">
        <f>計算表!Q332</f>
        <v>0</v>
      </c>
      <c r="R332">
        <f>計算表!R332</f>
        <v>0</v>
      </c>
    </row>
    <row r="333" spans="1:18" x14ac:dyDescent="0.25">
      <c r="A333">
        <f>計算表!A333</f>
        <v>332</v>
      </c>
      <c r="B333">
        <f>計算表!B333</f>
        <v>0</v>
      </c>
      <c r="C333" t="str">
        <f>計算表!C333</f>
        <v>表-固定參數</v>
      </c>
      <c r="D333" t="str">
        <f>計算表!D333</f>
        <v>出怪間隔</v>
      </c>
      <c r="E333" t="str">
        <f>計算表!E333</f>
        <v>a 秒 × (1-移動速度%)</v>
      </c>
      <c r="F333" t="str">
        <f>計算表!F333</f>
        <v>RESPAWN_DELAY。</v>
      </c>
      <c r="G333">
        <f>計算表!G333</f>
        <v>0.8</v>
      </c>
      <c r="H333">
        <f>計算表!H333</f>
        <v>0</v>
      </c>
      <c r="I333">
        <f>計算表!I333</f>
        <v>0</v>
      </c>
      <c r="J333">
        <f>計算表!J333</f>
        <v>0</v>
      </c>
      <c r="K333">
        <f>計算表!K333</f>
        <v>0</v>
      </c>
      <c r="L333">
        <f>計算表!L333</f>
        <v>0</v>
      </c>
      <c r="M333">
        <f>計算表!M333</f>
        <v>0</v>
      </c>
      <c r="N333">
        <f>計算表!N333</f>
        <v>0</v>
      </c>
      <c r="O333">
        <f>計算表!O333</f>
        <v>0</v>
      </c>
      <c r="P333">
        <f>計算表!P333</f>
        <v>0</v>
      </c>
      <c r="Q333">
        <f>計算表!Q333</f>
        <v>0</v>
      </c>
      <c r="R333">
        <f>計算表!R333</f>
        <v>0</v>
      </c>
    </row>
    <row r="334" spans="1:18" x14ac:dyDescent="0.25">
      <c r="A334">
        <f>計算表!A334</f>
        <v>333</v>
      </c>
      <c r="B334">
        <f>計算表!B334</f>
        <v>0</v>
      </c>
      <c r="C334" t="str">
        <f>計算表!C334</f>
        <v>表-固定參數</v>
      </c>
      <c r="D334" t="str">
        <f>計算表!D334</f>
        <v>死亡復活時間</v>
      </c>
      <c r="E334" t="str">
        <f>計算表!E334</f>
        <v>a 秒</v>
      </c>
      <c r="F334" t="str">
        <f>計算表!F334</f>
        <v>REVIVE_DELAY。</v>
      </c>
      <c r="G334">
        <f>計算表!G334</f>
        <v>3</v>
      </c>
      <c r="H334">
        <f>計算表!H334</f>
        <v>0</v>
      </c>
      <c r="I334">
        <f>計算表!I334</f>
        <v>0</v>
      </c>
      <c r="J334">
        <f>計算表!J334</f>
        <v>0</v>
      </c>
      <c r="K334">
        <f>計算表!K334</f>
        <v>0</v>
      </c>
      <c r="L334">
        <f>計算表!L334</f>
        <v>0</v>
      </c>
      <c r="M334">
        <f>計算表!M334</f>
        <v>0</v>
      </c>
      <c r="N334">
        <f>計算表!N334</f>
        <v>0</v>
      </c>
      <c r="O334">
        <f>計算表!O334</f>
        <v>0</v>
      </c>
      <c r="P334">
        <f>計算表!P334</f>
        <v>0</v>
      </c>
      <c r="Q334">
        <f>計算表!Q334</f>
        <v>0</v>
      </c>
      <c r="R334">
        <f>計算表!R334</f>
        <v>0</v>
      </c>
    </row>
    <row r="335" spans="1:18" x14ac:dyDescent="0.25">
      <c r="A335">
        <f>計算表!A335</f>
        <v>334</v>
      </c>
      <c r="B335">
        <f>計算表!B335</f>
        <v>0</v>
      </c>
      <c r="C335" t="str">
        <f>計算表!C335</f>
        <v>表-固定參數</v>
      </c>
      <c r="D335" t="str">
        <f>計算表!D335</f>
        <v>零件階級上限</v>
      </c>
      <c r="E335" t="str">
        <f>計算表!E335</f>
        <v>T a</v>
      </c>
      <c r="F335" t="str">
        <f>計算表!F335</f>
        <v>PART_MAX_TIER。</v>
      </c>
      <c r="G335">
        <f>計算表!G335</f>
        <v>7</v>
      </c>
      <c r="H335">
        <f>計算表!H335</f>
        <v>0</v>
      </c>
      <c r="I335">
        <f>計算表!I335</f>
        <v>0</v>
      </c>
      <c r="J335">
        <f>計算表!J335</f>
        <v>0</v>
      </c>
      <c r="K335">
        <f>計算表!K335</f>
        <v>0</v>
      </c>
      <c r="L335">
        <f>計算表!L335</f>
        <v>0</v>
      </c>
      <c r="M335">
        <f>計算表!M335</f>
        <v>0</v>
      </c>
      <c r="N335">
        <f>計算表!N335</f>
        <v>0</v>
      </c>
      <c r="O335">
        <f>計算表!O335</f>
        <v>0</v>
      </c>
      <c r="P335">
        <f>計算表!P335</f>
        <v>0</v>
      </c>
      <c r="Q335">
        <f>計算表!Q335</f>
        <v>0</v>
      </c>
      <c r="R335">
        <f>計算表!R335</f>
        <v>0</v>
      </c>
    </row>
    <row r="336" spans="1:18" x14ac:dyDescent="0.25">
      <c r="A336">
        <f>計算表!A336</f>
        <v>335</v>
      </c>
      <c r="B336">
        <f>計算表!B336</f>
        <v>0</v>
      </c>
      <c r="C336" t="str">
        <f>計算表!C336</f>
        <v>表-固定參數</v>
      </c>
      <c r="D336" t="str">
        <f>計算表!D336</f>
        <v>零件庫存保留</v>
      </c>
      <c r="E336" t="str">
        <f>計算表!E336</f>
        <v>每種未安裝最多保留 a 顆</v>
      </c>
      <c r="F336" t="str">
        <f>計算表!F336</f>
        <v>PART_KEEP_PER_KEY，多餘自動分解。</v>
      </c>
      <c r="G336">
        <f>計算表!G336</f>
        <v>10</v>
      </c>
      <c r="H336">
        <f>計算表!H336</f>
        <v>0</v>
      </c>
      <c r="I336">
        <f>計算表!I336</f>
        <v>0</v>
      </c>
      <c r="J336">
        <f>計算表!J336</f>
        <v>0</v>
      </c>
      <c r="K336">
        <f>計算表!K336</f>
        <v>0</v>
      </c>
      <c r="L336">
        <f>計算表!L336</f>
        <v>0</v>
      </c>
      <c r="M336">
        <f>計算表!M336</f>
        <v>0</v>
      </c>
      <c r="N336">
        <f>計算表!N336</f>
        <v>0</v>
      </c>
      <c r="O336">
        <f>計算表!O336</f>
        <v>0</v>
      </c>
      <c r="P336">
        <f>計算表!P336</f>
        <v>0</v>
      </c>
      <c r="Q336">
        <f>計算表!Q336</f>
        <v>0</v>
      </c>
      <c r="R336">
        <f>計算表!R336</f>
        <v>0</v>
      </c>
    </row>
    <row r="337" spans="1:18" x14ac:dyDescent="0.25">
      <c r="A337">
        <f>計算表!A337</f>
        <v>336</v>
      </c>
      <c r="B337">
        <f>計算表!B337</f>
        <v>0</v>
      </c>
      <c r="C337" t="str">
        <f>計算表!C337</f>
        <v>表-固定參數</v>
      </c>
      <c r="D337" t="str">
        <f>計算表!D337</f>
        <v>合成節點槽位</v>
      </c>
      <c r="E337" t="str">
        <f>計算表!E337</f>
        <v>a 格</v>
      </c>
      <c r="F337" t="str">
        <f>計算表!F337</f>
        <v>分解槽為金幣解鎖 10~20 格。　※合成功能已停用，本列未生效。</v>
      </c>
      <c r="G337">
        <f>計算表!G337</f>
        <v>2</v>
      </c>
      <c r="H337">
        <f>計算表!H337</f>
        <v>0</v>
      </c>
      <c r="I337">
        <f>計算表!I337</f>
        <v>0</v>
      </c>
      <c r="J337">
        <f>計算表!J337</f>
        <v>0</v>
      </c>
      <c r="K337">
        <f>計算表!K337</f>
        <v>0</v>
      </c>
      <c r="L337">
        <f>計算表!L337</f>
        <v>0</v>
      </c>
      <c r="M337">
        <f>計算表!M337</f>
        <v>0</v>
      </c>
      <c r="N337">
        <f>計算表!N337</f>
        <v>0</v>
      </c>
      <c r="O337">
        <f>計算表!O337</f>
        <v>0</v>
      </c>
      <c r="P337">
        <f>計算表!P337</f>
        <v>0</v>
      </c>
      <c r="Q337">
        <f>計算表!Q337</f>
        <v>0</v>
      </c>
      <c r="R337">
        <f>計算表!R337</f>
        <v>0</v>
      </c>
    </row>
    <row r="338" spans="1:18" x14ac:dyDescent="0.25">
      <c r="A338">
        <f>計算表!A338</f>
        <v>337</v>
      </c>
      <c r="B338">
        <f>計算表!B338</f>
        <v>0</v>
      </c>
      <c r="C338" t="str">
        <f>計算表!C338</f>
        <v>表-固定參數</v>
      </c>
      <c r="D338" t="str">
        <f>計算表!D338</f>
        <v>寶石一般上限 / 神鑄上限</v>
      </c>
      <c r="E338" t="str">
        <f>計算表!E338</f>
        <v>一般 a 階；神鑄可到 b 階</v>
      </c>
      <c r="F338" t="str">
        <f>計算表!F338</f>
        <v>GEM_MAX_LEVEL / GEM_FORGE_MAX_LEVEL。</v>
      </c>
      <c r="G338">
        <f>計算表!G338</f>
        <v>5</v>
      </c>
      <c r="H338">
        <f>計算表!H338</f>
        <v>10</v>
      </c>
      <c r="I338">
        <f>計算表!I338</f>
        <v>0</v>
      </c>
      <c r="J338">
        <f>計算表!J338</f>
        <v>0</v>
      </c>
      <c r="K338">
        <f>計算表!K338</f>
        <v>0</v>
      </c>
      <c r="L338">
        <f>計算表!L338</f>
        <v>0</v>
      </c>
      <c r="M338">
        <f>計算表!M338</f>
        <v>0</v>
      </c>
      <c r="N338">
        <f>計算表!N338</f>
        <v>0</v>
      </c>
      <c r="O338">
        <f>計算表!O338</f>
        <v>0</v>
      </c>
      <c r="P338">
        <f>計算表!P338</f>
        <v>0</v>
      </c>
      <c r="Q338">
        <f>計算表!Q338</f>
        <v>0</v>
      </c>
      <c r="R338">
        <f>計算表!R338</f>
        <v>0</v>
      </c>
    </row>
    <row r="339" spans="1:18" x14ac:dyDescent="0.25">
      <c r="A339">
        <f>計算表!A339</f>
        <v>338</v>
      </c>
      <c r="B339">
        <f>計算表!B339</f>
        <v>0</v>
      </c>
      <c r="C339" t="str">
        <f>計算表!C339</f>
        <v>表-固定參數</v>
      </c>
      <c r="D339" t="str">
        <f>計算表!D339</f>
        <v>詞條數硬上限</v>
      </c>
      <c r="E339" t="str">
        <f>計算表!E339</f>
        <v>a 條</v>
      </c>
      <c r="F339" t="str">
        <f>計算表!F339</f>
        <v>MAX_AFFIXES = 單件裝備詞條數的安全硬上限；目前稀有度表最高 10 條。</v>
      </c>
      <c r="G339">
        <f>計算表!G339</f>
        <v>10</v>
      </c>
      <c r="H339">
        <f>計算表!H339</f>
        <v>0</v>
      </c>
      <c r="I339">
        <f>計算表!I339</f>
        <v>0</v>
      </c>
      <c r="J339">
        <f>計算表!J339</f>
        <v>0</v>
      </c>
      <c r="K339">
        <f>計算表!K339</f>
        <v>0</v>
      </c>
      <c r="L339">
        <f>計算表!L339</f>
        <v>0</v>
      </c>
      <c r="M339">
        <f>計算表!M339</f>
        <v>0</v>
      </c>
      <c r="N339">
        <f>計算表!N339</f>
        <v>0</v>
      </c>
      <c r="O339">
        <f>計算表!O339</f>
        <v>0</v>
      </c>
      <c r="P339">
        <f>計算表!P339</f>
        <v>0</v>
      </c>
      <c r="Q339">
        <f>計算表!Q339</f>
        <v>0</v>
      </c>
      <c r="R339">
        <f>計算表!R339</f>
        <v>0</v>
      </c>
    </row>
    <row r="340" spans="1:18" x14ac:dyDescent="0.25">
      <c r="A340">
        <f>計算表!A340</f>
        <v>339</v>
      </c>
      <c r="B340">
        <f>計算表!B340</f>
        <v>0</v>
      </c>
      <c r="C340" t="str">
        <f>計算表!C340</f>
        <v>表-稀有度</v>
      </c>
      <c r="D340" t="str">
        <f>計算表!D340</f>
        <v>混沌</v>
      </c>
      <c r="E340" t="str">
        <f>計算表!E340</f>
        <v>（查表）</v>
      </c>
      <c r="F340" t="str">
        <f>計算表!F340</f>
        <v>a=詞條數值倍率 b=詞條數下限 c=詞條數上限 d=寶石插槽 e=附魔欄位 f=分解係數；倍率與分解係數為暫定值，可調整。</v>
      </c>
      <c r="G340">
        <f>計算表!G340</f>
        <v>15.3</v>
      </c>
      <c r="H340">
        <f>計算表!H340</f>
        <v>9</v>
      </c>
      <c r="I340">
        <f>計算表!I340</f>
        <v>9</v>
      </c>
      <c r="J340">
        <f>計算表!J340</f>
        <v>6</v>
      </c>
      <c r="K340">
        <f>計算表!K340</f>
        <v>3</v>
      </c>
      <c r="L340">
        <f>計算表!L340</f>
        <v>67.5</v>
      </c>
      <c r="M340">
        <f>計算表!M340</f>
        <v>0</v>
      </c>
      <c r="N340">
        <f>計算表!N340</f>
        <v>0</v>
      </c>
      <c r="O340">
        <f>計算表!O340</f>
        <v>0</v>
      </c>
      <c r="P340">
        <f>計算表!P340</f>
        <v>0</v>
      </c>
      <c r="Q340">
        <f>計算表!Q340</f>
        <v>0</v>
      </c>
      <c r="R340">
        <f>計算表!R340</f>
        <v>0</v>
      </c>
    </row>
    <row r="341" spans="1:18" x14ac:dyDescent="0.25">
      <c r="A341">
        <f>計算表!A341</f>
        <v>340</v>
      </c>
      <c r="B341">
        <f>計算表!B341</f>
        <v>0</v>
      </c>
      <c r="C341" t="str">
        <f>計算表!C341</f>
        <v>表-稀有度</v>
      </c>
      <c r="D341" t="str">
        <f>計算表!D341</f>
        <v>神鑄混沌</v>
      </c>
      <c r="E341" t="str">
        <f>計算表!E341</f>
        <v>（查表）</v>
      </c>
      <c r="F341" t="str">
        <f>計算表!F341</f>
        <v>a=詞條數值倍率 b=詞條數下限 c=詞條數上限 d=寶石插槽 e=附魔欄位 f=分解係數；倍率與分解係數為暫定值，可調整。</v>
      </c>
      <c r="G341">
        <f>計算表!G341</f>
        <v>22.95</v>
      </c>
      <c r="H341">
        <f>計算表!H341</f>
        <v>10</v>
      </c>
      <c r="I341">
        <f>計算表!I341</f>
        <v>10</v>
      </c>
      <c r="J341">
        <f>計算表!J341</f>
        <v>7</v>
      </c>
      <c r="K341">
        <f>計算表!K341</f>
        <v>3</v>
      </c>
      <c r="L341">
        <f>計算表!L341</f>
        <v>101.25</v>
      </c>
      <c r="M341">
        <f>計算表!M341</f>
        <v>0</v>
      </c>
      <c r="N341">
        <f>計算表!N341</f>
        <v>0</v>
      </c>
      <c r="O341">
        <f>計算表!O341</f>
        <v>0</v>
      </c>
      <c r="P341">
        <f>計算表!P341</f>
        <v>0</v>
      </c>
      <c r="Q341">
        <f>計算表!Q341</f>
        <v>0</v>
      </c>
      <c r="R341">
        <f>計算表!R341</f>
        <v>0</v>
      </c>
    </row>
    <row r="342" spans="1:18" x14ac:dyDescent="0.25">
      <c r="A342">
        <f>計算表!A342</f>
        <v>341</v>
      </c>
      <c r="B342">
        <f>計算表!B342</f>
        <v>0</v>
      </c>
      <c r="C342" t="str">
        <f>計算表!C342</f>
        <v>6-神鑄</v>
      </c>
      <c r="D342" t="str">
        <f>計算表!D342</f>
        <v>裝備神鑄混沌基礎成功率</v>
      </c>
      <c r="E342" t="str">
        <f>計算表!E342</f>
        <v>混沌品質基礎成功率 a%</v>
      </c>
      <c r="F342" t="str">
        <f>計算表!F342</f>
        <v>6 件混沌裝備神鑄為神鑄混沌的基礎成功率。</v>
      </c>
      <c r="G342">
        <f>計算表!G342</f>
        <v>20</v>
      </c>
      <c r="H342">
        <f>計算表!H342</f>
        <v>0</v>
      </c>
      <c r="I342">
        <f>計算表!I342</f>
        <v>0</v>
      </c>
      <c r="J342">
        <f>計算表!J342</f>
        <v>0</v>
      </c>
      <c r="K342">
        <f>計算表!K342</f>
        <v>0</v>
      </c>
      <c r="L342">
        <f>計算表!L342</f>
        <v>0</v>
      </c>
      <c r="M342">
        <f>計算表!M342</f>
        <v>0</v>
      </c>
      <c r="N342">
        <f>計算表!N342</f>
        <v>0</v>
      </c>
      <c r="O342">
        <f>計算表!O342</f>
        <v>0</v>
      </c>
      <c r="P342">
        <f>計算表!P342</f>
        <v>0</v>
      </c>
      <c r="Q342">
        <f>計算表!Q342</f>
        <v>0</v>
      </c>
      <c r="R342">
        <f>計算表!R342</f>
        <v>0</v>
      </c>
    </row>
    <row r="343" spans="1:18" x14ac:dyDescent="0.25">
      <c r="A343">
        <f>計算表!A343</f>
        <v>342</v>
      </c>
      <c r="B343">
        <f>計算表!B343</f>
        <v>0</v>
      </c>
      <c r="C343" t="str">
        <f>計算表!C343</f>
        <v>6-神鑄</v>
      </c>
      <c r="D343" t="str">
        <f>計算表!D343</f>
        <v>裝備神鑄混沌金幣</v>
      </c>
      <c r="E343" t="str">
        <f>計算表!E343</f>
        <v>混沌品質單次金幣消耗 a</v>
      </c>
      <c r="F343" t="str">
        <f>計算表!F343</f>
        <v>暫定 5 億，可自行調整。</v>
      </c>
      <c r="G343">
        <f>計算表!G343</f>
        <v>500000000</v>
      </c>
      <c r="H343">
        <f>計算表!H343</f>
        <v>0</v>
      </c>
      <c r="I343">
        <f>計算表!I343</f>
        <v>0</v>
      </c>
      <c r="J343">
        <f>計算表!J343</f>
        <v>0</v>
      </c>
      <c r="K343">
        <f>計算表!K343</f>
        <v>0</v>
      </c>
      <c r="L343">
        <f>計算表!L343</f>
        <v>0</v>
      </c>
      <c r="M343">
        <f>計算表!M343</f>
        <v>0</v>
      </c>
      <c r="N343">
        <f>計算表!N343</f>
        <v>0</v>
      </c>
      <c r="O343">
        <f>計算表!O343</f>
        <v>0</v>
      </c>
      <c r="P343">
        <f>計算表!P343</f>
        <v>0</v>
      </c>
      <c r="Q343">
        <f>計算表!Q343</f>
        <v>0</v>
      </c>
      <c r="R343">
        <f>計算表!R343</f>
        <v>0</v>
      </c>
    </row>
    <row r="344" spans="1:18" x14ac:dyDescent="0.25">
      <c r="A344">
        <f>計算表!A344</f>
        <v>343</v>
      </c>
      <c r="B344">
        <f>計算表!B344</f>
        <v>0</v>
      </c>
      <c r="C344" t="str">
        <f>計算表!C344</f>
        <v>6-神鑄</v>
      </c>
      <c r="D344" t="str">
        <f>計算表!D344</f>
        <v>裝備神鑄混沌時間(秒)</v>
      </c>
      <c r="E344" t="str">
        <f>計算表!E344</f>
        <v>混沌品質神鑄時間 a 秒</v>
      </c>
      <c r="F344" t="str">
        <f>計算表!F344</f>
        <v>暫定 13 秒，可自行調整。</v>
      </c>
      <c r="G344">
        <f>計算表!G344</f>
        <v>13</v>
      </c>
      <c r="H344">
        <f>計算表!H344</f>
        <v>0</v>
      </c>
      <c r="I344">
        <f>計算表!I344</f>
        <v>0</v>
      </c>
      <c r="J344">
        <f>計算表!J344</f>
        <v>0</v>
      </c>
      <c r="K344">
        <f>計算表!K344</f>
        <v>0</v>
      </c>
      <c r="L344">
        <f>計算表!L344</f>
        <v>0</v>
      </c>
      <c r="M344">
        <f>計算表!M344</f>
        <v>0</v>
      </c>
      <c r="N344">
        <f>計算表!N344</f>
        <v>0</v>
      </c>
      <c r="O344">
        <f>計算表!O344</f>
        <v>0</v>
      </c>
      <c r="P344">
        <f>計算表!P344</f>
        <v>0</v>
      </c>
      <c r="Q344">
        <f>計算表!Q344</f>
        <v>0</v>
      </c>
      <c r="R344">
        <f>計算表!R344</f>
        <v>0</v>
      </c>
    </row>
    <row r="345" spans="1:18" x14ac:dyDescent="0.25">
      <c r="A345">
        <f>計算表!A345</f>
        <v>344</v>
      </c>
      <c r="B345">
        <f>計算表!B345</f>
        <v>0</v>
      </c>
      <c r="C345" t="str">
        <f>計算表!C345</f>
        <v>1-成長經驗</v>
      </c>
      <c r="D345" t="str">
        <f>計算表!D345</f>
        <v>技能熟練度經驗需求</v>
      </c>
      <c r="E345" t="str">
        <f>計算表!E345</f>
        <v>a×熟練度等級^b + c</v>
      </c>
      <c r="F345" t="str">
        <f>計算表!F345</f>
        <v>技能熟練度升 1 級所需經驗（沿用玩家升級公式未轉生版；L=目前熟練度等級）。</v>
      </c>
      <c r="G345">
        <f>計算表!G345</f>
        <v>30</v>
      </c>
      <c r="H345">
        <f>計算表!H345</f>
        <v>3</v>
      </c>
      <c r="I345">
        <f>計算表!I345</f>
        <v>20</v>
      </c>
      <c r="J345">
        <f>計算表!J345</f>
        <v>0</v>
      </c>
      <c r="K345">
        <f>計算表!K345</f>
        <v>0</v>
      </c>
      <c r="L345">
        <f>計算表!L345</f>
        <v>0</v>
      </c>
      <c r="M345">
        <f>計算表!M345</f>
        <v>0</v>
      </c>
      <c r="N345">
        <f>計算表!N345</f>
        <v>0</v>
      </c>
      <c r="O345">
        <f>計算表!O345</f>
        <v>0</v>
      </c>
      <c r="P345">
        <f>計算表!P345</f>
        <v>0</v>
      </c>
      <c r="Q345">
        <f>計算表!Q345</f>
        <v>0</v>
      </c>
      <c r="R345">
        <f>計算表!R345</f>
        <v>0</v>
      </c>
    </row>
    <row r="346" spans="1:18" x14ac:dyDescent="0.25">
      <c r="A346">
        <f>計算表!A346</f>
        <v>345</v>
      </c>
      <c r="B346">
        <f>計算表!B346</f>
        <v>0</v>
      </c>
      <c r="C346" t="str">
        <f>計算表!C346</f>
        <v>1-成長經驗</v>
      </c>
      <c r="D346" t="str">
        <f>計算表!D346</f>
        <v>技能熟練度</v>
      </c>
      <c r="E346" t="str">
        <f>計算表!E346</f>
        <v>上限 a 級；擊殺技能經驗 = 怪物經驗 × b%</v>
      </c>
      <c r="F346" t="str">
        <f>計算表!F346</f>
        <v>打怪（野外/高塔/離線）獲得技能經驗；每升 1 級 +1 技能點。初始 0 級。</v>
      </c>
      <c r="G346">
        <f>計算表!G346</f>
        <v>1000</v>
      </c>
      <c r="H346">
        <f>計算表!H346</f>
        <v>50</v>
      </c>
      <c r="I346">
        <f>計算表!I346</f>
        <v>0</v>
      </c>
      <c r="J346">
        <f>計算表!J346</f>
        <v>0</v>
      </c>
      <c r="K346">
        <f>計算表!K346</f>
        <v>0</v>
      </c>
      <c r="L346">
        <f>計算表!L346</f>
        <v>0</v>
      </c>
      <c r="M346">
        <f>計算表!M346</f>
        <v>0</v>
      </c>
      <c r="N346">
        <f>計算表!N346</f>
        <v>0</v>
      </c>
      <c r="O346">
        <f>計算表!O346</f>
        <v>0</v>
      </c>
      <c r="P346">
        <f>計算表!P346</f>
        <v>0</v>
      </c>
      <c r="Q346">
        <f>計算表!Q346</f>
        <v>0</v>
      </c>
      <c r="R346">
        <f>計算表!R346</f>
        <v>0</v>
      </c>
    </row>
    <row r="347" spans="1:18" x14ac:dyDescent="0.25">
      <c r="A347">
        <f>計算表!A347</f>
        <v>346</v>
      </c>
      <c r="B347">
        <f>計算表!B347</f>
        <v>0</v>
      </c>
      <c r="C347" t="str">
        <f>計算表!C347</f>
        <v>9-融合</v>
      </c>
      <c r="D347" t="str">
        <f>計算表!D347</f>
        <v>融合花費</v>
      </c>
      <c r="E347" t="str">
        <f>計算表!E347</f>
        <v>金幣 a × 素材數；魔法卷軸 b 張 × 素材數</v>
      </c>
      <c r="F347" t="str">
        <f>計算表!F347</f>
        <v>執行技能融合的花費。</v>
      </c>
      <c r="G347">
        <f>計算表!G347</f>
        <v>50000</v>
      </c>
      <c r="H347">
        <f>計算表!H347</f>
        <v>5</v>
      </c>
      <c r="I347">
        <f>計算表!I347</f>
        <v>0</v>
      </c>
      <c r="J347">
        <f>計算表!J347</f>
        <v>0</v>
      </c>
      <c r="K347">
        <f>計算表!K347</f>
        <v>0</v>
      </c>
      <c r="L347">
        <f>計算表!L347</f>
        <v>0</v>
      </c>
      <c r="M347">
        <f>計算表!M347</f>
        <v>0</v>
      </c>
      <c r="N347">
        <f>計算表!N347</f>
        <v>0</v>
      </c>
      <c r="O347">
        <f>計算表!O347</f>
        <v>0</v>
      </c>
      <c r="P347">
        <f>計算表!P347</f>
        <v>0</v>
      </c>
      <c r="Q347">
        <f>計算表!Q347</f>
        <v>0</v>
      </c>
      <c r="R347">
        <f>計算表!R347</f>
        <v>0</v>
      </c>
    </row>
    <row r="348" spans="1:18" x14ac:dyDescent="0.25">
      <c r="A348">
        <f>計算表!A348</f>
        <v>347</v>
      </c>
      <c r="B348">
        <f>計算表!B348</f>
        <v>0</v>
      </c>
      <c r="C348" t="str">
        <f>計算表!C348</f>
        <v>9-融合</v>
      </c>
      <c r="D348" t="str">
        <f>計算表!D348</f>
        <v>物魔判定</v>
      </c>
      <c r="E348" t="str">
        <f>計算表!E348</f>
        <v>混合素材：物/魔依素材數比例分掉 (100-a)%，物+魔佔 a%；雙屬性每段攻擊係數 b</v>
      </c>
      <c r="F348" t="str">
        <f>計算表!F348</f>
        <v>2 物 2 魔時即 45/45/10。純物理/純魔法素材不擲骰；任一真傷素材→真傷。</v>
      </c>
      <c r="G348">
        <f>計算表!G348</f>
        <v>10</v>
      </c>
      <c r="H348">
        <f>計算表!H348</f>
        <v>0.65</v>
      </c>
      <c r="I348">
        <f>計算表!I348</f>
        <v>0</v>
      </c>
      <c r="J348">
        <f>計算表!J348</f>
        <v>0</v>
      </c>
      <c r="K348">
        <f>計算表!K348</f>
        <v>0</v>
      </c>
      <c r="L348">
        <f>計算表!L348</f>
        <v>0</v>
      </c>
      <c r="M348">
        <f>計算表!M348</f>
        <v>0</v>
      </c>
      <c r="N348">
        <f>計算表!N348</f>
        <v>0</v>
      </c>
      <c r="O348">
        <f>計算表!O348</f>
        <v>0</v>
      </c>
      <c r="P348">
        <f>計算表!P348</f>
        <v>0</v>
      </c>
      <c r="Q348">
        <f>計算表!Q348</f>
        <v>0</v>
      </c>
      <c r="R348">
        <f>計算表!R348</f>
        <v>0</v>
      </c>
    </row>
    <row r="349" spans="1:18" x14ac:dyDescent="0.25">
      <c r="A349">
        <f>計算表!A349</f>
        <v>348</v>
      </c>
      <c r="B349">
        <f>計算表!B349</f>
        <v>0</v>
      </c>
      <c r="C349" t="str">
        <f>計算表!C349</f>
        <v>9-融合</v>
      </c>
      <c r="D349" t="str">
        <f>計算表!D349</f>
        <v>攻擊力四檔</v>
      </c>
      <c r="E349" t="str">
        <f>計算表!E349</f>
        <v>素材滿級傷害% 平均 → ×a/b/c/d%，機率 e/f/g/h%</v>
      </c>
      <c r="F349" t="str">
        <f>計算表!F349</f>
        <v>融合技攻擊力四檔位與機率。</v>
      </c>
      <c r="G349">
        <f>計算表!G349</f>
        <v>75</v>
      </c>
      <c r="H349">
        <f>計算表!H349</f>
        <v>100</v>
      </c>
      <c r="I349">
        <f>計算表!I349</f>
        <v>125</v>
      </c>
      <c r="J349">
        <f>計算表!J349</f>
        <v>150</v>
      </c>
      <c r="K349">
        <f>計算表!K349</f>
        <v>20</v>
      </c>
      <c r="L349">
        <f>計算表!L349</f>
        <v>30</v>
      </c>
      <c r="M349">
        <f>計算表!M349</f>
        <v>30</v>
      </c>
      <c r="N349">
        <f>計算表!N349</f>
        <v>20</v>
      </c>
      <c r="O349">
        <f>計算表!O349</f>
        <v>0</v>
      </c>
      <c r="P349">
        <f>計算表!P349</f>
        <v>0</v>
      </c>
      <c r="Q349">
        <f>計算表!Q349</f>
        <v>0</v>
      </c>
      <c r="R349">
        <f>計算表!R349</f>
        <v>0</v>
      </c>
    </row>
    <row r="350" spans="1:18" x14ac:dyDescent="0.25">
      <c r="A350">
        <f>計算表!A350</f>
        <v>349</v>
      </c>
      <c r="B350">
        <f>計算表!B350</f>
        <v>0</v>
      </c>
      <c r="C350" t="str">
        <f>計算表!C350</f>
        <v>9-融合</v>
      </c>
      <c r="D350" t="str">
        <f>計算表!D350</f>
        <v>同屬性加成</v>
      </c>
      <c r="E350" t="str">
        <f>計算表!E350</f>
        <v>素材中同屬性每多 1 個，該屬性最終傷害 +a%</v>
      </c>
      <c r="F350" t="str">
        <f>計算表!F350</f>
        <v>等價折入 elems 權重與總傷害值（戰鬥端零改動）。物理視為一種屬性、每個物理素材佔 2 份。</v>
      </c>
      <c r="G350">
        <f>計算表!G350</f>
        <v>25</v>
      </c>
      <c r="H350">
        <f>計算表!H350</f>
        <v>0</v>
      </c>
      <c r="I350">
        <f>計算表!I350</f>
        <v>0</v>
      </c>
      <c r="J350">
        <f>計算表!J350</f>
        <v>0</v>
      </c>
      <c r="K350">
        <f>計算表!K350</f>
        <v>0</v>
      </c>
      <c r="L350">
        <f>計算表!L350</f>
        <v>0</v>
      </c>
      <c r="M350">
        <f>計算表!M350</f>
        <v>0</v>
      </c>
      <c r="N350">
        <f>計算表!N350</f>
        <v>0</v>
      </c>
      <c r="O350">
        <f>計算表!O350</f>
        <v>0</v>
      </c>
      <c r="P350">
        <f>計算表!P350</f>
        <v>0</v>
      </c>
      <c r="Q350">
        <f>計算表!Q350</f>
        <v>0</v>
      </c>
      <c r="R350">
        <f>計算表!R350</f>
        <v>0</v>
      </c>
    </row>
    <row r="351" spans="1:18" x14ac:dyDescent="0.25">
      <c r="A351">
        <f>計算表!A351</f>
        <v>350</v>
      </c>
      <c r="B351">
        <f>計算表!B351</f>
        <v>0</v>
      </c>
      <c r="C351" t="str">
        <f>計算表!C351</f>
        <v>9-融合</v>
      </c>
      <c r="D351" t="str">
        <f>計算表!D351</f>
        <v>效果融合機率</v>
      </c>
      <c r="E351" t="str">
        <f>計算表!E351</f>
        <v>a%</v>
      </c>
      <c r="F351" t="str">
        <f>計算表!F351</f>
        <v>特效正常取 1 個素材的特效包；a% 機率再併入第 2 個素材的特效包（最多 2 個）。</v>
      </c>
      <c r="G351">
        <f>計算表!G351</f>
        <v>5</v>
      </c>
      <c r="H351">
        <f>計算表!H351</f>
        <v>0</v>
      </c>
      <c r="I351">
        <f>計算表!I351</f>
        <v>0</v>
      </c>
      <c r="J351">
        <f>計算表!J351</f>
        <v>0</v>
      </c>
      <c r="K351">
        <f>計算表!K351</f>
        <v>0</v>
      </c>
      <c r="L351">
        <f>計算表!L351</f>
        <v>0</v>
      </c>
      <c r="M351">
        <f>計算表!M351</f>
        <v>0</v>
      </c>
      <c r="N351">
        <f>計算表!N351</f>
        <v>0</v>
      </c>
      <c r="O351">
        <f>計算表!O351</f>
        <v>0</v>
      </c>
      <c r="P351">
        <f>計算表!P351</f>
        <v>0</v>
      </c>
      <c r="Q351">
        <f>計算表!Q351</f>
        <v>0</v>
      </c>
      <c r="R351">
        <f>計算表!R351</f>
        <v>0</v>
      </c>
    </row>
    <row r="352" spans="1:18" x14ac:dyDescent="0.25">
      <c r="A352">
        <f>計算表!A352</f>
        <v>351</v>
      </c>
      <c r="B352">
        <f>計算表!B352</f>
        <v>0</v>
      </c>
      <c r="C352" t="str">
        <f>計算表!C352</f>
        <v>9-融合</v>
      </c>
      <c r="D352" t="str">
        <f>計算表!D352</f>
        <v>成長曲線</v>
      </c>
      <c r="E352" t="str">
        <f>計算表!E352</f>
        <v>Lv.1 = 滿級值 × a，線性成長至滿級（10 級基準）</v>
      </c>
      <c r="F352" t="str">
        <f>計算表!F352</f>
        <v>融合技所有隨機結果值為滿級值；轉生上限 15 時可超過滿級值（與一般技能同理）。</v>
      </c>
      <c r="G352">
        <f>計算表!G352</f>
        <v>0.6</v>
      </c>
      <c r="H352">
        <f>計算表!H352</f>
        <v>0</v>
      </c>
      <c r="I352">
        <f>計算表!I352</f>
        <v>0</v>
      </c>
      <c r="J352">
        <f>計算表!J352</f>
        <v>0</v>
      </c>
      <c r="K352">
        <f>計算表!K352</f>
        <v>0</v>
      </c>
      <c r="L352">
        <f>計算表!L352</f>
        <v>0</v>
      </c>
      <c r="M352">
        <f>計算表!M352</f>
        <v>0</v>
      </c>
      <c r="N352">
        <f>計算表!N352</f>
        <v>0</v>
      </c>
      <c r="O352">
        <f>計算表!O352</f>
        <v>0</v>
      </c>
      <c r="P352">
        <f>計算表!P352</f>
        <v>0</v>
      </c>
      <c r="Q352">
        <f>計算表!Q352</f>
        <v>0</v>
      </c>
      <c r="R352">
        <f>計算表!R352</f>
        <v>0</v>
      </c>
    </row>
    <row r="353" spans="1:18" x14ac:dyDescent="0.25">
      <c r="A353">
        <f>計算表!A353</f>
        <v>352</v>
      </c>
      <c r="B353">
        <f>計算表!B353</f>
        <v>0</v>
      </c>
      <c r="C353" t="str">
        <f>計算表!C353</f>
        <v>6-分解精華機率</v>
      </c>
      <c r="D353" t="str">
        <f>計算表!D353</f>
        <v>魔法卷軸換算</v>
      </c>
      <c r="E353" t="str">
        <f>計算表!E353</f>
        <v>魔法卷軸 = 附魔精華實得量 × a（機率式進位）</v>
      </c>
      <c r="F353" t="str">
        <f>計算表!F353</f>
        <v>拆解裝備與高塔通關皆適用；期望值 = 精華量 × a。</v>
      </c>
      <c r="G353">
        <f>計算表!G353</f>
        <v>0.1</v>
      </c>
      <c r="H353">
        <f>計算表!H353</f>
        <v>0</v>
      </c>
      <c r="I353">
        <f>計算表!I353</f>
        <v>0</v>
      </c>
      <c r="J353">
        <f>計算表!J353</f>
        <v>0</v>
      </c>
      <c r="K353">
        <f>計算表!K353</f>
        <v>0</v>
      </c>
      <c r="L353">
        <f>計算表!L353</f>
        <v>0</v>
      </c>
      <c r="M353">
        <f>計算表!M353</f>
        <v>0</v>
      </c>
      <c r="N353">
        <f>計算表!N353</f>
        <v>0</v>
      </c>
      <c r="O353">
        <f>計算表!O353</f>
        <v>0</v>
      </c>
      <c r="P353">
        <f>計算表!P353</f>
        <v>0</v>
      </c>
      <c r="Q353">
        <f>計算表!Q353</f>
        <v>0</v>
      </c>
      <c r="R353">
        <f>計算表!R353</f>
        <v>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353"/>
  <sheetViews>
    <sheetView tabSelected="1" topLeftCell="A88" workbookViewId="0">
      <selection activeCell="F96" sqref="F96"/>
    </sheetView>
  </sheetViews>
  <sheetFormatPr defaultRowHeight="15" x14ac:dyDescent="0.25"/>
  <cols>
    <col min="3" max="3" width="21.140625" customWidth="1"/>
    <col min="4" max="4" width="30" customWidth="1"/>
    <col min="5" max="5" width="36.28515625" customWidth="1"/>
    <col min="6" max="6" width="35.5703125" customWidth="1"/>
    <col min="7" max="7" width="12.710937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1</v>
      </c>
      <c r="B2">
        <v>0</v>
      </c>
      <c r="C2" t="s">
        <v>18</v>
      </c>
      <c r="D2" t="s">
        <v>19</v>
      </c>
      <c r="E2" t="s">
        <v>20</v>
      </c>
      <c r="F2" t="s">
        <v>21</v>
      </c>
      <c r="G2">
        <v>30</v>
      </c>
      <c r="H2">
        <v>3</v>
      </c>
      <c r="I2">
        <v>40</v>
      </c>
      <c r="J2">
        <v>1000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f>A2+1</f>
        <v>2</v>
      </c>
      <c r="B3">
        <v>0</v>
      </c>
      <c r="C3" t="s">
        <v>18</v>
      </c>
      <c r="D3" t="s">
        <v>22</v>
      </c>
      <c r="E3" t="s">
        <v>23</v>
      </c>
      <c r="F3" t="s">
        <v>24</v>
      </c>
      <c r="G3">
        <v>5</v>
      </c>
      <c r="H3">
        <v>2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f t="shared" ref="A4:A67" si="0">A3+1</f>
        <v>3</v>
      </c>
      <c r="B4">
        <v>0</v>
      </c>
      <c r="C4" t="s">
        <v>18</v>
      </c>
      <c r="D4" t="s">
        <v>25</v>
      </c>
      <c r="E4" t="s">
        <v>26</v>
      </c>
      <c r="F4" t="s">
        <v>27</v>
      </c>
      <c r="G4">
        <v>2</v>
      </c>
      <c r="H4">
        <v>1</v>
      </c>
      <c r="I4">
        <v>10000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f t="shared" si="0"/>
        <v>4</v>
      </c>
      <c r="B5">
        <v>0</v>
      </c>
      <c r="C5" t="s">
        <v>18</v>
      </c>
      <c r="D5" t="s">
        <v>28</v>
      </c>
      <c r="E5" t="s">
        <v>29</v>
      </c>
      <c r="F5" t="s">
        <v>30</v>
      </c>
      <c r="G5">
        <v>50</v>
      </c>
      <c r="H5">
        <v>4</v>
      </c>
      <c r="I5">
        <v>20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f t="shared" si="0"/>
        <v>5</v>
      </c>
      <c r="B6">
        <v>0</v>
      </c>
      <c r="C6" t="s">
        <v>18</v>
      </c>
      <c r="D6" t="s">
        <v>31</v>
      </c>
      <c r="E6" t="s">
        <v>32</v>
      </c>
      <c r="F6" t="s">
        <v>33</v>
      </c>
      <c r="G6">
        <v>1000</v>
      </c>
      <c r="H6">
        <v>20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f t="shared" si="0"/>
        <v>6</v>
      </c>
      <c r="B7">
        <v>0</v>
      </c>
      <c r="C7" t="s">
        <v>18</v>
      </c>
      <c r="D7" t="s">
        <v>34</v>
      </c>
      <c r="E7" t="s">
        <v>35</v>
      </c>
      <c r="F7" t="s">
        <v>36</v>
      </c>
      <c r="G7">
        <v>1</v>
      </c>
      <c r="H7">
        <v>1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f t="shared" si="0"/>
        <v>7</v>
      </c>
      <c r="B8">
        <v>0</v>
      </c>
      <c r="C8" t="s">
        <v>37</v>
      </c>
      <c r="D8" t="s">
        <v>38</v>
      </c>
      <c r="E8" t="s">
        <v>39</v>
      </c>
      <c r="F8" t="s">
        <v>40</v>
      </c>
      <c r="G8">
        <v>1</v>
      </c>
      <c r="H8" t="s">
        <v>41</v>
      </c>
      <c r="I8">
        <v>0</v>
      </c>
      <c r="J8" t="s">
        <v>42</v>
      </c>
      <c r="K8">
        <v>10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f t="shared" si="0"/>
        <v>8</v>
      </c>
      <c r="B9">
        <v>0</v>
      </c>
      <c r="C9" t="s">
        <v>37</v>
      </c>
      <c r="D9" t="s">
        <v>43</v>
      </c>
      <c r="E9" t="s">
        <v>39</v>
      </c>
      <c r="F9" t="s">
        <v>40</v>
      </c>
      <c r="G9">
        <v>1.5</v>
      </c>
      <c r="H9" t="s">
        <v>44</v>
      </c>
      <c r="I9">
        <v>500000</v>
      </c>
      <c r="J9" t="s">
        <v>45</v>
      </c>
      <c r="K9">
        <v>15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f t="shared" si="0"/>
        <v>9</v>
      </c>
      <c r="B10">
        <v>0</v>
      </c>
      <c r="C10" t="s">
        <v>37</v>
      </c>
      <c r="D10" t="s">
        <v>46</v>
      </c>
      <c r="E10" t="s">
        <v>39</v>
      </c>
      <c r="F10" t="s">
        <v>40</v>
      </c>
      <c r="G10">
        <v>2.5</v>
      </c>
      <c r="H10" t="s">
        <v>47</v>
      </c>
      <c r="I10">
        <v>1500000</v>
      </c>
      <c r="J10" t="s">
        <v>48</v>
      </c>
      <c r="K10">
        <v>15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f t="shared" si="0"/>
        <v>10</v>
      </c>
      <c r="B11">
        <v>0</v>
      </c>
      <c r="C11" t="s">
        <v>37</v>
      </c>
      <c r="D11" t="s">
        <v>49</v>
      </c>
      <c r="E11" t="s">
        <v>39</v>
      </c>
      <c r="F11" t="s">
        <v>40</v>
      </c>
      <c r="G11">
        <v>3.5</v>
      </c>
      <c r="H11" t="s">
        <v>50</v>
      </c>
      <c r="I11">
        <v>3000000</v>
      </c>
      <c r="J11" t="s">
        <v>51</v>
      </c>
      <c r="K11">
        <v>15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f t="shared" si="0"/>
        <v>11</v>
      </c>
      <c r="B12">
        <v>0</v>
      </c>
      <c r="C12" t="s">
        <v>37</v>
      </c>
      <c r="D12" t="s">
        <v>52</v>
      </c>
      <c r="E12" t="s">
        <v>39</v>
      </c>
      <c r="F12" t="s">
        <v>40</v>
      </c>
      <c r="G12">
        <v>5</v>
      </c>
      <c r="H12" t="s">
        <v>53</v>
      </c>
      <c r="I12">
        <v>6000000</v>
      </c>
      <c r="J12" t="s">
        <v>54</v>
      </c>
      <c r="K12">
        <v>15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f t="shared" si="0"/>
        <v>12</v>
      </c>
      <c r="B13">
        <v>0</v>
      </c>
      <c r="C13" t="s">
        <v>37</v>
      </c>
      <c r="D13" t="s">
        <v>55</v>
      </c>
      <c r="E13" t="s">
        <v>39</v>
      </c>
      <c r="F13" t="s">
        <v>40</v>
      </c>
      <c r="G13">
        <v>7</v>
      </c>
      <c r="H13" t="s">
        <v>56</v>
      </c>
      <c r="I13">
        <v>12000000</v>
      </c>
      <c r="J13" t="s">
        <v>57</v>
      </c>
      <c r="K13">
        <v>15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f t="shared" si="0"/>
        <v>13</v>
      </c>
      <c r="B14">
        <v>0</v>
      </c>
      <c r="C14" t="s">
        <v>37</v>
      </c>
      <c r="D14" t="s">
        <v>58</v>
      </c>
      <c r="E14" t="s">
        <v>39</v>
      </c>
      <c r="F14" t="s">
        <v>40</v>
      </c>
      <c r="G14">
        <v>10</v>
      </c>
      <c r="H14" t="s">
        <v>59</v>
      </c>
      <c r="I14">
        <v>24000000</v>
      </c>
      <c r="J14" t="s">
        <v>60</v>
      </c>
      <c r="K14">
        <v>15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f t="shared" si="0"/>
        <v>14</v>
      </c>
      <c r="B15">
        <v>0</v>
      </c>
      <c r="C15" t="s">
        <v>37</v>
      </c>
      <c r="D15" t="s">
        <v>61</v>
      </c>
      <c r="E15" t="s">
        <v>39</v>
      </c>
      <c r="F15" t="s">
        <v>40</v>
      </c>
      <c r="G15">
        <v>14</v>
      </c>
      <c r="H15" t="s">
        <v>62</v>
      </c>
      <c r="I15">
        <v>48000000</v>
      </c>
      <c r="J15" t="s">
        <v>63</v>
      </c>
      <c r="K15">
        <v>15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f t="shared" si="0"/>
        <v>15</v>
      </c>
      <c r="B16">
        <v>0</v>
      </c>
      <c r="C16" t="s">
        <v>37</v>
      </c>
      <c r="D16" t="s">
        <v>64</v>
      </c>
      <c r="E16" t="s">
        <v>39</v>
      </c>
      <c r="F16" t="s">
        <v>40</v>
      </c>
      <c r="G16">
        <v>18</v>
      </c>
      <c r="H16" t="s">
        <v>65</v>
      </c>
      <c r="I16">
        <v>96000000</v>
      </c>
      <c r="J16" t="s">
        <v>66</v>
      </c>
      <c r="K16">
        <v>15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f t="shared" si="0"/>
        <v>16</v>
      </c>
      <c r="B17">
        <v>0</v>
      </c>
      <c r="C17" t="s">
        <v>37</v>
      </c>
      <c r="D17" t="s">
        <v>67</v>
      </c>
      <c r="E17" t="s">
        <v>39</v>
      </c>
      <c r="F17" t="s">
        <v>40</v>
      </c>
      <c r="G17">
        <v>24</v>
      </c>
      <c r="H17" t="s">
        <v>68</v>
      </c>
      <c r="I17">
        <v>192000000</v>
      </c>
      <c r="J17" t="s">
        <v>69</v>
      </c>
      <c r="K17">
        <v>15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f t="shared" si="0"/>
        <v>17</v>
      </c>
      <c r="B18">
        <v>0</v>
      </c>
      <c r="C18" t="s">
        <v>37</v>
      </c>
      <c r="D18" t="s">
        <v>70</v>
      </c>
      <c r="E18" t="s">
        <v>39</v>
      </c>
      <c r="F18" t="s">
        <v>40</v>
      </c>
      <c r="G18">
        <v>30</v>
      </c>
      <c r="H18" t="s">
        <v>71</v>
      </c>
      <c r="I18">
        <v>384000000</v>
      </c>
      <c r="J18" t="s">
        <v>72</v>
      </c>
      <c r="K18">
        <v>15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f t="shared" si="0"/>
        <v>18</v>
      </c>
      <c r="B19">
        <v>0</v>
      </c>
      <c r="C19" t="s">
        <v>37</v>
      </c>
      <c r="D19" t="s">
        <v>73</v>
      </c>
      <c r="E19" t="s">
        <v>39</v>
      </c>
      <c r="F19" t="s">
        <v>40</v>
      </c>
      <c r="G19">
        <v>60</v>
      </c>
      <c r="H19" t="s">
        <v>74</v>
      </c>
      <c r="I19">
        <v>768000000</v>
      </c>
      <c r="J19" t="s">
        <v>75</v>
      </c>
      <c r="K19">
        <v>15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f t="shared" si="0"/>
        <v>19</v>
      </c>
      <c r="B20">
        <v>0</v>
      </c>
      <c r="C20" t="s">
        <v>37</v>
      </c>
      <c r="D20" t="s">
        <v>76</v>
      </c>
      <c r="E20" t="s">
        <v>39</v>
      </c>
      <c r="F20" t="s">
        <v>40</v>
      </c>
      <c r="G20">
        <v>100</v>
      </c>
      <c r="H20" t="s">
        <v>77</v>
      </c>
      <c r="I20">
        <v>1536000000</v>
      </c>
      <c r="J20" t="s">
        <v>78</v>
      </c>
      <c r="K20">
        <v>15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f t="shared" si="0"/>
        <v>20</v>
      </c>
      <c r="B21">
        <v>0</v>
      </c>
      <c r="C21" t="s">
        <v>37</v>
      </c>
      <c r="D21" t="s">
        <v>79</v>
      </c>
      <c r="E21" t="s">
        <v>39</v>
      </c>
      <c r="F21" t="s">
        <v>40</v>
      </c>
      <c r="G21">
        <v>150</v>
      </c>
      <c r="H21" t="s">
        <v>80</v>
      </c>
      <c r="I21">
        <v>3072000000</v>
      </c>
      <c r="J21" t="s">
        <v>81</v>
      </c>
      <c r="K21">
        <v>15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f t="shared" si="0"/>
        <v>21</v>
      </c>
      <c r="B22">
        <v>0</v>
      </c>
      <c r="C22" t="s">
        <v>37</v>
      </c>
      <c r="D22" t="s">
        <v>82</v>
      </c>
      <c r="E22" t="s">
        <v>39</v>
      </c>
      <c r="F22" t="s">
        <v>40</v>
      </c>
      <c r="G22">
        <v>200</v>
      </c>
      <c r="H22" t="s">
        <v>83</v>
      </c>
      <c r="I22">
        <v>6144000000</v>
      </c>
      <c r="J22" t="s">
        <v>84</v>
      </c>
      <c r="K22">
        <v>15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f t="shared" si="0"/>
        <v>22</v>
      </c>
      <c r="B23">
        <v>0</v>
      </c>
      <c r="C23" t="s">
        <v>37</v>
      </c>
      <c r="D23" t="s">
        <v>85</v>
      </c>
      <c r="E23" t="s">
        <v>39</v>
      </c>
      <c r="F23" t="s">
        <v>40</v>
      </c>
      <c r="G23">
        <v>300</v>
      </c>
      <c r="H23" t="s">
        <v>86</v>
      </c>
      <c r="I23">
        <v>12288000000</v>
      </c>
      <c r="J23" t="s">
        <v>87</v>
      </c>
      <c r="K23">
        <v>15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f t="shared" si="0"/>
        <v>23</v>
      </c>
      <c r="B24">
        <v>0</v>
      </c>
      <c r="C24" t="s">
        <v>37</v>
      </c>
      <c r="D24" t="s">
        <v>88</v>
      </c>
      <c r="E24" t="s">
        <v>39</v>
      </c>
      <c r="F24" t="s">
        <v>40</v>
      </c>
      <c r="G24">
        <v>450</v>
      </c>
      <c r="H24" t="s">
        <v>89</v>
      </c>
      <c r="I24">
        <v>24576000000</v>
      </c>
      <c r="J24" t="s">
        <v>90</v>
      </c>
      <c r="K24">
        <v>15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f t="shared" si="0"/>
        <v>24</v>
      </c>
      <c r="B25">
        <v>0</v>
      </c>
      <c r="C25" t="s">
        <v>37</v>
      </c>
      <c r="D25" t="s">
        <v>91</v>
      </c>
      <c r="E25" t="s">
        <v>39</v>
      </c>
      <c r="F25" t="s">
        <v>40</v>
      </c>
      <c r="G25">
        <v>650</v>
      </c>
      <c r="H25" t="s">
        <v>92</v>
      </c>
      <c r="I25">
        <v>49152000000</v>
      </c>
      <c r="J25" t="s">
        <v>93</v>
      </c>
      <c r="K25">
        <v>15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f t="shared" si="0"/>
        <v>25</v>
      </c>
      <c r="B26">
        <v>0</v>
      </c>
      <c r="C26" t="s">
        <v>37</v>
      </c>
      <c r="D26" t="s">
        <v>94</v>
      </c>
      <c r="E26" t="s">
        <v>39</v>
      </c>
      <c r="F26" t="s">
        <v>40</v>
      </c>
      <c r="G26">
        <v>800</v>
      </c>
      <c r="H26" t="s">
        <v>95</v>
      </c>
      <c r="I26">
        <v>98304000000</v>
      </c>
      <c r="J26" t="s">
        <v>96</v>
      </c>
      <c r="K26">
        <v>15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f t="shared" si="0"/>
        <v>26</v>
      </c>
      <c r="B27">
        <v>0</v>
      </c>
      <c r="C27" t="s">
        <v>37</v>
      </c>
      <c r="D27" t="s">
        <v>97</v>
      </c>
      <c r="E27" t="s">
        <v>39</v>
      </c>
      <c r="F27" t="s">
        <v>40</v>
      </c>
      <c r="G27">
        <v>1200</v>
      </c>
      <c r="H27" t="s">
        <v>98</v>
      </c>
      <c r="I27">
        <v>196608000000</v>
      </c>
      <c r="J27" t="s">
        <v>99</v>
      </c>
      <c r="K27">
        <v>15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f t="shared" si="0"/>
        <v>27</v>
      </c>
      <c r="B28">
        <v>0</v>
      </c>
      <c r="C28" t="s">
        <v>37</v>
      </c>
      <c r="D28" t="s">
        <v>100</v>
      </c>
      <c r="E28" t="s">
        <v>39</v>
      </c>
      <c r="F28" t="s">
        <v>40</v>
      </c>
      <c r="G28">
        <v>2500</v>
      </c>
      <c r="H28" t="s">
        <v>101</v>
      </c>
      <c r="I28">
        <v>393216000000</v>
      </c>
      <c r="J28" t="s">
        <v>102</v>
      </c>
      <c r="K28">
        <v>15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f t="shared" si="0"/>
        <v>28</v>
      </c>
      <c r="B29">
        <v>0</v>
      </c>
      <c r="C29" t="s">
        <v>103</v>
      </c>
      <c r="D29" t="s">
        <v>104</v>
      </c>
      <c r="E29" t="s">
        <v>105</v>
      </c>
      <c r="F29" t="s">
        <v>106</v>
      </c>
      <c r="G29">
        <v>200</v>
      </c>
      <c r="H29">
        <v>25</v>
      </c>
      <c r="I29">
        <v>10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f>A29+1</f>
        <v>29</v>
      </c>
      <c r="B30">
        <v>0</v>
      </c>
      <c r="C30" t="s">
        <v>103</v>
      </c>
      <c r="D30" t="s">
        <v>107</v>
      </c>
      <c r="E30" t="s">
        <v>108</v>
      </c>
      <c r="F30" t="s">
        <v>109</v>
      </c>
      <c r="G30">
        <v>40</v>
      </c>
      <c r="H30">
        <v>2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f t="shared" si="0"/>
        <v>30</v>
      </c>
      <c r="B31">
        <v>0</v>
      </c>
      <c r="C31" t="s">
        <v>103</v>
      </c>
      <c r="D31" t="s">
        <v>110</v>
      </c>
      <c r="E31" t="s">
        <v>111</v>
      </c>
      <c r="F31" t="s">
        <v>112</v>
      </c>
      <c r="G31">
        <v>2</v>
      </c>
      <c r="H31">
        <v>2E-3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f t="shared" si="0"/>
        <v>31</v>
      </c>
      <c r="B32">
        <v>0</v>
      </c>
      <c r="C32" t="s">
        <v>103</v>
      </c>
      <c r="D32" t="s">
        <v>113</v>
      </c>
      <c r="E32" t="s">
        <v>114</v>
      </c>
      <c r="F32" t="s">
        <v>115</v>
      </c>
      <c r="G32">
        <v>8</v>
      </c>
      <c r="H32">
        <v>1.2</v>
      </c>
      <c r="I32">
        <v>2.5</v>
      </c>
      <c r="J32">
        <v>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f t="shared" si="0"/>
        <v>32</v>
      </c>
      <c r="B33">
        <v>0</v>
      </c>
      <c r="C33" t="s">
        <v>103</v>
      </c>
      <c r="D33" t="s">
        <v>116</v>
      </c>
      <c r="E33" t="s">
        <v>117</v>
      </c>
      <c r="F33" t="s">
        <v>118</v>
      </c>
      <c r="G33">
        <v>6</v>
      </c>
      <c r="H33">
        <v>1.2</v>
      </c>
      <c r="I33">
        <v>2.5</v>
      </c>
      <c r="J33">
        <v>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f t="shared" si="0"/>
        <v>33</v>
      </c>
      <c r="B34">
        <v>0</v>
      </c>
      <c r="C34" t="s">
        <v>103</v>
      </c>
      <c r="D34" t="s">
        <v>119</v>
      </c>
      <c r="E34" t="s">
        <v>120</v>
      </c>
      <c r="F34" t="s">
        <v>121</v>
      </c>
      <c r="G34">
        <v>3</v>
      </c>
      <c r="H34">
        <v>0.75</v>
      </c>
      <c r="I34">
        <v>2.4</v>
      </c>
      <c r="J34">
        <v>0.35</v>
      </c>
      <c r="K34">
        <v>0.65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f t="shared" si="0"/>
        <v>34</v>
      </c>
      <c r="B35">
        <v>0</v>
      </c>
      <c r="C35" t="s">
        <v>103</v>
      </c>
      <c r="D35" t="s">
        <v>122</v>
      </c>
      <c r="E35" t="s">
        <v>123</v>
      </c>
      <c r="F35" t="s">
        <v>124</v>
      </c>
      <c r="G35">
        <v>2</v>
      </c>
      <c r="H35">
        <v>0.75</v>
      </c>
      <c r="I35">
        <v>2.4</v>
      </c>
      <c r="J35">
        <v>0.35</v>
      </c>
      <c r="K35">
        <v>0.65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f t="shared" si="0"/>
        <v>35</v>
      </c>
      <c r="B36">
        <v>0</v>
      </c>
      <c r="C36" t="s">
        <v>103</v>
      </c>
      <c r="D36" t="s">
        <v>125</v>
      </c>
      <c r="E36" t="s">
        <v>126</v>
      </c>
      <c r="F36" t="s">
        <v>127</v>
      </c>
      <c r="G36">
        <v>5</v>
      </c>
      <c r="H36">
        <v>1.0000000000000001E-5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f t="shared" si="0"/>
        <v>36</v>
      </c>
      <c r="B37">
        <v>0</v>
      </c>
      <c r="C37" t="s">
        <v>103</v>
      </c>
      <c r="D37" t="s">
        <v>128</v>
      </c>
      <c r="E37" t="s">
        <v>129</v>
      </c>
      <c r="F37" t="s">
        <v>130</v>
      </c>
      <c r="G37">
        <v>0.875</v>
      </c>
      <c r="H37">
        <v>2.5000000000000001E-3</v>
      </c>
      <c r="I37">
        <v>0.05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f t="shared" si="0"/>
        <v>37</v>
      </c>
      <c r="B38">
        <v>0</v>
      </c>
      <c r="C38" t="s">
        <v>103</v>
      </c>
      <c r="D38" t="s">
        <v>131</v>
      </c>
      <c r="E38" t="s">
        <v>132</v>
      </c>
      <c r="F38" t="s">
        <v>133</v>
      </c>
      <c r="G38">
        <v>150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f t="shared" si="0"/>
        <v>38</v>
      </c>
      <c r="B39">
        <v>0</v>
      </c>
      <c r="C39" t="s">
        <v>103</v>
      </c>
      <c r="D39" t="s">
        <v>134</v>
      </c>
      <c r="E39" t="s">
        <v>135</v>
      </c>
      <c r="F39" t="s">
        <v>136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f t="shared" si="0"/>
        <v>39</v>
      </c>
      <c r="B40">
        <v>0</v>
      </c>
      <c r="C40" t="s">
        <v>103</v>
      </c>
      <c r="D40" t="s">
        <v>137</v>
      </c>
      <c r="E40" t="s">
        <v>138</v>
      </c>
      <c r="F40" t="s">
        <v>139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f t="shared" si="0"/>
        <v>40</v>
      </c>
      <c r="B41">
        <v>0</v>
      </c>
      <c r="C41" t="s">
        <v>103</v>
      </c>
      <c r="D41" t="s">
        <v>140</v>
      </c>
      <c r="E41" t="s">
        <v>138</v>
      </c>
      <c r="F41" t="s">
        <v>141</v>
      </c>
      <c r="G41">
        <v>3.4999999999999999E-6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f t="shared" si="0"/>
        <v>41</v>
      </c>
      <c r="B42">
        <v>0</v>
      </c>
      <c r="C42" t="s">
        <v>103</v>
      </c>
      <c r="D42" t="s">
        <v>142</v>
      </c>
      <c r="E42" t="s">
        <v>143</v>
      </c>
      <c r="F42" t="s">
        <v>144</v>
      </c>
      <c r="G42">
        <v>0.5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ht="15.75" x14ac:dyDescent="0.25">
      <c r="A43">
        <f t="shared" si="0"/>
        <v>42</v>
      </c>
      <c r="B43">
        <v>0</v>
      </c>
      <c r="C43" t="s">
        <v>103</v>
      </c>
      <c r="D43" t="s">
        <v>145</v>
      </c>
      <c r="E43" s="1" t="s">
        <v>1073</v>
      </c>
      <c r="F43" s="2" t="s">
        <v>1074</v>
      </c>
      <c r="G43">
        <v>2</v>
      </c>
      <c r="H43">
        <v>20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f t="shared" si="0"/>
        <v>43</v>
      </c>
      <c r="B44">
        <v>0</v>
      </c>
      <c r="C44" t="s">
        <v>103</v>
      </c>
      <c r="D44" t="s">
        <v>146</v>
      </c>
      <c r="E44" t="s">
        <v>147</v>
      </c>
      <c r="F44" t="s">
        <v>148</v>
      </c>
      <c r="G44">
        <v>100</v>
      </c>
      <c r="H44">
        <v>100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f t="shared" si="0"/>
        <v>44</v>
      </c>
      <c r="B45">
        <v>0</v>
      </c>
      <c r="C45" t="s">
        <v>149</v>
      </c>
      <c r="D45" t="s">
        <v>150</v>
      </c>
      <c r="E45" t="s">
        <v>151</v>
      </c>
      <c r="F45" t="s">
        <v>152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f t="shared" si="0"/>
        <v>45</v>
      </c>
      <c r="B46">
        <v>0</v>
      </c>
      <c r="C46" t="s">
        <v>149</v>
      </c>
      <c r="D46" t="s">
        <v>153</v>
      </c>
      <c r="E46" t="s">
        <v>151</v>
      </c>
      <c r="F46" t="s">
        <v>154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f t="shared" si="0"/>
        <v>46</v>
      </c>
      <c r="B47">
        <v>0</v>
      </c>
      <c r="C47" t="s">
        <v>149</v>
      </c>
      <c r="D47" t="s">
        <v>155</v>
      </c>
      <c r="E47" t="s">
        <v>151</v>
      </c>
      <c r="F47" t="s">
        <v>156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f t="shared" si="0"/>
        <v>47</v>
      </c>
      <c r="B48">
        <v>0</v>
      </c>
      <c r="C48" t="s">
        <v>149</v>
      </c>
      <c r="D48" t="s">
        <v>157</v>
      </c>
      <c r="E48" t="s">
        <v>151</v>
      </c>
      <c r="F48" t="s">
        <v>158</v>
      </c>
      <c r="G48">
        <v>60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f t="shared" si="0"/>
        <v>48</v>
      </c>
      <c r="B49">
        <v>0</v>
      </c>
      <c r="C49" t="s">
        <v>149</v>
      </c>
      <c r="D49" t="s">
        <v>159</v>
      </c>
      <c r="E49" t="s">
        <v>151</v>
      </c>
      <c r="F49" t="s">
        <v>160</v>
      </c>
      <c r="G49">
        <v>50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f t="shared" si="0"/>
        <v>49</v>
      </c>
      <c r="B50">
        <v>0</v>
      </c>
      <c r="C50" t="s">
        <v>149</v>
      </c>
      <c r="D50" t="s">
        <v>161</v>
      </c>
      <c r="E50" t="s">
        <v>151</v>
      </c>
      <c r="F50" t="s">
        <v>162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f t="shared" si="0"/>
        <v>50</v>
      </c>
      <c r="B51">
        <v>0</v>
      </c>
      <c r="C51" t="s">
        <v>149</v>
      </c>
      <c r="D51" t="s">
        <v>163</v>
      </c>
      <c r="E51" t="s">
        <v>151</v>
      </c>
      <c r="F51" t="s">
        <v>164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f t="shared" si="0"/>
        <v>51</v>
      </c>
      <c r="B52">
        <v>0</v>
      </c>
      <c r="C52" t="s">
        <v>149</v>
      </c>
      <c r="D52" t="s">
        <v>165</v>
      </c>
      <c r="E52" t="s">
        <v>151</v>
      </c>
      <c r="F52" t="s">
        <v>166</v>
      </c>
      <c r="G52">
        <v>50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f t="shared" si="0"/>
        <v>52</v>
      </c>
      <c r="B53">
        <v>0</v>
      </c>
      <c r="C53" t="s">
        <v>149</v>
      </c>
      <c r="D53" t="s">
        <v>167</v>
      </c>
      <c r="E53" t="s">
        <v>151</v>
      </c>
      <c r="F53" t="s">
        <v>168</v>
      </c>
      <c r="G53">
        <v>50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f t="shared" si="0"/>
        <v>53</v>
      </c>
      <c r="B54">
        <v>0</v>
      </c>
      <c r="C54" t="s">
        <v>149</v>
      </c>
      <c r="D54" t="s">
        <v>169</v>
      </c>
      <c r="E54" t="s">
        <v>151</v>
      </c>
      <c r="F54" t="s">
        <v>170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f t="shared" si="0"/>
        <v>54</v>
      </c>
      <c r="B55">
        <v>0</v>
      </c>
      <c r="C55" t="s">
        <v>149</v>
      </c>
      <c r="D55" t="s">
        <v>171</v>
      </c>
      <c r="E55" t="s">
        <v>151</v>
      </c>
      <c r="F55" t="s">
        <v>172</v>
      </c>
      <c r="G55">
        <v>80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f t="shared" si="0"/>
        <v>55</v>
      </c>
      <c r="B56">
        <v>0</v>
      </c>
      <c r="C56" t="s">
        <v>149</v>
      </c>
      <c r="D56" t="s">
        <v>173</v>
      </c>
      <c r="E56" t="s">
        <v>151</v>
      </c>
      <c r="F56" t="s">
        <v>174</v>
      </c>
      <c r="G56">
        <v>80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f t="shared" si="0"/>
        <v>56</v>
      </c>
      <c r="B57">
        <v>0</v>
      </c>
      <c r="C57" t="s">
        <v>149</v>
      </c>
      <c r="D57" t="s">
        <v>175</v>
      </c>
      <c r="E57" t="s">
        <v>151</v>
      </c>
      <c r="F57" t="s">
        <v>176</v>
      </c>
      <c r="G57">
        <v>60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f t="shared" si="0"/>
        <v>57</v>
      </c>
      <c r="B58">
        <v>0</v>
      </c>
      <c r="C58" t="s">
        <v>149</v>
      </c>
      <c r="D58" t="s">
        <v>177</v>
      </c>
      <c r="E58" t="s">
        <v>151</v>
      </c>
      <c r="F58" t="s">
        <v>178</v>
      </c>
      <c r="G58">
        <v>50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f t="shared" si="0"/>
        <v>58</v>
      </c>
      <c r="B59">
        <v>0</v>
      </c>
      <c r="C59" t="s">
        <v>149</v>
      </c>
      <c r="D59" t="s">
        <v>179</v>
      </c>
      <c r="E59" t="s">
        <v>151</v>
      </c>
      <c r="F59" t="s">
        <v>180</v>
      </c>
      <c r="G59">
        <v>100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f t="shared" si="0"/>
        <v>59</v>
      </c>
      <c r="B60">
        <v>0</v>
      </c>
      <c r="C60" t="s">
        <v>149</v>
      </c>
      <c r="D60" t="s">
        <v>181</v>
      </c>
      <c r="E60" t="s">
        <v>151</v>
      </c>
      <c r="F60" t="s">
        <v>182</v>
      </c>
      <c r="G60">
        <v>60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f t="shared" si="0"/>
        <v>60</v>
      </c>
      <c r="B61">
        <v>0</v>
      </c>
      <c r="C61" t="s">
        <v>149</v>
      </c>
      <c r="D61" t="s">
        <v>183</v>
      </c>
      <c r="E61" t="s">
        <v>151</v>
      </c>
      <c r="F61" t="s">
        <v>184</v>
      </c>
      <c r="G61">
        <v>30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f t="shared" si="0"/>
        <v>61</v>
      </c>
      <c r="B62">
        <v>0</v>
      </c>
      <c r="C62" t="s">
        <v>149</v>
      </c>
      <c r="D62" t="s">
        <v>185</v>
      </c>
      <c r="E62" t="s">
        <v>151</v>
      </c>
      <c r="F62" t="s">
        <v>186</v>
      </c>
      <c r="G62">
        <v>100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f t="shared" si="0"/>
        <v>62</v>
      </c>
      <c r="B63">
        <v>0</v>
      </c>
      <c r="C63" t="s">
        <v>149</v>
      </c>
      <c r="D63" t="s">
        <v>187</v>
      </c>
      <c r="E63" t="s">
        <v>151</v>
      </c>
      <c r="F63" t="s">
        <v>188</v>
      </c>
      <c r="G63">
        <v>45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f t="shared" si="0"/>
        <v>63</v>
      </c>
      <c r="B64">
        <v>0</v>
      </c>
      <c r="C64" t="s">
        <v>149</v>
      </c>
      <c r="D64" t="s">
        <v>189</v>
      </c>
      <c r="E64" t="s">
        <v>151</v>
      </c>
      <c r="F64" t="s">
        <v>190</v>
      </c>
      <c r="G64">
        <v>30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f t="shared" si="0"/>
        <v>64</v>
      </c>
      <c r="B65">
        <v>0</v>
      </c>
      <c r="C65" t="s">
        <v>191</v>
      </c>
      <c r="D65" t="s">
        <v>192</v>
      </c>
      <c r="E65" t="s">
        <v>193</v>
      </c>
      <c r="F65" t="s">
        <v>194</v>
      </c>
      <c r="G65">
        <v>60</v>
      </c>
      <c r="H65">
        <v>8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f t="shared" si="0"/>
        <v>65</v>
      </c>
      <c r="B66">
        <v>0</v>
      </c>
      <c r="C66" t="s">
        <v>191</v>
      </c>
      <c r="D66" t="s">
        <v>195</v>
      </c>
      <c r="E66" t="s">
        <v>196</v>
      </c>
      <c r="F66" t="s">
        <v>197</v>
      </c>
      <c r="G66">
        <v>100</v>
      </c>
      <c r="H66">
        <v>0.25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x14ac:dyDescent="0.25">
      <c r="A67">
        <f t="shared" si="0"/>
        <v>66</v>
      </c>
      <c r="B67">
        <v>0</v>
      </c>
      <c r="C67" t="s">
        <v>191</v>
      </c>
      <c r="D67" t="s">
        <v>198</v>
      </c>
      <c r="E67" t="s">
        <v>199</v>
      </c>
      <c r="F67" t="s">
        <v>200</v>
      </c>
      <c r="G67">
        <v>1.8</v>
      </c>
      <c r="H67">
        <v>10</v>
      </c>
      <c r="I67">
        <v>0.1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x14ac:dyDescent="0.25">
      <c r="A68">
        <f t="shared" ref="A68:A131" si="1">A67+1</f>
        <v>67</v>
      </c>
      <c r="B68">
        <v>0</v>
      </c>
      <c r="C68" t="s">
        <v>191</v>
      </c>
      <c r="D68" t="s">
        <v>201</v>
      </c>
      <c r="E68" t="s">
        <v>199</v>
      </c>
      <c r="F68" t="s">
        <v>200</v>
      </c>
      <c r="G68">
        <v>1.8</v>
      </c>
      <c r="H68">
        <v>10</v>
      </c>
      <c r="I68">
        <v>0.1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f t="shared" si="1"/>
        <v>68</v>
      </c>
      <c r="B69">
        <v>0</v>
      </c>
      <c r="C69" t="s">
        <v>191</v>
      </c>
      <c r="D69" t="s">
        <v>202</v>
      </c>
      <c r="E69" t="s">
        <v>199</v>
      </c>
      <c r="F69" t="s">
        <v>203</v>
      </c>
      <c r="G69">
        <v>1.8</v>
      </c>
      <c r="H69">
        <v>10</v>
      </c>
      <c r="I69">
        <v>0.1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f t="shared" si="1"/>
        <v>69</v>
      </c>
      <c r="B70">
        <v>0</v>
      </c>
      <c r="C70" t="s">
        <v>191</v>
      </c>
      <c r="D70" t="s">
        <v>204</v>
      </c>
      <c r="E70" t="s">
        <v>205</v>
      </c>
      <c r="F70" t="s">
        <v>206</v>
      </c>
      <c r="G70">
        <v>0.9</v>
      </c>
      <c r="H70">
        <v>1.1000000000000001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f t="shared" si="1"/>
        <v>70</v>
      </c>
      <c r="B71">
        <v>0</v>
      </c>
      <c r="C71" t="s">
        <v>191</v>
      </c>
      <c r="D71" t="s">
        <v>207</v>
      </c>
      <c r="E71" t="s">
        <v>208</v>
      </c>
      <c r="F71" t="s">
        <v>209</v>
      </c>
      <c r="G71">
        <v>1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f t="shared" si="1"/>
        <v>71</v>
      </c>
      <c r="B72">
        <v>0</v>
      </c>
      <c r="C72" t="s">
        <v>191</v>
      </c>
      <c r="D72" t="s">
        <v>210</v>
      </c>
      <c r="E72" t="s">
        <v>211</v>
      </c>
      <c r="F72" t="s">
        <v>212</v>
      </c>
      <c r="G72">
        <v>0.7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f t="shared" si="1"/>
        <v>72</v>
      </c>
      <c r="B73">
        <v>0</v>
      </c>
      <c r="C73" t="s">
        <v>191</v>
      </c>
      <c r="D73" t="s">
        <v>213</v>
      </c>
      <c r="E73" t="s">
        <v>214</v>
      </c>
      <c r="F73" t="s">
        <v>215</v>
      </c>
      <c r="G73">
        <v>1</v>
      </c>
      <c r="H73">
        <v>3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f t="shared" si="1"/>
        <v>73</v>
      </c>
      <c r="B74">
        <v>0</v>
      </c>
      <c r="C74" t="s">
        <v>191</v>
      </c>
      <c r="D74" t="s">
        <v>216</v>
      </c>
      <c r="E74" t="s">
        <v>217</v>
      </c>
      <c r="F74" t="s">
        <v>218</v>
      </c>
      <c r="G74">
        <v>12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f t="shared" si="1"/>
        <v>74</v>
      </c>
      <c r="B75">
        <v>0</v>
      </c>
      <c r="C75" t="s">
        <v>191</v>
      </c>
      <c r="D75" t="s">
        <v>219</v>
      </c>
      <c r="E75" t="s">
        <v>220</v>
      </c>
      <c r="F75" t="s">
        <v>221</v>
      </c>
      <c r="G75">
        <v>1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f t="shared" si="1"/>
        <v>75</v>
      </c>
      <c r="B76">
        <v>0</v>
      </c>
      <c r="C76" t="s">
        <v>191</v>
      </c>
      <c r="D76" t="s">
        <v>222</v>
      </c>
      <c r="E76" t="s">
        <v>223</v>
      </c>
      <c r="F76" t="s">
        <v>224</v>
      </c>
      <c r="G76">
        <v>10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f t="shared" si="1"/>
        <v>76</v>
      </c>
      <c r="B77">
        <v>0</v>
      </c>
      <c r="C77" t="s">
        <v>191</v>
      </c>
      <c r="D77" t="s">
        <v>225</v>
      </c>
      <c r="E77" t="s">
        <v>217</v>
      </c>
      <c r="F77" t="s">
        <v>226</v>
      </c>
      <c r="G77">
        <v>10000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f t="shared" si="1"/>
        <v>77</v>
      </c>
      <c r="B78">
        <v>0</v>
      </c>
      <c r="C78" t="s">
        <v>191</v>
      </c>
      <c r="D78" t="s">
        <v>227</v>
      </c>
      <c r="E78" t="s">
        <v>228</v>
      </c>
      <c r="F78" t="s">
        <v>229</v>
      </c>
      <c r="G78">
        <v>50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f t="shared" si="1"/>
        <v>78</v>
      </c>
      <c r="B79">
        <v>0</v>
      </c>
      <c r="C79" t="s">
        <v>191</v>
      </c>
      <c r="D79" t="s">
        <v>230</v>
      </c>
      <c r="E79" t="s">
        <v>231</v>
      </c>
      <c r="F79" t="s">
        <v>232</v>
      </c>
      <c r="G79">
        <v>30</v>
      </c>
      <c r="H79">
        <v>60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f t="shared" si="1"/>
        <v>79</v>
      </c>
      <c r="B80">
        <v>0</v>
      </c>
      <c r="C80" t="s">
        <v>191</v>
      </c>
      <c r="D80" t="s">
        <v>233</v>
      </c>
      <c r="E80" t="s">
        <v>234</v>
      </c>
      <c r="F80" t="s">
        <v>235</v>
      </c>
      <c r="G80">
        <v>100</v>
      </c>
      <c r="H80">
        <v>0.75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f t="shared" si="1"/>
        <v>80</v>
      </c>
      <c r="B81">
        <v>0</v>
      </c>
      <c r="C81" t="s">
        <v>191</v>
      </c>
      <c r="D81" t="s">
        <v>236</v>
      </c>
      <c r="E81" t="s">
        <v>237</v>
      </c>
      <c r="F81" t="s">
        <v>238</v>
      </c>
      <c r="G81">
        <v>8</v>
      </c>
      <c r="H81">
        <v>6</v>
      </c>
      <c r="I81">
        <v>4</v>
      </c>
      <c r="J81">
        <v>300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x14ac:dyDescent="0.25">
      <c r="A82">
        <f t="shared" si="1"/>
        <v>81</v>
      </c>
      <c r="B82">
        <v>0</v>
      </c>
      <c r="C82" t="s">
        <v>191</v>
      </c>
      <c r="D82" t="s">
        <v>239</v>
      </c>
      <c r="E82" t="s">
        <v>240</v>
      </c>
      <c r="F82" t="s">
        <v>241</v>
      </c>
      <c r="G82">
        <v>0.01</v>
      </c>
      <c r="H82">
        <v>100</v>
      </c>
      <c r="I82">
        <v>0.68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f t="shared" si="1"/>
        <v>82</v>
      </c>
      <c r="B83">
        <v>0</v>
      </c>
      <c r="C83" t="s">
        <v>242</v>
      </c>
      <c r="D83" t="s">
        <v>243</v>
      </c>
      <c r="E83" t="s">
        <v>244</v>
      </c>
      <c r="F83" t="s">
        <v>245</v>
      </c>
      <c r="G83">
        <v>15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f t="shared" si="1"/>
        <v>83</v>
      </c>
      <c r="B84">
        <v>0</v>
      </c>
      <c r="C84" t="s">
        <v>242</v>
      </c>
      <c r="D84" t="s">
        <v>246</v>
      </c>
      <c r="E84" t="s">
        <v>244</v>
      </c>
      <c r="F84" t="s">
        <v>247</v>
      </c>
      <c r="G84">
        <v>10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f t="shared" si="1"/>
        <v>84</v>
      </c>
      <c r="B85">
        <v>0</v>
      </c>
      <c r="C85" t="s">
        <v>242</v>
      </c>
      <c r="D85" t="s">
        <v>248</v>
      </c>
      <c r="E85" t="s">
        <v>244</v>
      </c>
      <c r="F85" t="s">
        <v>249</v>
      </c>
      <c r="G85">
        <v>25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f t="shared" si="1"/>
        <v>85</v>
      </c>
      <c r="B86">
        <v>0</v>
      </c>
      <c r="C86" t="s">
        <v>242</v>
      </c>
      <c r="D86" t="s">
        <v>250</v>
      </c>
      <c r="E86" t="s">
        <v>244</v>
      </c>
      <c r="F86" t="s">
        <v>251</v>
      </c>
      <c r="G86">
        <v>20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f t="shared" si="1"/>
        <v>86</v>
      </c>
      <c r="B87">
        <v>0</v>
      </c>
      <c r="C87" t="s">
        <v>242</v>
      </c>
      <c r="D87" t="s">
        <v>252</v>
      </c>
      <c r="E87" t="s">
        <v>244</v>
      </c>
      <c r="F87" t="s">
        <v>253</v>
      </c>
      <c r="G87">
        <v>100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f t="shared" si="1"/>
        <v>87</v>
      </c>
      <c r="B88">
        <v>0</v>
      </c>
      <c r="C88" t="s">
        <v>254</v>
      </c>
      <c r="D88" t="s">
        <v>255</v>
      </c>
      <c r="E88" t="s">
        <v>256</v>
      </c>
      <c r="F88" t="s">
        <v>257</v>
      </c>
      <c r="G88">
        <v>30</v>
      </c>
      <c r="H88">
        <v>20</v>
      </c>
      <c r="I88">
        <v>1.06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f t="shared" si="1"/>
        <v>88</v>
      </c>
      <c r="B89">
        <v>0</v>
      </c>
      <c r="C89" t="s">
        <v>254</v>
      </c>
      <c r="D89" t="s">
        <v>258</v>
      </c>
      <c r="E89" t="s">
        <v>256</v>
      </c>
      <c r="F89" t="s">
        <v>257</v>
      </c>
      <c r="G89">
        <v>3</v>
      </c>
      <c r="H89">
        <v>5</v>
      </c>
      <c r="I89">
        <v>1.0549999999999999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f t="shared" si="1"/>
        <v>89</v>
      </c>
      <c r="B90">
        <v>0</v>
      </c>
      <c r="C90" t="s">
        <v>254</v>
      </c>
      <c r="D90" t="s">
        <v>119</v>
      </c>
      <c r="E90" t="s">
        <v>256</v>
      </c>
      <c r="F90" t="s">
        <v>259</v>
      </c>
      <c r="G90">
        <v>2</v>
      </c>
      <c r="H90">
        <v>0.5</v>
      </c>
      <c r="I90">
        <v>1.06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f t="shared" si="1"/>
        <v>90</v>
      </c>
      <c r="B91">
        <v>0</v>
      </c>
      <c r="C91" t="s">
        <v>254</v>
      </c>
      <c r="D91" t="s">
        <v>260</v>
      </c>
      <c r="E91" t="s">
        <v>256</v>
      </c>
      <c r="F91" t="s">
        <v>257</v>
      </c>
      <c r="G91">
        <v>250</v>
      </c>
      <c r="H91">
        <v>1</v>
      </c>
      <c r="I91">
        <v>1.018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f t="shared" si="1"/>
        <v>91</v>
      </c>
      <c r="B92">
        <v>0</v>
      </c>
      <c r="C92" t="s">
        <v>254</v>
      </c>
      <c r="D92" t="s">
        <v>261</v>
      </c>
      <c r="E92" t="s">
        <v>256</v>
      </c>
      <c r="F92" t="s">
        <v>257</v>
      </c>
      <c r="G92">
        <v>60</v>
      </c>
      <c r="H92">
        <v>1</v>
      </c>
      <c r="I92">
        <v>1.06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f t="shared" si="1"/>
        <v>92</v>
      </c>
      <c r="B93">
        <v>0</v>
      </c>
      <c r="C93" t="s">
        <v>254</v>
      </c>
      <c r="D93" t="s">
        <v>134</v>
      </c>
      <c r="E93" t="s">
        <v>262</v>
      </c>
      <c r="F93" t="s">
        <v>263</v>
      </c>
      <c r="G93">
        <v>1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f t="shared" si="1"/>
        <v>93</v>
      </c>
      <c r="B94">
        <v>0</v>
      </c>
      <c r="C94" t="s">
        <v>254</v>
      </c>
      <c r="D94" t="s">
        <v>137</v>
      </c>
      <c r="E94" t="s">
        <v>264</v>
      </c>
      <c r="F94" t="s">
        <v>265</v>
      </c>
      <c r="G94">
        <v>100</v>
      </c>
      <c r="H94" t="s">
        <v>266</v>
      </c>
      <c r="I94" t="s">
        <v>267</v>
      </c>
      <c r="J94" t="s">
        <v>268</v>
      </c>
      <c r="K94" t="s">
        <v>269</v>
      </c>
      <c r="L94" t="s">
        <v>270</v>
      </c>
      <c r="M94" t="s">
        <v>271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x14ac:dyDescent="0.25">
      <c r="A95">
        <f t="shared" si="1"/>
        <v>94</v>
      </c>
      <c r="B95">
        <v>0</v>
      </c>
      <c r="C95" t="s">
        <v>254</v>
      </c>
      <c r="D95" t="s">
        <v>140</v>
      </c>
      <c r="E95" t="s">
        <v>264</v>
      </c>
      <c r="F95" t="s">
        <v>272</v>
      </c>
      <c r="G95">
        <v>5</v>
      </c>
      <c r="H95" t="s">
        <v>266</v>
      </c>
      <c r="I95" t="s">
        <v>273</v>
      </c>
      <c r="J95" t="s">
        <v>274</v>
      </c>
      <c r="K95" t="s">
        <v>275</v>
      </c>
      <c r="L95" t="s">
        <v>276</v>
      </c>
      <c r="M95" t="s">
        <v>277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x14ac:dyDescent="0.25">
      <c r="A96">
        <f t="shared" si="1"/>
        <v>95</v>
      </c>
      <c r="B96">
        <v>0</v>
      </c>
      <c r="C96" t="s">
        <v>254</v>
      </c>
      <c r="D96" t="s">
        <v>278</v>
      </c>
      <c r="E96" t="s">
        <v>279</v>
      </c>
      <c r="F96" t="s">
        <v>280</v>
      </c>
      <c r="G96">
        <v>5</v>
      </c>
      <c r="H96">
        <v>2</v>
      </c>
      <c r="I96">
        <v>2</v>
      </c>
      <c r="J96">
        <v>1.5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f t="shared" si="1"/>
        <v>96</v>
      </c>
      <c r="B97">
        <v>0</v>
      </c>
      <c r="C97" t="s">
        <v>254</v>
      </c>
      <c r="D97" t="s">
        <v>281</v>
      </c>
      <c r="E97" t="s">
        <v>282</v>
      </c>
      <c r="F97" t="s">
        <v>283</v>
      </c>
      <c r="G97">
        <v>1.3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f t="shared" si="1"/>
        <v>97</v>
      </c>
      <c r="B98">
        <v>0</v>
      </c>
      <c r="C98" t="s">
        <v>284</v>
      </c>
      <c r="D98" t="s">
        <v>285</v>
      </c>
      <c r="E98" t="s">
        <v>286</v>
      </c>
      <c r="F98" t="s">
        <v>287</v>
      </c>
      <c r="G98">
        <v>1</v>
      </c>
      <c r="H98">
        <v>1</v>
      </c>
      <c r="I98">
        <v>1</v>
      </c>
      <c r="J98">
        <v>1</v>
      </c>
      <c r="K98">
        <v>1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f t="shared" si="1"/>
        <v>98</v>
      </c>
      <c r="B99">
        <v>0</v>
      </c>
      <c r="C99" t="s">
        <v>284</v>
      </c>
      <c r="D99" t="s">
        <v>288</v>
      </c>
      <c r="E99" t="s">
        <v>286</v>
      </c>
      <c r="F99" t="s">
        <v>287</v>
      </c>
      <c r="G99">
        <v>2.2000000000000002</v>
      </c>
      <c r="H99">
        <v>1.8</v>
      </c>
      <c r="I99">
        <v>1.5</v>
      </c>
      <c r="J99">
        <v>1.25</v>
      </c>
      <c r="K99">
        <v>1.2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f t="shared" si="1"/>
        <v>99</v>
      </c>
      <c r="B100">
        <v>0</v>
      </c>
      <c r="C100" t="s">
        <v>284</v>
      </c>
      <c r="D100" t="s">
        <v>289</v>
      </c>
      <c r="E100" t="s">
        <v>286</v>
      </c>
      <c r="F100" t="s">
        <v>287</v>
      </c>
      <c r="G100">
        <v>4.5</v>
      </c>
      <c r="H100">
        <v>3</v>
      </c>
      <c r="I100">
        <v>2.8</v>
      </c>
      <c r="J100">
        <v>1.5</v>
      </c>
      <c r="K100">
        <v>2.2000000000000002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f t="shared" si="1"/>
        <v>100</v>
      </c>
      <c r="B101">
        <v>0</v>
      </c>
      <c r="C101" t="s">
        <v>284</v>
      </c>
      <c r="D101" t="s">
        <v>290</v>
      </c>
      <c r="E101" t="s">
        <v>286</v>
      </c>
      <c r="F101" t="s">
        <v>287</v>
      </c>
      <c r="G101">
        <v>10</v>
      </c>
      <c r="H101">
        <v>5</v>
      </c>
      <c r="I101">
        <v>4</v>
      </c>
      <c r="J101">
        <v>1.75</v>
      </c>
      <c r="K101">
        <v>5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f t="shared" si="1"/>
        <v>101</v>
      </c>
      <c r="B102">
        <v>0</v>
      </c>
      <c r="C102" t="s">
        <v>284</v>
      </c>
      <c r="D102" t="s">
        <v>291</v>
      </c>
      <c r="E102" t="s">
        <v>286</v>
      </c>
      <c r="F102" t="s">
        <v>287</v>
      </c>
      <c r="G102">
        <v>25</v>
      </c>
      <c r="H102">
        <v>10</v>
      </c>
      <c r="I102">
        <v>8</v>
      </c>
      <c r="J102">
        <v>2</v>
      </c>
      <c r="K102">
        <v>12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25">
      <c r="A103">
        <f t="shared" si="1"/>
        <v>102</v>
      </c>
      <c r="B103">
        <v>0</v>
      </c>
      <c r="C103" t="s">
        <v>284</v>
      </c>
      <c r="D103" t="s">
        <v>292</v>
      </c>
      <c r="E103" t="s">
        <v>286</v>
      </c>
      <c r="F103" t="s">
        <v>287</v>
      </c>
      <c r="G103">
        <v>60</v>
      </c>
      <c r="H103">
        <v>20</v>
      </c>
      <c r="I103">
        <v>15</v>
      </c>
      <c r="J103">
        <v>2.25</v>
      </c>
      <c r="K103">
        <v>25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ht="15.75" x14ac:dyDescent="0.25">
      <c r="A104">
        <f t="shared" si="1"/>
        <v>103</v>
      </c>
      <c r="B104" s="3" t="s">
        <v>1057</v>
      </c>
      <c r="C104" t="s">
        <v>293</v>
      </c>
      <c r="D104" s="1" t="s">
        <v>1052</v>
      </c>
      <c r="E104" t="s">
        <v>295</v>
      </c>
      <c r="F104" t="s">
        <v>296</v>
      </c>
      <c r="G104" s="2" t="s">
        <v>1062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 ht="15.75" x14ac:dyDescent="0.25">
      <c r="A105">
        <f t="shared" si="1"/>
        <v>104</v>
      </c>
      <c r="B105" s="3" t="s">
        <v>1057</v>
      </c>
      <c r="C105" t="s">
        <v>293</v>
      </c>
      <c r="D105" s="1" t="s">
        <v>1053</v>
      </c>
      <c r="E105" t="s">
        <v>295</v>
      </c>
      <c r="F105" t="s">
        <v>296</v>
      </c>
      <c r="G105" s="2" t="s">
        <v>1064</v>
      </c>
      <c r="H105" s="2" t="s">
        <v>1063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</row>
    <row r="106" spans="1:18" ht="15.75" x14ac:dyDescent="0.25">
      <c r="A106">
        <f t="shared" si="1"/>
        <v>105</v>
      </c>
      <c r="B106" s="3" t="s">
        <v>1057</v>
      </c>
      <c r="C106" t="s">
        <v>293</v>
      </c>
      <c r="D106" s="1" t="s">
        <v>1054</v>
      </c>
      <c r="E106" t="s">
        <v>295</v>
      </c>
      <c r="F106" t="s">
        <v>296</v>
      </c>
      <c r="G106" s="2" t="s">
        <v>1061</v>
      </c>
      <c r="H106" s="2" t="s">
        <v>1065</v>
      </c>
      <c r="I106" s="2" t="s">
        <v>1060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ht="15.75" x14ac:dyDescent="0.25">
      <c r="A107">
        <f t="shared" si="1"/>
        <v>106</v>
      </c>
      <c r="B107" s="3" t="s">
        <v>1057</v>
      </c>
      <c r="C107" t="s">
        <v>293</v>
      </c>
      <c r="D107" s="1" t="s">
        <v>1055</v>
      </c>
      <c r="E107" t="s">
        <v>295</v>
      </c>
      <c r="F107" t="s">
        <v>296</v>
      </c>
      <c r="G107" s="2" t="s">
        <v>1068</v>
      </c>
      <c r="H107" s="2" t="s">
        <v>1065</v>
      </c>
      <c r="I107" s="2" t="s">
        <v>1067</v>
      </c>
      <c r="J107" s="2" t="s">
        <v>1066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 ht="15.75" x14ac:dyDescent="0.25">
      <c r="A108">
        <f t="shared" si="1"/>
        <v>107</v>
      </c>
      <c r="B108" s="3" t="s">
        <v>1057</v>
      </c>
      <c r="C108" t="s">
        <v>293</v>
      </c>
      <c r="D108" s="1" t="s">
        <v>1056</v>
      </c>
      <c r="E108" t="s">
        <v>295</v>
      </c>
      <c r="F108" t="s">
        <v>296</v>
      </c>
      <c r="G108" s="2" t="s">
        <v>1071</v>
      </c>
      <c r="H108" s="2" t="s">
        <v>1059</v>
      </c>
      <c r="I108" s="2" t="s">
        <v>1070</v>
      </c>
      <c r="J108" s="2" t="s">
        <v>1058</v>
      </c>
      <c r="K108" s="2" t="s">
        <v>1069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</row>
    <row r="109" spans="1:18" x14ac:dyDescent="0.25">
      <c r="A109">
        <f t="shared" si="1"/>
        <v>108</v>
      </c>
      <c r="B109">
        <v>0</v>
      </c>
      <c r="C109" t="s">
        <v>293</v>
      </c>
      <c r="D109" t="s">
        <v>294</v>
      </c>
      <c r="E109" t="s">
        <v>295</v>
      </c>
      <c r="F109" t="s">
        <v>296</v>
      </c>
      <c r="G109" t="s">
        <v>297</v>
      </c>
      <c r="H109" t="s">
        <v>298</v>
      </c>
      <c r="I109" t="s">
        <v>299</v>
      </c>
      <c r="J109" t="s">
        <v>300</v>
      </c>
      <c r="K109" t="s">
        <v>301</v>
      </c>
      <c r="L109" t="s">
        <v>302</v>
      </c>
      <c r="M109" t="s">
        <v>303</v>
      </c>
      <c r="N109" t="s">
        <v>304</v>
      </c>
      <c r="O109" t="s">
        <v>305</v>
      </c>
      <c r="P109" t="s">
        <v>306</v>
      </c>
      <c r="Q109" t="s">
        <v>307</v>
      </c>
      <c r="R109">
        <v>0</v>
      </c>
    </row>
    <row r="110" spans="1:18" x14ac:dyDescent="0.25">
      <c r="A110">
        <f t="shared" si="1"/>
        <v>109</v>
      </c>
      <c r="B110">
        <v>0</v>
      </c>
      <c r="C110" t="s">
        <v>293</v>
      </c>
      <c r="D110" t="s">
        <v>308</v>
      </c>
      <c r="E110" t="s">
        <v>295</v>
      </c>
      <c r="F110" t="s">
        <v>309</v>
      </c>
      <c r="G110" t="s">
        <v>310</v>
      </c>
      <c r="H110" t="s">
        <v>311</v>
      </c>
      <c r="I110" t="s">
        <v>312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f t="shared" si="1"/>
        <v>110</v>
      </c>
      <c r="B111">
        <v>0</v>
      </c>
      <c r="C111" t="s">
        <v>293</v>
      </c>
      <c r="D111" t="s">
        <v>313</v>
      </c>
      <c r="E111" t="s">
        <v>295</v>
      </c>
      <c r="F111" t="s">
        <v>314</v>
      </c>
      <c r="G111" t="s">
        <v>315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f t="shared" si="1"/>
        <v>111</v>
      </c>
      <c r="B112">
        <v>0</v>
      </c>
      <c r="C112" t="s">
        <v>316</v>
      </c>
      <c r="D112" t="s">
        <v>317</v>
      </c>
      <c r="E112" t="s">
        <v>318</v>
      </c>
      <c r="F112" t="s">
        <v>319</v>
      </c>
      <c r="G112">
        <v>4</v>
      </c>
      <c r="H112">
        <v>4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f t="shared" si="1"/>
        <v>112</v>
      </c>
      <c r="B113">
        <v>0</v>
      </c>
      <c r="C113" t="s">
        <v>316</v>
      </c>
      <c r="D113" t="s">
        <v>320</v>
      </c>
      <c r="E113" t="s">
        <v>321</v>
      </c>
      <c r="F113" t="s">
        <v>322</v>
      </c>
      <c r="G113">
        <v>2</v>
      </c>
      <c r="H113">
        <v>1</v>
      </c>
      <c r="I113">
        <v>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f t="shared" si="1"/>
        <v>113</v>
      </c>
      <c r="B114">
        <v>0</v>
      </c>
      <c r="C114" t="s">
        <v>316</v>
      </c>
      <c r="D114" t="s">
        <v>323</v>
      </c>
      <c r="E114" t="s">
        <v>324</v>
      </c>
      <c r="F114" t="s">
        <v>325</v>
      </c>
      <c r="G114">
        <v>2</v>
      </c>
      <c r="H114">
        <v>2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f t="shared" si="1"/>
        <v>114</v>
      </c>
      <c r="B115">
        <v>0</v>
      </c>
      <c r="C115" t="s">
        <v>326</v>
      </c>
      <c r="D115" t="s">
        <v>327</v>
      </c>
      <c r="E115" t="s">
        <v>328</v>
      </c>
      <c r="F115" t="s">
        <v>329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f t="shared" si="1"/>
        <v>115</v>
      </c>
      <c r="B116">
        <v>0</v>
      </c>
      <c r="C116" t="s">
        <v>326</v>
      </c>
      <c r="D116" t="s">
        <v>330</v>
      </c>
      <c r="E116" t="s">
        <v>331</v>
      </c>
      <c r="F116" t="s">
        <v>332</v>
      </c>
      <c r="G116">
        <v>20</v>
      </c>
      <c r="H116">
        <v>6</v>
      </c>
      <c r="I116">
        <v>4</v>
      </c>
      <c r="J116">
        <v>12</v>
      </c>
      <c r="K116">
        <v>5</v>
      </c>
      <c r="L116">
        <v>1.2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f t="shared" si="1"/>
        <v>116</v>
      </c>
      <c r="B117">
        <v>0</v>
      </c>
      <c r="C117" t="s">
        <v>326</v>
      </c>
      <c r="D117" t="s">
        <v>333</v>
      </c>
      <c r="E117" t="s">
        <v>282</v>
      </c>
      <c r="F117" t="s">
        <v>334</v>
      </c>
      <c r="G117">
        <v>3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25">
      <c r="A118">
        <f t="shared" si="1"/>
        <v>117</v>
      </c>
      <c r="B118">
        <v>0</v>
      </c>
      <c r="C118" t="s">
        <v>284</v>
      </c>
      <c r="D118" t="s">
        <v>285</v>
      </c>
      <c r="E118" t="s">
        <v>39</v>
      </c>
      <c r="F118" t="s">
        <v>335</v>
      </c>
      <c r="G118">
        <v>1</v>
      </c>
      <c r="H118">
        <v>1</v>
      </c>
      <c r="I118">
        <v>1</v>
      </c>
      <c r="J118">
        <v>1</v>
      </c>
      <c r="K118">
        <v>1</v>
      </c>
      <c r="L118" t="s">
        <v>336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f t="shared" si="1"/>
        <v>118</v>
      </c>
      <c r="B119">
        <v>0</v>
      </c>
      <c r="C119" t="s">
        <v>284</v>
      </c>
      <c r="D119" t="s">
        <v>288</v>
      </c>
      <c r="E119" t="s">
        <v>39</v>
      </c>
      <c r="F119" t="s">
        <v>335</v>
      </c>
      <c r="G119">
        <v>2.2000000000000002</v>
      </c>
      <c r="H119">
        <v>1.8</v>
      </c>
      <c r="I119">
        <v>1.6</v>
      </c>
      <c r="J119">
        <v>1.5</v>
      </c>
      <c r="K119">
        <v>1.25</v>
      </c>
      <c r="L119" t="s">
        <v>337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f t="shared" si="1"/>
        <v>119</v>
      </c>
      <c r="B120">
        <v>0</v>
      </c>
      <c r="C120" t="s">
        <v>284</v>
      </c>
      <c r="D120" t="s">
        <v>289</v>
      </c>
      <c r="E120" t="s">
        <v>39</v>
      </c>
      <c r="F120" t="s">
        <v>335</v>
      </c>
      <c r="G120">
        <v>4</v>
      </c>
      <c r="H120">
        <v>2.8</v>
      </c>
      <c r="I120">
        <v>2.4</v>
      </c>
      <c r="J120">
        <v>2</v>
      </c>
      <c r="K120">
        <v>1.5</v>
      </c>
      <c r="L120" t="s">
        <v>338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25">
      <c r="A121">
        <f t="shared" si="1"/>
        <v>120</v>
      </c>
      <c r="B121">
        <v>0</v>
      </c>
      <c r="C121" t="s">
        <v>339</v>
      </c>
      <c r="D121" t="s">
        <v>340</v>
      </c>
      <c r="E121" t="s">
        <v>341</v>
      </c>
      <c r="F121" t="s">
        <v>342</v>
      </c>
      <c r="G121">
        <v>4</v>
      </c>
      <c r="H121">
        <v>5</v>
      </c>
      <c r="I121">
        <v>4</v>
      </c>
      <c r="J121">
        <v>5</v>
      </c>
      <c r="K121">
        <v>4</v>
      </c>
      <c r="L121">
        <v>5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f t="shared" si="1"/>
        <v>121</v>
      </c>
      <c r="B122">
        <v>0</v>
      </c>
      <c r="C122" t="s">
        <v>339</v>
      </c>
      <c r="D122" t="s">
        <v>343</v>
      </c>
      <c r="E122" t="s">
        <v>344</v>
      </c>
      <c r="F122" t="s">
        <v>345</v>
      </c>
      <c r="G122">
        <v>3</v>
      </c>
      <c r="H122">
        <v>3</v>
      </c>
      <c r="I122">
        <v>3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f t="shared" si="1"/>
        <v>122</v>
      </c>
      <c r="B123">
        <v>0</v>
      </c>
      <c r="C123" t="s">
        <v>339</v>
      </c>
      <c r="D123" t="s">
        <v>137</v>
      </c>
      <c r="E123" t="s">
        <v>346</v>
      </c>
      <c r="F123" t="s">
        <v>347</v>
      </c>
      <c r="G123">
        <v>200</v>
      </c>
      <c r="H123">
        <v>70</v>
      </c>
      <c r="I123">
        <v>200</v>
      </c>
      <c r="J123">
        <v>70</v>
      </c>
      <c r="K123">
        <v>200</v>
      </c>
      <c r="L123">
        <v>70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25">
      <c r="A124">
        <f t="shared" si="1"/>
        <v>123</v>
      </c>
      <c r="B124">
        <v>0</v>
      </c>
      <c r="C124" t="s">
        <v>339</v>
      </c>
      <c r="D124" t="s">
        <v>348</v>
      </c>
      <c r="E124" t="s">
        <v>349</v>
      </c>
      <c r="F124" t="s">
        <v>350</v>
      </c>
      <c r="G124" t="s">
        <v>351</v>
      </c>
      <c r="H124" t="s">
        <v>352</v>
      </c>
      <c r="I124" t="s">
        <v>353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25">
      <c r="A125">
        <f t="shared" si="1"/>
        <v>124</v>
      </c>
      <c r="B125">
        <v>0</v>
      </c>
      <c r="C125" t="s">
        <v>339</v>
      </c>
      <c r="D125" t="s">
        <v>255</v>
      </c>
      <c r="E125" t="s">
        <v>354</v>
      </c>
      <c r="F125" t="s">
        <v>355</v>
      </c>
      <c r="G125">
        <v>20</v>
      </c>
      <c r="H125">
        <v>400</v>
      </c>
      <c r="I125">
        <v>4000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f t="shared" si="1"/>
        <v>125</v>
      </c>
      <c r="B126">
        <v>0</v>
      </c>
      <c r="C126" t="s">
        <v>339</v>
      </c>
      <c r="D126" t="s">
        <v>258</v>
      </c>
      <c r="E126" t="s">
        <v>356</v>
      </c>
      <c r="F126" t="s">
        <v>357</v>
      </c>
      <c r="G126">
        <v>3</v>
      </c>
      <c r="H126">
        <v>15</v>
      </c>
      <c r="I126">
        <v>75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f t="shared" si="1"/>
        <v>126</v>
      </c>
      <c r="B127">
        <v>0</v>
      </c>
      <c r="C127" t="s">
        <v>339</v>
      </c>
      <c r="D127" t="s">
        <v>358</v>
      </c>
      <c r="E127" t="s">
        <v>359</v>
      </c>
      <c r="F127" t="s">
        <v>360</v>
      </c>
      <c r="G127">
        <v>10</v>
      </c>
      <c r="H127">
        <v>10</v>
      </c>
      <c r="I127">
        <v>10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25">
      <c r="A128">
        <f t="shared" si="1"/>
        <v>127</v>
      </c>
      <c r="B128">
        <v>0</v>
      </c>
      <c r="C128" t="s">
        <v>339</v>
      </c>
      <c r="D128" t="s">
        <v>361</v>
      </c>
      <c r="E128" t="s">
        <v>362</v>
      </c>
      <c r="F128" t="s">
        <v>363</v>
      </c>
      <c r="G128">
        <v>3</v>
      </c>
      <c r="H128">
        <v>70</v>
      </c>
      <c r="I128">
        <v>3</v>
      </c>
      <c r="J128">
        <v>70</v>
      </c>
      <c r="K128">
        <v>3</v>
      </c>
      <c r="L128">
        <v>70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f t="shared" si="1"/>
        <v>128</v>
      </c>
      <c r="B129">
        <v>0</v>
      </c>
      <c r="C129" t="s">
        <v>339</v>
      </c>
      <c r="D129" t="s">
        <v>140</v>
      </c>
      <c r="E129" t="s">
        <v>364</v>
      </c>
      <c r="F129" t="s">
        <v>365</v>
      </c>
      <c r="G129">
        <v>20</v>
      </c>
      <c r="H129">
        <v>10000000</v>
      </c>
      <c r="I129">
        <v>40</v>
      </c>
      <c r="J129">
        <v>20</v>
      </c>
      <c r="K129">
        <v>10000000</v>
      </c>
      <c r="L129">
        <v>40</v>
      </c>
      <c r="M129">
        <v>20</v>
      </c>
      <c r="N129">
        <v>10000000</v>
      </c>
      <c r="O129">
        <v>40</v>
      </c>
      <c r="P129">
        <v>0</v>
      </c>
      <c r="Q129">
        <v>0</v>
      </c>
      <c r="R129">
        <v>0</v>
      </c>
    </row>
    <row r="130" spans="1:18" x14ac:dyDescent="0.25">
      <c r="A130">
        <f t="shared" si="1"/>
        <v>129</v>
      </c>
      <c r="B130">
        <v>0</v>
      </c>
      <c r="C130" t="s">
        <v>339</v>
      </c>
      <c r="D130" t="s">
        <v>366</v>
      </c>
      <c r="E130" t="s">
        <v>367</v>
      </c>
      <c r="F130" t="s">
        <v>368</v>
      </c>
      <c r="G130">
        <v>3</v>
      </c>
      <c r="H130">
        <v>3</v>
      </c>
      <c r="I130">
        <v>3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f t="shared" si="1"/>
        <v>130</v>
      </c>
      <c r="B131">
        <v>0</v>
      </c>
      <c r="C131" t="s">
        <v>339</v>
      </c>
      <c r="D131" t="s">
        <v>261</v>
      </c>
      <c r="E131" t="s">
        <v>369</v>
      </c>
      <c r="F131" t="s">
        <v>370</v>
      </c>
      <c r="G131">
        <v>2</v>
      </c>
      <c r="H131">
        <v>2</v>
      </c>
      <c r="I131">
        <v>2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f t="shared" ref="A132:A195" si="2">A131+1</f>
        <v>131</v>
      </c>
      <c r="B132">
        <v>0</v>
      </c>
      <c r="C132" t="s">
        <v>339</v>
      </c>
      <c r="D132" t="s">
        <v>371</v>
      </c>
      <c r="E132" t="s">
        <v>372</v>
      </c>
      <c r="F132" t="s">
        <v>373</v>
      </c>
      <c r="G132">
        <v>60</v>
      </c>
      <c r="H132">
        <v>40</v>
      </c>
      <c r="I132">
        <v>3</v>
      </c>
      <c r="J132">
        <v>8</v>
      </c>
      <c r="K132">
        <v>60</v>
      </c>
      <c r="L132">
        <v>40</v>
      </c>
      <c r="M132">
        <v>3</v>
      </c>
      <c r="N132">
        <v>8</v>
      </c>
      <c r="O132">
        <v>60</v>
      </c>
      <c r="P132">
        <v>40</v>
      </c>
      <c r="Q132">
        <v>3</v>
      </c>
      <c r="R132">
        <v>8</v>
      </c>
    </row>
    <row r="133" spans="1:18" x14ac:dyDescent="0.25">
      <c r="A133">
        <f t="shared" si="2"/>
        <v>132</v>
      </c>
      <c r="B133">
        <v>0</v>
      </c>
      <c r="C133" t="s">
        <v>339</v>
      </c>
      <c r="D133" t="s">
        <v>374</v>
      </c>
      <c r="E133" t="s">
        <v>375</v>
      </c>
      <c r="F133" t="s">
        <v>376</v>
      </c>
      <c r="G133">
        <v>51</v>
      </c>
      <c r="H133">
        <v>100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x14ac:dyDescent="0.25">
      <c r="A134">
        <f t="shared" si="2"/>
        <v>133</v>
      </c>
      <c r="B134">
        <v>0</v>
      </c>
      <c r="C134" t="s">
        <v>339</v>
      </c>
      <c r="D134" t="s">
        <v>377</v>
      </c>
      <c r="E134" t="s">
        <v>375</v>
      </c>
      <c r="F134" t="s">
        <v>378</v>
      </c>
      <c r="G134">
        <v>1</v>
      </c>
      <c r="H134">
        <v>50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f t="shared" si="2"/>
        <v>134</v>
      </c>
      <c r="B135">
        <v>0</v>
      </c>
      <c r="C135" t="s">
        <v>339</v>
      </c>
      <c r="D135" t="s">
        <v>379</v>
      </c>
      <c r="E135" t="s">
        <v>380</v>
      </c>
      <c r="F135" t="s">
        <v>381</v>
      </c>
      <c r="G135">
        <v>5</v>
      </c>
      <c r="H135">
        <v>1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f t="shared" si="2"/>
        <v>135</v>
      </c>
      <c r="B136">
        <v>0</v>
      </c>
      <c r="C136" t="s">
        <v>339</v>
      </c>
      <c r="D136" t="s">
        <v>382</v>
      </c>
      <c r="E136" t="s">
        <v>383</v>
      </c>
      <c r="F136" t="s">
        <v>384</v>
      </c>
      <c r="G136">
        <v>100</v>
      </c>
      <c r="H136">
        <v>10</v>
      </c>
      <c r="I136">
        <v>2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f t="shared" si="2"/>
        <v>136</v>
      </c>
      <c r="B137">
        <v>0</v>
      </c>
      <c r="C137" t="s">
        <v>339</v>
      </c>
      <c r="D137" t="s">
        <v>385</v>
      </c>
      <c r="E137" t="s">
        <v>386</v>
      </c>
      <c r="F137" t="s">
        <v>387</v>
      </c>
      <c r="G137">
        <v>30</v>
      </c>
      <c r="H137">
        <v>2</v>
      </c>
      <c r="I137">
        <v>0.2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x14ac:dyDescent="0.25">
      <c r="A138">
        <f t="shared" si="2"/>
        <v>137</v>
      </c>
      <c r="B138">
        <v>0</v>
      </c>
      <c r="C138" t="s">
        <v>339</v>
      </c>
      <c r="D138" t="s">
        <v>388</v>
      </c>
      <c r="E138" t="s">
        <v>389</v>
      </c>
      <c r="F138" t="s">
        <v>378</v>
      </c>
      <c r="G138" t="s">
        <v>390</v>
      </c>
      <c r="H138" t="s">
        <v>391</v>
      </c>
      <c r="I138" t="s">
        <v>392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x14ac:dyDescent="0.25">
      <c r="A139">
        <f t="shared" si="2"/>
        <v>138</v>
      </c>
      <c r="B139">
        <v>0</v>
      </c>
      <c r="C139" t="s">
        <v>393</v>
      </c>
      <c r="D139" t="s">
        <v>394</v>
      </c>
      <c r="E139" t="s">
        <v>395</v>
      </c>
      <c r="F139" t="s">
        <v>396</v>
      </c>
      <c r="G139">
        <v>0.5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f t="shared" si="2"/>
        <v>139</v>
      </c>
      <c r="B140">
        <v>0</v>
      </c>
      <c r="C140" t="s">
        <v>393</v>
      </c>
      <c r="D140" t="s">
        <v>397</v>
      </c>
      <c r="E140" t="s">
        <v>398</v>
      </c>
      <c r="F140" t="s">
        <v>399</v>
      </c>
      <c r="G140">
        <v>50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f t="shared" si="2"/>
        <v>140</v>
      </c>
      <c r="B141">
        <v>0</v>
      </c>
      <c r="C141" t="s">
        <v>393</v>
      </c>
      <c r="D141" t="s">
        <v>400</v>
      </c>
      <c r="E141" t="s">
        <v>401</v>
      </c>
      <c r="F141" t="s">
        <v>402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f t="shared" si="2"/>
        <v>141</v>
      </c>
      <c r="B142">
        <v>0</v>
      </c>
      <c r="C142" t="s">
        <v>403</v>
      </c>
      <c r="D142" t="s">
        <v>404</v>
      </c>
      <c r="E142" t="s">
        <v>405</v>
      </c>
      <c r="F142" t="s">
        <v>406</v>
      </c>
      <c r="G142">
        <v>200</v>
      </c>
      <c r="H142">
        <v>6.0000000000000001E-3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f t="shared" si="2"/>
        <v>142</v>
      </c>
      <c r="B143">
        <v>0</v>
      </c>
      <c r="C143" t="s">
        <v>403</v>
      </c>
      <c r="D143" t="s">
        <v>407</v>
      </c>
      <c r="E143" t="s">
        <v>408</v>
      </c>
      <c r="F143" t="s">
        <v>409</v>
      </c>
      <c r="G143">
        <v>55</v>
      </c>
      <c r="H143" t="s">
        <v>410</v>
      </c>
      <c r="I143" t="s">
        <v>411</v>
      </c>
      <c r="J143" t="s">
        <v>336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f t="shared" si="2"/>
        <v>143</v>
      </c>
      <c r="B144">
        <v>0</v>
      </c>
      <c r="C144" t="s">
        <v>403</v>
      </c>
      <c r="D144" t="s">
        <v>412</v>
      </c>
      <c r="E144" t="s">
        <v>408</v>
      </c>
      <c r="F144" t="s">
        <v>409</v>
      </c>
      <c r="G144">
        <v>25</v>
      </c>
      <c r="H144" t="s">
        <v>410</v>
      </c>
      <c r="I144">
        <v>2</v>
      </c>
      <c r="J144" t="s">
        <v>336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f t="shared" si="2"/>
        <v>144</v>
      </c>
      <c r="B145">
        <v>0</v>
      </c>
      <c r="C145" t="s">
        <v>403</v>
      </c>
      <c r="D145" t="s">
        <v>413</v>
      </c>
      <c r="E145" t="s">
        <v>408</v>
      </c>
      <c r="F145" t="s">
        <v>409</v>
      </c>
      <c r="G145">
        <v>12</v>
      </c>
      <c r="H145" t="s">
        <v>410</v>
      </c>
      <c r="I145">
        <v>2.5</v>
      </c>
      <c r="J145" t="s">
        <v>336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f t="shared" si="2"/>
        <v>145</v>
      </c>
      <c r="B146">
        <v>0</v>
      </c>
      <c r="C146" t="s">
        <v>403</v>
      </c>
      <c r="D146" t="s">
        <v>414</v>
      </c>
      <c r="E146" t="s">
        <v>408</v>
      </c>
      <c r="F146" t="s">
        <v>409</v>
      </c>
      <c r="G146">
        <v>5.5</v>
      </c>
      <c r="H146" t="s">
        <v>410</v>
      </c>
      <c r="I146">
        <v>3</v>
      </c>
      <c r="J146" t="s">
        <v>336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f t="shared" si="2"/>
        <v>146</v>
      </c>
      <c r="B147">
        <v>0</v>
      </c>
      <c r="C147" t="s">
        <v>403</v>
      </c>
      <c r="D147" t="s">
        <v>415</v>
      </c>
      <c r="E147" t="s">
        <v>408</v>
      </c>
      <c r="F147" t="s">
        <v>409</v>
      </c>
      <c r="G147">
        <v>1.8</v>
      </c>
      <c r="H147" t="s">
        <v>410</v>
      </c>
      <c r="I147">
        <v>3.5</v>
      </c>
      <c r="J147" t="s">
        <v>416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f t="shared" si="2"/>
        <v>147</v>
      </c>
      <c r="B148">
        <v>0</v>
      </c>
      <c r="C148" t="s">
        <v>403</v>
      </c>
      <c r="D148" t="s">
        <v>417</v>
      </c>
      <c r="E148" t="s">
        <v>408</v>
      </c>
      <c r="F148" t="s">
        <v>409</v>
      </c>
      <c r="G148">
        <v>0.35</v>
      </c>
      <c r="H148" t="s">
        <v>410</v>
      </c>
      <c r="I148">
        <v>4</v>
      </c>
      <c r="J148" t="s">
        <v>418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f t="shared" si="2"/>
        <v>148</v>
      </c>
      <c r="B149">
        <v>0</v>
      </c>
      <c r="C149" t="s">
        <v>403</v>
      </c>
      <c r="D149" t="s">
        <v>419</v>
      </c>
      <c r="E149" t="s">
        <v>408</v>
      </c>
      <c r="F149" t="s">
        <v>409</v>
      </c>
      <c r="G149">
        <v>0.08</v>
      </c>
      <c r="H149" t="s">
        <v>410</v>
      </c>
      <c r="I149">
        <v>4.5</v>
      </c>
      <c r="J149" t="s">
        <v>420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</row>
    <row r="150" spans="1:18" x14ac:dyDescent="0.25">
      <c r="A150">
        <f t="shared" si="2"/>
        <v>149</v>
      </c>
      <c r="B150">
        <v>0</v>
      </c>
      <c r="C150" t="s">
        <v>403</v>
      </c>
      <c r="D150" t="s">
        <v>421</v>
      </c>
      <c r="E150" t="s">
        <v>408</v>
      </c>
      <c r="F150" t="s">
        <v>409</v>
      </c>
      <c r="G150">
        <v>1.4999999999999999E-2</v>
      </c>
      <c r="H150" t="s">
        <v>410</v>
      </c>
      <c r="I150">
        <v>5</v>
      </c>
      <c r="J150" t="s">
        <v>422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</row>
    <row r="151" spans="1:18" x14ac:dyDescent="0.25">
      <c r="A151">
        <f t="shared" si="2"/>
        <v>150</v>
      </c>
      <c r="B151">
        <v>0</v>
      </c>
      <c r="C151" t="s">
        <v>423</v>
      </c>
      <c r="D151" t="s">
        <v>424</v>
      </c>
      <c r="E151" t="s">
        <v>425</v>
      </c>
      <c r="F151" t="s">
        <v>426</v>
      </c>
      <c r="G151" s="2" t="s">
        <v>1076</v>
      </c>
      <c r="H151" s="2" t="s">
        <v>1077</v>
      </c>
      <c r="I151" t="s">
        <v>427</v>
      </c>
      <c r="J151" t="s">
        <v>428</v>
      </c>
      <c r="K151" t="s">
        <v>429</v>
      </c>
      <c r="L151" t="s">
        <v>430</v>
      </c>
      <c r="M151" t="s">
        <v>431</v>
      </c>
      <c r="N151">
        <v>0</v>
      </c>
      <c r="O151">
        <v>0</v>
      </c>
      <c r="P151">
        <v>0</v>
      </c>
      <c r="Q151">
        <v>0</v>
      </c>
      <c r="R151">
        <v>0</v>
      </c>
    </row>
    <row r="152" spans="1:18" x14ac:dyDescent="0.25">
      <c r="A152">
        <f t="shared" si="2"/>
        <v>151</v>
      </c>
      <c r="B152">
        <v>0</v>
      </c>
      <c r="C152" t="s">
        <v>423</v>
      </c>
      <c r="D152" t="s">
        <v>432</v>
      </c>
      <c r="E152" t="s">
        <v>425</v>
      </c>
      <c r="F152" t="s">
        <v>426</v>
      </c>
      <c r="G152" s="2" t="s">
        <v>1079</v>
      </c>
      <c r="H152" s="2" t="s">
        <v>1078</v>
      </c>
      <c r="I152" t="s">
        <v>433</v>
      </c>
      <c r="J152" t="s">
        <v>434</v>
      </c>
      <c r="K152" t="s">
        <v>435</v>
      </c>
      <c r="L152" t="s">
        <v>436</v>
      </c>
      <c r="M152" t="s">
        <v>437</v>
      </c>
      <c r="N152">
        <v>0</v>
      </c>
      <c r="O152">
        <v>0</v>
      </c>
      <c r="P152">
        <v>0</v>
      </c>
      <c r="Q152">
        <v>0</v>
      </c>
      <c r="R152">
        <v>0</v>
      </c>
    </row>
    <row r="153" spans="1:18" x14ac:dyDescent="0.25">
      <c r="A153">
        <f t="shared" si="2"/>
        <v>152</v>
      </c>
      <c r="B153">
        <v>0</v>
      </c>
      <c r="C153" t="s">
        <v>423</v>
      </c>
      <c r="D153" t="s">
        <v>438</v>
      </c>
      <c r="E153" t="s">
        <v>425</v>
      </c>
      <c r="F153" t="s">
        <v>426</v>
      </c>
      <c r="G153" s="2" t="s">
        <v>1080</v>
      </c>
      <c r="H153" s="2" t="s">
        <v>1083</v>
      </c>
      <c r="I153" s="2" t="s">
        <v>1075</v>
      </c>
      <c r="J153" t="s">
        <v>439</v>
      </c>
      <c r="K153" t="s">
        <v>440</v>
      </c>
      <c r="L153" t="s">
        <v>441</v>
      </c>
      <c r="M153" t="s">
        <v>442</v>
      </c>
      <c r="N153">
        <v>0</v>
      </c>
      <c r="O153">
        <v>0</v>
      </c>
      <c r="P153">
        <v>0</v>
      </c>
      <c r="Q153">
        <v>0</v>
      </c>
      <c r="R153">
        <v>0</v>
      </c>
    </row>
    <row r="154" spans="1:18" x14ac:dyDescent="0.25">
      <c r="A154">
        <f t="shared" si="2"/>
        <v>153</v>
      </c>
      <c r="B154">
        <v>0</v>
      </c>
      <c r="C154" t="s">
        <v>423</v>
      </c>
      <c r="D154" t="s">
        <v>443</v>
      </c>
      <c r="E154" t="s">
        <v>425</v>
      </c>
      <c r="F154" t="s">
        <v>426</v>
      </c>
      <c r="G154" s="2" t="s">
        <v>1081</v>
      </c>
      <c r="H154" s="2" t="s">
        <v>1082</v>
      </c>
      <c r="I154" t="s">
        <v>445</v>
      </c>
      <c r="J154" t="s">
        <v>446</v>
      </c>
      <c r="K154" t="s">
        <v>447</v>
      </c>
      <c r="L154" t="s">
        <v>448</v>
      </c>
      <c r="M154" t="s">
        <v>449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25">
      <c r="A155">
        <f t="shared" si="2"/>
        <v>154</v>
      </c>
      <c r="B155">
        <v>0</v>
      </c>
      <c r="C155" t="s">
        <v>423</v>
      </c>
      <c r="D155" t="s">
        <v>450</v>
      </c>
      <c r="E155" t="s">
        <v>425</v>
      </c>
      <c r="F155" t="s">
        <v>426</v>
      </c>
      <c r="G155" t="s">
        <v>444</v>
      </c>
      <c r="H155" t="s">
        <v>451</v>
      </c>
      <c r="I155" t="s">
        <v>452</v>
      </c>
      <c r="J155" t="s">
        <v>453</v>
      </c>
      <c r="K155" t="s">
        <v>454</v>
      </c>
      <c r="L155" t="s">
        <v>455</v>
      </c>
      <c r="M155" t="s">
        <v>456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1:18" x14ac:dyDescent="0.25">
      <c r="A156">
        <f t="shared" si="2"/>
        <v>155</v>
      </c>
      <c r="B156">
        <v>0</v>
      </c>
      <c r="C156" t="s">
        <v>423</v>
      </c>
      <c r="D156" t="s">
        <v>457</v>
      </c>
      <c r="E156" t="s">
        <v>425</v>
      </c>
      <c r="F156" t="s">
        <v>426</v>
      </c>
      <c r="G156" t="s">
        <v>444</v>
      </c>
      <c r="H156" t="s">
        <v>458</v>
      </c>
      <c r="I156" t="s">
        <v>268</v>
      </c>
      <c r="J156" t="s">
        <v>459</v>
      </c>
      <c r="K156" t="s">
        <v>460</v>
      </c>
      <c r="L156" t="s">
        <v>461</v>
      </c>
      <c r="M156" t="s">
        <v>462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f t="shared" si="2"/>
        <v>156</v>
      </c>
      <c r="B157">
        <v>0</v>
      </c>
      <c r="C157" t="s">
        <v>423</v>
      </c>
      <c r="D157" t="s">
        <v>463</v>
      </c>
      <c r="E157" t="s">
        <v>425</v>
      </c>
      <c r="F157" t="s">
        <v>426</v>
      </c>
      <c r="G157" t="s">
        <v>444</v>
      </c>
      <c r="H157" t="s">
        <v>458</v>
      </c>
      <c r="I157" t="s">
        <v>464</v>
      </c>
      <c r="J157" t="s">
        <v>465</v>
      </c>
      <c r="K157" t="s">
        <v>466</v>
      </c>
      <c r="L157" t="s">
        <v>467</v>
      </c>
      <c r="M157" t="s">
        <v>468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f t="shared" si="2"/>
        <v>157</v>
      </c>
      <c r="B158">
        <v>0</v>
      </c>
      <c r="C158" t="s">
        <v>423</v>
      </c>
      <c r="D158" t="s">
        <v>469</v>
      </c>
      <c r="E158" t="s">
        <v>425</v>
      </c>
      <c r="F158" t="s">
        <v>426</v>
      </c>
      <c r="G158" t="s">
        <v>444</v>
      </c>
      <c r="H158" t="s">
        <v>458</v>
      </c>
      <c r="I158" t="s">
        <v>464</v>
      </c>
      <c r="J158" t="s">
        <v>470</v>
      </c>
      <c r="K158" t="s">
        <v>471</v>
      </c>
      <c r="L158" t="s">
        <v>472</v>
      </c>
      <c r="M158" t="s">
        <v>473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25">
      <c r="A159">
        <f t="shared" si="2"/>
        <v>158</v>
      </c>
      <c r="B159">
        <v>0</v>
      </c>
      <c r="C159" t="s">
        <v>423</v>
      </c>
      <c r="D159" t="s">
        <v>474</v>
      </c>
      <c r="E159" t="s">
        <v>475</v>
      </c>
      <c r="F159" t="s">
        <v>476</v>
      </c>
      <c r="G159">
        <v>551</v>
      </c>
      <c r="H159">
        <v>1</v>
      </c>
      <c r="I159">
        <v>1</v>
      </c>
      <c r="J159">
        <v>1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x14ac:dyDescent="0.25">
      <c r="A160">
        <f t="shared" si="2"/>
        <v>159</v>
      </c>
      <c r="B160">
        <v>0</v>
      </c>
      <c r="C160" t="s">
        <v>477</v>
      </c>
      <c r="D160" t="s">
        <v>478</v>
      </c>
      <c r="E160" t="s">
        <v>479</v>
      </c>
      <c r="F160" t="s">
        <v>480</v>
      </c>
      <c r="G160">
        <v>2</v>
      </c>
      <c r="H160">
        <v>0.5</v>
      </c>
      <c r="I160">
        <v>0.2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25">
      <c r="A161">
        <f t="shared" si="2"/>
        <v>160</v>
      </c>
      <c r="B161">
        <v>0</v>
      </c>
      <c r="C161" t="s">
        <v>477</v>
      </c>
      <c r="D161" t="s">
        <v>481</v>
      </c>
      <c r="E161" t="s">
        <v>479</v>
      </c>
      <c r="F161" t="s">
        <v>480</v>
      </c>
      <c r="G161">
        <v>4</v>
      </c>
      <c r="H161">
        <v>0.8</v>
      </c>
      <c r="I161">
        <v>0.3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f t="shared" si="2"/>
        <v>161</v>
      </c>
      <c r="B162">
        <v>0</v>
      </c>
      <c r="C162" t="s">
        <v>477</v>
      </c>
      <c r="D162" t="s">
        <v>482</v>
      </c>
      <c r="E162" t="s">
        <v>479</v>
      </c>
      <c r="F162" t="s">
        <v>480</v>
      </c>
      <c r="G162">
        <v>6</v>
      </c>
      <c r="H162">
        <v>1.1000000000000001</v>
      </c>
      <c r="I162">
        <v>0.4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f t="shared" si="2"/>
        <v>162</v>
      </c>
      <c r="B163">
        <v>0</v>
      </c>
      <c r="C163" t="s">
        <v>477</v>
      </c>
      <c r="D163" t="s">
        <v>483</v>
      </c>
      <c r="E163" t="s">
        <v>479</v>
      </c>
      <c r="F163" t="s">
        <v>480</v>
      </c>
      <c r="G163">
        <v>8</v>
      </c>
      <c r="H163">
        <v>1.4</v>
      </c>
      <c r="I163">
        <v>0.5</v>
      </c>
      <c r="J163">
        <v>0.1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f t="shared" si="2"/>
        <v>163</v>
      </c>
      <c r="B164">
        <v>0</v>
      </c>
      <c r="C164" t="s">
        <v>477</v>
      </c>
      <c r="D164" t="s">
        <v>484</v>
      </c>
      <c r="E164" t="s">
        <v>479</v>
      </c>
      <c r="F164" t="s">
        <v>480</v>
      </c>
      <c r="G164">
        <v>10</v>
      </c>
      <c r="H164">
        <v>1.7</v>
      </c>
      <c r="I164">
        <v>0.6</v>
      </c>
      <c r="J164">
        <v>0.2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f t="shared" si="2"/>
        <v>164</v>
      </c>
      <c r="B165">
        <v>0</v>
      </c>
      <c r="C165" t="s">
        <v>477</v>
      </c>
      <c r="D165" t="s">
        <v>485</v>
      </c>
      <c r="E165" t="s">
        <v>479</v>
      </c>
      <c r="F165" t="s">
        <v>480</v>
      </c>
      <c r="G165">
        <v>12</v>
      </c>
      <c r="H165">
        <v>2</v>
      </c>
      <c r="I165">
        <v>0.7</v>
      </c>
      <c r="J165">
        <v>0.3</v>
      </c>
      <c r="K165">
        <v>0.2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25">
      <c r="A166">
        <f t="shared" si="2"/>
        <v>165</v>
      </c>
      <c r="B166">
        <v>0</v>
      </c>
      <c r="C166" t="s">
        <v>477</v>
      </c>
      <c r="D166" t="s">
        <v>486</v>
      </c>
      <c r="E166" t="s">
        <v>479</v>
      </c>
      <c r="F166" t="s">
        <v>480</v>
      </c>
      <c r="G166">
        <v>14</v>
      </c>
      <c r="H166">
        <v>2.2999999999999998</v>
      </c>
      <c r="I166">
        <v>0.8</v>
      </c>
      <c r="J166">
        <v>0.4</v>
      </c>
      <c r="K166">
        <v>0.3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25">
      <c r="A167">
        <f t="shared" si="2"/>
        <v>166</v>
      </c>
      <c r="B167">
        <v>0</v>
      </c>
      <c r="C167" t="s">
        <v>487</v>
      </c>
      <c r="D167" t="s">
        <v>488</v>
      </c>
      <c r="E167" t="s">
        <v>489</v>
      </c>
      <c r="F167" t="s">
        <v>490</v>
      </c>
      <c r="G167">
        <v>4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25">
      <c r="A168">
        <f t="shared" si="2"/>
        <v>167</v>
      </c>
      <c r="B168">
        <v>0</v>
      </c>
      <c r="C168" t="s">
        <v>487</v>
      </c>
      <c r="D168" t="s">
        <v>491</v>
      </c>
      <c r="E168" t="s">
        <v>492</v>
      </c>
      <c r="F168" t="s">
        <v>493</v>
      </c>
      <c r="G168">
        <v>5</v>
      </c>
      <c r="H168">
        <v>1</v>
      </c>
      <c r="I168">
        <v>49</v>
      </c>
      <c r="J168">
        <v>0.1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f t="shared" si="2"/>
        <v>168</v>
      </c>
      <c r="B169">
        <v>0</v>
      </c>
      <c r="C169" t="s">
        <v>487</v>
      </c>
      <c r="D169" t="s">
        <v>494</v>
      </c>
      <c r="E169" t="s">
        <v>492</v>
      </c>
      <c r="F169" t="s">
        <v>495</v>
      </c>
      <c r="G169">
        <v>10</v>
      </c>
      <c r="H169">
        <v>1</v>
      </c>
      <c r="I169">
        <v>49</v>
      </c>
      <c r="J169">
        <v>0.1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f t="shared" si="2"/>
        <v>169</v>
      </c>
      <c r="B170">
        <v>0</v>
      </c>
      <c r="C170" t="s">
        <v>487</v>
      </c>
      <c r="D170" t="s">
        <v>496</v>
      </c>
      <c r="E170" t="s">
        <v>497</v>
      </c>
      <c r="F170" t="s">
        <v>498</v>
      </c>
      <c r="G170">
        <v>0.5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f t="shared" si="2"/>
        <v>170</v>
      </c>
      <c r="B171">
        <v>0</v>
      </c>
      <c r="C171" t="s">
        <v>499</v>
      </c>
      <c r="D171" t="s">
        <v>500</v>
      </c>
      <c r="E171" t="s">
        <v>501</v>
      </c>
      <c r="F171" t="s">
        <v>502</v>
      </c>
      <c r="G171">
        <v>100</v>
      </c>
      <c r="H171">
        <v>10</v>
      </c>
      <c r="I171">
        <v>40</v>
      </c>
      <c r="J171">
        <v>2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f t="shared" si="2"/>
        <v>171</v>
      </c>
      <c r="B172">
        <v>0</v>
      </c>
      <c r="C172" t="s">
        <v>499</v>
      </c>
      <c r="D172" t="s">
        <v>503</v>
      </c>
      <c r="E172" t="s">
        <v>504</v>
      </c>
      <c r="F172" t="s">
        <v>505</v>
      </c>
      <c r="G172">
        <v>92</v>
      </c>
      <c r="H172">
        <v>7.5</v>
      </c>
      <c r="I172">
        <v>0.5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25">
      <c r="A173">
        <f t="shared" si="2"/>
        <v>172</v>
      </c>
      <c r="B173">
        <v>0</v>
      </c>
      <c r="C173" t="s">
        <v>499</v>
      </c>
      <c r="D173" t="s">
        <v>506</v>
      </c>
      <c r="E173" t="s">
        <v>507</v>
      </c>
      <c r="F173" t="s">
        <v>508</v>
      </c>
      <c r="G173">
        <v>78.099999999999994</v>
      </c>
      <c r="H173">
        <v>19.2</v>
      </c>
      <c r="I173">
        <v>2.4</v>
      </c>
      <c r="J173">
        <v>0.3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25">
      <c r="A174">
        <f t="shared" si="2"/>
        <v>173</v>
      </c>
      <c r="B174">
        <v>0</v>
      </c>
      <c r="C174" t="s">
        <v>499</v>
      </c>
      <c r="D174" t="s">
        <v>509</v>
      </c>
      <c r="E174" t="s">
        <v>510</v>
      </c>
      <c r="F174" t="s">
        <v>511</v>
      </c>
      <c r="G174">
        <v>72.11</v>
      </c>
      <c r="H174">
        <v>22.12</v>
      </c>
      <c r="I174">
        <v>4.6100000000000003</v>
      </c>
      <c r="J174">
        <v>0.96</v>
      </c>
      <c r="K174">
        <v>0.2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25">
      <c r="A175">
        <f t="shared" si="2"/>
        <v>174</v>
      </c>
      <c r="B175">
        <v>0</v>
      </c>
      <c r="C175" t="s">
        <v>499</v>
      </c>
      <c r="D175" t="s">
        <v>512</v>
      </c>
      <c r="E175" t="s">
        <v>513</v>
      </c>
      <c r="F175" t="s">
        <v>514</v>
      </c>
      <c r="G175">
        <v>74.349999999999994</v>
      </c>
      <c r="H175">
        <v>18.739999999999998</v>
      </c>
      <c r="I175">
        <v>5.07</v>
      </c>
      <c r="J175">
        <v>1.37</v>
      </c>
      <c r="K175">
        <v>0.37</v>
      </c>
      <c r="L175">
        <v>0.1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25">
      <c r="A176">
        <f t="shared" si="2"/>
        <v>175</v>
      </c>
      <c r="B176">
        <v>0</v>
      </c>
      <c r="C176" t="s">
        <v>499</v>
      </c>
      <c r="D176" t="s">
        <v>515</v>
      </c>
      <c r="E176" t="s">
        <v>516</v>
      </c>
      <c r="F176" t="s">
        <v>517</v>
      </c>
      <c r="G176">
        <v>76.87</v>
      </c>
      <c r="H176">
        <v>15.04</v>
      </c>
      <c r="I176">
        <v>5.28</v>
      </c>
      <c r="J176">
        <v>1.85</v>
      </c>
      <c r="K176">
        <v>0.65</v>
      </c>
      <c r="L176">
        <v>0.23</v>
      </c>
      <c r="M176">
        <v>0.08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25">
      <c r="A177">
        <f t="shared" si="2"/>
        <v>176</v>
      </c>
      <c r="B177">
        <v>0</v>
      </c>
      <c r="C177" t="s">
        <v>499</v>
      </c>
      <c r="D177" t="s">
        <v>518</v>
      </c>
      <c r="E177" t="s">
        <v>519</v>
      </c>
      <c r="F177" t="s">
        <v>520</v>
      </c>
      <c r="G177">
        <v>69.92</v>
      </c>
      <c r="H177">
        <v>18.53</v>
      </c>
      <c r="I177">
        <v>7.13</v>
      </c>
      <c r="J177">
        <v>2.74</v>
      </c>
      <c r="K177">
        <v>1.05</v>
      </c>
      <c r="L177">
        <v>0.41</v>
      </c>
      <c r="M177">
        <v>0.16</v>
      </c>
      <c r="N177">
        <v>0.06</v>
      </c>
      <c r="O177">
        <v>0</v>
      </c>
      <c r="P177">
        <v>0</v>
      </c>
      <c r="Q177">
        <v>0</v>
      </c>
      <c r="R177">
        <v>0</v>
      </c>
    </row>
    <row r="178" spans="1:18" x14ac:dyDescent="0.25">
      <c r="A178">
        <f t="shared" si="2"/>
        <v>177</v>
      </c>
      <c r="B178">
        <v>0</v>
      </c>
      <c r="C178" t="s">
        <v>499</v>
      </c>
      <c r="D178" t="s">
        <v>521</v>
      </c>
      <c r="E178" t="s">
        <v>522</v>
      </c>
      <c r="F178" t="s">
        <v>523</v>
      </c>
      <c r="G178">
        <v>64.22</v>
      </c>
      <c r="H178">
        <v>21.19</v>
      </c>
      <c r="I178">
        <v>8.65</v>
      </c>
      <c r="J178">
        <v>3.53</v>
      </c>
      <c r="K178">
        <v>1.44</v>
      </c>
      <c r="L178">
        <v>0.59</v>
      </c>
      <c r="M178">
        <v>0.24</v>
      </c>
      <c r="N178">
        <v>0.1</v>
      </c>
      <c r="O178">
        <v>0.04</v>
      </c>
      <c r="P178">
        <v>0</v>
      </c>
      <c r="Q178">
        <v>0</v>
      </c>
      <c r="R178">
        <v>0</v>
      </c>
    </row>
    <row r="179" spans="1:18" x14ac:dyDescent="0.25">
      <c r="A179">
        <f t="shared" si="2"/>
        <v>178</v>
      </c>
      <c r="B179">
        <v>0</v>
      </c>
      <c r="C179" t="s">
        <v>499</v>
      </c>
      <c r="D179" t="s">
        <v>524</v>
      </c>
      <c r="E179" t="s">
        <v>525</v>
      </c>
      <c r="F179" t="s">
        <v>526</v>
      </c>
      <c r="G179">
        <v>59.92</v>
      </c>
      <c r="H179">
        <v>23.53</v>
      </c>
      <c r="I179">
        <v>9.7200000000000006</v>
      </c>
      <c r="J179">
        <v>4.0199999999999996</v>
      </c>
      <c r="K179">
        <v>1.66</v>
      </c>
      <c r="L179">
        <v>0.69</v>
      </c>
      <c r="M179">
        <v>0.28000000000000003</v>
      </c>
      <c r="N179">
        <v>0.12</v>
      </c>
      <c r="O179">
        <v>0.05</v>
      </c>
      <c r="P179">
        <v>0.02</v>
      </c>
      <c r="Q179">
        <v>0</v>
      </c>
      <c r="R179">
        <v>0</v>
      </c>
    </row>
    <row r="180" spans="1:18" x14ac:dyDescent="0.25">
      <c r="A180">
        <f t="shared" si="2"/>
        <v>179</v>
      </c>
      <c r="B180">
        <v>0</v>
      </c>
      <c r="C180" t="s">
        <v>499</v>
      </c>
      <c r="D180" t="s">
        <v>527</v>
      </c>
      <c r="E180" t="s">
        <v>528</v>
      </c>
      <c r="F180" t="s">
        <v>529</v>
      </c>
      <c r="G180">
        <v>54.72</v>
      </c>
      <c r="H180">
        <v>26.42</v>
      </c>
      <c r="I180">
        <v>11.01</v>
      </c>
      <c r="J180">
        <v>4.59</v>
      </c>
      <c r="K180">
        <v>1.91</v>
      </c>
      <c r="L180">
        <v>0.8</v>
      </c>
      <c r="M180">
        <v>0.33</v>
      </c>
      <c r="N180">
        <v>0.14000000000000001</v>
      </c>
      <c r="O180">
        <v>0.06</v>
      </c>
      <c r="P180">
        <v>0.02</v>
      </c>
      <c r="Q180">
        <v>0.01</v>
      </c>
      <c r="R180">
        <v>0</v>
      </c>
    </row>
    <row r="181" spans="1:18" x14ac:dyDescent="0.25">
      <c r="A181">
        <f t="shared" si="2"/>
        <v>180</v>
      </c>
      <c r="B181">
        <v>0</v>
      </c>
      <c r="C181" t="s">
        <v>499</v>
      </c>
      <c r="D181" t="s">
        <v>530</v>
      </c>
      <c r="E181" t="s">
        <v>531</v>
      </c>
      <c r="F181" t="s">
        <v>532</v>
      </c>
      <c r="G181">
        <v>1.35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</row>
    <row r="182" spans="1:18" x14ac:dyDescent="0.25">
      <c r="A182">
        <f t="shared" si="2"/>
        <v>181</v>
      </c>
      <c r="B182">
        <v>0</v>
      </c>
      <c r="C182" t="s">
        <v>499</v>
      </c>
      <c r="D182" t="s">
        <v>533</v>
      </c>
      <c r="E182" t="s">
        <v>534</v>
      </c>
      <c r="F182" t="s">
        <v>535</v>
      </c>
      <c r="G182">
        <v>0.5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</row>
    <row r="183" spans="1:18" x14ac:dyDescent="0.25">
      <c r="A183">
        <f t="shared" si="2"/>
        <v>182</v>
      </c>
      <c r="B183">
        <v>0</v>
      </c>
      <c r="C183" t="s">
        <v>499</v>
      </c>
      <c r="D183" t="s">
        <v>536</v>
      </c>
      <c r="E183" t="s">
        <v>537</v>
      </c>
      <c r="F183" t="s">
        <v>538</v>
      </c>
      <c r="G183">
        <v>4000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</row>
    <row r="184" spans="1:18" x14ac:dyDescent="0.25">
      <c r="A184">
        <f t="shared" si="2"/>
        <v>183</v>
      </c>
      <c r="B184">
        <v>0</v>
      </c>
      <c r="C184" t="s">
        <v>539</v>
      </c>
      <c r="D184" t="s">
        <v>540</v>
      </c>
      <c r="E184" t="s">
        <v>541</v>
      </c>
      <c r="F184" t="s">
        <v>542</v>
      </c>
      <c r="G184">
        <v>4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25">
      <c r="A185">
        <f t="shared" si="2"/>
        <v>184</v>
      </c>
      <c r="B185">
        <v>0</v>
      </c>
      <c r="C185" t="s">
        <v>539</v>
      </c>
      <c r="D185" t="s">
        <v>260</v>
      </c>
      <c r="E185" t="s">
        <v>543</v>
      </c>
      <c r="F185" t="s">
        <v>544</v>
      </c>
      <c r="G185">
        <v>200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f t="shared" si="2"/>
        <v>185</v>
      </c>
      <c r="B186">
        <v>0</v>
      </c>
      <c r="C186" t="s">
        <v>539</v>
      </c>
      <c r="D186" t="s">
        <v>545</v>
      </c>
      <c r="E186" t="s">
        <v>546</v>
      </c>
      <c r="F186" t="s">
        <v>547</v>
      </c>
      <c r="G186">
        <v>4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f t="shared" si="2"/>
        <v>186</v>
      </c>
      <c r="B187">
        <v>0</v>
      </c>
      <c r="C187" t="s">
        <v>539</v>
      </c>
      <c r="D187" t="s">
        <v>548</v>
      </c>
      <c r="E187" t="s">
        <v>549</v>
      </c>
      <c r="F187" t="s">
        <v>550</v>
      </c>
      <c r="G187">
        <v>3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f t="shared" si="2"/>
        <v>187</v>
      </c>
      <c r="B188">
        <v>0</v>
      </c>
      <c r="C188" t="s">
        <v>539</v>
      </c>
      <c r="D188" t="s">
        <v>551</v>
      </c>
      <c r="E188" t="s">
        <v>552</v>
      </c>
      <c r="F188" t="s">
        <v>553</v>
      </c>
      <c r="G188">
        <v>4</v>
      </c>
      <c r="H188">
        <v>5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x14ac:dyDescent="0.25">
      <c r="A189">
        <f t="shared" si="2"/>
        <v>188</v>
      </c>
      <c r="B189">
        <v>0</v>
      </c>
      <c r="C189" t="s">
        <v>554</v>
      </c>
      <c r="D189" t="s">
        <v>424</v>
      </c>
      <c r="E189" t="s">
        <v>555</v>
      </c>
      <c r="F189" t="s">
        <v>556</v>
      </c>
      <c r="G189" t="s">
        <v>557</v>
      </c>
      <c r="H189" t="s">
        <v>558</v>
      </c>
      <c r="I189" t="s">
        <v>559</v>
      </c>
      <c r="J189" t="s">
        <v>560</v>
      </c>
      <c r="K189" t="s">
        <v>561</v>
      </c>
      <c r="L189" t="s">
        <v>562</v>
      </c>
      <c r="M189" t="s">
        <v>563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25">
      <c r="A190">
        <f t="shared" si="2"/>
        <v>189</v>
      </c>
      <c r="B190">
        <v>0</v>
      </c>
      <c r="C190" t="s">
        <v>554</v>
      </c>
      <c r="D190" t="s">
        <v>432</v>
      </c>
      <c r="E190" t="s">
        <v>555</v>
      </c>
      <c r="F190" t="s">
        <v>556</v>
      </c>
      <c r="G190" t="s">
        <v>557</v>
      </c>
      <c r="H190" t="s">
        <v>558</v>
      </c>
      <c r="I190" t="s">
        <v>559</v>
      </c>
      <c r="J190" t="s">
        <v>560</v>
      </c>
      <c r="K190" t="s">
        <v>561</v>
      </c>
      <c r="L190" t="s">
        <v>562</v>
      </c>
      <c r="M190" t="s">
        <v>563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f t="shared" si="2"/>
        <v>190</v>
      </c>
      <c r="B191">
        <v>0</v>
      </c>
      <c r="C191" t="s">
        <v>554</v>
      </c>
      <c r="D191" t="s">
        <v>438</v>
      </c>
      <c r="E191" t="s">
        <v>555</v>
      </c>
      <c r="F191" t="s">
        <v>556</v>
      </c>
      <c r="G191" t="s">
        <v>564</v>
      </c>
      <c r="H191" t="s">
        <v>565</v>
      </c>
      <c r="I191" t="s">
        <v>559</v>
      </c>
      <c r="J191" t="s">
        <v>560</v>
      </c>
      <c r="K191" t="s">
        <v>561</v>
      </c>
      <c r="L191" t="s">
        <v>562</v>
      </c>
      <c r="M191" t="s">
        <v>563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f t="shared" si="2"/>
        <v>191</v>
      </c>
      <c r="B192">
        <v>0</v>
      </c>
      <c r="C192" t="s">
        <v>554</v>
      </c>
      <c r="D192" t="s">
        <v>443</v>
      </c>
      <c r="E192" t="s">
        <v>555</v>
      </c>
      <c r="F192" t="s">
        <v>556</v>
      </c>
      <c r="G192" t="s">
        <v>566</v>
      </c>
      <c r="H192" t="s">
        <v>565</v>
      </c>
      <c r="I192" t="s">
        <v>567</v>
      </c>
      <c r="J192" t="s">
        <v>568</v>
      </c>
      <c r="K192" t="s">
        <v>569</v>
      </c>
      <c r="L192" t="s">
        <v>570</v>
      </c>
      <c r="M192" t="s">
        <v>571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25">
      <c r="A193">
        <f t="shared" si="2"/>
        <v>192</v>
      </c>
      <c r="B193">
        <v>0</v>
      </c>
      <c r="C193" t="s">
        <v>554</v>
      </c>
      <c r="D193" t="s">
        <v>450</v>
      </c>
      <c r="E193" t="s">
        <v>555</v>
      </c>
      <c r="F193" t="s">
        <v>556</v>
      </c>
      <c r="G193" t="s">
        <v>572</v>
      </c>
      <c r="H193" t="s">
        <v>573</v>
      </c>
      <c r="I193" t="s">
        <v>567</v>
      </c>
      <c r="J193" t="s">
        <v>574</v>
      </c>
      <c r="K193" t="s">
        <v>575</v>
      </c>
      <c r="L193" t="s">
        <v>576</v>
      </c>
      <c r="M193" t="s">
        <v>577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25">
      <c r="A194">
        <f t="shared" si="2"/>
        <v>193</v>
      </c>
      <c r="B194">
        <v>0</v>
      </c>
      <c r="C194" t="s">
        <v>554</v>
      </c>
      <c r="D194" t="s">
        <v>457</v>
      </c>
      <c r="E194" t="s">
        <v>555</v>
      </c>
      <c r="F194" t="s">
        <v>556</v>
      </c>
      <c r="G194" t="s">
        <v>578</v>
      </c>
      <c r="H194" t="s">
        <v>579</v>
      </c>
      <c r="I194" t="s">
        <v>580</v>
      </c>
      <c r="J194" t="s">
        <v>581</v>
      </c>
      <c r="K194" t="s">
        <v>582</v>
      </c>
      <c r="L194" t="s">
        <v>583</v>
      </c>
      <c r="M194" t="s">
        <v>584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25">
      <c r="A195">
        <f t="shared" si="2"/>
        <v>194</v>
      </c>
      <c r="B195">
        <v>0</v>
      </c>
      <c r="C195" t="s">
        <v>554</v>
      </c>
      <c r="D195" t="s">
        <v>463</v>
      </c>
      <c r="E195" t="s">
        <v>555</v>
      </c>
      <c r="F195" t="s">
        <v>556</v>
      </c>
      <c r="G195" t="s">
        <v>557</v>
      </c>
      <c r="H195" t="s">
        <v>585</v>
      </c>
      <c r="I195" t="s">
        <v>586</v>
      </c>
      <c r="J195" t="s">
        <v>587</v>
      </c>
      <c r="K195" t="s">
        <v>588</v>
      </c>
      <c r="L195" t="s">
        <v>589</v>
      </c>
      <c r="M195" t="s">
        <v>590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25">
      <c r="A196">
        <f t="shared" ref="A196:A259" si="3">A195+1</f>
        <v>195</v>
      </c>
      <c r="B196">
        <v>0</v>
      </c>
      <c r="C196" t="s">
        <v>554</v>
      </c>
      <c r="D196" t="s">
        <v>469</v>
      </c>
      <c r="E196" t="s">
        <v>555</v>
      </c>
      <c r="F196" t="s">
        <v>556</v>
      </c>
      <c r="G196" t="s">
        <v>557</v>
      </c>
      <c r="H196" t="s">
        <v>558</v>
      </c>
      <c r="I196" t="s">
        <v>591</v>
      </c>
      <c r="J196" t="s">
        <v>592</v>
      </c>
      <c r="K196" t="s">
        <v>593</v>
      </c>
      <c r="L196" t="s">
        <v>594</v>
      </c>
      <c r="M196" t="s">
        <v>595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25">
      <c r="A197">
        <f t="shared" si="3"/>
        <v>196</v>
      </c>
      <c r="B197">
        <v>0</v>
      </c>
      <c r="C197" t="s">
        <v>596</v>
      </c>
      <c r="D197" t="s">
        <v>597</v>
      </c>
      <c r="E197" t="s">
        <v>598</v>
      </c>
      <c r="F197" t="s">
        <v>599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25">
      <c r="A198">
        <f t="shared" si="3"/>
        <v>197</v>
      </c>
      <c r="B198">
        <v>0</v>
      </c>
      <c r="C198" t="s">
        <v>596</v>
      </c>
      <c r="D198" t="s">
        <v>600</v>
      </c>
      <c r="E198" t="s">
        <v>601</v>
      </c>
      <c r="F198" t="s">
        <v>602</v>
      </c>
      <c r="G198">
        <v>1.35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25">
      <c r="A199">
        <f t="shared" si="3"/>
        <v>198</v>
      </c>
      <c r="B199">
        <v>0</v>
      </c>
      <c r="C199" t="s">
        <v>596</v>
      </c>
      <c r="D199" t="s">
        <v>603</v>
      </c>
      <c r="E199" t="s">
        <v>604</v>
      </c>
      <c r="F199" t="s">
        <v>605</v>
      </c>
      <c r="G199">
        <v>0.05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25">
      <c r="A200">
        <f t="shared" si="3"/>
        <v>199</v>
      </c>
      <c r="B200">
        <v>0</v>
      </c>
      <c r="C200" t="s">
        <v>596</v>
      </c>
      <c r="D200" t="s">
        <v>606</v>
      </c>
      <c r="E200" t="s">
        <v>607</v>
      </c>
      <c r="F200" t="s">
        <v>608</v>
      </c>
      <c r="G200">
        <v>2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25">
      <c r="A201">
        <f t="shared" si="3"/>
        <v>200</v>
      </c>
      <c r="B201">
        <v>0</v>
      </c>
      <c r="C201" t="s">
        <v>596</v>
      </c>
      <c r="D201" t="s">
        <v>609</v>
      </c>
      <c r="E201" t="s">
        <v>610</v>
      </c>
      <c r="F201" t="s">
        <v>611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25">
      <c r="A202">
        <f t="shared" si="3"/>
        <v>201</v>
      </c>
      <c r="B202">
        <v>0</v>
      </c>
      <c r="C202" t="s">
        <v>596</v>
      </c>
      <c r="D202" t="s">
        <v>612</v>
      </c>
      <c r="E202" t="s">
        <v>613</v>
      </c>
      <c r="F202" t="s">
        <v>614</v>
      </c>
      <c r="G202">
        <v>5</v>
      </c>
      <c r="H202">
        <v>1.2</v>
      </c>
      <c r="I202">
        <v>0.15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25">
      <c r="A203">
        <f t="shared" si="3"/>
        <v>202</v>
      </c>
      <c r="B203">
        <v>0</v>
      </c>
      <c r="C203" t="s">
        <v>596</v>
      </c>
      <c r="D203" t="s">
        <v>615</v>
      </c>
      <c r="E203" t="s">
        <v>616</v>
      </c>
      <c r="F203" t="s">
        <v>617</v>
      </c>
      <c r="G203">
        <v>8</v>
      </c>
      <c r="H203">
        <v>4</v>
      </c>
      <c r="I203">
        <v>3</v>
      </c>
      <c r="J203">
        <v>60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25">
      <c r="A204">
        <f t="shared" si="3"/>
        <v>203</v>
      </c>
      <c r="B204">
        <v>0</v>
      </c>
      <c r="C204" t="s">
        <v>596</v>
      </c>
      <c r="D204" t="s">
        <v>618</v>
      </c>
      <c r="E204" t="s">
        <v>619</v>
      </c>
      <c r="F204" t="s">
        <v>620</v>
      </c>
      <c r="G204">
        <v>1</v>
      </c>
      <c r="H204">
        <v>1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25">
      <c r="A205">
        <f t="shared" si="3"/>
        <v>204</v>
      </c>
      <c r="B205">
        <v>0</v>
      </c>
      <c r="C205" t="s">
        <v>596</v>
      </c>
      <c r="D205" t="s">
        <v>621</v>
      </c>
      <c r="E205" t="s">
        <v>622</v>
      </c>
      <c r="F205" t="s">
        <v>623</v>
      </c>
      <c r="G205">
        <v>0.15</v>
      </c>
      <c r="H205">
        <v>0.06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25">
      <c r="A206">
        <f t="shared" si="3"/>
        <v>205</v>
      </c>
      <c r="B206">
        <v>0</v>
      </c>
      <c r="C206" t="s">
        <v>596</v>
      </c>
      <c r="D206" t="s">
        <v>624</v>
      </c>
      <c r="E206" t="s">
        <v>625</v>
      </c>
      <c r="F206" t="s">
        <v>626</v>
      </c>
      <c r="G206">
        <v>2</v>
      </c>
      <c r="H206">
        <v>0.6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25">
      <c r="A207">
        <f t="shared" si="3"/>
        <v>206</v>
      </c>
      <c r="B207">
        <v>0</v>
      </c>
      <c r="C207" t="s">
        <v>596</v>
      </c>
      <c r="D207" t="s">
        <v>627</v>
      </c>
      <c r="E207" t="s">
        <v>628</v>
      </c>
      <c r="F207" t="s">
        <v>629</v>
      </c>
      <c r="G207">
        <v>3</v>
      </c>
      <c r="H207">
        <v>0.5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25">
      <c r="A208">
        <f t="shared" si="3"/>
        <v>207</v>
      </c>
      <c r="B208">
        <v>0</v>
      </c>
      <c r="C208" t="s">
        <v>630</v>
      </c>
      <c r="D208" t="s">
        <v>631</v>
      </c>
      <c r="E208" t="s">
        <v>632</v>
      </c>
      <c r="F208" t="s">
        <v>633</v>
      </c>
      <c r="G208">
        <v>5</v>
      </c>
      <c r="H208">
        <v>7.5</v>
      </c>
      <c r="I208">
        <v>10</v>
      </c>
      <c r="J208">
        <v>15</v>
      </c>
      <c r="K208">
        <v>20</v>
      </c>
      <c r="L208">
        <v>25</v>
      </c>
      <c r="M208">
        <v>30</v>
      </c>
      <c r="N208">
        <v>100</v>
      </c>
      <c r="O208">
        <v>100</v>
      </c>
      <c r="P208">
        <v>0</v>
      </c>
      <c r="Q208">
        <v>0</v>
      </c>
      <c r="R208">
        <v>0</v>
      </c>
    </row>
    <row r="209" spans="1:18" x14ac:dyDescent="0.25">
      <c r="A209">
        <f t="shared" si="3"/>
        <v>208</v>
      </c>
      <c r="B209">
        <v>0</v>
      </c>
      <c r="C209" t="s">
        <v>630</v>
      </c>
      <c r="D209" t="s">
        <v>634</v>
      </c>
      <c r="E209" t="s">
        <v>635</v>
      </c>
      <c r="F209" t="s">
        <v>636</v>
      </c>
      <c r="G209">
        <v>0</v>
      </c>
      <c r="H209">
        <v>0</v>
      </c>
      <c r="I209">
        <v>0</v>
      </c>
      <c r="J209">
        <v>0.1</v>
      </c>
      <c r="K209">
        <v>0.5</v>
      </c>
      <c r="L209">
        <v>1</v>
      </c>
      <c r="M209">
        <v>10</v>
      </c>
      <c r="N209">
        <v>100</v>
      </c>
      <c r="O209">
        <v>100</v>
      </c>
      <c r="P209">
        <v>0</v>
      </c>
      <c r="Q209">
        <v>0</v>
      </c>
      <c r="R209">
        <v>0</v>
      </c>
    </row>
    <row r="210" spans="1:18" x14ac:dyDescent="0.25">
      <c r="A210">
        <f t="shared" si="3"/>
        <v>209</v>
      </c>
      <c r="B210">
        <v>0</v>
      </c>
      <c r="C210" t="s">
        <v>637</v>
      </c>
      <c r="D210" t="s">
        <v>638</v>
      </c>
      <c r="E210" t="s">
        <v>639</v>
      </c>
      <c r="F210" t="s">
        <v>640</v>
      </c>
      <c r="G210">
        <v>5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</row>
    <row r="211" spans="1:18" x14ac:dyDescent="0.25">
      <c r="A211">
        <f t="shared" si="3"/>
        <v>210</v>
      </c>
      <c r="B211">
        <v>0</v>
      </c>
      <c r="C211" t="s">
        <v>637</v>
      </c>
      <c r="D211" t="s">
        <v>641</v>
      </c>
      <c r="E211" t="s">
        <v>642</v>
      </c>
      <c r="F211" t="s">
        <v>643</v>
      </c>
      <c r="G211">
        <v>55</v>
      </c>
      <c r="H211">
        <v>40</v>
      </c>
      <c r="I211">
        <v>25</v>
      </c>
      <c r="J211">
        <v>20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</row>
    <row r="212" spans="1:18" x14ac:dyDescent="0.25">
      <c r="A212">
        <f t="shared" si="3"/>
        <v>211</v>
      </c>
      <c r="B212">
        <v>0</v>
      </c>
      <c r="C212" t="s">
        <v>637</v>
      </c>
      <c r="D212" t="s">
        <v>644</v>
      </c>
      <c r="E212" t="s">
        <v>645</v>
      </c>
      <c r="F212" t="s">
        <v>646</v>
      </c>
      <c r="G212">
        <v>5000000</v>
      </c>
      <c r="H212">
        <v>20000000</v>
      </c>
      <c r="I212">
        <v>100000000</v>
      </c>
      <c r="J212">
        <v>500000000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</row>
    <row r="213" spans="1:18" x14ac:dyDescent="0.25">
      <c r="A213">
        <f t="shared" si="3"/>
        <v>212</v>
      </c>
      <c r="B213">
        <v>0</v>
      </c>
      <c r="C213" t="s">
        <v>637</v>
      </c>
      <c r="D213" t="s">
        <v>647</v>
      </c>
      <c r="E213" t="s">
        <v>645</v>
      </c>
      <c r="F213">
        <v>0</v>
      </c>
      <c r="G213">
        <v>3</v>
      </c>
      <c r="H213">
        <v>5</v>
      </c>
      <c r="I213">
        <v>8</v>
      </c>
      <c r="J213">
        <v>13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</row>
    <row r="214" spans="1:18" x14ac:dyDescent="0.25">
      <c r="A214">
        <f t="shared" si="3"/>
        <v>213</v>
      </c>
      <c r="B214">
        <v>0</v>
      </c>
      <c r="C214" t="s">
        <v>637</v>
      </c>
      <c r="D214" t="s">
        <v>648</v>
      </c>
      <c r="E214" t="s">
        <v>649</v>
      </c>
      <c r="F214" t="s">
        <v>650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</row>
    <row r="215" spans="1:18" x14ac:dyDescent="0.25">
      <c r="A215">
        <f t="shared" si="3"/>
        <v>214</v>
      </c>
      <c r="B215">
        <v>0</v>
      </c>
      <c r="C215" t="s">
        <v>651</v>
      </c>
      <c r="D215" t="s">
        <v>652</v>
      </c>
      <c r="E215" t="s">
        <v>653</v>
      </c>
      <c r="F215" t="s">
        <v>654</v>
      </c>
      <c r="G215">
        <v>27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</row>
    <row r="216" spans="1:18" x14ac:dyDescent="0.25">
      <c r="A216">
        <f t="shared" si="3"/>
        <v>215</v>
      </c>
      <c r="B216">
        <v>0</v>
      </c>
      <c r="C216" t="s">
        <v>651</v>
      </c>
      <c r="D216" t="s">
        <v>655</v>
      </c>
      <c r="E216" t="s">
        <v>656</v>
      </c>
      <c r="F216" t="s">
        <v>654</v>
      </c>
      <c r="G216">
        <v>36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</row>
    <row r="217" spans="1:18" x14ac:dyDescent="0.25">
      <c r="A217">
        <f t="shared" si="3"/>
        <v>216</v>
      </c>
      <c r="B217">
        <v>0</v>
      </c>
      <c r="C217" t="s">
        <v>637</v>
      </c>
      <c r="D217" t="s">
        <v>657</v>
      </c>
      <c r="E217" t="s">
        <v>639</v>
      </c>
      <c r="F217" t="s">
        <v>658</v>
      </c>
      <c r="G217">
        <v>3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</row>
    <row r="218" spans="1:18" x14ac:dyDescent="0.25">
      <c r="A218">
        <f t="shared" si="3"/>
        <v>217</v>
      </c>
      <c r="B218">
        <v>0</v>
      </c>
      <c r="C218" t="s">
        <v>637</v>
      </c>
      <c r="D218" t="s">
        <v>659</v>
      </c>
      <c r="E218" t="s">
        <v>660</v>
      </c>
      <c r="F218" t="s">
        <v>661</v>
      </c>
      <c r="G218">
        <v>50</v>
      </c>
      <c r="H218">
        <v>40</v>
      </c>
      <c r="I218">
        <v>35</v>
      </c>
      <c r="J218">
        <v>25</v>
      </c>
      <c r="K218">
        <v>15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</row>
    <row r="219" spans="1:18" x14ac:dyDescent="0.25">
      <c r="A219">
        <f t="shared" si="3"/>
        <v>218</v>
      </c>
      <c r="B219">
        <v>0</v>
      </c>
      <c r="C219" t="s">
        <v>637</v>
      </c>
      <c r="D219" t="s">
        <v>662</v>
      </c>
      <c r="E219" t="s">
        <v>663</v>
      </c>
      <c r="F219" t="s">
        <v>664</v>
      </c>
      <c r="G219">
        <v>1000000</v>
      </c>
      <c r="H219">
        <v>5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</row>
    <row r="220" spans="1:18" x14ac:dyDescent="0.25">
      <c r="A220">
        <f t="shared" si="3"/>
        <v>219</v>
      </c>
      <c r="B220">
        <v>0</v>
      </c>
      <c r="C220" t="s">
        <v>637</v>
      </c>
      <c r="D220" t="s">
        <v>665</v>
      </c>
      <c r="E220" t="s">
        <v>666</v>
      </c>
      <c r="F220">
        <v>0</v>
      </c>
      <c r="G220">
        <v>1</v>
      </c>
      <c r="H220">
        <v>2</v>
      </c>
      <c r="I220">
        <v>3</v>
      </c>
      <c r="J220">
        <v>4</v>
      </c>
      <c r="K220">
        <v>6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</row>
    <row r="221" spans="1:18" x14ac:dyDescent="0.25">
      <c r="A221">
        <f t="shared" si="3"/>
        <v>220</v>
      </c>
      <c r="B221">
        <v>0</v>
      </c>
      <c r="C221" t="s">
        <v>637</v>
      </c>
      <c r="D221" t="s">
        <v>667</v>
      </c>
      <c r="E221" t="s">
        <v>668</v>
      </c>
      <c r="F221" t="s">
        <v>669</v>
      </c>
      <c r="G221">
        <v>3</v>
      </c>
      <c r="H221">
        <v>3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</row>
    <row r="222" spans="1:18" x14ac:dyDescent="0.25">
      <c r="A222">
        <f t="shared" si="3"/>
        <v>221</v>
      </c>
      <c r="B222">
        <v>0</v>
      </c>
      <c r="C222" t="s">
        <v>637</v>
      </c>
      <c r="D222" t="s">
        <v>670</v>
      </c>
      <c r="E222" t="s">
        <v>671</v>
      </c>
      <c r="F222" t="s">
        <v>672</v>
      </c>
      <c r="G222">
        <v>6</v>
      </c>
      <c r="H222">
        <v>6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</row>
    <row r="223" spans="1:18" x14ac:dyDescent="0.25">
      <c r="A223">
        <f t="shared" si="3"/>
        <v>222</v>
      </c>
      <c r="B223">
        <v>0</v>
      </c>
      <c r="C223" t="s">
        <v>673</v>
      </c>
      <c r="D223" t="s">
        <v>674</v>
      </c>
      <c r="E223" t="s">
        <v>675</v>
      </c>
      <c r="F223" t="s">
        <v>676</v>
      </c>
      <c r="G223">
        <v>30</v>
      </c>
      <c r="H223">
        <v>6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</row>
    <row r="224" spans="1:18" x14ac:dyDescent="0.25">
      <c r="A224">
        <f t="shared" si="3"/>
        <v>223</v>
      </c>
      <c r="B224">
        <v>0</v>
      </c>
      <c r="C224" t="s">
        <v>673</v>
      </c>
      <c r="D224" t="s">
        <v>677</v>
      </c>
      <c r="E224" t="s">
        <v>678</v>
      </c>
      <c r="F224">
        <v>0</v>
      </c>
      <c r="G224">
        <v>25</v>
      </c>
      <c r="H224">
        <v>1.45</v>
      </c>
      <c r="I224">
        <v>0.08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</row>
    <row r="225" spans="1:18" x14ac:dyDescent="0.25">
      <c r="A225">
        <f t="shared" si="3"/>
        <v>224</v>
      </c>
      <c r="B225">
        <v>0</v>
      </c>
      <c r="C225" t="s">
        <v>673</v>
      </c>
      <c r="D225" t="s">
        <v>679</v>
      </c>
      <c r="E225" t="s">
        <v>678</v>
      </c>
      <c r="F225">
        <v>0</v>
      </c>
      <c r="G225">
        <v>8</v>
      </c>
      <c r="H225">
        <v>1.35</v>
      </c>
      <c r="I225">
        <v>0.04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</row>
    <row r="226" spans="1:18" x14ac:dyDescent="0.25">
      <c r="A226">
        <f t="shared" si="3"/>
        <v>225</v>
      </c>
      <c r="B226">
        <v>0</v>
      </c>
      <c r="C226" t="s">
        <v>673</v>
      </c>
      <c r="D226" t="s">
        <v>680</v>
      </c>
      <c r="E226" t="s">
        <v>681</v>
      </c>
      <c r="F226" t="s">
        <v>682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</row>
    <row r="227" spans="1:18" x14ac:dyDescent="0.25">
      <c r="A227">
        <f t="shared" si="3"/>
        <v>226</v>
      </c>
      <c r="B227">
        <v>0</v>
      </c>
      <c r="C227" t="s">
        <v>651</v>
      </c>
      <c r="D227" t="s">
        <v>677</v>
      </c>
      <c r="E227" t="s">
        <v>683</v>
      </c>
      <c r="F227">
        <v>0</v>
      </c>
      <c r="G227">
        <v>40</v>
      </c>
      <c r="H227">
        <v>1.7</v>
      </c>
      <c r="I227">
        <v>0.15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</row>
    <row r="228" spans="1:18" x14ac:dyDescent="0.25">
      <c r="A228">
        <f t="shared" si="3"/>
        <v>227</v>
      </c>
      <c r="B228">
        <v>0</v>
      </c>
      <c r="C228" t="s">
        <v>651</v>
      </c>
      <c r="D228" t="s">
        <v>684</v>
      </c>
      <c r="E228" t="s">
        <v>685</v>
      </c>
      <c r="F228" t="s">
        <v>686</v>
      </c>
      <c r="G228">
        <v>9</v>
      </c>
      <c r="H228">
        <v>14</v>
      </c>
      <c r="I228">
        <v>20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</row>
    <row r="229" spans="1:18" x14ac:dyDescent="0.25">
      <c r="A229">
        <f t="shared" si="3"/>
        <v>228</v>
      </c>
      <c r="B229">
        <v>0</v>
      </c>
      <c r="C229" t="s">
        <v>651</v>
      </c>
      <c r="D229" t="s">
        <v>687</v>
      </c>
      <c r="E229" t="s">
        <v>688</v>
      </c>
      <c r="F229" t="s">
        <v>689</v>
      </c>
      <c r="G229">
        <v>1</v>
      </c>
      <c r="H229">
        <v>1</v>
      </c>
      <c r="I229">
        <v>0.33329999999999999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</row>
    <row r="230" spans="1:18" x14ac:dyDescent="0.25">
      <c r="A230">
        <f t="shared" si="3"/>
        <v>229</v>
      </c>
      <c r="B230">
        <v>0</v>
      </c>
      <c r="C230" t="s">
        <v>690</v>
      </c>
      <c r="D230" t="s">
        <v>691</v>
      </c>
      <c r="E230" t="s">
        <v>692</v>
      </c>
      <c r="F230" t="s">
        <v>693</v>
      </c>
      <c r="G230">
        <v>5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</row>
    <row r="231" spans="1:18" x14ac:dyDescent="0.25">
      <c r="A231">
        <f t="shared" si="3"/>
        <v>230</v>
      </c>
      <c r="B231">
        <v>0</v>
      </c>
      <c r="C231" t="s">
        <v>690</v>
      </c>
      <c r="D231" t="s">
        <v>694</v>
      </c>
      <c r="E231" t="s">
        <v>695</v>
      </c>
      <c r="F231" t="s">
        <v>696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</row>
    <row r="232" spans="1:18" x14ac:dyDescent="0.25">
      <c r="A232">
        <f t="shared" si="3"/>
        <v>231</v>
      </c>
      <c r="B232">
        <v>0</v>
      </c>
      <c r="C232" t="s">
        <v>690</v>
      </c>
      <c r="D232" t="s">
        <v>697</v>
      </c>
      <c r="E232" t="s">
        <v>698</v>
      </c>
      <c r="F232" t="s">
        <v>699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</row>
    <row r="233" spans="1:18" x14ac:dyDescent="0.25">
      <c r="A233">
        <f t="shared" si="3"/>
        <v>232</v>
      </c>
      <c r="B233">
        <v>0</v>
      </c>
      <c r="C233" t="s">
        <v>690</v>
      </c>
      <c r="D233" t="s">
        <v>700</v>
      </c>
      <c r="E233" t="s">
        <v>701</v>
      </c>
      <c r="F233" t="s">
        <v>699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18" x14ac:dyDescent="0.25">
      <c r="A234">
        <f t="shared" si="3"/>
        <v>233</v>
      </c>
      <c r="B234">
        <v>0</v>
      </c>
      <c r="C234" t="s">
        <v>702</v>
      </c>
      <c r="D234" t="s">
        <v>703</v>
      </c>
      <c r="E234" t="s">
        <v>704</v>
      </c>
      <c r="F234" t="s">
        <v>705</v>
      </c>
      <c r="G234">
        <v>2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18" x14ac:dyDescent="0.25">
      <c r="A235">
        <f t="shared" si="3"/>
        <v>234</v>
      </c>
      <c r="B235">
        <v>0</v>
      </c>
      <c r="C235" t="s">
        <v>706</v>
      </c>
      <c r="D235" t="s">
        <v>707</v>
      </c>
      <c r="E235" t="s">
        <v>708</v>
      </c>
      <c r="F235" t="s">
        <v>709</v>
      </c>
      <c r="G235">
        <v>10000</v>
      </c>
      <c r="H235">
        <v>3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18" x14ac:dyDescent="0.25">
      <c r="A236">
        <f t="shared" si="3"/>
        <v>235</v>
      </c>
      <c r="B236">
        <v>0</v>
      </c>
      <c r="C236" t="s">
        <v>710</v>
      </c>
      <c r="D236" t="s">
        <v>711</v>
      </c>
      <c r="E236" t="s">
        <v>712</v>
      </c>
      <c r="F236" t="s">
        <v>713</v>
      </c>
      <c r="G236">
        <v>20000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18" x14ac:dyDescent="0.25">
      <c r="A237">
        <f t="shared" si="3"/>
        <v>236</v>
      </c>
      <c r="B237">
        <v>0</v>
      </c>
      <c r="C237" t="s">
        <v>710</v>
      </c>
      <c r="D237" t="s">
        <v>714</v>
      </c>
      <c r="E237" t="s">
        <v>715</v>
      </c>
      <c r="F237">
        <v>0</v>
      </c>
      <c r="G237">
        <v>30</v>
      </c>
      <c r="H237">
        <v>2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18" x14ac:dyDescent="0.25">
      <c r="A238">
        <f t="shared" si="3"/>
        <v>237</v>
      </c>
      <c r="B238">
        <v>0</v>
      </c>
      <c r="C238" t="s">
        <v>710</v>
      </c>
      <c r="D238" t="s">
        <v>716</v>
      </c>
      <c r="E238" t="s">
        <v>717</v>
      </c>
      <c r="F238" t="s">
        <v>718</v>
      </c>
      <c r="G238">
        <v>100</v>
      </c>
      <c r="H238">
        <v>1000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18" x14ac:dyDescent="0.25">
      <c r="A239">
        <f t="shared" si="3"/>
        <v>238</v>
      </c>
      <c r="B239">
        <v>0</v>
      </c>
      <c r="C239" t="s">
        <v>710</v>
      </c>
      <c r="D239" t="s">
        <v>719</v>
      </c>
      <c r="E239" t="s">
        <v>720</v>
      </c>
      <c r="F239" t="s">
        <v>721</v>
      </c>
      <c r="G239">
        <v>10000</v>
      </c>
      <c r="H239">
        <v>10000</v>
      </c>
      <c r="I239">
        <v>1.02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18" x14ac:dyDescent="0.25">
      <c r="A240">
        <f t="shared" si="3"/>
        <v>239</v>
      </c>
      <c r="B240">
        <v>0</v>
      </c>
      <c r="C240" t="s">
        <v>710</v>
      </c>
      <c r="D240" t="s">
        <v>722</v>
      </c>
      <c r="E240" t="s">
        <v>723</v>
      </c>
      <c r="F240">
        <v>0</v>
      </c>
      <c r="G240">
        <v>2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f t="shared" si="3"/>
        <v>240</v>
      </c>
      <c r="B241">
        <v>0</v>
      </c>
      <c r="C241" t="s">
        <v>724</v>
      </c>
      <c r="D241" t="s">
        <v>725</v>
      </c>
      <c r="E241" t="s">
        <v>726</v>
      </c>
      <c r="F241" t="s">
        <v>727</v>
      </c>
      <c r="G241">
        <v>0.2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x14ac:dyDescent="0.25">
      <c r="A242">
        <f t="shared" si="3"/>
        <v>241</v>
      </c>
      <c r="B242">
        <v>0</v>
      </c>
      <c r="C242" t="s">
        <v>724</v>
      </c>
      <c r="D242" t="s">
        <v>728</v>
      </c>
      <c r="E242" t="s">
        <v>729</v>
      </c>
      <c r="F242" t="s">
        <v>730</v>
      </c>
      <c r="G242">
        <v>2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 x14ac:dyDescent="0.25">
      <c r="A243">
        <f t="shared" si="3"/>
        <v>242</v>
      </c>
      <c r="B243">
        <v>0</v>
      </c>
      <c r="C243" t="s">
        <v>724</v>
      </c>
      <c r="D243" t="s">
        <v>731</v>
      </c>
      <c r="E243" t="s">
        <v>732</v>
      </c>
      <c r="F243" t="s">
        <v>733</v>
      </c>
      <c r="G243">
        <v>3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</row>
    <row r="244" spans="1:18" x14ac:dyDescent="0.25">
      <c r="A244">
        <f t="shared" si="3"/>
        <v>243</v>
      </c>
      <c r="B244">
        <v>0</v>
      </c>
      <c r="C244" t="s">
        <v>724</v>
      </c>
      <c r="D244" t="s">
        <v>734</v>
      </c>
      <c r="E244" t="s">
        <v>735</v>
      </c>
      <c r="F244" t="s">
        <v>736</v>
      </c>
      <c r="G244">
        <v>3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f t="shared" si="3"/>
        <v>244</v>
      </c>
      <c r="B245">
        <v>0</v>
      </c>
      <c r="C245" t="s">
        <v>724</v>
      </c>
      <c r="D245" t="s">
        <v>737</v>
      </c>
      <c r="E245" t="s">
        <v>738</v>
      </c>
      <c r="F245" t="s">
        <v>739</v>
      </c>
      <c r="G245">
        <v>100</v>
      </c>
      <c r="H245">
        <v>300</v>
      </c>
      <c r="I245">
        <v>900</v>
      </c>
      <c r="J245">
        <v>2700</v>
      </c>
      <c r="K245">
        <v>8100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f t="shared" si="3"/>
        <v>245</v>
      </c>
      <c r="B246">
        <v>0</v>
      </c>
      <c r="C246" t="s">
        <v>724</v>
      </c>
      <c r="D246" t="s">
        <v>740</v>
      </c>
      <c r="E246" t="s">
        <v>741</v>
      </c>
      <c r="F246" t="s">
        <v>742</v>
      </c>
      <c r="G246">
        <v>9</v>
      </c>
      <c r="H246">
        <v>1000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f t="shared" si="3"/>
        <v>246</v>
      </c>
      <c r="B247">
        <v>0</v>
      </c>
      <c r="C247" t="s">
        <v>724</v>
      </c>
      <c r="D247" t="s">
        <v>743</v>
      </c>
      <c r="E247" t="s">
        <v>744</v>
      </c>
      <c r="F247" t="s">
        <v>745</v>
      </c>
      <c r="G247">
        <v>0.7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f t="shared" si="3"/>
        <v>247</v>
      </c>
      <c r="B248">
        <v>0</v>
      </c>
      <c r="C248" t="s">
        <v>724</v>
      </c>
      <c r="D248" t="s">
        <v>746</v>
      </c>
      <c r="E248" t="s">
        <v>747</v>
      </c>
      <c r="F248" t="s">
        <v>748</v>
      </c>
      <c r="G248">
        <v>0.7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f t="shared" si="3"/>
        <v>248</v>
      </c>
      <c r="B249">
        <v>0</v>
      </c>
      <c r="C249" t="s">
        <v>724</v>
      </c>
      <c r="D249" t="s">
        <v>749</v>
      </c>
      <c r="E249" t="s">
        <v>750</v>
      </c>
      <c r="F249" t="s">
        <v>751</v>
      </c>
      <c r="G249">
        <v>10</v>
      </c>
      <c r="H249">
        <v>60</v>
      </c>
      <c r="I249">
        <v>10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f t="shared" si="3"/>
        <v>249</v>
      </c>
      <c r="B250">
        <v>0</v>
      </c>
      <c r="C250" t="s">
        <v>724</v>
      </c>
      <c r="D250" t="s">
        <v>752</v>
      </c>
      <c r="E250" t="s">
        <v>753</v>
      </c>
      <c r="F250" t="s">
        <v>754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f t="shared" si="3"/>
        <v>250</v>
      </c>
      <c r="B251">
        <v>0</v>
      </c>
      <c r="C251" t="s">
        <v>755</v>
      </c>
      <c r="D251" t="s">
        <v>756</v>
      </c>
      <c r="E251" t="s">
        <v>757</v>
      </c>
      <c r="F251" t="s">
        <v>758</v>
      </c>
      <c r="G251">
        <v>10000</v>
      </c>
      <c r="H251">
        <v>3</v>
      </c>
      <c r="I251">
        <v>4000000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f t="shared" si="3"/>
        <v>251</v>
      </c>
      <c r="B252">
        <v>0</v>
      </c>
      <c r="C252" t="s">
        <v>755</v>
      </c>
      <c r="D252" t="s">
        <v>759</v>
      </c>
      <c r="E252" t="s">
        <v>760</v>
      </c>
      <c r="F252" t="s">
        <v>761</v>
      </c>
      <c r="G252">
        <v>5000</v>
      </c>
      <c r="H252">
        <v>2.5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f t="shared" si="3"/>
        <v>252</v>
      </c>
      <c r="B253">
        <v>0</v>
      </c>
      <c r="C253" t="s">
        <v>755</v>
      </c>
      <c r="D253" t="s">
        <v>762</v>
      </c>
      <c r="E253" t="s">
        <v>763</v>
      </c>
      <c r="F253">
        <v>0</v>
      </c>
      <c r="G253">
        <v>8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f t="shared" si="3"/>
        <v>253</v>
      </c>
      <c r="B254">
        <v>0</v>
      </c>
      <c r="C254" t="s">
        <v>755</v>
      </c>
      <c r="D254" t="s">
        <v>764</v>
      </c>
      <c r="E254" t="s">
        <v>765</v>
      </c>
      <c r="F254" t="s">
        <v>766</v>
      </c>
      <c r="G254">
        <v>10000</v>
      </c>
      <c r="H254">
        <v>100000</v>
      </c>
      <c r="I254">
        <v>500000</v>
      </c>
      <c r="J254">
        <v>2000000</v>
      </c>
      <c r="K254">
        <v>10000000</v>
      </c>
      <c r="L254">
        <v>50000000</v>
      </c>
      <c r="M254">
        <v>200000000</v>
      </c>
      <c r="N254">
        <v>1000000000</v>
      </c>
      <c r="O254">
        <v>10000000000</v>
      </c>
      <c r="P254">
        <v>1000000000000</v>
      </c>
      <c r="Q254">
        <v>0</v>
      </c>
      <c r="R254">
        <v>0</v>
      </c>
    </row>
    <row r="255" spans="1:18" x14ac:dyDescent="0.25">
      <c r="A255">
        <f t="shared" si="3"/>
        <v>254</v>
      </c>
      <c r="B255">
        <v>0</v>
      </c>
      <c r="C255" t="s">
        <v>767</v>
      </c>
      <c r="D255" t="s">
        <v>768</v>
      </c>
      <c r="E255" t="s">
        <v>769</v>
      </c>
      <c r="F255" t="s">
        <v>770</v>
      </c>
      <c r="G255" t="s">
        <v>771</v>
      </c>
      <c r="H255" t="s">
        <v>772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f t="shared" si="3"/>
        <v>255</v>
      </c>
      <c r="B256">
        <v>0</v>
      </c>
      <c r="C256" t="s">
        <v>767</v>
      </c>
      <c r="D256" t="s">
        <v>773</v>
      </c>
      <c r="E256" t="s">
        <v>769</v>
      </c>
      <c r="F256" t="s">
        <v>770</v>
      </c>
      <c r="G256" t="s">
        <v>771</v>
      </c>
      <c r="H256" t="s">
        <v>774</v>
      </c>
      <c r="I256" t="s">
        <v>775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f t="shared" si="3"/>
        <v>256</v>
      </c>
      <c r="B257">
        <v>0</v>
      </c>
      <c r="C257" t="s">
        <v>767</v>
      </c>
      <c r="D257" t="s">
        <v>776</v>
      </c>
      <c r="E257" t="s">
        <v>769</v>
      </c>
      <c r="F257" t="s">
        <v>770</v>
      </c>
      <c r="G257" t="s">
        <v>771</v>
      </c>
      <c r="H257" t="s">
        <v>777</v>
      </c>
      <c r="I257" t="s">
        <v>775</v>
      </c>
      <c r="J257" t="s">
        <v>778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f t="shared" si="3"/>
        <v>257</v>
      </c>
      <c r="B258">
        <v>0</v>
      </c>
      <c r="C258" t="s">
        <v>767</v>
      </c>
      <c r="D258" t="s">
        <v>779</v>
      </c>
      <c r="E258" t="s">
        <v>769</v>
      </c>
      <c r="F258" t="s">
        <v>770</v>
      </c>
      <c r="G258" t="s">
        <v>780</v>
      </c>
      <c r="H258" t="s">
        <v>777</v>
      </c>
      <c r="I258" t="s">
        <v>781</v>
      </c>
      <c r="J258" t="s">
        <v>778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f t="shared" si="3"/>
        <v>258</v>
      </c>
      <c r="B259">
        <v>0</v>
      </c>
      <c r="C259" t="s">
        <v>767</v>
      </c>
      <c r="D259" t="s">
        <v>782</v>
      </c>
      <c r="E259" t="s">
        <v>769</v>
      </c>
      <c r="F259" t="s">
        <v>770</v>
      </c>
      <c r="G259" t="s">
        <v>783</v>
      </c>
      <c r="H259" t="s">
        <v>777</v>
      </c>
      <c r="I259" t="s">
        <v>781</v>
      </c>
      <c r="J259" t="s">
        <v>784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f t="shared" ref="A260:A323" si="4">A259+1</f>
        <v>259</v>
      </c>
      <c r="B260">
        <v>0</v>
      </c>
      <c r="C260" t="s">
        <v>767</v>
      </c>
      <c r="D260" t="s">
        <v>785</v>
      </c>
      <c r="E260" t="s">
        <v>769</v>
      </c>
      <c r="F260" t="s">
        <v>770</v>
      </c>
      <c r="G260" t="s">
        <v>786</v>
      </c>
      <c r="H260" t="s">
        <v>777</v>
      </c>
      <c r="I260" t="s">
        <v>781</v>
      </c>
      <c r="J260" t="s">
        <v>784</v>
      </c>
      <c r="K260" t="s">
        <v>787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</row>
    <row r="261" spans="1:18" x14ac:dyDescent="0.25">
      <c r="A261">
        <f t="shared" si="4"/>
        <v>260</v>
      </c>
      <c r="B261">
        <v>0</v>
      </c>
      <c r="C261" t="s">
        <v>767</v>
      </c>
      <c r="D261" t="s">
        <v>788</v>
      </c>
      <c r="E261" t="s">
        <v>769</v>
      </c>
      <c r="F261" t="s">
        <v>770</v>
      </c>
      <c r="G261" t="s">
        <v>789</v>
      </c>
      <c r="H261" t="s">
        <v>790</v>
      </c>
      <c r="I261" t="s">
        <v>784</v>
      </c>
      <c r="J261" t="s">
        <v>791</v>
      </c>
      <c r="K261" t="s">
        <v>792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</row>
    <row r="262" spans="1:18" x14ac:dyDescent="0.25">
      <c r="A262">
        <f t="shared" si="4"/>
        <v>261</v>
      </c>
      <c r="B262">
        <v>0</v>
      </c>
      <c r="C262" t="s">
        <v>767</v>
      </c>
      <c r="D262" t="s">
        <v>793</v>
      </c>
      <c r="E262" t="s">
        <v>769</v>
      </c>
      <c r="F262" t="s">
        <v>770</v>
      </c>
      <c r="G262" t="s">
        <v>777</v>
      </c>
      <c r="H262" t="s">
        <v>790</v>
      </c>
      <c r="I262" t="s">
        <v>784</v>
      </c>
      <c r="J262" t="s">
        <v>791</v>
      </c>
      <c r="K262" t="s">
        <v>794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</row>
    <row r="263" spans="1:18" x14ac:dyDescent="0.25">
      <c r="A263">
        <f t="shared" si="4"/>
        <v>262</v>
      </c>
      <c r="B263">
        <v>0</v>
      </c>
      <c r="C263" t="s">
        <v>767</v>
      </c>
      <c r="D263" t="s">
        <v>795</v>
      </c>
      <c r="E263" t="s">
        <v>769</v>
      </c>
      <c r="F263" t="s">
        <v>770</v>
      </c>
      <c r="G263" t="s">
        <v>790</v>
      </c>
      <c r="H263" t="s">
        <v>796</v>
      </c>
      <c r="I263" t="s">
        <v>791</v>
      </c>
      <c r="J263" t="s">
        <v>797</v>
      </c>
      <c r="K263" t="s">
        <v>798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</row>
    <row r="264" spans="1:18" x14ac:dyDescent="0.25">
      <c r="A264">
        <f t="shared" si="4"/>
        <v>263</v>
      </c>
      <c r="B264">
        <v>0</v>
      </c>
      <c r="C264" t="s">
        <v>767</v>
      </c>
      <c r="D264" t="s">
        <v>799</v>
      </c>
      <c r="E264" t="s">
        <v>769</v>
      </c>
      <c r="F264" t="s">
        <v>770</v>
      </c>
      <c r="G264" t="s">
        <v>796</v>
      </c>
      <c r="H264" t="s">
        <v>800</v>
      </c>
      <c r="I264" t="s">
        <v>797</v>
      </c>
      <c r="J264" t="s">
        <v>801</v>
      </c>
      <c r="K264" t="s">
        <v>802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25">
      <c r="A265">
        <f t="shared" si="4"/>
        <v>264</v>
      </c>
      <c r="B265">
        <v>0</v>
      </c>
      <c r="C265" t="s">
        <v>767</v>
      </c>
      <c r="D265" t="s">
        <v>803</v>
      </c>
      <c r="E265" t="s">
        <v>769</v>
      </c>
      <c r="F265" t="s">
        <v>770</v>
      </c>
      <c r="G265" t="s">
        <v>800</v>
      </c>
      <c r="H265" t="s">
        <v>804</v>
      </c>
      <c r="I265" t="s">
        <v>801</v>
      </c>
      <c r="J265" t="s">
        <v>805</v>
      </c>
      <c r="K265" t="s">
        <v>806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25">
      <c r="A266">
        <f t="shared" si="4"/>
        <v>265</v>
      </c>
      <c r="B266">
        <v>0</v>
      </c>
      <c r="C266" t="s">
        <v>767</v>
      </c>
      <c r="D266" t="s">
        <v>807</v>
      </c>
      <c r="E266" t="s">
        <v>769</v>
      </c>
      <c r="F266" t="s">
        <v>770</v>
      </c>
      <c r="G266" t="s">
        <v>804</v>
      </c>
      <c r="H266" t="s">
        <v>808</v>
      </c>
      <c r="I266" t="s">
        <v>805</v>
      </c>
      <c r="J266" t="s">
        <v>809</v>
      </c>
      <c r="K266" t="s">
        <v>810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f t="shared" si="4"/>
        <v>266</v>
      </c>
      <c r="B267">
        <v>0</v>
      </c>
      <c r="C267" t="s">
        <v>767</v>
      </c>
      <c r="D267" t="s">
        <v>811</v>
      </c>
      <c r="E267" t="s">
        <v>769</v>
      </c>
      <c r="F267" t="s">
        <v>770</v>
      </c>
      <c r="G267" t="s">
        <v>808</v>
      </c>
      <c r="H267" t="s">
        <v>812</v>
      </c>
      <c r="I267" t="s">
        <v>809</v>
      </c>
      <c r="J267" t="s">
        <v>813</v>
      </c>
      <c r="K267" t="s">
        <v>814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f t="shared" si="4"/>
        <v>267</v>
      </c>
      <c r="B268">
        <v>0</v>
      </c>
      <c r="C268" t="s">
        <v>767</v>
      </c>
      <c r="D268" t="s">
        <v>815</v>
      </c>
      <c r="E268" t="s">
        <v>769</v>
      </c>
      <c r="F268" t="s">
        <v>770</v>
      </c>
      <c r="G268" t="s">
        <v>812</v>
      </c>
      <c r="H268" t="s">
        <v>816</v>
      </c>
      <c r="I268" t="s">
        <v>813</v>
      </c>
      <c r="J268" t="s">
        <v>817</v>
      </c>
      <c r="K268" t="s">
        <v>818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25">
      <c r="A269">
        <f t="shared" si="4"/>
        <v>268</v>
      </c>
      <c r="B269">
        <v>0</v>
      </c>
      <c r="C269" t="s">
        <v>767</v>
      </c>
      <c r="D269" t="s">
        <v>819</v>
      </c>
      <c r="E269" t="s">
        <v>769</v>
      </c>
      <c r="F269" t="s">
        <v>770</v>
      </c>
      <c r="G269" t="s">
        <v>816</v>
      </c>
      <c r="H269" t="s">
        <v>820</v>
      </c>
      <c r="I269" t="s">
        <v>817</v>
      </c>
      <c r="J269" t="s">
        <v>821</v>
      </c>
      <c r="K269" t="s">
        <v>822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25">
      <c r="A270">
        <f t="shared" si="4"/>
        <v>269</v>
      </c>
      <c r="B270">
        <v>0</v>
      </c>
      <c r="C270" t="s">
        <v>767</v>
      </c>
      <c r="D270" t="s">
        <v>823</v>
      </c>
      <c r="E270" t="s">
        <v>769</v>
      </c>
      <c r="F270" t="s">
        <v>770</v>
      </c>
      <c r="G270" t="s">
        <v>820</v>
      </c>
      <c r="H270" t="s">
        <v>824</v>
      </c>
      <c r="I270" t="s">
        <v>821</v>
      </c>
      <c r="J270" t="s">
        <v>825</v>
      </c>
      <c r="K270" t="s">
        <v>826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f t="shared" si="4"/>
        <v>270</v>
      </c>
      <c r="B271">
        <v>0</v>
      </c>
      <c r="C271" t="s">
        <v>767</v>
      </c>
      <c r="D271" t="s">
        <v>827</v>
      </c>
      <c r="E271" t="s">
        <v>769</v>
      </c>
      <c r="F271" t="s">
        <v>770</v>
      </c>
      <c r="G271" t="s">
        <v>824</v>
      </c>
      <c r="H271" t="s">
        <v>828</v>
      </c>
      <c r="I271" t="s">
        <v>825</v>
      </c>
      <c r="J271" t="s">
        <v>829</v>
      </c>
      <c r="K271" t="s">
        <v>830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f t="shared" si="4"/>
        <v>271</v>
      </c>
      <c r="B272">
        <v>0</v>
      </c>
      <c r="C272" t="s">
        <v>767</v>
      </c>
      <c r="D272" t="s">
        <v>831</v>
      </c>
      <c r="E272" t="s">
        <v>769</v>
      </c>
      <c r="F272" t="s">
        <v>770</v>
      </c>
      <c r="G272" t="s">
        <v>814</v>
      </c>
      <c r="H272" t="s">
        <v>832</v>
      </c>
      <c r="I272" t="s">
        <v>833</v>
      </c>
      <c r="J272" t="s">
        <v>829</v>
      </c>
      <c r="K272" t="s">
        <v>834</v>
      </c>
      <c r="L272" t="s">
        <v>835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f t="shared" si="4"/>
        <v>272</v>
      </c>
      <c r="B273">
        <v>0</v>
      </c>
      <c r="C273" t="s">
        <v>767</v>
      </c>
      <c r="D273" t="s">
        <v>836</v>
      </c>
      <c r="E273" t="s">
        <v>769</v>
      </c>
      <c r="F273" t="s">
        <v>770</v>
      </c>
      <c r="G273" t="s">
        <v>814</v>
      </c>
      <c r="H273" t="s">
        <v>832</v>
      </c>
      <c r="I273" t="s">
        <v>833</v>
      </c>
      <c r="J273" t="s">
        <v>829</v>
      </c>
      <c r="K273" t="s">
        <v>834</v>
      </c>
      <c r="L273" t="s">
        <v>835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x14ac:dyDescent="0.25">
      <c r="A274">
        <f t="shared" si="4"/>
        <v>273</v>
      </c>
      <c r="B274">
        <v>0</v>
      </c>
      <c r="C274" t="s">
        <v>767</v>
      </c>
      <c r="D274" t="s">
        <v>837</v>
      </c>
      <c r="E274" t="s">
        <v>769</v>
      </c>
      <c r="F274" t="s">
        <v>770</v>
      </c>
      <c r="G274" t="s">
        <v>814</v>
      </c>
      <c r="H274" t="s">
        <v>832</v>
      </c>
      <c r="I274" t="s">
        <v>833</v>
      </c>
      <c r="J274" t="s">
        <v>829</v>
      </c>
      <c r="K274" t="s">
        <v>834</v>
      </c>
      <c r="L274" t="s">
        <v>835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25">
      <c r="A275">
        <f t="shared" si="4"/>
        <v>274</v>
      </c>
      <c r="B275">
        <v>0</v>
      </c>
      <c r="C275" t="s">
        <v>838</v>
      </c>
      <c r="D275" t="s">
        <v>768</v>
      </c>
      <c r="E275" t="s">
        <v>839</v>
      </c>
      <c r="F275" t="s">
        <v>840</v>
      </c>
      <c r="G275" t="s">
        <v>841</v>
      </c>
      <c r="H275" t="s">
        <v>842</v>
      </c>
      <c r="I275" t="s">
        <v>843</v>
      </c>
      <c r="J275" t="s">
        <v>844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f t="shared" si="4"/>
        <v>275</v>
      </c>
      <c r="B276">
        <v>0</v>
      </c>
      <c r="C276" t="s">
        <v>838</v>
      </c>
      <c r="D276" t="s">
        <v>773</v>
      </c>
      <c r="E276" t="s">
        <v>839</v>
      </c>
      <c r="F276" t="s">
        <v>840</v>
      </c>
      <c r="G276" t="s">
        <v>845</v>
      </c>
      <c r="H276" t="s">
        <v>842</v>
      </c>
      <c r="I276" t="s">
        <v>846</v>
      </c>
      <c r="J276" t="s">
        <v>847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f t="shared" si="4"/>
        <v>276</v>
      </c>
      <c r="B277">
        <v>0</v>
      </c>
      <c r="C277" t="s">
        <v>838</v>
      </c>
      <c r="D277" t="s">
        <v>776</v>
      </c>
      <c r="E277" t="s">
        <v>839</v>
      </c>
      <c r="F277" t="s">
        <v>840</v>
      </c>
      <c r="G277" t="s">
        <v>848</v>
      </c>
      <c r="H277" t="s">
        <v>842</v>
      </c>
      <c r="I277" t="s">
        <v>849</v>
      </c>
      <c r="J277" t="s">
        <v>850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25">
      <c r="A278">
        <f t="shared" si="4"/>
        <v>277</v>
      </c>
      <c r="B278">
        <v>0</v>
      </c>
      <c r="C278" t="s">
        <v>838</v>
      </c>
      <c r="D278" t="s">
        <v>779</v>
      </c>
      <c r="E278" t="s">
        <v>839</v>
      </c>
      <c r="F278" t="s">
        <v>840</v>
      </c>
      <c r="G278" t="s">
        <v>851</v>
      </c>
      <c r="H278" t="s">
        <v>842</v>
      </c>
      <c r="I278" t="s">
        <v>849</v>
      </c>
      <c r="J278" t="s">
        <v>850</v>
      </c>
      <c r="K278" t="s">
        <v>852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25">
      <c r="A279">
        <f t="shared" si="4"/>
        <v>278</v>
      </c>
      <c r="B279">
        <v>0</v>
      </c>
      <c r="C279" t="s">
        <v>838</v>
      </c>
      <c r="D279" t="s">
        <v>782</v>
      </c>
      <c r="E279" t="s">
        <v>839</v>
      </c>
      <c r="F279" t="s">
        <v>840</v>
      </c>
      <c r="G279" t="s">
        <v>853</v>
      </c>
      <c r="H279" t="s">
        <v>842</v>
      </c>
      <c r="I279" t="s">
        <v>849</v>
      </c>
      <c r="J279" t="s">
        <v>854</v>
      </c>
      <c r="K279" t="s">
        <v>855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f t="shared" si="4"/>
        <v>279</v>
      </c>
      <c r="B280">
        <v>0</v>
      </c>
      <c r="C280" t="s">
        <v>838</v>
      </c>
      <c r="D280" t="s">
        <v>785</v>
      </c>
      <c r="E280" t="s">
        <v>839</v>
      </c>
      <c r="F280" t="s">
        <v>840</v>
      </c>
      <c r="G280" t="s">
        <v>856</v>
      </c>
      <c r="H280" t="s">
        <v>842</v>
      </c>
      <c r="I280" t="s">
        <v>849</v>
      </c>
      <c r="J280" t="s">
        <v>857</v>
      </c>
      <c r="K280" t="s">
        <v>858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f t="shared" si="4"/>
        <v>280</v>
      </c>
      <c r="B281">
        <v>0</v>
      </c>
      <c r="C281" t="s">
        <v>838</v>
      </c>
      <c r="D281" t="s">
        <v>788</v>
      </c>
      <c r="E281" t="s">
        <v>839</v>
      </c>
      <c r="F281" t="s">
        <v>840</v>
      </c>
      <c r="G281" t="s">
        <v>859</v>
      </c>
      <c r="H281" t="s">
        <v>842</v>
      </c>
      <c r="I281" t="s">
        <v>860</v>
      </c>
      <c r="J281" t="s">
        <v>861</v>
      </c>
      <c r="K281" t="s">
        <v>862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f t="shared" si="4"/>
        <v>281</v>
      </c>
      <c r="B282">
        <v>0</v>
      </c>
      <c r="C282" t="s">
        <v>838</v>
      </c>
      <c r="D282" t="s">
        <v>793</v>
      </c>
      <c r="E282" t="s">
        <v>839</v>
      </c>
      <c r="F282" t="s">
        <v>840</v>
      </c>
      <c r="G282" t="s">
        <v>863</v>
      </c>
      <c r="H282" t="s">
        <v>842</v>
      </c>
      <c r="I282" t="s">
        <v>864</v>
      </c>
      <c r="J282" t="s">
        <v>865</v>
      </c>
      <c r="K282" t="s">
        <v>866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f t="shared" si="4"/>
        <v>282</v>
      </c>
      <c r="B283">
        <v>0</v>
      </c>
      <c r="C283" t="s">
        <v>838</v>
      </c>
      <c r="D283" t="s">
        <v>795</v>
      </c>
      <c r="E283" t="s">
        <v>839</v>
      </c>
      <c r="F283" t="s">
        <v>840</v>
      </c>
      <c r="G283" t="s">
        <v>867</v>
      </c>
      <c r="H283" t="s">
        <v>842</v>
      </c>
      <c r="I283" t="s">
        <v>868</v>
      </c>
      <c r="J283" t="s">
        <v>869</v>
      </c>
      <c r="K283" t="s">
        <v>870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f t="shared" si="4"/>
        <v>283</v>
      </c>
      <c r="B284">
        <v>0</v>
      </c>
      <c r="C284" t="s">
        <v>838</v>
      </c>
      <c r="D284" t="s">
        <v>799</v>
      </c>
      <c r="E284" t="s">
        <v>839</v>
      </c>
      <c r="F284" t="s">
        <v>840</v>
      </c>
      <c r="G284" t="s">
        <v>871</v>
      </c>
      <c r="H284" t="s">
        <v>842</v>
      </c>
      <c r="I284" t="s">
        <v>868</v>
      </c>
      <c r="J284" t="s">
        <v>869</v>
      </c>
      <c r="K284" t="s">
        <v>872</v>
      </c>
      <c r="L284" t="s">
        <v>873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f t="shared" si="4"/>
        <v>284</v>
      </c>
      <c r="B285">
        <v>0</v>
      </c>
      <c r="C285" t="s">
        <v>838</v>
      </c>
      <c r="D285" t="s">
        <v>803</v>
      </c>
      <c r="E285" t="s">
        <v>839</v>
      </c>
      <c r="F285" t="s">
        <v>840</v>
      </c>
      <c r="G285" t="s">
        <v>874</v>
      </c>
      <c r="H285" t="s">
        <v>842</v>
      </c>
      <c r="I285" t="s">
        <v>868</v>
      </c>
      <c r="J285" t="s">
        <v>869</v>
      </c>
      <c r="K285" t="s">
        <v>875</v>
      </c>
      <c r="L285" t="s">
        <v>876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f t="shared" si="4"/>
        <v>285</v>
      </c>
      <c r="B286">
        <v>0</v>
      </c>
      <c r="C286" t="s">
        <v>838</v>
      </c>
      <c r="D286" t="s">
        <v>807</v>
      </c>
      <c r="E286" t="s">
        <v>839</v>
      </c>
      <c r="F286" t="s">
        <v>840</v>
      </c>
      <c r="G286" t="s">
        <v>877</v>
      </c>
      <c r="H286" t="s">
        <v>842</v>
      </c>
      <c r="I286" t="s">
        <v>878</v>
      </c>
      <c r="J286" t="s">
        <v>879</v>
      </c>
      <c r="K286" t="s">
        <v>880</v>
      </c>
      <c r="L286" t="s">
        <v>881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f t="shared" si="4"/>
        <v>286</v>
      </c>
      <c r="B287">
        <v>0</v>
      </c>
      <c r="C287" t="s">
        <v>838</v>
      </c>
      <c r="D287" t="s">
        <v>811</v>
      </c>
      <c r="E287" t="s">
        <v>839</v>
      </c>
      <c r="F287" t="s">
        <v>840</v>
      </c>
      <c r="G287" t="s">
        <v>882</v>
      </c>
      <c r="H287" t="s">
        <v>842</v>
      </c>
      <c r="I287" t="s">
        <v>878</v>
      </c>
      <c r="J287" t="s">
        <v>879</v>
      </c>
      <c r="K287" t="s">
        <v>880</v>
      </c>
      <c r="L287" t="s">
        <v>883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f t="shared" si="4"/>
        <v>287</v>
      </c>
      <c r="B288">
        <v>0</v>
      </c>
      <c r="C288" t="s">
        <v>838</v>
      </c>
      <c r="D288" t="s">
        <v>815</v>
      </c>
      <c r="E288" t="s">
        <v>839</v>
      </c>
      <c r="F288" t="s">
        <v>840</v>
      </c>
      <c r="G288" t="s">
        <v>884</v>
      </c>
      <c r="H288" t="s">
        <v>842</v>
      </c>
      <c r="I288" t="s">
        <v>878</v>
      </c>
      <c r="J288" t="s">
        <v>879</v>
      </c>
      <c r="K288" t="s">
        <v>880</v>
      </c>
      <c r="L288" t="s">
        <v>885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f t="shared" si="4"/>
        <v>288</v>
      </c>
      <c r="B289">
        <v>0</v>
      </c>
      <c r="C289" t="s">
        <v>838</v>
      </c>
      <c r="D289" t="s">
        <v>819</v>
      </c>
      <c r="E289" t="s">
        <v>839</v>
      </c>
      <c r="F289" t="s">
        <v>840</v>
      </c>
      <c r="G289" t="s">
        <v>886</v>
      </c>
      <c r="H289" t="s">
        <v>842</v>
      </c>
      <c r="I289" t="s">
        <v>878</v>
      </c>
      <c r="J289" t="s">
        <v>887</v>
      </c>
      <c r="K289" t="s">
        <v>888</v>
      </c>
      <c r="L289" t="s">
        <v>881</v>
      </c>
      <c r="M289" t="s">
        <v>889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f t="shared" si="4"/>
        <v>289</v>
      </c>
      <c r="B290">
        <v>0</v>
      </c>
      <c r="C290" t="s">
        <v>838</v>
      </c>
      <c r="D290" t="s">
        <v>823</v>
      </c>
      <c r="E290" t="s">
        <v>839</v>
      </c>
      <c r="F290" t="s">
        <v>840</v>
      </c>
      <c r="G290" t="s">
        <v>890</v>
      </c>
      <c r="H290" t="s">
        <v>842</v>
      </c>
      <c r="I290" t="s">
        <v>878</v>
      </c>
      <c r="J290" t="s">
        <v>887</v>
      </c>
      <c r="K290" t="s">
        <v>888</v>
      </c>
      <c r="L290" t="s">
        <v>883</v>
      </c>
      <c r="M290" t="s">
        <v>891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f t="shared" si="4"/>
        <v>290</v>
      </c>
      <c r="B291">
        <v>0</v>
      </c>
      <c r="C291" t="s">
        <v>838</v>
      </c>
      <c r="D291" t="s">
        <v>827</v>
      </c>
      <c r="E291" t="s">
        <v>839</v>
      </c>
      <c r="F291" t="s">
        <v>840</v>
      </c>
      <c r="G291" t="s">
        <v>892</v>
      </c>
      <c r="H291" t="s">
        <v>842</v>
      </c>
      <c r="I291" t="s">
        <v>878</v>
      </c>
      <c r="J291" t="s">
        <v>887</v>
      </c>
      <c r="K291" t="s">
        <v>888</v>
      </c>
      <c r="L291" t="s">
        <v>883</v>
      </c>
      <c r="M291" t="s">
        <v>893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f t="shared" si="4"/>
        <v>291</v>
      </c>
      <c r="B292">
        <v>0</v>
      </c>
      <c r="C292" t="s">
        <v>838</v>
      </c>
      <c r="D292" t="s">
        <v>831</v>
      </c>
      <c r="E292" t="s">
        <v>839</v>
      </c>
      <c r="F292" t="s">
        <v>840</v>
      </c>
      <c r="G292" t="s">
        <v>894</v>
      </c>
      <c r="H292" t="s">
        <v>842</v>
      </c>
      <c r="I292" t="s">
        <v>878</v>
      </c>
      <c r="J292" t="s">
        <v>887</v>
      </c>
      <c r="K292" t="s">
        <v>888</v>
      </c>
      <c r="L292" t="s">
        <v>883</v>
      </c>
      <c r="M292" t="s">
        <v>893</v>
      </c>
      <c r="N292" t="s">
        <v>895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f t="shared" si="4"/>
        <v>292</v>
      </c>
      <c r="B293">
        <v>0</v>
      </c>
      <c r="C293" t="s">
        <v>838</v>
      </c>
      <c r="D293" t="s">
        <v>836</v>
      </c>
      <c r="E293" t="s">
        <v>839</v>
      </c>
      <c r="F293" t="s">
        <v>840</v>
      </c>
      <c r="G293" t="s">
        <v>896</v>
      </c>
      <c r="H293" t="s">
        <v>842</v>
      </c>
      <c r="I293" t="s">
        <v>878</v>
      </c>
      <c r="J293" t="s">
        <v>887</v>
      </c>
      <c r="K293" t="s">
        <v>888</v>
      </c>
      <c r="L293" t="s">
        <v>883</v>
      </c>
      <c r="M293" t="s">
        <v>893</v>
      </c>
      <c r="N293" t="s">
        <v>897</v>
      </c>
      <c r="O293" t="s">
        <v>898</v>
      </c>
      <c r="P293">
        <v>0</v>
      </c>
      <c r="Q293">
        <v>0</v>
      </c>
      <c r="R293">
        <v>0</v>
      </c>
    </row>
    <row r="294" spans="1:18" x14ac:dyDescent="0.25">
      <c r="A294">
        <f t="shared" si="4"/>
        <v>293</v>
      </c>
      <c r="B294">
        <v>0</v>
      </c>
      <c r="C294" t="s">
        <v>838</v>
      </c>
      <c r="D294" t="s">
        <v>837</v>
      </c>
      <c r="E294" t="s">
        <v>839</v>
      </c>
      <c r="F294" t="s">
        <v>840</v>
      </c>
      <c r="G294" t="s">
        <v>899</v>
      </c>
      <c r="H294" t="s">
        <v>842</v>
      </c>
      <c r="I294" t="s">
        <v>878</v>
      </c>
      <c r="J294" t="s">
        <v>887</v>
      </c>
      <c r="K294" t="s">
        <v>888</v>
      </c>
      <c r="L294" t="s">
        <v>883</v>
      </c>
      <c r="M294" t="s">
        <v>893</v>
      </c>
      <c r="N294" t="s">
        <v>900</v>
      </c>
      <c r="O294" t="s">
        <v>901</v>
      </c>
      <c r="P294" t="s">
        <v>902</v>
      </c>
      <c r="Q294">
        <v>0</v>
      </c>
      <c r="R294">
        <v>0</v>
      </c>
    </row>
    <row r="295" spans="1:18" x14ac:dyDescent="0.25">
      <c r="A295">
        <f t="shared" si="4"/>
        <v>294</v>
      </c>
      <c r="B295">
        <v>0</v>
      </c>
      <c r="C295" t="s">
        <v>903</v>
      </c>
      <c r="D295" t="s">
        <v>904</v>
      </c>
      <c r="E295" t="s">
        <v>905</v>
      </c>
      <c r="F295" t="s">
        <v>906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f t="shared" si="4"/>
        <v>295</v>
      </c>
      <c r="B296">
        <v>0</v>
      </c>
      <c r="C296" t="s">
        <v>903</v>
      </c>
      <c r="D296" t="s">
        <v>907</v>
      </c>
      <c r="E296" t="s">
        <v>908</v>
      </c>
      <c r="F296" t="s">
        <v>909</v>
      </c>
      <c r="G296">
        <v>0.1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f t="shared" si="4"/>
        <v>296</v>
      </c>
      <c r="B297">
        <v>0</v>
      </c>
      <c r="C297" t="s">
        <v>903</v>
      </c>
      <c r="D297" t="s">
        <v>910</v>
      </c>
      <c r="E297" t="s">
        <v>911</v>
      </c>
      <c r="F297" t="s">
        <v>912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f t="shared" si="4"/>
        <v>297</v>
      </c>
      <c r="B298">
        <v>0</v>
      </c>
      <c r="C298" t="s">
        <v>903</v>
      </c>
      <c r="D298" t="s">
        <v>913</v>
      </c>
      <c r="E298" t="s">
        <v>914</v>
      </c>
      <c r="F298" t="s">
        <v>915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f t="shared" si="4"/>
        <v>298</v>
      </c>
      <c r="B299">
        <v>0</v>
      </c>
      <c r="C299" t="s">
        <v>903</v>
      </c>
      <c r="D299" t="s">
        <v>916</v>
      </c>
      <c r="E299" t="s">
        <v>917</v>
      </c>
      <c r="F299" t="s">
        <v>918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f t="shared" si="4"/>
        <v>299</v>
      </c>
      <c r="B300">
        <v>0</v>
      </c>
      <c r="C300" t="s">
        <v>903</v>
      </c>
      <c r="D300" t="s">
        <v>919</v>
      </c>
      <c r="E300" t="s">
        <v>920</v>
      </c>
      <c r="F300" t="s">
        <v>921</v>
      </c>
      <c r="G300">
        <v>0.4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f t="shared" si="4"/>
        <v>300</v>
      </c>
      <c r="B301">
        <v>0</v>
      </c>
      <c r="C301" t="s">
        <v>903</v>
      </c>
      <c r="D301" t="s">
        <v>756</v>
      </c>
      <c r="E301" s="2" t="s">
        <v>1072</v>
      </c>
      <c r="F301" t="s">
        <v>922</v>
      </c>
      <c r="G301">
        <v>1000</v>
      </c>
      <c r="H301">
        <v>20</v>
      </c>
      <c r="I301">
        <v>10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f t="shared" si="4"/>
        <v>301</v>
      </c>
      <c r="B302">
        <v>0</v>
      </c>
      <c r="C302" t="s">
        <v>903</v>
      </c>
      <c r="D302" t="s">
        <v>923</v>
      </c>
      <c r="E302" t="s">
        <v>924</v>
      </c>
      <c r="F302" t="s">
        <v>925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f t="shared" si="4"/>
        <v>302</v>
      </c>
      <c r="B303">
        <v>0</v>
      </c>
      <c r="C303" t="s">
        <v>903</v>
      </c>
      <c r="D303" t="s">
        <v>926</v>
      </c>
      <c r="E303" t="s">
        <v>927</v>
      </c>
      <c r="F303" t="s">
        <v>928</v>
      </c>
      <c r="G303">
        <v>30</v>
      </c>
      <c r="H303">
        <v>10</v>
      </c>
      <c r="I303">
        <v>0.8</v>
      </c>
      <c r="J303">
        <v>1.5</v>
      </c>
      <c r="K303">
        <v>0.3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f t="shared" si="4"/>
        <v>303</v>
      </c>
      <c r="B304">
        <v>0</v>
      </c>
      <c r="C304" t="s">
        <v>929</v>
      </c>
      <c r="D304" t="s">
        <v>930</v>
      </c>
      <c r="E304" t="s">
        <v>931</v>
      </c>
      <c r="F304" t="s">
        <v>932</v>
      </c>
      <c r="G304">
        <v>0.75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f t="shared" si="4"/>
        <v>304</v>
      </c>
      <c r="B305">
        <v>0</v>
      </c>
      <c r="C305" t="s">
        <v>929</v>
      </c>
      <c r="D305" t="s">
        <v>933</v>
      </c>
      <c r="E305" t="s">
        <v>934</v>
      </c>
      <c r="F305">
        <v>0</v>
      </c>
      <c r="G305">
        <v>1.25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f t="shared" si="4"/>
        <v>305</v>
      </c>
      <c r="B306">
        <v>0</v>
      </c>
      <c r="C306" t="s">
        <v>929</v>
      </c>
      <c r="D306" t="s">
        <v>935</v>
      </c>
      <c r="E306" t="s">
        <v>936</v>
      </c>
      <c r="F306" t="s">
        <v>937</v>
      </c>
      <c r="G306">
        <v>45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f t="shared" si="4"/>
        <v>306</v>
      </c>
      <c r="B307">
        <v>0</v>
      </c>
      <c r="C307" t="s">
        <v>929</v>
      </c>
      <c r="D307" t="s">
        <v>938</v>
      </c>
      <c r="E307" t="s">
        <v>939</v>
      </c>
      <c r="F307" t="s">
        <v>940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f t="shared" si="4"/>
        <v>307</v>
      </c>
      <c r="B308">
        <v>0</v>
      </c>
      <c r="C308" t="s">
        <v>929</v>
      </c>
      <c r="D308" t="s">
        <v>941</v>
      </c>
      <c r="E308" t="s">
        <v>942</v>
      </c>
      <c r="F308" t="s">
        <v>943</v>
      </c>
      <c r="G308">
        <v>0.1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f t="shared" si="4"/>
        <v>308</v>
      </c>
      <c r="B309">
        <v>0</v>
      </c>
      <c r="C309" t="s">
        <v>944</v>
      </c>
      <c r="D309" t="s">
        <v>945</v>
      </c>
      <c r="E309" t="s">
        <v>946</v>
      </c>
      <c r="F309" t="s">
        <v>947</v>
      </c>
      <c r="G309">
        <v>24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f t="shared" si="4"/>
        <v>309</v>
      </c>
      <c r="B310">
        <v>0</v>
      </c>
      <c r="C310" t="s">
        <v>944</v>
      </c>
      <c r="D310" t="s">
        <v>948</v>
      </c>
      <c r="E310" t="s">
        <v>949</v>
      </c>
      <c r="F310" t="s">
        <v>950</v>
      </c>
      <c r="G310">
        <v>10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f t="shared" si="4"/>
        <v>310</v>
      </c>
      <c r="B311">
        <v>0</v>
      </c>
      <c r="C311" t="s">
        <v>944</v>
      </c>
      <c r="D311" t="s">
        <v>951</v>
      </c>
      <c r="E311" t="s">
        <v>952</v>
      </c>
      <c r="F311" t="s">
        <v>953</v>
      </c>
      <c r="G311">
        <v>20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f t="shared" si="4"/>
        <v>311</v>
      </c>
      <c r="B312">
        <v>0</v>
      </c>
      <c r="C312" t="s">
        <v>954</v>
      </c>
      <c r="D312" t="s">
        <v>955</v>
      </c>
      <c r="E312" t="s">
        <v>39</v>
      </c>
      <c r="F312" t="s">
        <v>956</v>
      </c>
      <c r="G312">
        <v>1</v>
      </c>
      <c r="H312">
        <v>1</v>
      </c>
      <c r="I312">
        <v>1</v>
      </c>
      <c r="J312">
        <v>1</v>
      </c>
      <c r="K312">
        <v>0</v>
      </c>
      <c r="L312">
        <v>1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f t="shared" si="4"/>
        <v>312</v>
      </c>
      <c r="B313">
        <v>0</v>
      </c>
      <c r="C313" t="s">
        <v>954</v>
      </c>
      <c r="D313" t="s">
        <v>957</v>
      </c>
      <c r="E313" t="s">
        <v>39</v>
      </c>
      <c r="F313" t="s">
        <v>956</v>
      </c>
      <c r="G313">
        <v>1.35</v>
      </c>
      <c r="H313">
        <v>2</v>
      </c>
      <c r="I313">
        <v>2</v>
      </c>
      <c r="J313">
        <v>1</v>
      </c>
      <c r="K313">
        <v>1</v>
      </c>
      <c r="L313">
        <v>1.7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f t="shared" si="4"/>
        <v>313</v>
      </c>
      <c r="B314">
        <v>0</v>
      </c>
      <c r="C314" t="s">
        <v>954</v>
      </c>
      <c r="D314" t="s">
        <v>958</v>
      </c>
      <c r="E314" t="s">
        <v>39</v>
      </c>
      <c r="F314" t="s">
        <v>956</v>
      </c>
      <c r="G314">
        <v>1.75</v>
      </c>
      <c r="H314">
        <v>2</v>
      </c>
      <c r="I314">
        <v>2</v>
      </c>
      <c r="J314">
        <v>1</v>
      </c>
      <c r="K314">
        <v>1</v>
      </c>
      <c r="L314">
        <v>2.8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f t="shared" si="4"/>
        <v>314</v>
      </c>
      <c r="B315">
        <v>0</v>
      </c>
      <c r="C315" t="s">
        <v>954</v>
      </c>
      <c r="D315" t="s">
        <v>959</v>
      </c>
      <c r="E315" t="s">
        <v>39</v>
      </c>
      <c r="F315" t="s">
        <v>956</v>
      </c>
      <c r="G315">
        <v>2.2999999999999998</v>
      </c>
      <c r="H315">
        <v>3</v>
      </c>
      <c r="I315">
        <v>3</v>
      </c>
      <c r="J315">
        <v>2</v>
      </c>
      <c r="K315">
        <v>1</v>
      </c>
      <c r="L315">
        <v>4.5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f t="shared" si="4"/>
        <v>315</v>
      </c>
      <c r="B316">
        <v>0</v>
      </c>
      <c r="C316" t="s">
        <v>954</v>
      </c>
      <c r="D316" t="s">
        <v>960</v>
      </c>
      <c r="E316" t="s">
        <v>39</v>
      </c>
      <c r="F316" t="s">
        <v>956</v>
      </c>
      <c r="G316">
        <v>3</v>
      </c>
      <c r="H316">
        <v>4</v>
      </c>
      <c r="I316">
        <v>4</v>
      </c>
      <c r="J316">
        <v>3</v>
      </c>
      <c r="K316">
        <v>2</v>
      </c>
      <c r="L316">
        <v>7.5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x14ac:dyDescent="0.25">
      <c r="A317">
        <f t="shared" si="4"/>
        <v>316</v>
      </c>
      <c r="B317">
        <v>0</v>
      </c>
      <c r="C317" t="s">
        <v>954</v>
      </c>
      <c r="D317" t="s">
        <v>961</v>
      </c>
      <c r="E317" t="s">
        <v>39</v>
      </c>
      <c r="F317" t="s">
        <v>956</v>
      </c>
      <c r="G317">
        <v>4</v>
      </c>
      <c r="H317">
        <v>5</v>
      </c>
      <c r="I317">
        <v>5</v>
      </c>
      <c r="J317">
        <v>4</v>
      </c>
      <c r="K317">
        <v>2</v>
      </c>
      <c r="L317">
        <v>12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25">
      <c r="A318">
        <f t="shared" si="4"/>
        <v>317</v>
      </c>
      <c r="B318">
        <v>0</v>
      </c>
      <c r="C318" t="s">
        <v>954</v>
      </c>
      <c r="D318" t="s">
        <v>962</v>
      </c>
      <c r="E318" t="s">
        <v>39</v>
      </c>
      <c r="F318" t="s">
        <v>956</v>
      </c>
      <c r="G318">
        <v>5.2</v>
      </c>
      <c r="H318">
        <v>6</v>
      </c>
      <c r="I318">
        <v>6</v>
      </c>
      <c r="J318">
        <v>5</v>
      </c>
      <c r="K318">
        <v>2</v>
      </c>
      <c r="L318">
        <v>19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f t="shared" si="4"/>
        <v>318</v>
      </c>
      <c r="B319">
        <v>0</v>
      </c>
      <c r="C319" t="s">
        <v>954</v>
      </c>
      <c r="D319" t="s">
        <v>963</v>
      </c>
      <c r="E319" t="s">
        <v>39</v>
      </c>
      <c r="F319" t="s">
        <v>956</v>
      </c>
      <c r="G319">
        <v>6.8</v>
      </c>
      <c r="H319">
        <v>7</v>
      </c>
      <c r="I319">
        <v>7</v>
      </c>
      <c r="J319">
        <v>6</v>
      </c>
      <c r="K319">
        <v>3</v>
      </c>
      <c r="L319">
        <v>30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25">
      <c r="A320">
        <f t="shared" si="4"/>
        <v>319</v>
      </c>
      <c r="B320">
        <v>0</v>
      </c>
      <c r="C320" t="s">
        <v>954</v>
      </c>
      <c r="D320" t="s">
        <v>964</v>
      </c>
      <c r="E320" t="s">
        <v>39</v>
      </c>
      <c r="F320" t="s">
        <v>956</v>
      </c>
      <c r="G320">
        <v>10.199999999999999</v>
      </c>
      <c r="H320">
        <v>8</v>
      </c>
      <c r="I320">
        <v>8</v>
      </c>
      <c r="J320">
        <v>6</v>
      </c>
      <c r="K320">
        <v>3</v>
      </c>
      <c r="L320">
        <v>45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x14ac:dyDescent="0.25">
      <c r="A321">
        <f t="shared" si="4"/>
        <v>320</v>
      </c>
      <c r="B321">
        <v>0</v>
      </c>
      <c r="C321" t="s">
        <v>965</v>
      </c>
      <c r="D321" t="s">
        <v>966</v>
      </c>
      <c r="E321" t="s">
        <v>967</v>
      </c>
      <c r="F321" t="s">
        <v>968</v>
      </c>
      <c r="G321">
        <v>25</v>
      </c>
      <c r="H321" t="s">
        <v>969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f t="shared" si="4"/>
        <v>321</v>
      </c>
      <c r="B322">
        <v>0</v>
      </c>
      <c r="C322" t="s">
        <v>965</v>
      </c>
      <c r="D322" t="s">
        <v>970</v>
      </c>
      <c r="E322" t="s">
        <v>967</v>
      </c>
      <c r="F322" t="s">
        <v>971</v>
      </c>
      <c r="G322">
        <v>20</v>
      </c>
      <c r="H322" t="s">
        <v>969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f t="shared" si="4"/>
        <v>322</v>
      </c>
      <c r="B323">
        <v>0</v>
      </c>
      <c r="C323" t="s">
        <v>965</v>
      </c>
      <c r="D323" t="s">
        <v>972</v>
      </c>
      <c r="E323" t="s">
        <v>967</v>
      </c>
      <c r="F323" t="s">
        <v>973</v>
      </c>
      <c r="G323">
        <v>25</v>
      </c>
      <c r="H323" t="s">
        <v>969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25">
      <c r="A324">
        <f t="shared" ref="A324:A353" si="5">A323+1</f>
        <v>323</v>
      </c>
      <c r="B324">
        <v>0</v>
      </c>
      <c r="C324" t="s">
        <v>965</v>
      </c>
      <c r="D324" t="s">
        <v>974</v>
      </c>
      <c r="E324" t="s">
        <v>967</v>
      </c>
      <c r="F324" t="s">
        <v>975</v>
      </c>
      <c r="G324">
        <v>20</v>
      </c>
      <c r="H324" t="s">
        <v>969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25">
      <c r="A325">
        <f t="shared" si="5"/>
        <v>324</v>
      </c>
      <c r="B325">
        <v>0</v>
      </c>
      <c r="C325" t="s">
        <v>965</v>
      </c>
      <c r="D325" t="s">
        <v>976</v>
      </c>
      <c r="E325" t="s">
        <v>967</v>
      </c>
      <c r="F325" t="s">
        <v>977</v>
      </c>
      <c r="G325">
        <v>0.4</v>
      </c>
      <c r="H325" t="s">
        <v>969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25">
      <c r="A326">
        <f t="shared" si="5"/>
        <v>325</v>
      </c>
      <c r="B326">
        <v>0</v>
      </c>
      <c r="C326" t="s">
        <v>965</v>
      </c>
      <c r="D326" t="s">
        <v>978</v>
      </c>
      <c r="E326" t="s">
        <v>967</v>
      </c>
      <c r="F326" t="s">
        <v>979</v>
      </c>
      <c r="G326">
        <v>3</v>
      </c>
      <c r="H326" t="s">
        <v>969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25">
      <c r="A327">
        <f t="shared" si="5"/>
        <v>326</v>
      </c>
      <c r="B327">
        <v>0</v>
      </c>
      <c r="C327" t="s">
        <v>965</v>
      </c>
      <c r="D327" t="s">
        <v>980</v>
      </c>
      <c r="E327" t="s">
        <v>967</v>
      </c>
      <c r="F327" t="s">
        <v>981</v>
      </c>
      <c r="G327">
        <v>1.5</v>
      </c>
      <c r="H327" t="s">
        <v>969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25">
      <c r="A328">
        <f t="shared" si="5"/>
        <v>327</v>
      </c>
      <c r="B328">
        <v>0</v>
      </c>
      <c r="C328" t="s">
        <v>965</v>
      </c>
      <c r="D328" t="s">
        <v>982</v>
      </c>
      <c r="E328" t="s">
        <v>967</v>
      </c>
      <c r="F328" t="s">
        <v>983</v>
      </c>
      <c r="G328">
        <v>0.15</v>
      </c>
      <c r="H328" t="s">
        <v>969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x14ac:dyDescent="0.25">
      <c r="A329">
        <f t="shared" si="5"/>
        <v>328</v>
      </c>
      <c r="B329">
        <v>0</v>
      </c>
      <c r="C329" t="s">
        <v>965</v>
      </c>
      <c r="D329" t="s">
        <v>984</v>
      </c>
      <c r="E329" t="s">
        <v>967</v>
      </c>
      <c r="F329" t="s">
        <v>985</v>
      </c>
      <c r="G329">
        <v>0.5</v>
      </c>
      <c r="H329" t="s">
        <v>969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25">
      <c r="A330">
        <f t="shared" si="5"/>
        <v>329</v>
      </c>
      <c r="B330">
        <v>0</v>
      </c>
      <c r="C330" t="s">
        <v>965</v>
      </c>
      <c r="D330" t="s">
        <v>986</v>
      </c>
      <c r="E330" t="s">
        <v>967</v>
      </c>
      <c r="F330" t="s">
        <v>987</v>
      </c>
      <c r="G330">
        <v>25</v>
      </c>
      <c r="H330" t="s">
        <v>969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 x14ac:dyDescent="0.25">
      <c r="A331">
        <f t="shared" si="5"/>
        <v>330</v>
      </c>
      <c r="B331">
        <v>0</v>
      </c>
      <c r="C331" t="s">
        <v>965</v>
      </c>
      <c r="D331" t="s">
        <v>988</v>
      </c>
      <c r="E331" t="s">
        <v>967</v>
      </c>
      <c r="F331" t="s">
        <v>989</v>
      </c>
      <c r="G331">
        <v>8</v>
      </c>
      <c r="H331" t="s">
        <v>990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</row>
    <row r="332" spans="1:18" x14ac:dyDescent="0.25">
      <c r="A332">
        <f t="shared" si="5"/>
        <v>331</v>
      </c>
      <c r="B332">
        <v>0</v>
      </c>
      <c r="C332" t="s">
        <v>965</v>
      </c>
      <c r="D332" t="s">
        <v>991</v>
      </c>
      <c r="E332" t="s">
        <v>967</v>
      </c>
      <c r="F332" t="s">
        <v>992</v>
      </c>
      <c r="G332">
        <v>15</v>
      </c>
      <c r="H332" t="s">
        <v>990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</row>
    <row r="333" spans="1:18" x14ac:dyDescent="0.25">
      <c r="A333">
        <f t="shared" si="5"/>
        <v>332</v>
      </c>
      <c r="B333">
        <v>0</v>
      </c>
      <c r="C333" t="s">
        <v>993</v>
      </c>
      <c r="D333" t="s">
        <v>994</v>
      </c>
      <c r="E333" t="s">
        <v>995</v>
      </c>
      <c r="F333" t="s">
        <v>996</v>
      </c>
      <c r="G333">
        <v>0.8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</row>
    <row r="334" spans="1:18" x14ac:dyDescent="0.25">
      <c r="A334">
        <f t="shared" si="5"/>
        <v>333</v>
      </c>
      <c r="B334">
        <v>0</v>
      </c>
      <c r="C334" t="s">
        <v>993</v>
      </c>
      <c r="D334" t="s">
        <v>997</v>
      </c>
      <c r="E334" t="s">
        <v>998</v>
      </c>
      <c r="F334" t="s">
        <v>999</v>
      </c>
      <c r="G334">
        <v>3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</row>
    <row r="335" spans="1:18" x14ac:dyDescent="0.25">
      <c r="A335">
        <f t="shared" si="5"/>
        <v>334</v>
      </c>
      <c r="B335">
        <v>0</v>
      </c>
      <c r="C335" t="s">
        <v>993</v>
      </c>
      <c r="D335" t="s">
        <v>1000</v>
      </c>
      <c r="E335" t="s">
        <v>1001</v>
      </c>
      <c r="F335" t="s">
        <v>1002</v>
      </c>
      <c r="G335">
        <v>7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</row>
    <row r="336" spans="1:18" x14ac:dyDescent="0.25">
      <c r="A336">
        <f t="shared" si="5"/>
        <v>335</v>
      </c>
      <c r="B336">
        <v>0</v>
      </c>
      <c r="C336" t="s">
        <v>993</v>
      </c>
      <c r="D336" t="s">
        <v>1003</v>
      </c>
      <c r="E336" t="s">
        <v>1004</v>
      </c>
      <c r="F336" t="s">
        <v>1005</v>
      </c>
      <c r="G336">
        <v>10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</row>
    <row r="337" spans="1:18" x14ac:dyDescent="0.25">
      <c r="A337">
        <f t="shared" si="5"/>
        <v>336</v>
      </c>
      <c r="B337">
        <v>0</v>
      </c>
      <c r="C337" t="s">
        <v>993</v>
      </c>
      <c r="D337" t="s">
        <v>1006</v>
      </c>
      <c r="E337" t="s">
        <v>1007</v>
      </c>
      <c r="F337" t="s">
        <v>1008</v>
      </c>
      <c r="G337">
        <v>2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</row>
    <row r="338" spans="1:18" x14ac:dyDescent="0.25">
      <c r="A338">
        <f t="shared" si="5"/>
        <v>337</v>
      </c>
      <c r="B338">
        <v>0</v>
      </c>
      <c r="C338" t="s">
        <v>993</v>
      </c>
      <c r="D338" t="s">
        <v>1009</v>
      </c>
      <c r="E338" t="s">
        <v>1010</v>
      </c>
      <c r="F338" t="s">
        <v>1011</v>
      </c>
      <c r="G338">
        <v>5</v>
      </c>
      <c r="H338">
        <v>10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</row>
    <row r="339" spans="1:18" x14ac:dyDescent="0.25">
      <c r="A339">
        <f t="shared" si="5"/>
        <v>338</v>
      </c>
      <c r="B339">
        <v>0</v>
      </c>
      <c r="C339" t="s">
        <v>993</v>
      </c>
      <c r="D339" t="s">
        <v>1012</v>
      </c>
      <c r="E339" t="s">
        <v>1013</v>
      </c>
      <c r="F339" t="s">
        <v>1014</v>
      </c>
      <c r="G339">
        <v>10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</row>
    <row r="340" spans="1:18" x14ac:dyDescent="0.25">
      <c r="A340">
        <f t="shared" si="5"/>
        <v>339</v>
      </c>
      <c r="B340">
        <v>0</v>
      </c>
      <c r="C340" t="s">
        <v>954</v>
      </c>
      <c r="D340" t="s">
        <v>1015</v>
      </c>
      <c r="E340" t="s">
        <v>39</v>
      </c>
      <c r="F340" t="s">
        <v>1016</v>
      </c>
      <c r="G340">
        <v>15.3</v>
      </c>
      <c r="H340">
        <v>9</v>
      </c>
      <c r="I340">
        <v>9</v>
      </c>
      <c r="J340">
        <v>6</v>
      </c>
      <c r="K340">
        <v>3</v>
      </c>
      <c r="L340">
        <v>67.5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</row>
    <row r="341" spans="1:18" x14ac:dyDescent="0.25">
      <c r="A341">
        <f t="shared" si="5"/>
        <v>340</v>
      </c>
      <c r="B341">
        <v>0</v>
      </c>
      <c r="C341" t="s">
        <v>954</v>
      </c>
      <c r="D341" t="s">
        <v>1017</v>
      </c>
      <c r="E341" t="s">
        <v>39</v>
      </c>
      <c r="F341" t="s">
        <v>1016</v>
      </c>
      <c r="G341">
        <v>22.95</v>
      </c>
      <c r="H341">
        <v>10</v>
      </c>
      <c r="I341">
        <v>10</v>
      </c>
      <c r="J341">
        <v>7</v>
      </c>
      <c r="K341">
        <v>3</v>
      </c>
      <c r="L341">
        <v>101.25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</row>
    <row r="342" spans="1:18" x14ac:dyDescent="0.25">
      <c r="A342">
        <f t="shared" si="5"/>
        <v>341</v>
      </c>
      <c r="B342">
        <v>0</v>
      </c>
      <c r="C342" t="s">
        <v>637</v>
      </c>
      <c r="D342" t="s">
        <v>1018</v>
      </c>
      <c r="E342" t="s">
        <v>1019</v>
      </c>
      <c r="F342" t="s">
        <v>1020</v>
      </c>
      <c r="G342">
        <v>20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</row>
    <row r="343" spans="1:18" x14ac:dyDescent="0.25">
      <c r="A343">
        <f t="shared" si="5"/>
        <v>342</v>
      </c>
      <c r="B343">
        <v>0</v>
      </c>
      <c r="C343" t="s">
        <v>637</v>
      </c>
      <c r="D343" t="s">
        <v>1021</v>
      </c>
      <c r="E343" t="s">
        <v>1022</v>
      </c>
      <c r="F343" t="s">
        <v>1023</v>
      </c>
      <c r="G343">
        <v>500000000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</row>
    <row r="344" spans="1:18" x14ac:dyDescent="0.25">
      <c r="A344">
        <f t="shared" si="5"/>
        <v>343</v>
      </c>
      <c r="B344">
        <v>0</v>
      </c>
      <c r="C344" t="s">
        <v>637</v>
      </c>
      <c r="D344" t="s">
        <v>1024</v>
      </c>
      <c r="E344" t="s">
        <v>1025</v>
      </c>
      <c r="F344" t="s">
        <v>1026</v>
      </c>
      <c r="G344">
        <v>13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</row>
    <row r="345" spans="1:18" ht="15.75" x14ac:dyDescent="0.25">
      <c r="A345">
        <f t="shared" si="5"/>
        <v>344</v>
      </c>
      <c r="B345">
        <v>0</v>
      </c>
      <c r="C345" t="s">
        <v>18</v>
      </c>
      <c r="D345" t="s">
        <v>1027</v>
      </c>
      <c r="E345" s="2" t="s">
        <v>1084</v>
      </c>
      <c r="F345" t="s">
        <v>1028</v>
      </c>
      <c r="G345">
        <v>30</v>
      </c>
      <c r="H345">
        <v>3</v>
      </c>
      <c r="I345">
        <v>20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</row>
    <row r="346" spans="1:18" x14ac:dyDescent="0.25">
      <c r="A346">
        <f t="shared" si="5"/>
        <v>345</v>
      </c>
      <c r="B346">
        <v>0</v>
      </c>
      <c r="C346" t="s">
        <v>18</v>
      </c>
      <c r="D346" t="s">
        <v>1029</v>
      </c>
      <c r="E346" t="s">
        <v>1030</v>
      </c>
      <c r="F346" t="s">
        <v>1031</v>
      </c>
      <c r="G346">
        <v>1000</v>
      </c>
      <c r="H346">
        <v>50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</row>
    <row r="347" spans="1:18" x14ac:dyDescent="0.25">
      <c r="A347">
        <f t="shared" si="5"/>
        <v>346</v>
      </c>
      <c r="B347">
        <v>0</v>
      </c>
      <c r="C347" t="s">
        <v>929</v>
      </c>
      <c r="D347" t="s">
        <v>1032</v>
      </c>
      <c r="E347" t="s">
        <v>1033</v>
      </c>
      <c r="F347" t="s">
        <v>1034</v>
      </c>
      <c r="G347">
        <v>50000</v>
      </c>
      <c r="H347">
        <v>5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</row>
    <row r="348" spans="1:18" x14ac:dyDescent="0.25">
      <c r="A348">
        <f t="shared" si="5"/>
        <v>347</v>
      </c>
      <c r="B348">
        <v>0</v>
      </c>
      <c r="C348" t="s">
        <v>929</v>
      </c>
      <c r="D348" t="s">
        <v>1035</v>
      </c>
      <c r="E348" t="s">
        <v>1036</v>
      </c>
      <c r="F348" t="s">
        <v>1037</v>
      </c>
      <c r="G348">
        <v>10</v>
      </c>
      <c r="H348">
        <v>0.65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</row>
    <row r="349" spans="1:18" x14ac:dyDescent="0.25">
      <c r="A349">
        <f t="shared" si="5"/>
        <v>348</v>
      </c>
      <c r="B349">
        <v>0</v>
      </c>
      <c r="C349" t="s">
        <v>929</v>
      </c>
      <c r="D349" t="s">
        <v>1038</v>
      </c>
      <c r="E349" t="s">
        <v>1039</v>
      </c>
      <c r="F349" t="s">
        <v>1040</v>
      </c>
      <c r="G349">
        <v>75</v>
      </c>
      <c r="H349">
        <v>100</v>
      </c>
      <c r="I349">
        <v>125</v>
      </c>
      <c r="J349">
        <v>150</v>
      </c>
      <c r="K349">
        <v>20</v>
      </c>
      <c r="L349">
        <v>30</v>
      </c>
      <c r="M349">
        <v>30</v>
      </c>
      <c r="N349">
        <v>20</v>
      </c>
      <c r="O349">
        <v>0</v>
      </c>
      <c r="P349">
        <v>0</v>
      </c>
      <c r="Q349">
        <v>0</v>
      </c>
      <c r="R349">
        <v>0</v>
      </c>
    </row>
    <row r="350" spans="1:18" x14ac:dyDescent="0.25">
      <c r="A350">
        <f t="shared" si="5"/>
        <v>349</v>
      </c>
      <c r="B350">
        <v>0</v>
      </c>
      <c r="C350" t="s">
        <v>929</v>
      </c>
      <c r="D350" t="s">
        <v>1041</v>
      </c>
      <c r="E350" t="s">
        <v>1042</v>
      </c>
      <c r="F350" t="s">
        <v>1043</v>
      </c>
      <c r="G350">
        <v>25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</row>
    <row r="351" spans="1:18" x14ac:dyDescent="0.25">
      <c r="A351">
        <f t="shared" si="5"/>
        <v>350</v>
      </c>
      <c r="B351">
        <v>0</v>
      </c>
      <c r="C351" t="s">
        <v>929</v>
      </c>
      <c r="D351" t="s">
        <v>1044</v>
      </c>
      <c r="E351" t="s">
        <v>936</v>
      </c>
      <c r="F351" t="s">
        <v>1045</v>
      </c>
      <c r="G351">
        <v>5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</row>
    <row r="352" spans="1:18" x14ac:dyDescent="0.25">
      <c r="A352">
        <f t="shared" si="5"/>
        <v>351</v>
      </c>
      <c r="B352">
        <v>0</v>
      </c>
      <c r="C352" t="s">
        <v>929</v>
      </c>
      <c r="D352" t="s">
        <v>1046</v>
      </c>
      <c r="E352" t="s">
        <v>1047</v>
      </c>
      <c r="F352" t="s">
        <v>1048</v>
      </c>
      <c r="G352">
        <v>0.6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</row>
    <row r="353" spans="1:18" x14ac:dyDescent="0.25">
      <c r="A353">
        <f t="shared" si="5"/>
        <v>352</v>
      </c>
      <c r="B353">
        <v>0</v>
      </c>
      <c r="C353" t="s">
        <v>630</v>
      </c>
      <c r="D353" t="s">
        <v>1049</v>
      </c>
      <c r="E353" t="s">
        <v>1050</v>
      </c>
      <c r="F353" t="s">
        <v>1051</v>
      </c>
      <c r="G353">
        <v>0.1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2026-07-31T06:30:24Z</dcterms:modified>
</cp:coreProperties>
</file>
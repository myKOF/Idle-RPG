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antigravity\config\Excel\"/>
    </mc:Choice>
  </mc:AlternateContent>
  <xr:revisionPtr revIDLastSave="0" documentId="13_ncr:1_{D6180D24-7589-41EB-A7CB-83B2E29CFDD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4" i="2" s="1"/>
  <c r="A5" i="2" l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</calcChain>
</file>

<file path=xl/sharedStrings.xml><?xml version="1.0" encoding="utf-8"?>
<sst xmlns="http://schemas.openxmlformats.org/spreadsheetml/2006/main" count="1892" uniqueCount="1086">
  <si>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</si>
  <si>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</si>
  <si>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</si>
  <si>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</si>
  <si>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</si>
  <si>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</si>
  <si>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</si>
  <si>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</si>
  <si>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</si>
  <si>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</si>
  <si>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</si>
  <si>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</si>
  <si>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</si>
  <si>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</si>
  <si>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</si>
  <si>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</si>
  <si>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</si>
  <si>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</si>
  <si>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</si>
  <si>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</si>
  <si>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</si>
  <si>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</si>
  <si>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</si>
  <si>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</si>
  <si>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</si>
  <si>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</si>
  <si>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</si>
  <si>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</si>
  <si>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</si>
  <si>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</si>
  <si>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</si>
  <si>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</si>
  <si>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</si>
  <si>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</si>
  <si>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</si>
  <si>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</si>
  <si>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</si>
  <si>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</si>
  <si>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</si>
  <si>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</si>
  <si>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</si>
  <si>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</si>
  <si>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</si>
  <si>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</si>
  <si>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</si>
  <si>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</si>
  <si>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</si>
  <si>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</si>
  <si>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</si>
  <si>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</si>
  <si>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</si>
  <si>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</si>
  <si>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</si>
  <si>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</si>
  <si>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</si>
  <si>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</si>
  <si>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</si>
  <si>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</si>
  <si>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</si>
  <si>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</si>
  <si>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</si>
  <si>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</si>
  <si>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</si>
  <si>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</si>
  <si>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</si>
  <si>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</si>
  <si>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</si>
  <si>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</si>
  <si>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</si>
  <si>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</si>
  <si>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</si>
  <si>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</si>
  <si>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</si>
  <si>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</si>
  <si>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</si>
  <si>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</si>
  <si>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</si>
  <si>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</si>
  <si>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</si>
  <si>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</si>
  <si>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</si>
  <si>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</si>
  <si>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</si>
  <si>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</si>
  <si>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</si>
  <si>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</si>
  <si>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</si>
  <si>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</si>
  <si>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</si>
  <si>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</si>
  <si>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</si>
  <si>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</si>
  <si>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</si>
  <si>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</si>
  <si>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</si>
  <si>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</si>
  <si>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</si>
  <si>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</si>
  <si>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</si>
  <si>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</si>
  <si>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</si>
  <si>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</si>
  <si>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</si>
  <si>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</si>
  <si>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</si>
  <si>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</si>
  <si>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</si>
  <si>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</si>
  <si>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</si>
  <si>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</si>
  <si>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</si>
  <si>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</si>
  <si>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</si>
  <si>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</si>
  <si>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</si>
  <si>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</si>
  <si>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</si>
  <si>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</si>
  <si>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</si>
  <si>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</si>
  <si>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</si>
  <si>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</si>
  <si>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</si>
  <si>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</si>
  <si>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</si>
  <si>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</si>
  <si>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</si>
  <si>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</si>
  <si>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</si>
  <si>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</si>
  <si>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</si>
  <si>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</si>
  <si>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</si>
  <si>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</si>
  <si>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</si>
  <si>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</si>
  <si>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</si>
  <si>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</si>
  <si>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</si>
  <si>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</si>
  <si>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</si>
  <si>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</si>
  <si>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</si>
  <si>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</si>
  <si>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</si>
  <si>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</si>
  <si>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</si>
  <si>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</si>
  <si>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</si>
  <si>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</si>
  <si>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</si>
  <si>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</si>
  <si>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</si>
  <si>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</si>
  <si>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</si>
  <si>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</si>
  <si>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</si>
  <si>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</si>
  <si>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</si>
  <si>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</si>
  <si>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</si>
  <si>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</si>
  <si>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</si>
  <si>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</si>
  <si>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</si>
  <si>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</si>
  <si>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</si>
  <si>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</si>
  <si>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</si>
  <si>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</si>
  <si>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</si>
  <si>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</si>
  <si>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</si>
  <si>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</si>
  <si>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</si>
  <si>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</si>
  <si>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</si>
  <si>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</si>
  <si>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</si>
  <si>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</si>
  <si>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</si>
  <si>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</si>
  <si>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</si>
  <si>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</si>
  <si>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</si>
  <si>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</si>
  <si>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</si>
  <si>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</si>
  <si>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</si>
  <si>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</si>
  <si>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</si>
  <si>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</si>
  <si>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</si>
  <si>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</si>
  <si>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</si>
  <si>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</si>
  <si>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</si>
  <si>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</si>
  <si>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</si>
  <si>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</si>
  <si>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</si>
  <si>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</si>
  <si>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</si>
  <si>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</si>
  <si>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</si>
  <si>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</si>
  <si>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</si>
  <si>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</si>
  <si>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</si>
  <si>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</si>
  <si>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</si>
  <si>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</si>
  <si>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</si>
  <si>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</si>
  <si>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</si>
  <si>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</si>
  <si>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最大生命×a%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</si>
  <si>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</si>
  <si>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</si>
  <si>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</si>
  <si>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</si>
  <si>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</si>
  <si>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</si>
  <si>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</si>
  <si>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</si>
  <si>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</si>
  <si>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</si>
  <si>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</si>
  <si>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</si>
  <si>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</si>
  <si>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</si>
  <si>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</si>
  <si>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</si>
  <si>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</si>
  <si>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</si>
  <si>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</si>
  <si>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</si>
  <si>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</si>
  <si>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</si>
  <si>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</si>
  <si>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</si>
  <si>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</si>
  <si>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</si>
  <si>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</si>
  <si>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</si>
  <si>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</si>
  <si>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</si>
  <si>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</si>
  <si>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</si>
  <si>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</si>
  <si>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</si>
  <si>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</si>
  <si>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</si>
  <si>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</si>
  <si>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</si>
  <si>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</si>
  <si>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</si>
  <si>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</si>
  <si>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</si>
  <si>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</si>
  <si>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</si>
  <si>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</si>
  <si>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</si>
  <si>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</si>
  <si>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</si>
  <si>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</si>
  <si>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</si>
  <si>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</si>
  <si>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</si>
  <si>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</si>
  <si>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</si>
  <si>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</si>
  <si>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</si>
  <si>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</si>
  <si>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</si>
  <si>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</si>
  <si>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</si>
  <si>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</si>
  <si>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</si>
  <si>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</si>
  <si>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</si>
  <si>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</si>
  <si>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</si>
  <si>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</si>
  <si>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</si>
  <si>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</si>
  <si>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</si>
  <si>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</si>
  <si>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</si>
  <si>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</si>
  <si>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</si>
  <si>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</si>
  <si>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</si>
  <si>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</si>
  <si>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</si>
  <si>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{1~3,5}</t>
  </si>
  <si>
    <t>{4,8}</t>
  </si>
  <si>
    <t>{5,10}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</si>
  <si>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</si>
  <si>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</si>
  <si>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</si>
  <si>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</si>
  <si>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</si>
  <si>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</si>
  <si>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</si>
  <si>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</si>
  <si>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</si>
  <si>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</si>
  <si>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</si>
  <si>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</si>
  <si>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{3,10}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</si>
  <si>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</si>
  <si>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</si>
  <si>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</si>
  <si>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</si>
  <si>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</si>
  <si>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</si>
  <si>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</si>
  <si>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</si>
  <si>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</si>
  <si>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</si>
  <si>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</si>
  <si>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</si>
  <si>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</si>
  <si>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</si>
  <si>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</si>
  <si>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</si>
  <si>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</si>
  <si>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</si>
  <si>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</si>
  <si>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</si>
  <si>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</si>
  <si>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</si>
  <si>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</si>
  <si>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</si>
  <si>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</si>
  <si>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</si>
  <si>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</si>
  <si>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</si>
  <si>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</si>
  <si>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</si>
  <si>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</si>
  <si>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</si>
  <si>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</si>
  <si>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</si>
  <si>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</si>
  <si>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</si>
  <si>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</si>
  <si>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</si>
  <si>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</si>
  <si>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</si>
  <si>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</si>
  <si>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</si>
  <si>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</si>
  <si>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</si>
  <si>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</si>
  <si>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</si>
  <si>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</si>
  <si>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</si>
  <si>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</si>
  <si>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</si>
  <si>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</si>
  <si>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</si>
  <si>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</si>
  <si>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</si>
  <si>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</si>
  <si>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</si>
  <si>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</si>
  <si>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</si>
  <si>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</si>
  <si>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</si>
  <si>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</si>
  <si>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</si>
  <si>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</si>
  <si>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</si>
  <si>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</si>
  <si>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</si>
  <si>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</si>
  <si>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</si>
  <si>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</si>
  <si>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</si>
  <si>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</si>
  <si>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</si>
  <si>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</si>
  <si>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</si>
  <si>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</si>
  <si>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</si>
  <si>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</si>
  <si>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</si>
  <si>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</si>
  <si>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</si>
  <si>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</si>
  <si>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</si>
  <si>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</si>
  <si>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</si>
  <si>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</si>
  <si>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</si>
  <si>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</si>
  <si>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</si>
  <si>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</si>
  <si>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</si>
  <si>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</si>
  <si>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</si>
  <si>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</si>
  <si>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</si>
  <si>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</si>
  <si>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</si>
  <si>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</si>
  <si>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</si>
  <si>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</si>
  <si>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</si>
  <si>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</si>
  <si>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</si>
  <si>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</si>
  <si>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</si>
  <si>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</si>
  <si>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</si>
  <si>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</si>
  <si>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</si>
  <si>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</si>
  <si>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</si>
  <si>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</si>
  <si>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</si>
  <si>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</si>
  <si>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</si>
  <si>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{100~149=40}</t>
  </si>
  <si>
    <t>{150~199=50}</t>
  </si>
  <si>
    <t>{200~249=50}</t>
  </si>
  <si>
    <t>{250~299=50}</t>
  </si>
  <si>
    <t>{300+=50}</t>
  </si>
  <si>
    <t>精良裝備</t>
  </si>
  <si>
    <t>{100~149=30}</t>
  </si>
  <si>
    <t>{150~199=40}</t>
  </si>
  <si>
    <t>{200~249=40}</t>
  </si>
  <si>
    <t>{250~299=40}</t>
  </si>
  <si>
    <t>{300+=40}</t>
  </si>
  <si>
    <t>稀有裝備</t>
  </si>
  <si>
    <t>{150~199=30}</t>
  </si>
  <si>
    <t>{200~249=30}</t>
  </si>
  <si>
    <t>{250~299=30}</t>
  </si>
  <si>
    <t>{300+=30}</t>
  </si>
  <si>
    <t>獨特裝備</t>
  </si>
  <si>
    <t>{1~49=0}</t>
  </si>
  <si>
    <t>{200~249=15}</t>
  </si>
  <si>
    <t>{250~299=15}</t>
  </si>
  <si>
    <t>{300+=20}</t>
  </si>
  <si>
    <t>史詩裝備</t>
  </si>
  <si>
    <t>{50~99=0.5}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</si>
  <si>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</si>
  <si>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</si>
  <si>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</si>
  <si>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</si>
  <si>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</si>
  <si>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</si>
  <si>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</si>
  <si>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</si>
  <si>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</si>
  <si>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</si>
  <si>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</si>
  <si>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</si>
  <si>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</si>
  <si>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</si>
  <si>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</si>
  <si>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</si>
  <si>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</si>
  <si>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</si>
  <si>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</si>
  <si>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</si>
  <si>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</si>
  <si>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</si>
  <si>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</si>
  <si>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</si>
  <si>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</si>
  <si>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</si>
  <si>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</si>
  <si>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</si>
  <si>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</si>
  <si>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</si>
  <si>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</si>
  <si>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</si>
  <si>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</si>
  <si>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</si>
  <si>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</si>
  <si>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</si>
  <si>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</si>
  <si>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</si>
  <si>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</si>
  <si>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</si>
  <si>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</si>
  <si>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</si>
  <si>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</si>
  <si>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</si>
  <si>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</si>
  <si>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</si>
  <si>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</si>
  <si>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</si>
  <si>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</si>
  <si>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</si>
  <si>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</si>
  <si>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</si>
  <si>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</si>
  <si>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</si>
  <si>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</si>
  <si>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</si>
  <si>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</si>
  <si>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</si>
  <si>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</si>
  <si>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</si>
  <si>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</si>
  <si>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</si>
  <si>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</si>
  <si>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</si>
  <si>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</si>
  <si>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</si>
  <si>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</si>
  <si>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</si>
  <si>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</si>
  <si>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</si>
  <si>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</si>
  <si>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</si>
  <si>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</si>
  <si>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</si>
  <si>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</si>
  <si>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</si>
  <si>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</si>
  <si>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</si>
  <si>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</si>
  <si>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</si>
  <si>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</si>
  <si>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</si>
  <si>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</si>
  <si>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</si>
  <si>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</si>
  <si>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</si>
  <si>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</si>
  <si>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</si>
  <si>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</si>
  <si>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</si>
  <si>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</si>
  <si>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</si>
  <si>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</si>
  <si>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</si>
  <si>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</si>
  <si>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</si>
  <si>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</si>
  <si>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</si>
  <si>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</si>
  <si>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</si>
  <si>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</si>
  <si>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</si>
  <si>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</si>
  <si>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</si>
  <si>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</si>
  <si>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</si>
  <si>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</si>
  <si>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</si>
  <si>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</si>
  <si>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</si>
  <si>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</si>
  <si>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</si>
  <si>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</si>
  <si>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</si>
  <si>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</si>
  <si>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</si>
  <si>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</si>
  <si>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</si>
  <si>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</si>
  <si>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</si>
  <si>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</si>
  <si>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</si>
  <si>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</si>
  <si>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</si>
  <si>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</si>
  <si>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</si>
  <si>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</si>
  <si>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</si>
  <si>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</si>
  <si>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</si>
  <si>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</si>
  <si>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</si>
  <si>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</si>
  <si>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</si>
  <si>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</si>
  <si>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</si>
  <si>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</si>
  <si>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</si>
  <si>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</si>
  <si>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</si>
  <si>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</si>
  <si>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</si>
  <si>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</si>
  <si>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</si>
  <si>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</si>
  <si>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</si>
  <si>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</si>
  <si>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</si>
  <si>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</si>
  <si>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</si>
  <si>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</si>
  <si>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</si>
  <si>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</si>
  <si>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</si>
  <si>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</si>
  <si>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</si>
  <si>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</si>
  <si>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</si>
  <si>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</si>
  <si>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</si>
  <si>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</si>
  <si>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</si>
  <si>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</si>
  <si>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</si>
  <si>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</si>
  <si>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</si>
  <si>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</si>
  <si>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</si>
  <si>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</si>
  <si>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</si>
  <si>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</si>
  <si>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</si>
  <si>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</si>
  <si>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</si>
  <si>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</si>
  <si>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</si>
  <si>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</si>
  <si>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</si>
  <si>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</si>
  <si>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</si>
  <si>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</si>
  <si>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</si>
  <si>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</si>
  <si>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</si>
  <si>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</si>
  <si>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</si>
  <si>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</si>
  <si>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</si>
  <si>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</si>
  <si>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</si>
  <si>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</si>
  <si>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</si>
  <si>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</si>
  <si>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</si>
  <si>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</si>
  <si>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</si>
  <si>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</si>
  <si>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</si>
  <si>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</si>
  <si>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</si>
  <si>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</si>
  <si>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</si>
  <si>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</si>
  <si>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</si>
  <si>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</si>
  <si>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</si>
  <si>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</si>
  <si>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</si>
  <si>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</si>
  <si>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</si>
  <si>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</si>
  <si>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</si>
  <si>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</si>
  <si>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</si>
  <si>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</si>
  <si>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</si>
  <si>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</si>
  <si>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</si>
  <si>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</si>
  <si>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</si>
  <si>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</si>
  <si>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</si>
  <si>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</si>
  <si>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</si>
  <si>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</si>
  <si>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</si>
  <si>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</si>
  <si>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</si>
  <si>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</si>
  <si>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</si>
  <si>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</si>
  <si>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</si>
  <si>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</si>
  <si>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</si>
  <si>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</si>
  <si>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</si>
  <si>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</si>
  <si>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</si>
  <si>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</si>
  <si>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</si>
  <si>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</si>
  <si>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</si>
  <si>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</si>
  <si>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</si>
  <si>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</si>
  <si>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</si>
  <si>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</si>
  <si>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</si>
  <si>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</si>
  <si>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</si>
  <si>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</si>
  <si>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</si>
  <si>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</si>
  <si>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</si>
  <si>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</si>
  <si>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</si>
  <si>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</si>
  <si>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</si>
  <si>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</si>
  <si>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</si>
  <si>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</si>
  <si>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</si>
  <si>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</si>
  <si>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</si>
  <si>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</si>
  <si>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</si>
  <si>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</si>
  <si>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</si>
  <si>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</si>
  <si>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</si>
  <si>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</si>
  <si>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</si>
  <si>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</si>
  <si>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</si>
  <si>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</si>
  <si>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</si>
  <si>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</si>
  <si>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</si>
  <si>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</si>
  <si>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</si>
  <si>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</si>
  <si>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</si>
  <si>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</si>
  <si>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</si>
  <si>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</si>
  <si>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</si>
  <si>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</si>
  <si>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</si>
  <si>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</si>
  <si>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</si>
  <si>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</si>
  <si>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</si>
  <si>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</si>
  <si>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</si>
  <si>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</si>
  <si>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</si>
  <si>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</si>
  <si>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</si>
  <si>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</si>
  <si>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</si>
  <si>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</si>
  <si>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</si>
  <si>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</si>
  <si>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</si>
  <si>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</si>
  <si>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</si>
  <si>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</si>
  <si>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</si>
  <si>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</si>
  <si>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</si>
  <si>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</si>
  <si>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</si>
  <si>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</si>
  <si>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</si>
  <si>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</si>
  <si>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</si>
  <si>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</si>
  <si>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</si>
  <si>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</si>
  <si>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</si>
  <si>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</si>
  <si>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</si>
  <si>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</si>
  <si>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</si>
  <si>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</si>
  <si>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</si>
  <si>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</si>
  <si>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</si>
  <si>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</si>
  <si>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</si>
  <si>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</si>
  <si>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</si>
  <si>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</si>
  <si>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</si>
  <si>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</si>
  <si>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</si>
  <si>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</si>
  <si>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</si>
  <si>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</si>
  <si>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</si>
  <si>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</si>
  <si>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</si>
  <si>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</si>
  <si>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</si>
  <si>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</si>
  <si>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</si>
  <si>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</si>
  <si>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</si>
  <si>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</si>
  <si>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</si>
  <si>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</si>
  <si>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</si>
  <si>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</si>
  <si>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</si>
  <si>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</si>
  <si>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</si>
  <si>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</si>
  <si>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</si>
  <si>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</si>
  <si>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</si>
  <si>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</si>
  <si>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</si>
  <si>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</si>
  <si>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</si>
  <si>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</si>
  <si>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</si>
  <si>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</si>
  <si>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</si>
  <si>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</si>
  <si>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</si>
  <si>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</si>
  <si>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</si>
  <si>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</si>
  <si>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</si>
  <si>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</si>
  <si>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</si>
  <si>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</si>
  <si>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</si>
  <si>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</si>
  <si>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</si>
  <si>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</si>
  <si>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</si>
  <si>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</si>
  <si>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</si>
  <si>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</si>
  <si>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</si>
  <si>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</si>
  <si>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</si>
  <si>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</si>
  <si>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</si>
  <si>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</si>
  <si>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</si>
  <si>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</si>
  <si>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</si>
  <si>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</si>
  <si>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</si>
  <si>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</si>
  <si>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</si>
  <si>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</si>
  <si>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</si>
  <si>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</si>
  <si>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</si>
  <si>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</si>
  <si>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</si>
  <si>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</si>
  <si>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</si>
  <si>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</si>
  <si>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</si>
  <si>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</si>
  <si>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</si>
  <si>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</si>
  <si>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</si>
  <si>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</si>
  <si>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</si>
  <si>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</si>
  <si>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</si>
  <si>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</si>
  <si>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</si>
  <si>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</si>
  <si>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</si>
  <si>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</si>
  <si>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</si>
  <si>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</si>
  <si>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</si>
  <si>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</si>
  <si>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</si>
  <si>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</si>
  <si>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</si>
  <si>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</si>
  <si>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</si>
  <si>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</si>
  <si>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</si>
  <si>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</si>
  <si>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</si>
  <si>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</si>
  <si>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</si>
  <si>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</si>
  <si>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</si>
  <si>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</si>
  <si>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</si>
  <si>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</si>
  <si>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</si>
  <si>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</si>
  <si>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</si>
  <si>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</si>
  <si>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</si>
  <si>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</si>
  <si>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</si>
  <si>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</si>
  <si>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</si>
  <si>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</si>
  <si>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</si>
  <si>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</si>
  <si>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</si>
  <si>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</si>
  <si>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</si>
  <si>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</si>
  <si>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</si>
  <si>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</si>
  <si>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</si>
  <si>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</si>
  <si>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</si>
  <si>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</si>
  <si>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</si>
  <si>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</si>
  <si>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</si>
  <si>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</si>
  <si>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</si>
  <si>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</si>
  <si>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</si>
  <si>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</si>
  <si>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</si>
  <si>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</si>
  <si>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</si>
  <si>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</si>
  <si>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</si>
  <si>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</si>
  <si>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</si>
  <si>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</si>
  <si>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</si>
  <si>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</si>
  <si>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</si>
  <si>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</si>
  <si>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</si>
  <si>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</si>
  <si>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</si>
  <si>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</si>
  <si>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</si>
  <si>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</si>
  <si>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</si>
  <si>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</si>
  <si>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</si>
  <si>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</si>
  <si>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</si>
  <si>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</si>
  <si>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</si>
  <si>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</si>
  <si>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</si>
  <si>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</si>
  <si>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</si>
  <si>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</si>
  <si>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</si>
  <si>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</si>
  <si>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</si>
  <si>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</si>
  <si>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</si>
  <si>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</si>
  <si>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</si>
  <si>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</si>
  <si>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</si>
  <si>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</si>
  <si>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</si>
  <si>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</si>
  <si>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</si>
  <si>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</si>
  <si>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</si>
  <si>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</si>
  <si>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</si>
  <si>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</si>
  <si>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</si>
  <si>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</si>
  <si>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</si>
  <si>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</si>
  <si>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</si>
  <si>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</si>
  <si>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</si>
  <si>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</si>
  <si>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</si>
  <si>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</si>
  <si>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</si>
  <si>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</si>
  <si>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</si>
  <si>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</si>
  <si>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</si>
  <si>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</si>
  <si>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</si>
  <si>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</si>
  <si>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</si>
  <si>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</si>
  <si>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</si>
  <si>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</si>
  <si>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</si>
  <si>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</si>
  <si>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</si>
  <si>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</si>
  <si>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</si>
  <si>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</si>
  <si>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</si>
  <si>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</si>
  <si>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</si>
  <si>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</si>
  <si>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</si>
  <si>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</si>
  <si>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</si>
  <si>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</si>
  <si>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</si>
  <si>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</si>
  <si>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</si>
  <si>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</si>
  <si>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</si>
  <si>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</si>
  <si>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</si>
  <si>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</si>
  <si>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</si>
  <si>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</si>
  <si>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</si>
  <si>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</si>
  <si>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</si>
  <si>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</si>
  <si>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</si>
  <si>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</si>
  <si>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</si>
  <si>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</si>
  <si>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</si>
  <si>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</si>
  <si>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</si>
  <si>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</si>
  <si>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</si>
  <si>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</si>
  <si>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</si>
  <si>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</si>
  <si>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</si>
  <si>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</si>
  <si>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</si>
  <si>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</si>
  <si>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</si>
  <si>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</si>
  <si>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</si>
  <si>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</si>
  <si>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</si>
  <si>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</si>
  <si>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</si>
  <si>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</si>
  <si>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</si>
  <si>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</si>
  <si>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</si>
  <si>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</si>
  <si>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</si>
  <si>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</si>
  <si>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</si>
  <si>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  <charset val="136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</si>
  <si>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</si>
  <si>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</si>
  <si>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</si>
  <si>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</si>
  <si>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t>新增</t>
    <phoneticPr fontId="2" type="noConversion"/>
  </si>
  <si>
    <r>
      <rPr>
        <sz val="11"/>
        <rFont val="Calibri"/>
        <family val="2"/>
      </rPr>
      <t>a×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 xml:space="preserve"> + b^(1 + 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>/c)</t>
    </r>
    <phoneticPr fontId="2" type="noConversion"/>
  </si>
  <si>
    <r>
      <rPr>
        <sz val="11"/>
        <rFont val="微軟正黑體"/>
        <family val="2"/>
        <charset val="136"/>
      </rPr>
      <t>(最大生命</t>
    </r>
    <r>
      <rPr>
        <sz val="11"/>
        <rFont val="細明體"/>
        <family val="2"/>
        <charset val="136"/>
      </rPr>
      <t>×</t>
    </r>
    <r>
      <rPr>
        <sz val="11"/>
        <rFont val="Calibri"/>
        <family val="2"/>
      </rPr>
      <t>a% + b )/</t>
    </r>
    <r>
      <rPr>
        <sz val="11"/>
        <rFont val="微軟正黑體"/>
        <family val="2"/>
        <charset val="136"/>
      </rPr>
      <t>秒</t>
    </r>
    <phoneticPr fontId="2" type="noConversion"/>
  </si>
  <si>
    <r>
      <t>a=</t>
    </r>
    <r>
      <rPr>
        <sz val="11"/>
        <rFont val="細明體"/>
        <family val="3"/>
        <charset val="136"/>
      </rPr>
      <t xml:space="preserve">生命加成比例 </t>
    </r>
    <r>
      <rPr>
        <sz val="11"/>
        <rFont val="Calibri"/>
        <family val="3"/>
      </rPr>
      <t>b=</t>
    </r>
    <r>
      <rPr>
        <sz val="11"/>
        <rFont val="細明體"/>
        <family val="3"/>
        <charset val="136"/>
      </rPr>
      <t>基礎值</t>
    </r>
    <r>
      <rPr>
        <sz val="11"/>
        <rFont val="微軟正黑體"/>
        <family val="2"/>
        <charset val="136"/>
      </rPr>
      <t>。</t>
    </r>
    <phoneticPr fontId="2" type="noConversion"/>
  </si>
  <si>
    <t>{100~149=20}</t>
    <phoneticPr fontId="2" type="noConversion"/>
  </si>
  <si>
    <t>{1~19=25}</t>
    <phoneticPr fontId="2" type="noConversion"/>
  </si>
  <si>
    <t>{20~99=35}</t>
    <phoneticPr fontId="2" type="noConversion"/>
  </si>
  <si>
    <t>{20~99=20}</t>
    <phoneticPr fontId="2" type="noConversion"/>
  </si>
  <si>
    <t>{1~19=15}</t>
    <phoneticPr fontId="2" type="noConversion"/>
  </si>
  <si>
    <t>{1~19=10}</t>
    <phoneticPr fontId="2" type="noConversion"/>
  </si>
  <si>
    <t>{20~99=15}</t>
    <phoneticPr fontId="2" type="noConversion"/>
  </si>
  <si>
    <r>
      <t>a×</t>
    </r>
    <r>
      <rPr>
        <sz val="11"/>
        <rFont val="細明體"/>
        <family val="2"/>
        <charset val="136"/>
      </rPr>
      <t>熟練度等級</t>
    </r>
    <r>
      <rPr>
        <sz val="11"/>
        <rFont val="Calibri"/>
        <family val="2"/>
      </rPr>
      <t>^b + c</t>
    </r>
    <phoneticPr fontId="2" type="noConversion"/>
  </si>
  <si>
    <t>{1~2,90}</t>
  </si>
  <si>
    <t>{1~2,88}</t>
  </si>
  <si>
    <t>{4,2}</t>
  </si>
  <si>
    <t>{1~3,85}</t>
  </si>
  <si>
    <t>{4,10}</t>
  </si>
  <si>
    <t>{5,4}</t>
  </si>
  <si>
    <t>{6,1}</t>
  </si>
  <si>
    <t>{1~3,80}</t>
  </si>
  <si>
    <t>{4,12}</t>
  </si>
  <si>
    <t>{5,6}</t>
  </si>
  <si>
    <t>{6,2}</t>
  </si>
  <si>
    <t>{1~3,64}</t>
  </si>
  <si>
    <t>{4,20}</t>
  </si>
  <si>
    <t>{6,5}</t>
  </si>
  <si>
    <t>{7~9,1}</t>
  </si>
  <si>
    <t>過關回復</t>
    <phoneticPr fontId="2" type="noConversion"/>
  </si>
  <si>
    <t>野外整波敵人清空時回復一次（吸魂被動仍為擊殺時觸發）。高塔沒有此回復。</t>
    <phoneticPr fontId="2" type="noConversion"/>
  </si>
  <si>
    <t>{150~199=15}</t>
    <phoneticPr fontId="2" type="noConversion"/>
  </si>
  <si>
    <t>{100~149=10}</t>
    <phoneticPr fontId="2" type="noConversion"/>
  </si>
  <si>
    <t>{1~19=0}</t>
    <phoneticPr fontId="2" type="noConversion"/>
  </si>
  <si>
    <t>{20~99=5}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</si>
</sst>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細明體"/>
      <family val="2"/>
      <charset val="136"/>
    </font>
    <font>
      <sz val="11"/>
      <name val="Calibri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3"/>
  <sheetViews>
    <sheetView topLeftCell="A136" workbookViewId="0">
      <selection activeCell="H154" sqref="H154"/>
    </sheetView>
  </sheetViews>
  <sheetFormatPr defaultRowHeight="15" x14ac:dyDescent="0.25"/>
  <cols>
    <col min="3" max="6" width="23.855468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60</v>
      </c>
      <c r="H65">
        <f>計算表!H65</f>
        <v>8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抗性值總合/(抗性值總合+a+b×攻擊者等級)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100</v>
      </c>
      <c r="H66">
        <f>計算表!H66</f>
        <v>0.25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抗性總合^a/(抗性總合^a+b+c×敵人等級)</v>
      </c>
      <c r="F67" t="str">
        <f>計算表!F67</f>
        <v>a=抗性次方 b=分母常數 c=敵人等級係數。抗性≤0 時不減傷。</v>
      </c>
      <c r="G67">
        <f>計算表!G67</f>
        <v>1.8</v>
      </c>
      <c r="H67">
        <f>計算表!H67</f>
        <v>10</v>
      </c>
      <c r="I67">
        <f>計算表!I67</f>
        <v>0.1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抗性總合^a/(抗性總合^a+b+c×敵人等級)</v>
      </c>
      <c r="F68" t="str">
        <f>計算表!F68</f>
        <v>a=抗性次方 b=分母常數 c=敵人等級係數。抗性≤0 時不減傷。</v>
      </c>
      <c r="G68">
        <f>計算表!G68</f>
        <v>1.8</v>
      </c>
      <c r="H68">
        <f>計算表!H68</f>
        <v>10</v>
      </c>
      <c r="I68">
        <f>計算表!I68</f>
        <v>0.1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抗性總合^a/(抗性總合^a+b+c×敵人等級)</v>
      </c>
      <c r="F69" t="str">
        <f>計算表!F69</f>
        <v>a=抗性次方 b=分母常數 c=敵人等級係數。六系元素共用此曲線；抗性≤0 時不減傷。</v>
      </c>
      <c r="G69">
        <f>計算表!G69</f>
        <v>1.8</v>
      </c>
      <c r="H69">
        <f>計算表!H69</f>
        <v>10</v>
      </c>
      <c r="I69">
        <f>計算表!I69</f>
        <v>0.1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3.5</v>
      </c>
      <c r="I89">
        <f>計算表!I89</f>
        <v>1.0549999999999999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60</v>
      </c>
      <c r="H92">
        <f>計算表!H92</f>
        <v>1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0.75</v>
      </c>
      <c r="H98">
        <f>計算表!H98</f>
        <v>0.75</v>
      </c>
      <c r="I98">
        <f>計算表!I98</f>
        <v>0.75</v>
      </c>
      <c r="J98">
        <f>計算表!J98</f>
        <v>0.75</v>
      </c>
      <c r="K98">
        <f>計算表!K98</f>
        <v>0.75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1.2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2.2000000000000002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12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25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t="str">
        <f>計算表!B104</f>
        <v>新增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{1~2,90}</v>
      </c>
      <c r="H104" t="str">
        <f>計算表!H104</f>
        <v>{3,10}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t="str">
        <f>計算表!B105</f>
        <v>新增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{1~2,88}</v>
      </c>
      <c r="H105" t="str">
        <f>計算表!H105</f>
        <v>{3,10}</v>
      </c>
      <c r="I105" t="str">
        <f>計算表!I105</f>
        <v>{4,2}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t="str">
        <f>計算表!B106</f>
        <v>新增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{1~3,85}</v>
      </c>
      <c r="H106" t="str">
        <f>計算表!H106</f>
        <v>{4,10}</v>
      </c>
      <c r="I106" t="str">
        <f>計算表!I106</f>
        <v>{5,4}</v>
      </c>
      <c r="J106" t="str">
        <f>計算表!J106</f>
        <v>{6,1}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t="str">
        <f>計算表!B107</f>
        <v>新增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t="str">
        <f>計算表!B108</f>
        <v>新增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6</v>
      </c>
      <c r="I116">
        <f>計算表!I116</f>
        <v>4</v>
      </c>
      <c r="J116">
        <f>計算表!J116</f>
        <v>12</v>
      </c>
      <c r="K116">
        <f>計算表!K116</f>
        <v>5</v>
      </c>
      <c r="L116">
        <f>計算表!L116</f>
        <v>1.2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{1~19=25}</v>
      </c>
      <c r="H151" t="str">
        <f>計算表!H151</f>
        <v>{20~99=35}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{1~19=15}</v>
      </c>
      <c r="H152" t="str">
        <f>計算表!H152</f>
        <v>{20~99=20}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{1~19=10}</v>
      </c>
      <c r="H153" t="str">
        <f>計算表!H153</f>
        <v>{20~99=15}</v>
      </c>
      <c r="I153" t="str">
        <f>計算表!I153</f>
        <v>{100~149=20}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{1~19=0}</v>
      </c>
      <c r="H154" t="str">
        <f>計算表!H154</f>
        <v>{20~99=5}</v>
      </c>
      <c r="I154" t="str">
        <f>計算表!I154</f>
        <v>{100~149=10}</v>
      </c>
      <c r="J154" t="str">
        <f>計算表!J154</f>
        <v>{150~199=15}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{1~49=0}</v>
      </c>
      <c r="H155" t="str">
        <f>計算表!H155</f>
        <v>{50~99=0.5}</v>
      </c>
      <c r="I155" t="str">
        <f>計算表!I155</f>
        <v>{100~149=2.5}</v>
      </c>
      <c r="J155" t="str">
        <f>計算表!J155</f>
        <v>{150~199=5}</v>
      </c>
      <c r="K155" t="str">
        <f>計算表!K155</f>
        <v>{200~249=6}</v>
      </c>
      <c r="L155" t="str">
        <f>計算表!L155</f>
        <v>{250~299=7}</v>
      </c>
      <c r="M155" t="str">
        <f>計算表!M155</f>
        <v>{300+=8}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78.099999999999994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</v>
      </c>
      <c r="H174">
        <f>計算表!H174</f>
        <v>22.12</v>
      </c>
      <c r="I174">
        <f>計算表!I174</f>
        <v>4.6100000000000003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74.349999999999994</v>
      </c>
      <c r="H175">
        <f>計算表!H175</f>
        <v>18.739999999999998</v>
      </c>
      <c r="I175">
        <f>計算表!I175</f>
        <v>5.07</v>
      </c>
      <c r="J175">
        <f>計算表!J175</f>
        <v>1.37</v>
      </c>
      <c r="K175">
        <f>計算表!K175</f>
        <v>0.37</v>
      </c>
      <c r="L175">
        <f>計算表!L175</f>
        <v>0.1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76.87</v>
      </c>
      <c r="H176">
        <f>計算表!H176</f>
        <v>15.04</v>
      </c>
      <c r="I176">
        <f>計算表!I176</f>
        <v>5.28</v>
      </c>
      <c r="J176">
        <f>計算表!J176</f>
        <v>1.85</v>
      </c>
      <c r="K176">
        <f>計算表!K176</f>
        <v>0.65</v>
      </c>
      <c r="L176">
        <f>計算表!L176</f>
        <v>0.23</v>
      </c>
      <c r="M176">
        <f>計算表!M176</f>
        <v>0.08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69.92</v>
      </c>
      <c r="H177">
        <f>計算表!H177</f>
        <v>18.53</v>
      </c>
      <c r="I177">
        <f>計算表!I177</f>
        <v>7.13</v>
      </c>
      <c r="J177">
        <f>計算表!J177</f>
        <v>2.74</v>
      </c>
      <c r="K177">
        <f>計算表!K177</f>
        <v>1.05</v>
      </c>
      <c r="L177">
        <f>計算表!L177</f>
        <v>0.41</v>
      </c>
      <c r="M177">
        <f>計算表!M177</f>
        <v>0.16</v>
      </c>
      <c r="N177">
        <f>計算表!N177</f>
        <v>0.06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64.22</v>
      </c>
      <c r="H178">
        <f>計算表!H178</f>
        <v>21.19</v>
      </c>
      <c r="I178">
        <f>計算表!I178</f>
        <v>8.65</v>
      </c>
      <c r="J178">
        <f>計算表!J178</f>
        <v>3.53</v>
      </c>
      <c r="K178">
        <f>計算表!K178</f>
        <v>1.44</v>
      </c>
      <c r="L178">
        <f>計算表!L178</f>
        <v>0.59</v>
      </c>
      <c r="M178">
        <f>計算表!M178</f>
        <v>0.24</v>
      </c>
      <c r="N178">
        <f>計算表!N178</f>
        <v>0.1</v>
      </c>
      <c r="O178">
        <f>計算表!O178</f>
        <v>0.04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59.92</v>
      </c>
      <c r="H179">
        <f>計算表!H179</f>
        <v>23.53</v>
      </c>
      <c r="I179">
        <f>計算表!I179</f>
        <v>9.7200000000000006</v>
      </c>
      <c r="J179">
        <f>計算表!J179</f>
        <v>4.0199999999999996</v>
      </c>
      <c r="K179">
        <f>計算表!K179</f>
        <v>1.66</v>
      </c>
      <c r="L179">
        <f>計算表!L179</f>
        <v>0.69</v>
      </c>
      <c r="M179">
        <f>計算表!M179</f>
        <v>0.28000000000000003</v>
      </c>
      <c r="N179">
        <f>計算表!N179</f>
        <v>0.12</v>
      </c>
      <c r="O179">
        <f>計算表!O179</f>
        <v>0.05</v>
      </c>
      <c r="P179">
        <f>計算表!P179</f>
        <v>0.02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54.72</v>
      </c>
      <c r="H180">
        <f>計算表!H180</f>
        <v>26.42</v>
      </c>
      <c r="I180">
        <f>計算表!I180</f>
        <v>11.01</v>
      </c>
      <c r="J180">
        <f>計算表!J180</f>
        <v>4.59</v>
      </c>
      <c r="K180">
        <f>計算表!K180</f>
        <v>1.91</v>
      </c>
      <c r="L180">
        <f>計算表!L180</f>
        <v>0.8</v>
      </c>
      <c r="M180">
        <f>計算表!M180</f>
        <v>0.33</v>
      </c>
      <c r="N180">
        <f>計算表!N180</f>
        <v>0.14000000000000001</v>
      </c>
      <c r="O180">
        <f>計算表!O180</f>
        <v>0.06</v>
      </c>
      <c r="P180">
        <f>計算表!P180</f>
        <v>0.02</v>
      </c>
      <c r="Q180">
        <f>計算表!Q180</f>
        <v>0.01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1.45</v>
      </c>
      <c r="I224">
        <f>計算表!I224</f>
        <v>0.08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a×當前等級 + b^(1 + 當前等級/c)</v>
      </c>
      <c r="F301" t="str">
        <f>計算表!F301</f>
        <v>上限 5,000,000；降級全額退還。</v>
      </c>
      <c r="G301">
        <f>計算表!G301</f>
        <v>1000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- a) ÷ 10) × 10（下限 1）</v>
      </c>
      <c r="F310" t="str">
        <f>計算表!F310</f>
        <v>a=等級扣減；以此等級的當前場景菁英怪計算離線收益（例：沼澤最高 256 → 246 捨去個位數 → 240 級沼澤菁英）。</v>
      </c>
      <c r="G310">
        <f>計算表!G310</f>
        <v>10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20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表-稀有度</v>
      </c>
      <c r="D312" t="str">
        <f>計算表!D312</f>
        <v>普通</v>
      </c>
      <c r="E312" t="str">
        <f>計算表!E312</f>
        <v>（查表）</v>
      </c>
      <c r="F312" t="str">
        <f>計算表!F312</f>
        <v>a=詞條數值倍率 b=詞條數下限 c=詞條數上限 d=寶石插槽 e=附魔欄位 f=分解係數。</v>
      </c>
      <c r="G312">
        <f>計算表!G312</f>
        <v>1</v>
      </c>
      <c r="H312">
        <f>計算表!H312</f>
        <v>1</v>
      </c>
      <c r="I312">
        <f>計算表!I312</f>
        <v>1</v>
      </c>
      <c r="J312">
        <f>計算表!J312</f>
        <v>1</v>
      </c>
      <c r="K312">
        <f>計算表!K312</f>
        <v>0</v>
      </c>
      <c r="L312">
        <f>計算表!L312</f>
        <v>1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精良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1.35</v>
      </c>
      <c r="H313">
        <f>計算表!H313</f>
        <v>2</v>
      </c>
      <c r="I313">
        <f>計算表!I313</f>
        <v>2</v>
      </c>
      <c r="J313">
        <f>計算表!J313</f>
        <v>1</v>
      </c>
      <c r="K313">
        <f>計算表!K313</f>
        <v>1</v>
      </c>
      <c r="L313">
        <f>計算表!L313</f>
        <v>1.7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稀有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1.75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2.8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獨特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2.2999999999999998</v>
      </c>
      <c r="H315">
        <f>計算表!H315</f>
        <v>3</v>
      </c>
      <c r="I315">
        <f>計算表!I315</f>
        <v>3</v>
      </c>
      <c r="J315">
        <f>計算表!J315</f>
        <v>2</v>
      </c>
      <c r="K315">
        <f>計算表!K315</f>
        <v>1</v>
      </c>
      <c r="L315">
        <f>計算表!L315</f>
        <v>4.5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史詩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3</v>
      </c>
      <c r="H316">
        <f>計算表!H316</f>
        <v>4</v>
      </c>
      <c r="I316">
        <f>計算表!I316</f>
        <v>4</v>
      </c>
      <c r="J316">
        <f>計算表!J316</f>
        <v>3</v>
      </c>
      <c r="K316">
        <f>計算表!K316</f>
        <v>2</v>
      </c>
      <c r="L316">
        <f>計算表!L316</f>
        <v>7.5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傳說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4</v>
      </c>
      <c r="H317">
        <f>計算表!H317</f>
        <v>5</v>
      </c>
      <c r="I317">
        <f>計算表!I317</f>
        <v>5</v>
      </c>
      <c r="J317">
        <f>計算表!J317</f>
        <v>4</v>
      </c>
      <c r="K317">
        <f>計算表!K317</f>
        <v>2</v>
      </c>
      <c r="L317">
        <f>計算表!L317</f>
        <v>12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神話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5.2</v>
      </c>
      <c r="H318">
        <f>計算表!H318</f>
        <v>6</v>
      </c>
      <c r="I318">
        <f>計算表!I318</f>
        <v>6</v>
      </c>
      <c r="J318">
        <f>計算表!J318</f>
        <v>5</v>
      </c>
      <c r="K318">
        <f>計算表!K318</f>
        <v>2</v>
      </c>
      <c r="L318">
        <f>計算表!L318</f>
        <v>19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創世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6.8</v>
      </c>
      <c r="H319">
        <f>計算表!H319</f>
        <v>7</v>
      </c>
      <c r="I319">
        <f>計算表!I319</f>
        <v>7</v>
      </c>
      <c r="J319">
        <f>計算表!J319</f>
        <v>6</v>
      </c>
      <c r="K319">
        <f>計算表!K319</f>
        <v>3</v>
      </c>
      <c r="L319">
        <f>計算表!L319</f>
        <v>30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10.199999999999999</v>
      </c>
      <c r="H320">
        <f>計算表!H320</f>
        <v>8</v>
      </c>
      <c r="I320">
        <f>計算表!I320</f>
        <v>8</v>
      </c>
      <c r="J320">
        <f>計算表!J320</f>
        <v>6</v>
      </c>
      <c r="K320">
        <f>計算表!K320</f>
        <v>3</v>
      </c>
      <c r="L320">
        <f>計算表!L320</f>
        <v>45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表-自動機組零件</v>
      </c>
      <c r="D321" t="str">
        <f>計算表!D321</f>
        <v>加速齒輪</v>
      </c>
      <c r="E321" t="str">
        <f>計算表!E321</f>
        <v>效果值 = a × 階級(T1~T7)</v>
      </c>
      <c r="F321" t="str">
        <f>計算表!F321</f>
        <v>節點=b。分解速度 +v%/階（另固定+50 個百分點）（掉寶類零件效果實際×0.5）。</v>
      </c>
      <c r="G321">
        <f>計算表!G321</f>
        <v>25</v>
      </c>
      <c r="H321" t="str">
        <f>計算表!H321</f>
        <v>salvage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碎片熔煉爐</v>
      </c>
      <c r="E322" t="str">
        <f>計算表!E322</f>
        <v>效果值 = a × 階級(T1~T7)</v>
      </c>
      <c r="F322" t="str">
        <f>計算表!F322</f>
        <v>節點=b。分解碎片產量 +v%/階（掉寶類零件效果實際×0.5）。</v>
      </c>
      <c r="G322">
        <f>計算表!G322</f>
        <v>20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淘金濾網</v>
      </c>
      <c r="E323" t="str">
        <f>計算表!E323</f>
        <v>效果值 = a × 階級(T1~T7)</v>
      </c>
      <c r="F323" t="str">
        <f>計算表!F323</f>
        <v>節點=b。分解金幣產量 +v%/階（掉寶類零件效果實際×0.5）。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精粹透鏡</v>
      </c>
      <c r="E324" t="str">
        <f>計算表!E324</f>
        <v>效果值 = a × 階級(T1~T7)</v>
      </c>
      <c r="F324" t="str">
        <f>計算表!F324</f>
        <v>節點=b。附魔精華拆解產出率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拓本回收臂</v>
      </c>
      <c r="E325" t="str">
        <f>計算表!E325</f>
        <v>效果值 = a × 階級(T1~T7)</v>
      </c>
      <c r="F325" t="str">
        <f>計算表!F325</f>
        <v>節點=b。分解 v%/階 機率回收 1 本附魔書（掉寶類零件效果實際×0.5）。</v>
      </c>
      <c r="G325">
        <f>計算表!G325</f>
        <v>0.4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複製處理艙</v>
      </c>
      <c r="E326" t="str">
        <f>計算表!E326</f>
        <v>效果值 = a × 階級(T1~T7)</v>
      </c>
      <c r="F326" t="str">
        <f>計算表!F326</f>
        <v>節點=b。分解 v%/階 機率碎片+金幣翻倍（掉寶類零件效果實際×0.5）。</v>
      </c>
      <c r="G326">
        <f>計算表!G326</f>
        <v>3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知識回收器</v>
      </c>
      <c r="E327" t="str">
        <f>計算表!E327</f>
        <v>效果值 = a × 階級(T1~T7)</v>
      </c>
      <c r="F327" t="str">
        <f>計算表!F327</f>
        <v>節點=b。分解 v%/階 機率獲得經驗(裝備等級×25)（掉寶類零件效果實際×0.5）。</v>
      </c>
      <c r="G327">
        <f>計算表!G327</f>
        <v>1.5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探礦核心</v>
      </c>
      <c r="E328" t="str">
        <f>計算表!E328</f>
        <v>效果值 = a × 階級(T1~T7)</v>
      </c>
      <c r="F328" t="str">
        <f>計算表!F328</f>
        <v>節點=b。分解 v%/階 機率額外掉一個零件（掉寶類零件效果實際×0.5）。</v>
      </c>
      <c r="G328">
        <f>計算表!G328</f>
        <v>0.15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幸運晶片</v>
      </c>
      <c r="E329" t="str">
        <f>計算表!E329</f>
        <v>效果值 = a × 階級(T1~T7)</v>
      </c>
      <c r="F329" t="str">
        <f>計算表!F329</f>
        <v>節點=b。分解 v%/階 機率大豐收(碎片/金幣/精華×3)（掉寶類零件效果實際×0.5）。</v>
      </c>
      <c r="G329">
        <f>計算表!G329</f>
        <v>0.5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太古精華萃取器</v>
      </c>
      <c r="E330" t="str">
        <f>計算表!E330</f>
        <v>效果值 = a × 階級(T1~T7)</v>
      </c>
      <c r="F330" t="str">
        <f>計算表!F330</f>
        <v>節點=b。分解太古精華掉落率 +v%/階（掉寶類零件效果實際×0.5）。</v>
      </c>
      <c r="G330">
        <f>計算表!G330</f>
        <v>25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幸運核心</v>
      </c>
      <c r="E331" t="str">
        <f>計算表!E331</f>
        <v>效果值 = a × 階級(T1~T7)</v>
      </c>
      <c r="F331" t="str">
        <f>計算表!F331</f>
        <v>節點=b。合成大成功率 +v%/階（掉寶類零件效果實際×0.5）。</v>
      </c>
      <c r="G331">
        <f>計算表!G331</f>
        <v>8</v>
      </c>
      <c r="H331" t="str">
        <f>計算表!H331</f>
        <v>synth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重骰模組</v>
      </c>
      <c r="E332" t="str">
        <f>計算表!E332</f>
        <v>效果值 = a × 階級(T1~T7)</v>
      </c>
      <c r="F332" t="str">
        <f>計算表!F332</f>
        <v>節點=b。合成詞條重骰機率 +v%/階（掉寶類零件效果實際×0.5）。</v>
      </c>
      <c r="G332">
        <f>計算表!G332</f>
        <v>15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表-固定參數</v>
      </c>
      <c r="D333" t="str">
        <f>計算表!D333</f>
        <v>出怪間隔</v>
      </c>
      <c r="E333" t="str">
        <f>計算表!E333</f>
        <v>a 秒 × (1-移動速度%)</v>
      </c>
      <c r="F333" t="str">
        <f>計算表!F333</f>
        <v>RESPAWN_DELAY。</v>
      </c>
      <c r="G333">
        <f>計算表!G333</f>
        <v>0.8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死亡復活時間</v>
      </c>
      <c r="E334" t="str">
        <f>計算表!E334</f>
        <v>a 秒</v>
      </c>
      <c r="F334" t="str">
        <f>計算表!F334</f>
        <v>REVIVE_DELAY。</v>
      </c>
      <c r="G334">
        <f>計算表!G334</f>
        <v>3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零件階級上限</v>
      </c>
      <c r="E335" t="str">
        <f>計算表!E335</f>
        <v>T a</v>
      </c>
      <c r="F335" t="str">
        <f>計算表!F335</f>
        <v>PART_MAX_TIER。</v>
      </c>
      <c r="G335">
        <f>計算表!G335</f>
        <v>7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零件庫存保留</v>
      </c>
      <c r="E336" t="str">
        <f>計算表!E336</f>
        <v>每種未安裝最多保留 a 顆</v>
      </c>
      <c r="F336" t="str">
        <f>計算表!F336</f>
        <v>PART_KEEP_PER_KEY，多餘自動分解。</v>
      </c>
      <c r="G336">
        <f>計算表!G336</f>
        <v>10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合成節點槽位</v>
      </c>
      <c r="E337" t="str">
        <f>計算表!E337</f>
        <v>a 格</v>
      </c>
      <c r="F337" t="str">
        <f>計算表!F337</f>
        <v>分解槽為金幣解鎖 10~20 格。　※合成功能已停用，本列未生效。</v>
      </c>
      <c r="G337">
        <f>計算表!G337</f>
        <v>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寶石一般上限 / 神鑄上限</v>
      </c>
      <c r="E338" t="str">
        <f>計算表!E338</f>
        <v>一般 a 階；神鑄可到 b 階</v>
      </c>
      <c r="F338" t="str">
        <f>計算表!F338</f>
        <v>GEM_MAX_LEVEL / GEM_FORGE_MAX_LEVEL。</v>
      </c>
      <c r="G338">
        <f>計算表!G338</f>
        <v>5</v>
      </c>
      <c r="H338">
        <f>計算表!H338</f>
        <v>10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詞條數硬上限</v>
      </c>
      <c r="E339" t="str">
        <f>計算表!E339</f>
        <v>a 條</v>
      </c>
      <c r="F339" t="str">
        <f>計算表!F339</f>
        <v>MAX_AFFIXES = 單件裝備詞條數的安全硬上限；目前稀有度表最高 10 條。</v>
      </c>
      <c r="G339">
        <f>計算表!G339</f>
        <v>10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>
        <f>計算表!B340</f>
        <v>0</v>
      </c>
      <c r="C340" t="str">
        <f>計算表!C340</f>
        <v>表-稀有度</v>
      </c>
      <c r="D340" t="str">
        <f>計算表!D340</f>
        <v>混沌</v>
      </c>
      <c r="E340" t="str">
        <f>計算表!E340</f>
        <v>（查表）</v>
      </c>
      <c r="F340" t="str">
        <f>計算表!F340</f>
        <v>a=詞條數值倍率 b=詞條數下限 c=詞條數上限 d=寶石插槽 e=附魔欄位 f=分解係數；倍率與分解係數為暫定值，可調整。</v>
      </c>
      <c r="G340">
        <f>計算表!G340</f>
        <v>15.3</v>
      </c>
      <c r="H340">
        <f>計算表!H340</f>
        <v>9</v>
      </c>
      <c r="I340">
        <f>計算表!I340</f>
        <v>9</v>
      </c>
      <c r="J340">
        <f>計算表!J340</f>
        <v>6</v>
      </c>
      <c r="K340">
        <f>計算表!K340</f>
        <v>3</v>
      </c>
      <c r="L340">
        <f>計算表!L340</f>
        <v>67.5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神鑄混沌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22.95</v>
      </c>
      <c r="H341">
        <f>計算表!H341</f>
        <v>10</v>
      </c>
      <c r="I341">
        <f>計算表!I341</f>
        <v>10</v>
      </c>
      <c r="J341">
        <f>計算表!J341</f>
        <v>7</v>
      </c>
      <c r="K341">
        <f>計算表!K341</f>
        <v>3</v>
      </c>
      <c r="L341">
        <f>計算表!L341</f>
        <v>101.25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>
        <f>計算表!B342</f>
        <v>0</v>
      </c>
      <c r="C342" t="str">
        <f>計算表!C342</f>
        <v>6-神鑄</v>
      </c>
      <c r="D342" t="str">
        <f>計算表!D342</f>
        <v>裝備神鑄混沌基礎成功率</v>
      </c>
      <c r="E342" t="str">
        <f>計算表!E342</f>
        <v>混沌品質基礎成功率 a%</v>
      </c>
      <c r="F342" t="str">
        <f>計算表!F342</f>
        <v>6 件混沌裝備神鑄為神鑄混沌的基礎成功率。</v>
      </c>
      <c r="G342">
        <f>計算表!G342</f>
        <v>20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裝備神鑄混沌金幣</v>
      </c>
      <c r="E343" t="str">
        <f>計算表!E343</f>
        <v>混沌品質單次金幣消耗 a</v>
      </c>
      <c r="F343" t="str">
        <f>計算表!F343</f>
        <v>暫定 5 億，可自行調整。</v>
      </c>
      <c r="G343">
        <f>計算表!G343</f>
        <v>500000000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裝備神鑄混沌時間(秒)</v>
      </c>
      <c r="E344" t="str">
        <f>計算表!E344</f>
        <v>混沌品質神鑄時間 a 秒</v>
      </c>
      <c r="F344" t="str">
        <f>計算表!F344</f>
        <v>暫定 13 秒，可自行調整。</v>
      </c>
      <c r="G344">
        <f>計算表!G344</f>
        <v>13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>
        <f>計算表!B345</f>
        <v>0</v>
      </c>
      <c r="C345" t="str">
        <f>計算表!C345</f>
        <v>1-成長經驗</v>
      </c>
      <c r="D345" t="str">
        <f>計算表!D345</f>
        <v>技能熟練度經驗需求</v>
      </c>
      <c r="E345" t="str">
        <f>計算表!E345</f>
        <v>a×熟練度等級^b + c</v>
      </c>
      <c r="F345" t="str">
        <f>計算表!F345</f>
        <v>技能熟練度升 1 級所需經驗（沿用玩家升級公式未轉生版；L=目前熟練度等級）。</v>
      </c>
      <c r="G345">
        <f>計算表!G345</f>
        <v>30</v>
      </c>
      <c r="H345">
        <f>計算表!H345</f>
        <v>3</v>
      </c>
      <c r="I345">
        <f>計算表!I345</f>
        <v>20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</v>
      </c>
      <c r="E346" t="str">
        <f>計算表!E346</f>
        <v>上限 a 級；擊殺技能經驗 = 怪物經驗 × b%</v>
      </c>
      <c r="F346" t="str">
        <f>計算表!F346</f>
        <v>打怪（野外/高塔/離線）獲得技能經驗；每升 1 級 +1 技能點。初始 0 級。</v>
      </c>
      <c r="G346">
        <f>計算表!G346</f>
        <v>1000</v>
      </c>
      <c r="H346">
        <f>計算表!H346</f>
        <v>90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>
        <f>計算表!B347</f>
        <v>0</v>
      </c>
      <c r="C347" t="str">
        <f>計算表!C347</f>
        <v>9-融合</v>
      </c>
      <c r="D347" t="str">
        <f>計算表!D347</f>
        <v>融合花費</v>
      </c>
      <c r="E347" t="str">
        <f>計算表!E347</f>
        <v>金幣 a × 素材數；魔法卷軸 b 張 × 素材數</v>
      </c>
      <c r="F347" t="str">
        <f>計算表!F347</f>
        <v>執行技能融合的花費。</v>
      </c>
      <c r="G347">
        <f>計算表!G347</f>
        <v>50000</v>
      </c>
      <c r="H347">
        <f>計算表!H347</f>
        <v>5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物魔判定</v>
      </c>
      <c r="E348" t="str">
        <f>計算表!E348</f>
        <v>混合素材：物/魔依素材數比例分掉 (100-a)%，物+魔佔 a%；雙屬性每段攻擊係數 b</v>
      </c>
      <c r="F348" t="str">
        <f>計算表!F348</f>
        <v>2 物 2 魔時即 45/45/10。純物理/純魔法素材不擲骰；任一真傷素材→真傷。</v>
      </c>
      <c r="G348">
        <f>計算表!G348</f>
        <v>10</v>
      </c>
      <c r="H348">
        <f>計算表!H348</f>
        <v>0.65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攻擊力四檔</v>
      </c>
      <c r="E349" t="str">
        <f>計算表!E349</f>
        <v>素材滿級傷害% 平均 → ×a/b/c/d%，機率 e/f/g/h%</v>
      </c>
      <c r="F349" t="str">
        <f>計算表!F349</f>
        <v>融合技攻擊力四檔位與機率。</v>
      </c>
      <c r="G349">
        <f>計算表!G349</f>
        <v>75</v>
      </c>
      <c r="H349">
        <f>計算表!H349</f>
        <v>100</v>
      </c>
      <c r="I349">
        <f>計算表!I349</f>
        <v>125</v>
      </c>
      <c r="J349">
        <f>計算表!J349</f>
        <v>150</v>
      </c>
      <c r="K349">
        <f>計算表!K349</f>
        <v>20</v>
      </c>
      <c r="L349">
        <f>計算表!L349</f>
        <v>30</v>
      </c>
      <c r="M349">
        <f>計算表!M349</f>
        <v>30</v>
      </c>
      <c r="N349">
        <f>計算表!N349</f>
        <v>20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同屬性加成</v>
      </c>
      <c r="E350" t="str">
        <f>計算表!E350</f>
        <v>素材中同屬性每多 1 個，該屬性最終傷害 +a%</v>
      </c>
      <c r="F350" t="str">
        <f>計算表!F350</f>
        <v>等價折入 elems 權重與總傷害值（戰鬥端零改動）。物理視為一種屬性、每個物理素材佔 2 份。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效果融合機率</v>
      </c>
      <c r="E351" t="str">
        <f>計算表!E351</f>
        <v>a%</v>
      </c>
      <c r="F351" t="str">
        <f>計算表!F351</f>
        <v>特效正常取 1 個素材的特效包；a% 機率再併入第 2 個素材的特效包（最多 2 個）。</v>
      </c>
      <c r="G351">
        <f>計算表!G351</f>
        <v>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成長曲線</v>
      </c>
      <c r="E352" t="str">
        <f>計算表!E352</f>
        <v>Lv.1 = 滿級值 × a，線性成長至滿級（10 級基準）</v>
      </c>
      <c r="F352" t="str">
        <f>計算表!F352</f>
        <v>融合技所有隨機結果值為滿級值；轉生上限 15 時可超過滿級值（與一般技能同理）。</v>
      </c>
      <c r="G352">
        <f>計算表!G352</f>
        <v>0.6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>
        <f>計算表!B353</f>
        <v>0</v>
      </c>
      <c r="C353" t="str">
        <f>計算表!C353</f>
        <v>6-分解精華機率</v>
      </c>
      <c r="D353" t="str">
        <f>計算表!D353</f>
        <v>魔法卷軸換算</v>
      </c>
      <c r="E353" t="str">
        <f>計算表!E353</f>
        <v>魔法卷軸 = 附魔精華實得量 × a（機率式進位）</v>
      </c>
      <c r="F353" t="str">
        <f>計算表!F353</f>
        <v>拆解裝備與高塔通關皆適用；期望值 = 精華量 × a。</v>
      </c>
      <c r="G353">
        <f>計算表!G353</f>
        <v>0.1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3"/>
  <sheetViews>
    <sheetView tabSelected="1" topLeftCell="A75" workbookViewId="0">
      <selection activeCell="K98" sqref="K98"/>
    </sheetView>
  </sheetViews>
  <sheetFormatPr defaultRowHeight="15" x14ac:dyDescent="0.25"/>
  <cols>
    <col min="3" max="3" width="21.140625" customWidth="1"/>
    <col min="4" max="4" width="30" customWidth="1"/>
    <col min="5" max="5" width="36.28515625" customWidth="1"/>
    <col min="6" max="6" width="35.5703125" customWidth="1"/>
    <col min="7" max="13" width="1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>A29+1</f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.75" x14ac:dyDescent="0.25">
      <c r="A43">
        <f t="shared" si="0"/>
        <v>42</v>
      </c>
      <c r="B43">
        <v>0</v>
      </c>
      <c r="C43" t="s">
        <v>103</v>
      </c>
      <c r="D43" t="s">
        <v>145</v>
      </c>
      <c r="E43" s="1" t="s">
        <v>1055</v>
      </c>
      <c r="F43" s="2" t="s">
        <v>1056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146</v>
      </c>
      <c r="E44" t="s">
        <v>147</v>
      </c>
      <c r="F44" t="s">
        <v>148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149</v>
      </c>
      <c r="D45" t="s">
        <v>150</v>
      </c>
      <c r="E45" t="s">
        <v>151</v>
      </c>
      <c r="F45" t="s">
        <v>152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149</v>
      </c>
      <c r="D46" t="s">
        <v>153</v>
      </c>
      <c r="E46" t="s">
        <v>151</v>
      </c>
      <c r="F46" t="s">
        <v>154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149</v>
      </c>
      <c r="D47" t="s">
        <v>155</v>
      </c>
      <c r="E47" t="s">
        <v>151</v>
      </c>
      <c r="F47" t="s">
        <v>156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149</v>
      </c>
      <c r="D48" t="s">
        <v>157</v>
      </c>
      <c r="E48" t="s">
        <v>151</v>
      </c>
      <c r="F48" t="s">
        <v>158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149</v>
      </c>
      <c r="D49" t="s">
        <v>159</v>
      </c>
      <c r="E49" t="s">
        <v>151</v>
      </c>
      <c r="F49" t="s">
        <v>160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149</v>
      </c>
      <c r="D50" t="s">
        <v>161</v>
      </c>
      <c r="E50" t="s">
        <v>151</v>
      </c>
      <c r="F50" t="s">
        <v>162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149</v>
      </c>
      <c r="D51" t="s">
        <v>163</v>
      </c>
      <c r="E51" t="s">
        <v>151</v>
      </c>
      <c r="F51" t="s">
        <v>164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149</v>
      </c>
      <c r="D52" t="s">
        <v>165</v>
      </c>
      <c r="E52" t="s">
        <v>151</v>
      </c>
      <c r="F52" t="s">
        <v>166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149</v>
      </c>
      <c r="D53" t="s">
        <v>167</v>
      </c>
      <c r="E53" t="s">
        <v>151</v>
      </c>
      <c r="F53" t="s">
        <v>168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149</v>
      </c>
      <c r="D54" t="s">
        <v>169</v>
      </c>
      <c r="E54" t="s">
        <v>151</v>
      </c>
      <c r="F54" t="s">
        <v>170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149</v>
      </c>
      <c r="D55" t="s">
        <v>171</v>
      </c>
      <c r="E55" t="s">
        <v>151</v>
      </c>
      <c r="F55" t="s">
        <v>172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149</v>
      </c>
      <c r="D56" t="s">
        <v>173</v>
      </c>
      <c r="E56" t="s">
        <v>151</v>
      </c>
      <c r="F56" t="s">
        <v>174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149</v>
      </c>
      <c r="D57" t="s">
        <v>175</v>
      </c>
      <c r="E57" t="s">
        <v>151</v>
      </c>
      <c r="F57" t="s">
        <v>176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149</v>
      </c>
      <c r="D58" t="s">
        <v>177</v>
      </c>
      <c r="E58" t="s">
        <v>151</v>
      </c>
      <c r="F58" t="s">
        <v>178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149</v>
      </c>
      <c r="D59" t="s">
        <v>179</v>
      </c>
      <c r="E59" t="s">
        <v>151</v>
      </c>
      <c r="F59" t="s">
        <v>180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149</v>
      </c>
      <c r="D60" t="s">
        <v>181</v>
      </c>
      <c r="E60" t="s">
        <v>151</v>
      </c>
      <c r="F60" t="s">
        <v>182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149</v>
      </c>
      <c r="D61" t="s">
        <v>183</v>
      </c>
      <c r="E61" t="s">
        <v>151</v>
      </c>
      <c r="F61" t="s">
        <v>184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149</v>
      </c>
      <c r="D62" t="s">
        <v>185</v>
      </c>
      <c r="E62" t="s">
        <v>151</v>
      </c>
      <c r="F62" t="s">
        <v>186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149</v>
      </c>
      <c r="D63" t="s">
        <v>187</v>
      </c>
      <c r="E63" t="s">
        <v>151</v>
      </c>
      <c r="F63" t="s">
        <v>188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149</v>
      </c>
      <c r="D64" t="s">
        <v>189</v>
      </c>
      <c r="E64" t="s">
        <v>151</v>
      </c>
      <c r="F64" t="s">
        <v>190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191</v>
      </c>
      <c r="D65" t="s">
        <v>192</v>
      </c>
      <c r="E65" t="s">
        <v>193</v>
      </c>
      <c r="F65" t="s">
        <v>194</v>
      </c>
      <c r="G65">
        <v>60</v>
      </c>
      <c r="H65">
        <v>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191</v>
      </c>
      <c r="D66" t="s">
        <v>195</v>
      </c>
      <c r="E66" t="s">
        <v>196</v>
      </c>
      <c r="F66" t="s">
        <v>197</v>
      </c>
      <c r="G66">
        <v>100</v>
      </c>
      <c r="H66">
        <v>0.25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191</v>
      </c>
      <c r="D67" t="s">
        <v>198</v>
      </c>
      <c r="E67" t="s">
        <v>199</v>
      </c>
      <c r="F67" t="s">
        <v>200</v>
      </c>
      <c r="G67">
        <v>1.8</v>
      </c>
      <c r="H67">
        <v>10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191</v>
      </c>
      <c r="D68" t="s">
        <v>201</v>
      </c>
      <c r="E68" t="s">
        <v>199</v>
      </c>
      <c r="F68" t="s">
        <v>200</v>
      </c>
      <c r="G68">
        <v>1.8</v>
      </c>
      <c r="H68">
        <v>10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191</v>
      </c>
      <c r="D69" t="s">
        <v>202</v>
      </c>
      <c r="E69" t="s">
        <v>199</v>
      </c>
      <c r="F69" t="s">
        <v>203</v>
      </c>
      <c r="G69">
        <v>1.8</v>
      </c>
      <c r="H69">
        <v>10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191</v>
      </c>
      <c r="D70" t="s">
        <v>204</v>
      </c>
      <c r="E70" t="s">
        <v>205</v>
      </c>
      <c r="F70" t="s">
        <v>206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191</v>
      </c>
      <c r="D71" t="s">
        <v>207</v>
      </c>
      <c r="E71" t="s">
        <v>208</v>
      </c>
      <c r="F71" t="s">
        <v>209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191</v>
      </c>
      <c r="D72" t="s">
        <v>210</v>
      </c>
      <c r="E72" t="s">
        <v>211</v>
      </c>
      <c r="F72" t="s">
        <v>212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191</v>
      </c>
      <c r="D73" t="s">
        <v>213</v>
      </c>
      <c r="E73" t="s">
        <v>214</v>
      </c>
      <c r="F73" t="s">
        <v>215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191</v>
      </c>
      <c r="D74" s="4" t="s">
        <v>1080</v>
      </c>
      <c r="E74" t="s">
        <v>216</v>
      </c>
      <c r="F74" s="4" t="s">
        <v>1081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191</v>
      </c>
      <c r="D75" t="s">
        <v>217</v>
      </c>
      <c r="E75" t="s">
        <v>218</v>
      </c>
      <c r="F75" t="s">
        <v>219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191</v>
      </c>
      <c r="D76" t="s">
        <v>220</v>
      </c>
      <c r="E76" t="s">
        <v>221</v>
      </c>
      <c r="F76" t="s">
        <v>222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191</v>
      </c>
      <c r="D77" t="s">
        <v>223</v>
      </c>
      <c r="E77" t="s">
        <v>216</v>
      </c>
      <c r="F77" t="s">
        <v>224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191</v>
      </c>
      <c r="D78" t="s">
        <v>225</v>
      </c>
      <c r="E78" t="s">
        <v>226</v>
      </c>
      <c r="F78" t="s">
        <v>227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191</v>
      </c>
      <c r="D79" t="s">
        <v>228</v>
      </c>
      <c r="E79" t="s">
        <v>229</v>
      </c>
      <c r="F79" t="s">
        <v>230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191</v>
      </c>
      <c r="D80" t="s">
        <v>231</v>
      </c>
      <c r="E80" t="s">
        <v>232</v>
      </c>
      <c r="F80" t="s">
        <v>233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191</v>
      </c>
      <c r="D81" t="s">
        <v>234</v>
      </c>
      <c r="E81" t="s">
        <v>235</v>
      </c>
      <c r="F81" t="s">
        <v>236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191</v>
      </c>
      <c r="D82" t="s">
        <v>237</v>
      </c>
      <c r="E82" t="s">
        <v>238</v>
      </c>
      <c r="F82" t="s">
        <v>239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240</v>
      </c>
      <c r="D83" t="s">
        <v>241</v>
      </c>
      <c r="E83" t="s">
        <v>242</v>
      </c>
      <c r="F83" t="s">
        <v>243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240</v>
      </c>
      <c r="D84" t="s">
        <v>244</v>
      </c>
      <c r="E84" t="s">
        <v>242</v>
      </c>
      <c r="F84" t="s">
        <v>245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240</v>
      </c>
      <c r="D85" t="s">
        <v>246</v>
      </c>
      <c r="E85" t="s">
        <v>242</v>
      </c>
      <c r="F85" t="s">
        <v>247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240</v>
      </c>
      <c r="D86" t="s">
        <v>248</v>
      </c>
      <c r="E86" t="s">
        <v>242</v>
      </c>
      <c r="F86" t="s">
        <v>249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240</v>
      </c>
      <c r="D87" t="s">
        <v>250</v>
      </c>
      <c r="E87" t="s">
        <v>242</v>
      </c>
      <c r="F87" t="s">
        <v>251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252</v>
      </c>
      <c r="D88" t="s">
        <v>253</v>
      </c>
      <c r="E88" t="s">
        <v>254</v>
      </c>
      <c r="F88" t="s">
        <v>255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252</v>
      </c>
      <c r="D89" t="s">
        <v>256</v>
      </c>
      <c r="E89" t="s">
        <v>254</v>
      </c>
      <c r="F89" t="s">
        <v>255</v>
      </c>
      <c r="G89">
        <v>2</v>
      </c>
      <c r="H89">
        <v>3.5</v>
      </c>
      <c r="I89">
        <v>1.0549999999999999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252</v>
      </c>
      <c r="D90" t="s">
        <v>119</v>
      </c>
      <c r="E90" t="s">
        <v>254</v>
      </c>
      <c r="F90" t="s">
        <v>257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252</v>
      </c>
      <c r="D91" t="s">
        <v>258</v>
      </c>
      <c r="E91" t="s">
        <v>254</v>
      </c>
      <c r="F91" t="s">
        <v>255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252</v>
      </c>
      <c r="D92" t="s">
        <v>259</v>
      </c>
      <c r="E92" t="s">
        <v>254</v>
      </c>
      <c r="F92" t="s">
        <v>255</v>
      </c>
      <c r="G92">
        <v>60</v>
      </c>
      <c r="H92">
        <v>1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252</v>
      </c>
      <c r="D93" t="s">
        <v>134</v>
      </c>
      <c r="E93" t="s">
        <v>260</v>
      </c>
      <c r="F93" t="s">
        <v>261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252</v>
      </c>
      <c r="D94" t="s">
        <v>137</v>
      </c>
      <c r="E94" t="s">
        <v>262</v>
      </c>
      <c r="F94" t="s">
        <v>263</v>
      </c>
      <c r="G94">
        <v>100</v>
      </c>
      <c r="H94" t="s">
        <v>264</v>
      </c>
      <c r="I94" t="s">
        <v>265</v>
      </c>
      <c r="J94" t="s">
        <v>266</v>
      </c>
      <c r="K94" t="s">
        <v>267</v>
      </c>
      <c r="L94" t="s">
        <v>268</v>
      </c>
      <c r="M94" t="s">
        <v>269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252</v>
      </c>
      <c r="D95" t="s">
        <v>140</v>
      </c>
      <c r="E95" t="s">
        <v>262</v>
      </c>
      <c r="F95" t="s">
        <v>270</v>
      </c>
      <c r="G95">
        <v>5</v>
      </c>
      <c r="H95" t="s">
        <v>264</v>
      </c>
      <c r="I95" t="s">
        <v>271</v>
      </c>
      <c r="J95" t="s">
        <v>272</v>
      </c>
      <c r="K95" t="s">
        <v>273</v>
      </c>
      <c r="L95" t="s">
        <v>274</v>
      </c>
      <c r="M95" t="s">
        <v>275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252</v>
      </c>
      <c r="D96" t="s">
        <v>276</v>
      </c>
      <c r="E96" t="s">
        <v>277</v>
      </c>
      <c r="F96" t="s">
        <v>278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252</v>
      </c>
      <c r="D97" t="s">
        <v>279</v>
      </c>
      <c r="E97" t="s">
        <v>280</v>
      </c>
      <c r="F97" t="s">
        <v>281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282</v>
      </c>
      <c r="D98" t="s">
        <v>283</v>
      </c>
      <c r="E98" t="s">
        <v>284</v>
      </c>
      <c r="F98" t="s">
        <v>285</v>
      </c>
      <c r="G98">
        <v>0.75</v>
      </c>
      <c r="H98">
        <v>0.75</v>
      </c>
      <c r="I98">
        <v>0.75</v>
      </c>
      <c r="J98">
        <v>0.75</v>
      </c>
      <c r="K98">
        <v>0.75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282</v>
      </c>
      <c r="D99" t="s">
        <v>286</v>
      </c>
      <c r="E99" t="s">
        <v>284</v>
      </c>
      <c r="F99" t="s">
        <v>285</v>
      </c>
      <c r="G99">
        <v>2</v>
      </c>
      <c r="H99">
        <v>1.5</v>
      </c>
      <c r="I99">
        <v>1.5</v>
      </c>
      <c r="J99">
        <v>1.25</v>
      </c>
      <c r="K99">
        <v>1.2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282</v>
      </c>
      <c r="D100" t="s">
        <v>287</v>
      </c>
      <c r="E100" t="s">
        <v>284</v>
      </c>
      <c r="F100" t="s">
        <v>285</v>
      </c>
      <c r="G100">
        <v>4.5</v>
      </c>
      <c r="H100">
        <v>3</v>
      </c>
      <c r="I100">
        <v>2.8</v>
      </c>
      <c r="J100">
        <v>1.5</v>
      </c>
      <c r="K100">
        <v>2.2000000000000002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282</v>
      </c>
      <c r="D101" t="s">
        <v>288</v>
      </c>
      <c r="E101" t="s">
        <v>284</v>
      </c>
      <c r="F101" t="s">
        <v>285</v>
      </c>
      <c r="G101">
        <v>10</v>
      </c>
      <c r="H101">
        <v>5</v>
      </c>
      <c r="I101">
        <v>4</v>
      </c>
      <c r="J101">
        <v>1.75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282</v>
      </c>
      <c r="D102" t="s">
        <v>289</v>
      </c>
      <c r="E102" t="s">
        <v>284</v>
      </c>
      <c r="F102" t="s">
        <v>285</v>
      </c>
      <c r="G102">
        <v>25</v>
      </c>
      <c r="H102">
        <v>10</v>
      </c>
      <c r="I102">
        <v>8</v>
      </c>
      <c r="J102">
        <v>2</v>
      </c>
      <c r="K102">
        <v>12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282</v>
      </c>
      <c r="D103" t="s">
        <v>290</v>
      </c>
      <c r="E103" t="s">
        <v>284</v>
      </c>
      <c r="F103" t="s">
        <v>285</v>
      </c>
      <c r="G103">
        <v>60</v>
      </c>
      <c r="H103">
        <v>20</v>
      </c>
      <c r="I103">
        <v>15</v>
      </c>
      <c r="J103">
        <v>2.25</v>
      </c>
      <c r="K103">
        <v>25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.75" x14ac:dyDescent="0.25">
      <c r="A104">
        <f t="shared" si="1"/>
        <v>103</v>
      </c>
      <c r="B104" s="3" t="s">
        <v>1053</v>
      </c>
      <c r="C104" t="s">
        <v>291</v>
      </c>
      <c r="D104" s="1" t="s">
        <v>1048</v>
      </c>
      <c r="E104" t="s">
        <v>293</v>
      </c>
      <c r="F104" t="s">
        <v>294</v>
      </c>
      <c r="G104" s="2" t="s">
        <v>1065</v>
      </c>
      <c r="H104" t="s">
        <v>310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.75" x14ac:dyDescent="0.25">
      <c r="A105">
        <f t="shared" si="1"/>
        <v>104</v>
      </c>
      <c r="B105" s="3" t="s">
        <v>1053</v>
      </c>
      <c r="C105" t="s">
        <v>291</v>
      </c>
      <c r="D105" s="1" t="s">
        <v>1049</v>
      </c>
      <c r="E105" t="s">
        <v>293</v>
      </c>
      <c r="F105" t="s">
        <v>294</v>
      </c>
      <c r="G105" s="2" t="s">
        <v>1066</v>
      </c>
      <c r="H105" s="2" t="s">
        <v>310</v>
      </c>
      <c r="I105" t="s">
        <v>1067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.75" x14ac:dyDescent="0.25">
      <c r="A106">
        <f t="shared" si="1"/>
        <v>105</v>
      </c>
      <c r="B106" s="3" t="s">
        <v>1053</v>
      </c>
      <c r="C106" t="s">
        <v>291</v>
      </c>
      <c r="D106" s="1" t="s">
        <v>1050</v>
      </c>
      <c r="E106" t="s">
        <v>293</v>
      </c>
      <c r="F106" t="s">
        <v>294</v>
      </c>
      <c r="G106" s="2" t="s">
        <v>1068</v>
      </c>
      <c r="H106" s="2" t="s">
        <v>1069</v>
      </c>
      <c r="I106" s="2" t="s">
        <v>1070</v>
      </c>
      <c r="J106" t="s">
        <v>1071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.75" x14ac:dyDescent="0.25">
      <c r="A107">
        <f t="shared" si="1"/>
        <v>106</v>
      </c>
      <c r="B107" s="3" t="s">
        <v>1053</v>
      </c>
      <c r="C107" t="s">
        <v>291</v>
      </c>
      <c r="D107" s="1" t="s">
        <v>1051</v>
      </c>
      <c r="E107" t="s">
        <v>293</v>
      </c>
      <c r="F107" t="s">
        <v>294</v>
      </c>
      <c r="G107" s="2" t="s">
        <v>1072</v>
      </c>
      <c r="H107" s="2" t="s">
        <v>1073</v>
      </c>
      <c r="I107" s="2" t="s">
        <v>1074</v>
      </c>
      <c r="J107" s="2" t="s">
        <v>1075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 s="3" t="s">
        <v>1053</v>
      </c>
      <c r="C108" t="s">
        <v>291</v>
      </c>
      <c r="D108" s="1" t="s">
        <v>1052</v>
      </c>
      <c r="E108" t="s">
        <v>293</v>
      </c>
      <c r="F108" t="s">
        <v>294</v>
      </c>
      <c r="G108" s="2" t="s">
        <v>1076</v>
      </c>
      <c r="H108" s="2" t="s">
        <v>1077</v>
      </c>
      <c r="I108" s="2" t="s">
        <v>297</v>
      </c>
      <c r="J108" s="2" t="s">
        <v>1078</v>
      </c>
      <c r="K108" s="2" t="s">
        <v>1079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291</v>
      </c>
      <c r="D109" t="s">
        <v>292</v>
      </c>
      <c r="E109" t="s">
        <v>293</v>
      </c>
      <c r="F109" t="s">
        <v>294</v>
      </c>
      <c r="G109" t="s">
        <v>295</v>
      </c>
      <c r="H109" t="s">
        <v>296</v>
      </c>
      <c r="I109" t="s">
        <v>297</v>
      </c>
      <c r="J109" t="s">
        <v>298</v>
      </c>
      <c r="K109" t="s">
        <v>299</v>
      </c>
      <c r="L109" t="s">
        <v>300</v>
      </c>
      <c r="M109" t="s">
        <v>301</v>
      </c>
      <c r="N109" t="s">
        <v>302</v>
      </c>
      <c r="O109" t="s">
        <v>303</v>
      </c>
      <c r="P109" t="s">
        <v>304</v>
      </c>
      <c r="Q109" t="s">
        <v>305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291</v>
      </c>
      <c r="D110" t="s">
        <v>306</v>
      </c>
      <c r="E110" t="s">
        <v>293</v>
      </c>
      <c r="F110" t="s">
        <v>307</v>
      </c>
      <c r="G110" t="s">
        <v>308</v>
      </c>
      <c r="H110" t="s">
        <v>309</v>
      </c>
      <c r="I110" t="s">
        <v>310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291</v>
      </c>
      <c r="D111" t="s">
        <v>311</v>
      </c>
      <c r="E111" t="s">
        <v>293</v>
      </c>
      <c r="F111" t="s">
        <v>312</v>
      </c>
      <c r="G111" t="s">
        <v>313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314</v>
      </c>
      <c r="D112" t="s">
        <v>315</v>
      </c>
      <c r="E112" t="s">
        <v>316</v>
      </c>
      <c r="F112" t="s">
        <v>317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314</v>
      </c>
      <c r="D113" t="s">
        <v>318</v>
      </c>
      <c r="E113" t="s">
        <v>319</v>
      </c>
      <c r="F113" t="s">
        <v>320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314</v>
      </c>
      <c r="D114" t="s">
        <v>321</v>
      </c>
      <c r="E114" t="s">
        <v>322</v>
      </c>
      <c r="F114" t="s">
        <v>323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324</v>
      </c>
      <c r="D115" t="s">
        <v>325</v>
      </c>
      <c r="E115" t="s">
        <v>326</v>
      </c>
      <c r="F115" t="s">
        <v>327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324</v>
      </c>
      <c r="D116" t="s">
        <v>328</v>
      </c>
      <c r="E116" t="s">
        <v>329</v>
      </c>
      <c r="F116" t="s">
        <v>330</v>
      </c>
      <c r="G116">
        <v>20</v>
      </c>
      <c r="H116">
        <v>6</v>
      </c>
      <c r="I116">
        <v>4</v>
      </c>
      <c r="J116">
        <v>12</v>
      </c>
      <c r="K116">
        <v>5</v>
      </c>
      <c r="L116">
        <v>1.2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324</v>
      </c>
      <c r="D117" t="s">
        <v>331</v>
      </c>
      <c r="E117" t="s">
        <v>280</v>
      </c>
      <c r="F117" t="s">
        <v>332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282</v>
      </c>
      <c r="D118" t="s">
        <v>283</v>
      </c>
      <c r="E118" t="s">
        <v>39</v>
      </c>
      <c r="F118" t="s">
        <v>333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334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282</v>
      </c>
      <c r="D119" t="s">
        <v>286</v>
      </c>
      <c r="E119" t="s">
        <v>39</v>
      </c>
      <c r="F119" t="s">
        <v>333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335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282</v>
      </c>
      <c r="D120" t="s">
        <v>287</v>
      </c>
      <c r="E120" t="s">
        <v>39</v>
      </c>
      <c r="F120" t="s">
        <v>333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336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337</v>
      </c>
      <c r="D121" t="s">
        <v>338</v>
      </c>
      <c r="E121" t="s">
        <v>339</v>
      </c>
      <c r="F121" t="s">
        <v>340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337</v>
      </c>
      <c r="D122" t="s">
        <v>341</v>
      </c>
      <c r="E122" t="s">
        <v>342</v>
      </c>
      <c r="F122" t="s">
        <v>343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337</v>
      </c>
      <c r="D123" t="s">
        <v>137</v>
      </c>
      <c r="E123" t="s">
        <v>344</v>
      </c>
      <c r="F123" t="s">
        <v>345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337</v>
      </c>
      <c r="D124" t="s">
        <v>346</v>
      </c>
      <c r="E124" t="s">
        <v>347</v>
      </c>
      <c r="F124" t="s">
        <v>348</v>
      </c>
      <c r="G124" t="s">
        <v>349</v>
      </c>
      <c r="H124" t="s">
        <v>350</v>
      </c>
      <c r="I124" t="s">
        <v>351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337</v>
      </c>
      <c r="D125" t="s">
        <v>253</v>
      </c>
      <c r="E125" t="s">
        <v>352</v>
      </c>
      <c r="F125" t="s">
        <v>353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337</v>
      </c>
      <c r="D126" t="s">
        <v>256</v>
      </c>
      <c r="E126" t="s">
        <v>354</v>
      </c>
      <c r="F126" t="s">
        <v>355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337</v>
      </c>
      <c r="D127" t="s">
        <v>356</v>
      </c>
      <c r="E127" t="s">
        <v>357</v>
      </c>
      <c r="F127" t="s">
        <v>358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337</v>
      </c>
      <c r="D128" t="s">
        <v>359</v>
      </c>
      <c r="E128" t="s">
        <v>360</v>
      </c>
      <c r="F128" t="s">
        <v>361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337</v>
      </c>
      <c r="D129" t="s">
        <v>140</v>
      </c>
      <c r="E129" t="s">
        <v>362</v>
      </c>
      <c r="F129" t="s">
        <v>363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337</v>
      </c>
      <c r="D130" t="s">
        <v>364</v>
      </c>
      <c r="E130" t="s">
        <v>365</v>
      </c>
      <c r="F130" t="s">
        <v>366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337</v>
      </c>
      <c r="D131" t="s">
        <v>259</v>
      </c>
      <c r="E131" t="s">
        <v>367</v>
      </c>
      <c r="F131" t="s">
        <v>368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337</v>
      </c>
      <c r="D132" t="s">
        <v>369</v>
      </c>
      <c r="E132" t="s">
        <v>370</v>
      </c>
      <c r="F132" t="s">
        <v>371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337</v>
      </c>
      <c r="D133" t="s">
        <v>372</v>
      </c>
      <c r="E133" t="s">
        <v>373</v>
      </c>
      <c r="F133" t="s">
        <v>374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337</v>
      </c>
      <c r="D134" t="s">
        <v>375</v>
      </c>
      <c r="E134" t="s">
        <v>373</v>
      </c>
      <c r="F134" t="s">
        <v>376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337</v>
      </c>
      <c r="D135" t="s">
        <v>377</v>
      </c>
      <c r="E135" t="s">
        <v>378</v>
      </c>
      <c r="F135" t="s">
        <v>379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337</v>
      </c>
      <c r="D136" t="s">
        <v>380</v>
      </c>
      <c r="E136" t="s">
        <v>381</v>
      </c>
      <c r="F136" t="s">
        <v>382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337</v>
      </c>
      <c r="D137" t="s">
        <v>383</v>
      </c>
      <c r="E137" t="s">
        <v>384</v>
      </c>
      <c r="F137" t="s">
        <v>385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337</v>
      </c>
      <c r="D138" t="s">
        <v>386</v>
      </c>
      <c r="E138" t="s">
        <v>387</v>
      </c>
      <c r="F138" t="s">
        <v>376</v>
      </c>
      <c r="G138" t="s">
        <v>388</v>
      </c>
      <c r="H138" t="s">
        <v>389</v>
      </c>
      <c r="I138" t="s">
        <v>390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391</v>
      </c>
      <c r="D139" t="s">
        <v>392</v>
      </c>
      <c r="E139" t="s">
        <v>393</v>
      </c>
      <c r="F139" t="s">
        <v>394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391</v>
      </c>
      <c r="D140" t="s">
        <v>395</v>
      </c>
      <c r="E140" t="s">
        <v>396</v>
      </c>
      <c r="F140" t="s">
        <v>397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391</v>
      </c>
      <c r="D141" t="s">
        <v>398</v>
      </c>
      <c r="E141" t="s">
        <v>399</v>
      </c>
      <c r="F141" t="s">
        <v>400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401</v>
      </c>
      <c r="D142" t="s">
        <v>402</v>
      </c>
      <c r="E142" t="s">
        <v>403</v>
      </c>
      <c r="F142" t="s">
        <v>404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401</v>
      </c>
      <c r="D143" t="s">
        <v>405</v>
      </c>
      <c r="E143" t="s">
        <v>406</v>
      </c>
      <c r="F143" t="s">
        <v>407</v>
      </c>
      <c r="G143">
        <v>55</v>
      </c>
      <c r="H143" t="s">
        <v>408</v>
      </c>
      <c r="I143" t="s">
        <v>409</v>
      </c>
      <c r="J143" t="s">
        <v>334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401</v>
      </c>
      <c r="D144" t="s">
        <v>410</v>
      </c>
      <c r="E144" t="s">
        <v>406</v>
      </c>
      <c r="F144" t="s">
        <v>407</v>
      </c>
      <c r="G144">
        <v>25</v>
      </c>
      <c r="H144" t="s">
        <v>408</v>
      </c>
      <c r="I144">
        <v>2</v>
      </c>
      <c r="J144" t="s">
        <v>334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401</v>
      </c>
      <c r="D145" t="s">
        <v>411</v>
      </c>
      <c r="E145" t="s">
        <v>406</v>
      </c>
      <c r="F145" t="s">
        <v>407</v>
      </c>
      <c r="G145">
        <v>12</v>
      </c>
      <c r="H145" t="s">
        <v>408</v>
      </c>
      <c r="I145">
        <v>2.5</v>
      </c>
      <c r="J145" t="s">
        <v>334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401</v>
      </c>
      <c r="D146" t="s">
        <v>412</v>
      </c>
      <c r="E146" t="s">
        <v>406</v>
      </c>
      <c r="F146" t="s">
        <v>407</v>
      </c>
      <c r="G146">
        <v>5.5</v>
      </c>
      <c r="H146" t="s">
        <v>408</v>
      </c>
      <c r="I146">
        <v>3</v>
      </c>
      <c r="J146" t="s">
        <v>334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401</v>
      </c>
      <c r="D147" t="s">
        <v>413</v>
      </c>
      <c r="E147" t="s">
        <v>406</v>
      </c>
      <c r="F147" t="s">
        <v>407</v>
      </c>
      <c r="G147">
        <v>1.8</v>
      </c>
      <c r="H147" t="s">
        <v>408</v>
      </c>
      <c r="I147">
        <v>3.5</v>
      </c>
      <c r="J147" t="s">
        <v>414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401</v>
      </c>
      <c r="D148" t="s">
        <v>415</v>
      </c>
      <c r="E148" t="s">
        <v>406</v>
      </c>
      <c r="F148" t="s">
        <v>407</v>
      </c>
      <c r="G148">
        <v>0.35</v>
      </c>
      <c r="H148" t="s">
        <v>408</v>
      </c>
      <c r="I148">
        <v>4</v>
      </c>
      <c r="J148" t="s">
        <v>416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401</v>
      </c>
      <c r="D149" t="s">
        <v>417</v>
      </c>
      <c r="E149" t="s">
        <v>406</v>
      </c>
      <c r="F149" t="s">
        <v>407</v>
      </c>
      <c r="G149">
        <v>0.08</v>
      </c>
      <c r="H149" t="s">
        <v>408</v>
      </c>
      <c r="I149">
        <v>4.5</v>
      </c>
      <c r="J149" t="s">
        <v>418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401</v>
      </c>
      <c r="D150" t="s">
        <v>419</v>
      </c>
      <c r="E150" t="s">
        <v>406</v>
      </c>
      <c r="F150" t="s">
        <v>407</v>
      </c>
      <c r="G150">
        <v>1.4999999999999999E-2</v>
      </c>
      <c r="H150" t="s">
        <v>408</v>
      </c>
      <c r="I150">
        <v>5</v>
      </c>
      <c r="J150" t="s">
        <v>420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421</v>
      </c>
      <c r="D151" t="s">
        <v>422</v>
      </c>
      <c r="E151" t="s">
        <v>423</v>
      </c>
      <c r="F151" t="s">
        <v>424</v>
      </c>
      <c r="G151" s="2" t="s">
        <v>1058</v>
      </c>
      <c r="H151" s="2" t="s">
        <v>1059</v>
      </c>
      <c r="I151" t="s">
        <v>425</v>
      </c>
      <c r="J151" t="s">
        <v>426</v>
      </c>
      <c r="K151" t="s">
        <v>427</v>
      </c>
      <c r="L151" t="s">
        <v>428</v>
      </c>
      <c r="M151" t="s">
        <v>429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421</v>
      </c>
      <c r="D152" t="s">
        <v>430</v>
      </c>
      <c r="E152" t="s">
        <v>423</v>
      </c>
      <c r="F152" t="s">
        <v>424</v>
      </c>
      <c r="G152" s="2" t="s">
        <v>1061</v>
      </c>
      <c r="H152" s="2" t="s">
        <v>1060</v>
      </c>
      <c r="I152" t="s">
        <v>431</v>
      </c>
      <c r="J152" t="s">
        <v>432</v>
      </c>
      <c r="K152" t="s">
        <v>433</v>
      </c>
      <c r="L152" t="s">
        <v>434</v>
      </c>
      <c r="M152" t="s">
        <v>435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421</v>
      </c>
      <c r="D153" t="s">
        <v>436</v>
      </c>
      <c r="E153" t="s">
        <v>423</v>
      </c>
      <c r="F153" t="s">
        <v>424</v>
      </c>
      <c r="G153" s="2" t="s">
        <v>1062</v>
      </c>
      <c r="H153" s="2" t="s">
        <v>1063</v>
      </c>
      <c r="I153" s="2" t="s">
        <v>1057</v>
      </c>
      <c r="J153" t="s">
        <v>437</v>
      </c>
      <c r="K153" t="s">
        <v>438</v>
      </c>
      <c r="L153" t="s">
        <v>439</v>
      </c>
      <c r="M153" t="s">
        <v>440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421</v>
      </c>
      <c r="D154" t="s">
        <v>441</v>
      </c>
      <c r="E154" t="s">
        <v>423</v>
      </c>
      <c r="F154" t="s">
        <v>424</v>
      </c>
      <c r="G154" s="2" t="s">
        <v>1084</v>
      </c>
      <c r="H154" s="2" t="s">
        <v>1085</v>
      </c>
      <c r="I154" s="2" t="s">
        <v>1083</v>
      </c>
      <c r="J154" s="2" t="s">
        <v>1082</v>
      </c>
      <c r="K154" t="s">
        <v>443</v>
      </c>
      <c r="L154" t="s">
        <v>444</v>
      </c>
      <c r="M154" t="s">
        <v>445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421</v>
      </c>
      <c r="D155" t="s">
        <v>446</v>
      </c>
      <c r="E155" t="s">
        <v>423</v>
      </c>
      <c r="F155" t="s">
        <v>424</v>
      </c>
      <c r="G155" t="s">
        <v>442</v>
      </c>
      <c r="H155" t="s">
        <v>447</v>
      </c>
      <c r="I155" t="s">
        <v>448</v>
      </c>
      <c r="J155" t="s">
        <v>449</v>
      </c>
      <c r="K155" t="s">
        <v>450</v>
      </c>
      <c r="L155" t="s">
        <v>451</v>
      </c>
      <c r="M155" t="s">
        <v>452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421</v>
      </c>
      <c r="D156" t="s">
        <v>453</v>
      </c>
      <c r="E156" t="s">
        <v>423</v>
      </c>
      <c r="F156" t="s">
        <v>424</v>
      </c>
      <c r="G156" t="s">
        <v>442</v>
      </c>
      <c r="H156" t="s">
        <v>454</v>
      </c>
      <c r="I156" t="s">
        <v>266</v>
      </c>
      <c r="J156" t="s">
        <v>455</v>
      </c>
      <c r="K156" t="s">
        <v>456</v>
      </c>
      <c r="L156" t="s">
        <v>457</v>
      </c>
      <c r="M156" t="s">
        <v>458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421</v>
      </c>
      <c r="D157" t="s">
        <v>459</v>
      </c>
      <c r="E157" t="s">
        <v>423</v>
      </c>
      <c r="F157" t="s">
        <v>424</v>
      </c>
      <c r="G157" t="s">
        <v>442</v>
      </c>
      <c r="H157" t="s">
        <v>454</v>
      </c>
      <c r="I157" t="s">
        <v>460</v>
      </c>
      <c r="J157" t="s">
        <v>461</v>
      </c>
      <c r="K157" t="s">
        <v>462</v>
      </c>
      <c r="L157" t="s">
        <v>463</v>
      </c>
      <c r="M157" t="s">
        <v>464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421</v>
      </c>
      <c r="D158" t="s">
        <v>465</v>
      </c>
      <c r="E158" t="s">
        <v>423</v>
      </c>
      <c r="F158" t="s">
        <v>424</v>
      </c>
      <c r="G158" t="s">
        <v>442</v>
      </c>
      <c r="H158" t="s">
        <v>454</v>
      </c>
      <c r="I158" t="s">
        <v>460</v>
      </c>
      <c r="J158" t="s">
        <v>466</v>
      </c>
      <c r="K158" t="s">
        <v>467</v>
      </c>
      <c r="L158" t="s">
        <v>468</v>
      </c>
      <c r="M158" t="s">
        <v>469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421</v>
      </c>
      <c r="D159" t="s">
        <v>470</v>
      </c>
      <c r="E159" t="s">
        <v>471</v>
      </c>
      <c r="F159" t="s">
        <v>472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473</v>
      </c>
      <c r="D160" t="s">
        <v>474</v>
      </c>
      <c r="E160" t="s">
        <v>475</v>
      </c>
      <c r="F160" t="s">
        <v>476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473</v>
      </c>
      <c r="D161" t="s">
        <v>477</v>
      </c>
      <c r="E161" t="s">
        <v>475</v>
      </c>
      <c r="F161" t="s">
        <v>476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473</v>
      </c>
      <c r="D162" t="s">
        <v>478</v>
      </c>
      <c r="E162" t="s">
        <v>475</v>
      </c>
      <c r="F162" t="s">
        <v>476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473</v>
      </c>
      <c r="D163" t="s">
        <v>479</v>
      </c>
      <c r="E163" t="s">
        <v>475</v>
      </c>
      <c r="F163" t="s">
        <v>476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473</v>
      </c>
      <c r="D164" t="s">
        <v>480</v>
      </c>
      <c r="E164" t="s">
        <v>475</v>
      </c>
      <c r="F164" t="s">
        <v>476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473</v>
      </c>
      <c r="D165" t="s">
        <v>481</v>
      </c>
      <c r="E165" t="s">
        <v>475</v>
      </c>
      <c r="F165" t="s">
        <v>476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473</v>
      </c>
      <c r="D166" t="s">
        <v>482</v>
      </c>
      <c r="E166" t="s">
        <v>475</v>
      </c>
      <c r="F166" t="s">
        <v>476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483</v>
      </c>
      <c r="D167" t="s">
        <v>484</v>
      </c>
      <c r="E167" t="s">
        <v>485</v>
      </c>
      <c r="F167" t="s">
        <v>486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483</v>
      </c>
      <c r="D168" t="s">
        <v>487</v>
      </c>
      <c r="E168" t="s">
        <v>488</v>
      </c>
      <c r="F168" t="s">
        <v>489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483</v>
      </c>
      <c r="D169" t="s">
        <v>490</v>
      </c>
      <c r="E169" t="s">
        <v>488</v>
      </c>
      <c r="F169" t="s">
        <v>491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483</v>
      </c>
      <c r="D170" t="s">
        <v>492</v>
      </c>
      <c r="E170" t="s">
        <v>493</v>
      </c>
      <c r="F170" t="s">
        <v>494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495</v>
      </c>
      <c r="D171" t="s">
        <v>496</v>
      </c>
      <c r="E171" t="s">
        <v>497</v>
      </c>
      <c r="F171" t="s">
        <v>498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495</v>
      </c>
      <c r="D172" t="s">
        <v>499</v>
      </c>
      <c r="E172" t="s">
        <v>500</v>
      </c>
      <c r="F172" t="s">
        <v>501</v>
      </c>
      <c r="G172">
        <v>92</v>
      </c>
      <c r="H172">
        <v>7.5</v>
      </c>
      <c r="I172">
        <v>0.5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495</v>
      </c>
      <c r="D173" t="s">
        <v>502</v>
      </c>
      <c r="E173" t="s">
        <v>503</v>
      </c>
      <c r="F173" t="s">
        <v>504</v>
      </c>
      <c r="G173">
        <v>78.099999999999994</v>
      </c>
      <c r="H173">
        <v>19.2</v>
      </c>
      <c r="I173">
        <v>2.4</v>
      </c>
      <c r="J173">
        <v>0.3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495</v>
      </c>
      <c r="D174" t="s">
        <v>505</v>
      </c>
      <c r="E174" t="s">
        <v>506</v>
      </c>
      <c r="F174" t="s">
        <v>507</v>
      </c>
      <c r="G174">
        <v>72.11</v>
      </c>
      <c r="H174">
        <v>22.12</v>
      </c>
      <c r="I174">
        <v>4.6100000000000003</v>
      </c>
      <c r="J174">
        <v>0.96</v>
      </c>
      <c r="K174">
        <v>0.2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495</v>
      </c>
      <c r="D175" t="s">
        <v>508</v>
      </c>
      <c r="E175" t="s">
        <v>509</v>
      </c>
      <c r="F175" t="s">
        <v>510</v>
      </c>
      <c r="G175">
        <v>74.349999999999994</v>
      </c>
      <c r="H175">
        <v>18.739999999999998</v>
      </c>
      <c r="I175">
        <v>5.07</v>
      </c>
      <c r="J175">
        <v>1.37</v>
      </c>
      <c r="K175">
        <v>0.37</v>
      </c>
      <c r="L175">
        <v>0.1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495</v>
      </c>
      <c r="D176" t="s">
        <v>511</v>
      </c>
      <c r="E176" t="s">
        <v>512</v>
      </c>
      <c r="F176" t="s">
        <v>513</v>
      </c>
      <c r="G176">
        <v>76.87</v>
      </c>
      <c r="H176">
        <v>15.04</v>
      </c>
      <c r="I176">
        <v>5.28</v>
      </c>
      <c r="J176">
        <v>1.85</v>
      </c>
      <c r="K176">
        <v>0.65</v>
      </c>
      <c r="L176">
        <v>0.23</v>
      </c>
      <c r="M176">
        <v>0.08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495</v>
      </c>
      <c r="D177" t="s">
        <v>514</v>
      </c>
      <c r="E177" t="s">
        <v>515</v>
      </c>
      <c r="F177" t="s">
        <v>516</v>
      </c>
      <c r="G177">
        <v>69.92</v>
      </c>
      <c r="H177">
        <v>18.53</v>
      </c>
      <c r="I177">
        <v>7.13</v>
      </c>
      <c r="J177">
        <v>2.74</v>
      </c>
      <c r="K177">
        <v>1.05</v>
      </c>
      <c r="L177">
        <v>0.41</v>
      </c>
      <c r="M177">
        <v>0.16</v>
      </c>
      <c r="N177">
        <v>0.06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495</v>
      </c>
      <c r="D178" t="s">
        <v>517</v>
      </c>
      <c r="E178" t="s">
        <v>518</v>
      </c>
      <c r="F178" t="s">
        <v>519</v>
      </c>
      <c r="G178">
        <v>64.22</v>
      </c>
      <c r="H178">
        <v>21.19</v>
      </c>
      <c r="I178">
        <v>8.65</v>
      </c>
      <c r="J178">
        <v>3.53</v>
      </c>
      <c r="K178">
        <v>1.44</v>
      </c>
      <c r="L178">
        <v>0.59</v>
      </c>
      <c r="M178">
        <v>0.24</v>
      </c>
      <c r="N178">
        <v>0.1</v>
      </c>
      <c r="O178">
        <v>0.04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495</v>
      </c>
      <c r="D179" t="s">
        <v>520</v>
      </c>
      <c r="E179" t="s">
        <v>521</v>
      </c>
      <c r="F179" t="s">
        <v>522</v>
      </c>
      <c r="G179">
        <v>59.92</v>
      </c>
      <c r="H179">
        <v>23.53</v>
      </c>
      <c r="I179">
        <v>9.7200000000000006</v>
      </c>
      <c r="J179">
        <v>4.0199999999999996</v>
      </c>
      <c r="K179">
        <v>1.66</v>
      </c>
      <c r="L179">
        <v>0.69</v>
      </c>
      <c r="M179">
        <v>0.28000000000000003</v>
      </c>
      <c r="N179">
        <v>0.12</v>
      </c>
      <c r="O179">
        <v>0.05</v>
      </c>
      <c r="P179">
        <v>0.02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495</v>
      </c>
      <c r="D180" t="s">
        <v>523</v>
      </c>
      <c r="E180" t="s">
        <v>524</v>
      </c>
      <c r="F180" t="s">
        <v>525</v>
      </c>
      <c r="G180">
        <v>54.72</v>
      </c>
      <c r="H180">
        <v>26.42</v>
      </c>
      <c r="I180">
        <v>11.01</v>
      </c>
      <c r="J180">
        <v>4.59</v>
      </c>
      <c r="K180">
        <v>1.91</v>
      </c>
      <c r="L180">
        <v>0.8</v>
      </c>
      <c r="M180">
        <v>0.33</v>
      </c>
      <c r="N180">
        <v>0.14000000000000001</v>
      </c>
      <c r="O180">
        <v>0.06</v>
      </c>
      <c r="P180">
        <v>0.02</v>
      </c>
      <c r="Q180">
        <v>0.01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495</v>
      </c>
      <c r="D181" t="s">
        <v>526</v>
      </c>
      <c r="E181" t="s">
        <v>527</v>
      </c>
      <c r="F181" t="s">
        <v>528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495</v>
      </c>
      <c r="D182" t="s">
        <v>529</v>
      </c>
      <c r="E182" t="s">
        <v>530</v>
      </c>
      <c r="F182" t="s">
        <v>531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495</v>
      </c>
      <c r="D183" t="s">
        <v>532</v>
      </c>
      <c r="E183" t="s">
        <v>533</v>
      </c>
      <c r="F183" t="s">
        <v>534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535</v>
      </c>
      <c r="D184" t="s">
        <v>536</v>
      </c>
      <c r="E184" t="s">
        <v>537</v>
      </c>
      <c r="F184" t="s">
        <v>538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535</v>
      </c>
      <c r="D185" t="s">
        <v>258</v>
      </c>
      <c r="E185" t="s">
        <v>539</v>
      </c>
      <c r="F185" t="s">
        <v>540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535</v>
      </c>
      <c r="D186" t="s">
        <v>541</v>
      </c>
      <c r="E186" t="s">
        <v>542</v>
      </c>
      <c r="F186" t="s">
        <v>543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535</v>
      </c>
      <c r="D187" t="s">
        <v>544</v>
      </c>
      <c r="E187" t="s">
        <v>545</v>
      </c>
      <c r="F187" t="s">
        <v>546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535</v>
      </c>
      <c r="D188" t="s">
        <v>547</v>
      </c>
      <c r="E188" t="s">
        <v>548</v>
      </c>
      <c r="F188" t="s">
        <v>549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550</v>
      </c>
      <c r="D189" t="s">
        <v>422</v>
      </c>
      <c r="E189" t="s">
        <v>551</v>
      </c>
      <c r="F189" t="s">
        <v>552</v>
      </c>
      <c r="G189" t="s">
        <v>553</v>
      </c>
      <c r="H189" t="s">
        <v>554</v>
      </c>
      <c r="I189" t="s">
        <v>555</v>
      </c>
      <c r="J189" t="s">
        <v>556</v>
      </c>
      <c r="K189" t="s">
        <v>557</v>
      </c>
      <c r="L189" t="s">
        <v>558</v>
      </c>
      <c r="M189" t="s">
        <v>559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550</v>
      </c>
      <c r="D190" t="s">
        <v>430</v>
      </c>
      <c r="E190" t="s">
        <v>551</v>
      </c>
      <c r="F190" t="s">
        <v>552</v>
      </c>
      <c r="G190" t="s">
        <v>553</v>
      </c>
      <c r="H190" t="s">
        <v>554</v>
      </c>
      <c r="I190" t="s">
        <v>555</v>
      </c>
      <c r="J190" t="s">
        <v>556</v>
      </c>
      <c r="K190" t="s">
        <v>557</v>
      </c>
      <c r="L190" t="s">
        <v>558</v>
      </c>
      <c r="M190" t="s">
        <v>559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550</v>
      </c>
      <c r="D191" t="s">
        <v>436</v>
      </c>
      <c r="E191" t="s">
        <v>551</v>
      </c>
      <c r="F191" t="s">
        <v>552</v>
      </c>
      <c r="G191" t="s">
        <v>560</v>
      </c>
      <c r="H191" t="s">
        <v>561</v>
      </c>
      <c r="I191" t="s">
        <v>555</v>
      </c>
      <c r="J191" t="s">
        <v>556</v>
      </c>
      <c r="K191" t="s">
        <v>557</v>
      </c>
      <c r="L191" t="s">
        <v>558</v>
      </c>
      <c r="M191" t="s">
        <v>559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550</v>
      </c>
      <c r="D192" t="s">
        <v>441</v>
      </c>
      <c r="E192" t="s">
        <v>551</v>
      </c>
      <c r="F192" t="s">
        <v>552</v>
      </c>
      <c r="G192" t="s">
        <v>562</v>
      </c>
      <c r="H192" t="s">
        <v>561</v>
      </c>
      <c r="I192" t="s">
        <v>563</v>
      </c>
      <c r="J192" t="s">
        <v>564</v>
      </c>
      <c r="K192" t="s">
        <v>565</v>
      </c>
      <c r="L192" t="s">
        <v>566</v>
      </c>
      <c r="M192" t="s">
        <v>567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550</v>
      </c>
      <c r="D193" t="s">
        <v>446</v>
      </c>
      <c r="E193" t="s">
        <v>551</v>
      </c>
      <c r="F193" t="s">
        <v>552</v>
      </c>
      <c r="G193" t="s">
        <v>568</v>
      </c>
      <c r="H193" t="s">
        <v>569</v>
      </c>
      <c r="I193" t="s">
        <v>563</v>
      </c>
      <c r="J193" t="s">
        <v>570</v>
      </c>
      <c r="K193" t="s">
        <v>571</v>
      </c>
      <c r="L193" t="s">
        <v>572</v>
      </c>
      <c r="M193" t="s">
        <v>573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550</v>
      </c>
      <c r="D194" t="s">
        <v>453</v>
      </c>
      <c r="E194" t="s">
        <v>551</v>
      </c>
      <c r="F194" t="s">
        <v>552</v>
      </c>
      <c r="G194" t="s">
        <v>574</v>
      </c>
      <c r="H194" t="s">
        <v>575</v>
      </c>
      <c r="I194" t="s">
        <v>576</v>
      </c>
      <c r="J194" t="s">
        <v>577</v>
      </c>
      <c r="K194" t="s">
        <v>578</v>
      </c>
      <c r="L194" t="s">
        <v>579</v>
      </c>
      <c r="M194" t="s">
        <v>580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550</v>
      </c>
      <c r="D195" t="s">
        <v>459</v>
      </c>
      <c r="E195" t="s">
        <v>551</v>
      </c>
      <c r="F195" t="s">
        <v>552</v>
      </c>
      <c r="G195" t="s">
        <v>553</v>
      </c>
      <c r="H195" t="s">
        <v>581</v>
      </c>
      <c r="I195" t="s">
        <v>582</v>
      </c>
      <c r="J195" t="s">
        <v>583</v>
      </c>
      <c r="K195" t="s">
        <v>584</v>
      </c>
      <c r="L195" t="s">
        <v>585</v>
      </c>
      <c r="M195" t="s">
        <v>586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550</v>
      </c>
      <c r="D196" t="s">
        <v>465</v>
      </c>
      <c r="E196" t="s">
        <v>551</v>
      </c>
      <c r="F196" t="s">
        <v>552</v>
      </c>
      <c r="G196" t="s">
        <v>553</v>
      </c>
      <c r="H196" t="s">
        <v>554</v>
      </c>
      <c r="I196" t="s">
        <v>587</v>
      </c>
      <c r="J196" t="s">
        <v>588</v>
      </c>
      <c r="K196" t="s">
        <v>589</v>
      </c>
      <c r="L196" t="s">
        <v>590</v>
      </c>
      <c r="M196" t="s">
        <v>591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592</v>
      </c>
      <c r="D197" t="s">
        <v>593</v>
      </c>
      <c r="E197" t="s">
        <v>594</v>
      </c>
      <c r="F197" t="s">
        <v>595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592</v>
      </c>
      <c r="D198" t="s">
        <v>596</v>
      </c>
      <c r="E198" t="s">
        <v>597</v>
      </c>
      <c r="F198" t="s">
        <v>598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592</v>
      </c>
      <c r="D199" t="s">
        <v>599</v>
      </c>
      <c r="E199" t="s">
        <v>600</v>
      </c>
      <c r="F199" t="s">
        <v>601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592</v>
      </c>
      <c r="D200" t="s">
        <v>602</v>
      </c>
      <c r="E200" t="s">
        <v>603</v>
      </c>
      <c r="F200" t="s">
        <v>604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592</v>
      </c>
      <c r="D201" t="s">
        <v>605</v>
      </c>
      <c r="E201" t="s">
        <v>606</v>
      </c>
      <c r="F201" t="s">
        <v>607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592</v>
      </c>
      <c r="D202" t="s">
        <v>608</v>
      </c>
      <c r="E202" t="s">
        <v>609</v>
      </c>
      <c r="F202" t="s">
        <v>610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592</v>
      </c>
      <c r="D203" t="s">
        <v>611</v>
      </c>
      <c r="E203" t="s">
        <v>612</v>
      </c>
      <c r="F203" t="s">
        <v>613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592</v>
      </c>
      <c r="D204" t="s">
        <v>614</v>
      </c>
      <c r="E204" t="s">
        <v>615</v>
      </c>
      <c r="F204" t="s">
        <v>616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592</v>
      </c>
      <c r="D205" t="s">
        <v>617</v>
      </c>
      <c r="E205" t="s">
        <v>618</v>
      </c>
      <c r="F205" t="s">
        <v>619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592</v>
      </c>
      <c r="D206" t="s">
        <v>620</v>
      </c>
      <c r="E206" t="s">
        <v>621</v>
      </c>
      <c r="F206" t="s">
        <v>622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592</v>
      </c>
      <c r="D207" t="s">
        <v>623</v>
      </c>
      <c r="E207" t="s">
        <v>624</v>
      </c>
      <c r="F207" t="s">
        <v>625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626</v>
      </c>
      <c r="D208" t="s">
        <v>627</v>
      </c>
      <c r="E208" t="s">
        <v>628</v>
      </c>
      <c r="F208" t="s">
        <v>629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626</v>
      </c>
      <c r="D209" t="s">
        <v>630</v>
      </c>
      <c r="E209" t="s">
        <v>631</v>
      </c>
      <c r="F209" t="s">
        <v>632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633</v>
      </c>
      <c r="D210" t="s">
        <v>634</v>
      </c>
      <c r="E210" t="s">
        <v>635</v>
      </c>
      <c r="F210" t="s">
        <v>636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633</v>
      </c>
      <c r="D211" t="s">
        <v>637</v>
      </c>
      <c r="E211" t="s">
        <v>638</v>
      </c>
      <c r="F211" t="s">
        <v>639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633</v>
      </c>
      <c r="D212" t="s">
        <v>640</v>
      </c>
      <c r="E212" t="s">
        <v>641</v>
      </c>
      <c r="F212" t="s">
        <v>642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633</v>
      </c>
      <c r="D213" t="s">
        <v>643</v>
      </c>
      <c r="E213" t="s">
        <v>641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633</v>
      </c>
      <c r="D214" t="s">
        <v>644</v>
      </c>
      <c r="E214" t="s">
        <v>645</v>
      </c>
      <c r="F214" t="s">
        <v>646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647</v>
      </c>
      <c r="D215" t="s">
        <v>648</v>
      </c>
      <c r="E215" t="s">
        <v>649</v>
      </c>
      <c r="F215" t="s">
        <v>650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647</v>
      </c>
      <c r="D216" t="s">
        <v>651</v>
      </c>
      <c r="E216" t="s">
        <v>652</v>
      </c>
      <c r="F216" t="s">
        <v>650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633</v>
      </c>
      <c r="D217" t="s">
        <v>653</v>
      </c>
      <c r="E217" t="s">
        <v>635</v>
      </c>
      <c r="F217" t="s">
        <v>654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633</v>
      </c>
      <c r="D218" t="s">
        <v>655</v>
      </c>
      <c r="E218" t="s">
        <v>656</v>
      </c>
      <c r="F218" t="s">
        <v>657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633</v>
      </c>
      <c r="D219" t="s">
        <v>658</v>
      </c>
      <c r="E219" t="s">
        <v>659</v>
      </c>
      <c r="F219" t="s">
        <v>660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633</v>
      </c>
      <c r="D220" t="s">
        <v>661</v>
      </c>
      <c r="E220" t="s">
        <v>662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633</v>
      </c>
      <c r="D221" t="s">
        <v>663</v>
      </c>
      <c r="E221" t="s">
        <v>664</v>
      </c>
      <c r="F221" t="s">
        <v>665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633</v>
      </c>
      <c r="D222" t="s">
        <v>666</v>
      </c>
      <c r="E222" t="s">
        <v>667</v>
      </c>
      <c r="F222" t="s">
        <v>668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669</v>
      </c>
      <c r="D223" t="s">
        <v>670</v>
      </c>
      <c r="E223" t="s">
        <v>671</v>
      </c>
      <c r="F223" t="s">
        <v>672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669</v>
      </c>
      <c r="D224" t="s">
        <v>673</v>
      </c>
      <c r="E224" t="s">
        <v>674</v>
      </c>
      <c r="F224">
        <v>0</v>
      </c>
      <c r="G224">
        <v>25</v>
      </c>
      <c r="H224">
        <v>1.45</v>
      </c>
      <c r="I224">
        <v>0.08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669</v>
      </c>
      <c r="D225" t="s">
        <v>675</v>
      </c>
      <c r="E225" t="s">
        <v>674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669</v>
      </c>
      <c r="D226" t="s">
        <v>676</v>
      </c>
      <c r="E226" t="s">
        <v>677</v>
      </c>
      <c r="F226" t="s">
        <v>678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647</v>
      </c>
      <c r="D227" t="s">
        <v>673</v>
      </c>
      <c r="E227" t="s">
        <v>679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647</v>
      </c>
      <c r="D228" t="s">
        <v>680</v>
      </c>
      <c r="E228" t="s">
        <v>681</v>
      </c>
      <c r="F228" t="s">
        <v>682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647</v>
      </c>
      <c r="D229" t="s">
        <v>683</v>
      </c>
      <c r="E229" t="s">
        <v>684</v>
      </c>
      <c r="F229" t="s">
        <v>685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686</v>
      </c>
      <c r="D230" t="s">
        <v>687</v>
      </c>
      <c r="E230" t="s">
        <v>688</v>
      </c>
      <c r="F230" t="s">
        <v>689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686</v>
      </c>
      <c r="D231" t="s">
        <v>690</v>
      </c>
      <c r="E231" t="s">
        <v>691</v>
      </c>
      <c r="F231" t="s">
        <v>692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686</v>
      </c>
      <c r="D232" t="s">
        <v>693</v>
      </c>
      <c r="E232" t="s">
        <v>694</v>
      </c>
      <c r="F232" t="s">
        <v>695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686</v>
      </c>
      <c r="D233" t="s">
        <v>696</v>
      </c>
      <c r="E233" t="s">
        <v>697</v>
      </c>
      <c r="F233" t="s">
        <v>695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698</v>
      </c>
      <c r="D234" t="s">
        <v>699</v>
      </c>
      <c r="E234" t="s">
        <v>700</v>
      </c>
      <c r="F234" t="s">
        <v>701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702</v>
      </c>
      <c r="D235" t="s">
        <v>703</v>
      </c>
      <c r="E235" t="s">
        <v>704</v>
      </c>
      <c r="F235" t="s">
        <v>705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706</v>
      </c>
      <c r="D236" t="s">
        <v>707</v>
      </c>
      <c r="E236" t="s">
        <v>708</v>
      </c>
      <c r="F236" t="s">
        <v>709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706</v>
      </c>
      <c r="D237" t="s">
        <v>710</v>
      </c>
      <c r="E237" t="s">
        <v>711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706</v>
      </c>
      <c r="D238" t="s">
        <v>712</v>
      </c>
      <c r="E238" t="s">
        <v>713</v>
      </c>
      <c r="F238" t="s">
        <v>714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706</v>
      </c>
      <c r="D239" t="s">
        <v>715</v>
      </c>
      <c r="E239" t="s">
        <v>716</v>
      </c>
      <c r="F239" t="s">
        <v>717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706</v>
      </c>
      <c r="D240" t="s">
        <v>718</v>
      </c>
      <c r="E240" t="s">
        <v>719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720</v>
      </c>
      <c r="D241" t="s">
        <v>721</v>
      </c>
      <c r="E241" t="s">
        <v>722</v>
      </c>
      <c r="F241" t="s">
        <v>723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720</v>
      </c>
      <c r="D242" t="s">
        <v>724</v>
      </c>
      <c r="E242" t="s">
        <v>725</v>
      </c>
      <c r="F242" t="s">
        <v>726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720</v>
      </c>
      <c r="D243" t="s">
        <v>727</v>
      </c>
      <c r="E243" t="s">
        <v>728</v>
      </c>
      <c r="F243" t="s">
        <v>729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720</v>
      </c>
      <c r="D244" t="s">
        <v>730</v>
      </c>
      <c r="E244" t="s">
        <v>731</v>
      </c>
      <c r="F244" t="s">
        <v>732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720</v>
      </c>
      <c r="D245" t="s">
        <v>733</v>
      </c>
      <c r="E245" t="s">
        <v>734</v>
      </c>
      <c r="F245" t="s">
        <v>735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720</v>
      </c>
      <c r="D246" t="s">
        <v>736</v>
      </c>
      <c r="E246" t="s">
        <v>737</v>
      </c>
      <c r="F246" t="s">
        <v>738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720</v>
      </c>
      <c r="D247" t="s">
        <v>739</v>
      </c>
      <c r="E247" t="s">
        <v>740</v>
      </c>
      <c r="F247" t="s">
        <v>741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720</v>
      </c>
      <c r="D248" t="s">
        <v>742</v>
      </c>
      <c r="E248" t="s">
        <v>743</v>
      </c>
      <c r="F248" t="s">
        <v>744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720</v>
      </c>
      <c r="D249" t="s">
        <v>745</v>
      </c>
      <c r="E249" t="s">
        <v>746</v>
      </c>
      <c r="F249" t="s">
        <v>747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720</v>
      </c>
      <c r="D250" t="s">
        <v>748</v>
      </c>
      <c r="E250" t="s">
        <v>749</v>
      </c>
      <c r="F250" t="s">
        <v>750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751</v>
      </c>
      <c r="D251" t="s">
        <v>752</v>
      </c>
      <c r="E251" t="s">
        <v>753</v>
      </c>
      <c r="F251" t="s">
        <v>754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751</v>
      </c>
      <c r="D252" t="s">
        <v>755</v>
      </c>
      <c r="E252" t="s">
        <v>756</v>
      </c>
      <c r="F252" t="s">
        <v>757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751</v>
      </c>
      <c r="D253" t="s">
        <v>758</v>
      </c>
      <c r="E253" t="s">
        <v>759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751</v>
      </c>
      <c r="D254" t="s">
        <v>760</v>
      </c>
      <c r="E254" t="s">
        <v>761</v>
      </c>
      <c r="F254" t="s">
        <v>762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763</v>
      </c>
      <c r="D255" t="s">
        <v>764</v>
      </c>
      <c r="E255" t="s">
        <v>765</v>
      </c>
      <c r="F255" t="s">
        <v>766</v>
      </c>
      <c r="G255" t="s">
        <v>767</v>
      </c>
      <c r="H255" t="s">
        <v>768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763</v>
      </c>
      <c r="D256" t="s">
        <v>769</v>
      </c>
      <c r="E256" t="s">
        <v>765</v>
      </c>
      <c r="F256" t="s">
        <v>766</v>
      </c>
      <c r="G256" t="s">
        <v>767</v>
      </c>
      <c r="H256" t="s">
        <v>770</v>
      </c>
      <c r="I256" t="s">
        <v>771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763</v>
      </c>
      <c r="D257" t="s">
        <v>772</v>
      </c>
      <c r="E257" t="s">
        <v>765</v>
      </c>
      <c r="F257" t="s">
        <v>766</v>
      </c>
      <c r="G257" t="s">
        <v>767</v>
      </c>
      <c r="H257" t="s">
        <v>773</v>
      </c>
      <c r="I257" t="s">
        <v>771</v>
      </c>
      <c r="J257" t="s">
        <v>774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763</v>
      </c>
      <c r="D258" t="s">
        <v>775</v>
      </c>
      <c r="E258" t="s">
        <v>765</v>
      </c>
      <c r="F258" t="s">
        <v>766</v>
      </c>
      <c r="G258" t="s">
        <v>776</v>
      </c>
      <c r="H258" t="s">
        <v>773</v>
      </c>
      <c r="I258" t="s">
        <v>777</v>
      </c>
      <c r="J258" t="s">
        <v>774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763</v>
      </c>
      <c r="D259" t="s">
        <v>778</v>
      </c>
      <c r="E259" t="s">
        <v>765</v>
      </c>
      <c r="F259" t="s">
        <v>766</v>
      </c>
      <c r="G259" t="s">
        <v>779</v>
      </c>
      <c r="H259" t="s">
        <v>773</v>
      </c>
      <c r="I259" t="s">
        <v>777</v>
      </c>
      <c r="J259" t="s">
        <v>780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763</v>
      </c>
      <c r="D260" t="s">
        <v>781</v>
      </c>
      <c r="E260" t="s">
        <v>765</v>
      </c>
      <c r="F260" t="s">
        <v>766</v>
      </c>
      <c r="G260" t="s">
        <v>782</v>
      </c>
      <c r="H260" t="s">
        <v>773</v>
      </c>
      <c r="I260" t="s">
        <v>777</v>
      </c>
      <c r="J260" t="s">
        <v>780</v>
      </c>
      <c r="K260" t="s">
        <v>783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763</v>
      </c>
      <c r="D261" t="s">
        <v>784</v>
      </c>
      <c r="E261" t="s">
        <v>765</v>
      </c>
      <c r="F261" t="s">
        <v>766</v>
      </c>
      <c r="G261" t="s">
        <v>785</v>
      </c>
      <c r="H261" t="s">
        <v>786</v>
      </c>
      <c r="I261" t="s">
        <v>780</v>
      </c>
      <c r="J261" t="s">
        <v>787</v>
      </c>
      <c r="K261" t="s">
        <v>788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763</v>
      </c>
      <c r="D262" t="s">
        <v>789</v>
      </c>
      <c r="E262" t="s">
        <v>765</v>
      </c>
      <c r="F262" t="s">
        <v>766</v>
      </c>
      <c r="G262" t="s">
        <v>773</v>
      </c>
      <c r="H262" t="s">
        <v>786</v>
      </c>
      <c r="I262" t="s">
        <v>780</v>
      </c>
      <c r="J262" t="s">
        <v>787</v>
      </c>
      <c r="K262" t="s">
        <v>790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763</v>
      </c>
      <c r="D263" t="s">
        <v>791</v>
      </c>
      <c r="E263" t="s">
        <v>765</v>
      </c>
      <c r="F263" t="s">
        <v>766</v>
      </c>
      <c r="G263" t="s">
        <v>786</v>
      </c>
      <c r="H263" t="s">
        <v>792</v>
      </c>
      <c r="I263" t="s">
        <v>787</v>
      </c>
      <c r="J263" t="s">
        <v>793</v>
      </c>
      <c r="K263" t="s">
        <v>794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763</v>
      </c>
      <c r="D264" t="s">
        <v>795</v>
      </c>
      <c r="E264" t="s">
        <v>765</v>
      </c>
      <c r="F264" t="s">
        <v>766</v>
      </c>
      <c r="G264" t="s">
        <v>792</v>
      </c>
      <c r="H264" t="s">
        <v>796</v>
      </c>
      <c r="I264" t="s">
        <v>793</v>
      </c>
      <c r="J264" t="s">
        <v>797</v>
      </c>
      <c r="K264" t="s">
        <v>798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763</v>
      </c>
      <c r="D265" t="s">
        <v>799</v>
      </c>
      <c r="E265" t="s">
        <v>765</v>
      </c>
      <c r="F265" t="s">
        <v>766</v>
      </c>
      <c r="G265" t="s">
        <v>796</v>
      </c>
      <c r="H265" t="s">
        <v>800</v>
      </c>
      <c r="I265" t="s">
        <v>797</v>
      </c>
      <c r="J265" t="s">
        <v>801</v>
      </c>
      <c r="K265" t="s">
        <v>802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763</v>
      </c>
      <c r="D266" t="s">
        <v>803</v>
      </c>
      <c r="E266" t="s">
        <v>765</v>
      </c>
      <c r="F266" t="s">
        <v>766</v>
      </c>
      <c r="G266" t="s">
        <v>800</v>
      </c>
      <c r="H266" t="s">
        <v>804</v>
      </c>
      <c r="I266" t="s">
        <v>801</v>
      </c>
      <c r="J266" t="s">
        <v>805</v>
      </c>
      <c r="K266" t="s">
        <v>806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763</v>
      </c>
      <c r="D267" t="s">
        <v>807</v>
      </c>
      <c r="E267" t="s">
        <v>765</v>
      </c>
      <c r="F267" t="s">
        <v>766</v>
      </c>
      <c r="G267" t="s">
        <v>804</v>
      </c>
      <c r="H267" t="s">
        <v>808</v>
      </c>
      <c r="I267" t="s">
        <v>805</v>
      </c>
      <c r="J267" t="s">
        <v>809</v>
      </c>
      <c r="K267" t="s">
        <v>810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763</v>
      </c>
      <c r="D268" t="s">
        <v>811</v>
      </c>
      <c r="E268" t="s">
        <v>765</v>
      </c>
      <c r="F268" t="s">
        <v>766</v>
      </c>
      <c r="G268" t="s">
        <v>808</v>
      </c>
      <c r="H268" t="s">
        <v>812</v>
      </c>
      <c r="I268" t="s">
        <v>809</v>
      </c>
      <c r="J268" t="s">
        <v>813</v>
      </c>
      <c r="K268" t="s">
        <v>814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763</v>
      </c>
      <c r="D269" t="s">
        <v>815</v>
      </c>
      <c r="E269" t="s">
        <v>765</v>
      </c>
      <c r="F269" t="s">
        <v>766</v>
      </c>
      <c r="G269" t="s">
        <v>812</v>
      </c>
      <c r="H269" t="s">
        <v>816</v>
      </c>
      <c r="I269" t="s">
        <v>813</v>
      </c>
      <c r="J269" t="s">
        <v>817</v>
      </c>
      <c r="K269" t="s">
        <v>818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763</v>
      </c>
      <c r="D270" t="s">
        <v>819</v>
      </c>
      <c r="E270" t="s">
        <v>765</v>
      </c>
      <c r="F270" t="s">
        <v>766</v>
      </c>
      <c r="G270" t="s">
        <v>816</v>
      </c>
      <c r="H270" t="s">
        <v>820</v>
      </c>
      <c r="I270" t="s">
        <v>817</v>
      </c>
      <c r="J270" t="s">
        <v>821</v>
      </c>
      <c r="K270" t="s">
        <v>822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763</v>
      </c>
      <c r="D271" t="s">
        <v>823</v>
      </c>
      <c r="E271" t="s">
        <v>765</v>
      </c>
      <c r="F271" t="s">
        <v>766</v>
      </c>
      <c r="G271" t="s">
        <v>820</v>
      </c>
      <c r="H271" t="s">
        <v>824</v>
      </c>
      <c r="I271" t="s">
        <v>821</v>
      </c>
      <c r="J271" t="s">
        <v>825</v>
      </c>
      <c r="K271" t="s">
        <v>826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763</v>
      </c>
      <c r="D272" t="s">
        <v>827</v>
      </c>
      <c r="E272" t="s">
        <v>765</v>
      </c>
      <c r="F272" t="s">
        <v>766</v>
      </c>
      <c r="G272" t="s">
        <v>810</v>
      </c>
      <c r="H272" t="s">
        <v>828</v>
      </c>
      <c r="I272" t="s">
        <v>829</v>
      </c>
      <c r="J272" t="s">
        <v>825</v>
      </c>
      <c r="K272" t="s">
        <v>830</v>
      </c>
      <c r="L272" t="s">
        <v>831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763</v>
      </c>
      <c r="D273" t="s">
        <v>832</v>
      </c>
      <c r="E273" t="s">
        <v>765</v>
      </c>
      <c r="F273" t="s">
        <v>766</v>
      </c>
      <c r="G273" t="s">
        <v>810</v>
      </c>
      <c r="H273" t="s">
        <v>828</v>
      </c>
      <c r="I273" t="s">
        <v>829</v>
      </c>
      <c r="J273" t="s">
        <v>825</v>
      </c>
      <c r="K273" t="s">
        <v>830</v>
      </c>
      <c r="L273" t="s">
        <v>831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763</v>
      </c>
      <c r="D274" t="s">
        <v>833</v>
      </c>
      <c r="E274" t="s">
        <v>765</v>
      </c>
      <c r="F274" t="s">
        <v>766</v>
      </c>
      <c r="G274" t="s">
        <v>810</v>
      </c>
      <c r="H274" t="s">
        <v>828</v>
      </c>
      <c r="I274" t="s">
        <v>829</v>
      </c>
      <c r="J274" t="s">
        <v>825</v>
      </c>
      <c r="K274" t="s">
        <v>830</v>
      </c>
      <c r="L274" t="s">
        <v>831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834</v>
      </c>
      <c r="D275" t="s">
        <v>764</v>
      </c>
      <c r="E275" t="s">
        <v>835</v>
      </c>
      <c r="F275" t="s">
        <v>836</v>
      </c>
      <c r="G275" t="s">
        <v>837</v>
      </c>
      <c r="H275" t="s">
        <v>838</v>
      </c>
      <c r="I275" t="s">
        <v>839</v>
      </c>
      <c r="J275" t="s">
        <v>840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834</v>
      </c>
      <c r="D276" t="s">
        <v>769</v>
      </c>
      <c r="E276" t="s">
        <v>835</v>
      </c>
      <c r="F276" t="s">
        <v>836</v>
      </c>
      <c r="G276" t="s">
        <v>841</v>
      </c>
      <c r="H276" t="s">
        <v>838</v>
      </c>
      <c r="I276" t="s">
        <v>842</v>
      </c>
      <c r="J276" t="s">
        <v>843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834</v>
      </c>
      <c r="D277" t="s">
        <v>772</v>
      </c>
      <c r="E277" t="s">
        <v>835</v>
      </c>
      <c r="F277" t="s">
        <v>836</v>
      </c>
      <c r="G277" t="s">
        <v>844</v>
      </c>
      <c r="H277" t="s">
        <v>838</v>
      </c>
      <c r="I277" t="s">
        <v>845</v>
      </c>
      <c r="J277" t="s">
        <v>846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834</v>
      </c>
      <c r="D278" t="s">
        <v>775</v>
      </c>
      <c r="E278" t="s">
        <v>835</v>
      </c>
      <c r="F278" t="s">
        <v>836</v>
      </c>
      <c r="G278" t="s">
        <v>847</v>
      </c>
      <c r="H278" t="s">
        <v>838</v>
      </c>
      <c r="I278" t="s">
        <v>845</v>
      </c>
      <c r="J278" t="s">
        <v>846</v>
      </c>
      <c r="K278" t="s">
        <v>848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834</v>
      </c>
      <c r="D279" t="s">
        <v>778</v>
      </c>
      <c r="E279" t="s">
        <v>835</v>
      </c>
      <c r="F279" t="s">
        <v>836</v>
      </c>
      <c r="G279" t="s">
        <v>849</v>
      </c>
      <c r="H279" t="s">
        <v>838</v>
      </c>
      <c r="I279" t="s">
        <v>845</v>
      </c>
      <c r="J279" t="s">
        <v>850</v>
      </c>
      <c r="K279" t="s">
        <v>851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834</v>
      </c>
      <c r="D280" t="s">
        <v>781</v>
      </c>
      <c r="E280" t="s">
        <v>835</v>
      </c>
      <c r="F280" t="s">
        <v>836</v>
      </c>
      <c r="G280" t="s">
        <v>852</v>
      </c>
      <c r="H280" t="s">
        <v>838</v>
      </c>
      <c r="I280" t="s">
        <v>845</v>
      </c>
      <c r="J280" t="s">
        <v>853</v>
      </c>
      <c r="K280" t="s">
        <v>854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834</v>
      </c>
      <c r="D281" t="s">
        <v>784</v>
      </c>
      <c r="E281" t="s">
        <v>835</v>
      </c>
      <c r="F281" t="s">
        <v>836</v>
      </c>
      <c r="G281" t="s">
        <v>855</v>
      </c>
      <c r="H281" t="s">
        <v>838</v>
      </c>
      <c r="I281" t="s">
        <v>856</v>
      </c>
      <c r="J281" t="s">
        <v>857</v>
      </c>
      <c r="K281" t="s">
        <v>858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834</v>
      </c>
      <c r="D282" t="s">
        <v>789</v>
      </c>
      <c r="E282" t="s">
        <v>835</v>
      </c>
      <c r="F282" t="s">
        <v>836</v>
      </c>
      <c r="G282" t="s">
        <v>859</v>
      </c>
      <c r="H282" t="s">
        <v>838</v>
      </c>
      <c r="I282" t="s">
        <v>860</v>
      </c>
      <c r="J282" t="s">
        <v>861</v>
      </c>
      <c r="K282" t="s">
        <v>862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834</v>
      </c>
      <c r="D283" t="s">
        <v>791</v>
      </c>
      <c r="E283" t="s">
        <v>835</v>
      </c>
      <c r="F283" t="s">
        <v>836</v>
      </c>
      <c r="G283" t="s">
        <v>863</v>
      </c>
      <c r="H283" t="s">
        <v>838</v>
      </c>
      <c r="I283" t="s">
        <v>864</v>
      </c>
      <c r="J283" t="s">
        <v>865</v>
      </c>
      <c r="K283" t="s">
        <v>866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834</v>
      </c>
      <c r="D284" t="s">
        <v>795</v>
      </c>
      <c r="E284" t="s">
        <v>835</v>
      </c>
      <c r="F284" t="s">
        <v>836</v>
      </c>
      <c r="G284" t="s">
        <v>867</v>
      </c>
      <c r="H284" t="s">
        <v>838</v>
      </c>
      <c r="I284" t="s">
        <v>864</v>
      </c>
      <c r="J284" t="s">
        <v>865</v>
      </c>
      <c r="K284" t="s">
        <v>868</v>
      </c>
      <c r="L284" t="s">
        <v>869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834</v>
      </c>
      <c r="D285" t="s">
        <v>799</v>
      </c>
      <c r="E285" t="s">
        <v>835</v>
      </c>
      <c r="F285" t="s">
        <v>836</v>
      </c>
      <c r="G285" t="s">
        <v>870</v>
      </c>
      <c r="H285" t="s">
        <v>838</v>
      </c>
      <c r="I285" t="s">
        <v>864</v>
      </c>
      <c r="J285" t="s">
        <v>865</v>
      </c>
      <c r="K285" t="s">
        <v>871</v>
      </c>
      <c r="L285" t="s">
        <v>872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834</v>
      </c>
      <c r="D286" t="s">
        <v>803</v>
      </c>
      <c r="E286" t="s">
        <v>835</v>
      </c>
      <c r="F286" t="s">
        <v>836</v>
      </c>
      <c r="G286" t="s">
        <v>873</v>
      </c>
      <c r="H286" t="s">
        <v>838</v>
      </c>
      <c r="I286" t="s">
        <v>874</v>
      </c>
      <c r="J286" t="s">
        <v>875</v>
      </c>
      <c r="K286" t="s">
        <v>876</v>
      </c>
      <c r="L286" t="s">
        <v>877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834</v>
      </c>
      <c r="D287" t="s">
        <v>807</v>
      </c>
      <c r="E287" t="s">
        <v>835</v>
      </c>
      <c r="F287" t="s">
        <v>836</v>
      </c>
      <c r="G287" t="s">
        <v>878</v>
      </c>
      <c r="H287" t="s">
        <v>838</v>
      </c>
      <c r="I287" t="s">
        <v>874</v>
      </c>
      <c r="J287" t="s">
        <v>875</v>
      </c>
      <c r="K287" t="s">
        <v>876</v>
      </c>
      <c r="L287" t="s">
        <v>879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834</v>
      </c>
      <c r="D288" t="s">
        <v>811</v>
      </c>
      <c r="E288" t="s">
        <v>835</v>
      </c>
      <c r="F288" t="s">
        <v>836</v>
      </c>
      <c r="G288" t="s">
        <v>880</v>
      </c>
      <c r="H288" t="s">
        <v>838</v>
      </c>
      <c r="I288" t="s">
        <v>874</v>
      </c>
      <c r="J288" t="s">
        <v>875</v>
      </c>
      <c r="K288" t="s">
        <v>876</v>
      </c>
      <c r="L288" t="s">
        <v>881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834</v>
      </c>
      <c r="D289" t="s">
        <v>815</v>
      </c>
      <c r="E289" t="s">
        <v>835</v>
      </c>
      <c r="F289" t="s">
        <v>836</v>
      </c>
      <c r="G289" t="s">
        <v>882</v>
      </c>
      <c r="H289" t="s">
        <v>838</v>
      </c>
      <c r="I289" t="s">
        <v>874</v>
      </c>
      <c r="J289" t="s">
        <v>883</v>
      </c>
      <c r="K289" t="s">
        <v>884</v>
      </c>
      <c r="L289" t="s">
        <v>877</v>
      </c>
      <c r="M289" t="s">
        <v>885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834</v>
      </c>
      <c r="D290" t="s">
        <v>819</v>
      </c>
      <c r="E290" t="s">
        <v>835</v>
      </c>
      <c r="F290" t="s">
        <v>836</v>
      </c>
      <c r="G290" t="s">
        <v>886</v>
      </c>
      <c r="H290" t="s">
        <v>838</v>
      </c>
      <c r="I290" t="s">
        <v>874</v>
      </c>
      <c r="J290" t="s">
        <v>883</v>
      </c>
      <c r="K290" t="s">
        <v>884</v>
      </c>
      <c r="L290" t="s">
        <v>879</v>
      </c>
      <c r="M290" t="s">
        <v>887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834</v>
      </c>
      <c r="D291" t="s">
        <v>823</v>
      </c>
      <c r="E291" t="s">
        <v>835</v>
      </c>
      <c r="F291" t="s">
        <v>836</v>
      </c>
      <c r="G291" t="s">
        <v>888</v>
      </c>
      <c r="H291" t="s">
        <v>838</v>
      </c>
      <c r="I291" t="s">
        <v>874</v>
      </c>
      <c r="J291" t="s">
        <v>883</v>
      </c>
      <c r="K291" t="s">
        <v>884</v>
      </c>
      <c r="L291" t="s">
        <v>879</v>
      </c>
      <c r="M291" t="s">
        <v>889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834</v>
      </c>
      <c r="D292" t="s">
        <v>827</v>
      </c>
      <c r="E292" t="s">
        <v>835</v>
      </c>
      <c r="F292" t="s">
        <v>836</v>
      </c>
      <c r="G292" t="s">
        <v>890</v>
      </c>
      <c r="H292" t="s">
        <v>838</v>
      </c>
      <c r="I292" t="s">
        <v>874</v>
      </c>
      <c r="J292" t="s">
        <v>883</v>
      </c>
      <c r="K292" t="s">
        <v>884</v>
      </c>
      <c r="L292" t="s">
        <v>879</v>
      </c>
      <c r="M292" t="s">
        <v>889</v>
      </c>
      <c r="N292" t="s">
        <v>891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834</v>
      </c>
      <c r="D293" t="s">
        <v>832</v>
      </c>
      <c r="E293" t="s">
        <v>835</v>
      </c>
      <c r="F293" t="s">
        <v>836</v>
      </c>
      <c r="G293" t="s">
        <v>892</v>
      </c>
      <c r="H293" t="s">
        <v>838</v>
      </c>
      <c r="I293" t="s">
        <v>874</v>
      </c>
      <c r="J293" t="s">
        <v>883</v>
      </c>
      <c r="K293" t="s">
        <v>884</v>
      </c>
      <c r="L293" t="s">
        <v>879</v>
      </c>
      <c r="M293" t="s">
        <v>889</v>
      </c>
      <c r="N293" t="s">
        <v>893</v>
      </c>
      <c r="O293" t="s">
        <v>894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834</v>
      </c>
      <c r="D294" t="s">
        <v>833</v>
      </c>
      <c r="E294" t="s">
        <v>835</v>
      </c>
      <c r="F294" t="s">
        <v>836</v>
      </c>
      <c r="G294" t="s">
        <v>895</v>
      </c>
      <c r="H294" t="s">
        <v>838</v>
      </c>
      <c r="I294" t="s">
        <v>874</v>
      </c>
      <c r="J294" t="s">
        <v>883</v>
      </c>
      <c r="K294" t="s">
        <v>884</v>
      </c>
      <c r="L294" t="s">
        <v>879</v>
      </c>
      <c r="M294" t="s">
        <v>889</v>
      </c>
      <c r="N294" t="s">
        <v>896</v>
      </c>
      <c r="O294" t="s">
        <v>897</v>
      </c>
      <c r="P294" t="s">
        <v>898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899</v>
      </c>
      <c r="D295" t="s">
        <v>900</v>
      </c>
      <c r="E295" t="s">
        <v>901</v>
      </c>
      <c r="F295" t="s">
        <v>902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899</v>
      </c>
      <c r="D296" t="s">
        <v>903</v>
      </c>
      <c r="E296" t="s">
        <v>904</v>
      </c>
      <c r="F296" t="s">
        <v>905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899</v>
      </c>
      <c r="D297" t="s">
        <v>906</v>
      </c>
      <c r="E297" t="s">
        <v>907</v>
      </c>
      <c r="F297" t="s">
        <v>908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899</v>
      </c>
      <c r="D298" t="s">
        <v>909</v>
      </c>
      <c r="E298" t="s">
        <v>910</v>
      </c>
      <c r="F298" t="s">
        <v>911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899</v>
      </c>
      <c r="D299" t="s">
        <v>912</v>
      </c>
      <c r="E299" t="s">
        <v>913</v>
      </c>
      <c r="F299" t="s">
        <v>914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899</v>
      </c>
      <c r="D300" t="s">
        <v>915</v>
      </c>
      <c r="E300" t="s">
        <v>916</v>
      </c>
      <c r="F300" t="s">
        <v>917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899</v>
      </c>
      <c r="D301" t="s">
        <v>752</v>
      </c>
      <c r="E301" s="2" t="s">
        <v>1054</v>
      </c>
      <c r="F301" t="s">
        <v>918</v>
      </c>
      <c r="G301">
        <v>1000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899</v>
      </c>
      <c r="D302" t="s">
        <v>919</v>
      </c>
      <c r="E302" t="s">
        <v>920</v>
      </c>
      <c r="F302" t="s">
        <v>921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899</v>
      </c>
      <c r="D303" t="s">
        <v>922</v>
      </c>
      <c r="E303" t="s">
        <v>923</v>
      </c>
      <c r="F303" t="s">
        <v>924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925</v>
      </c>
      <c r="D304" t="s">
        <v>926</v>
      </c>
      <c r="E304" t="s">
        <v>927</v>
      </c>
      <c r="F304" t="s">
        <v>928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925</v>
      </c>
      <c r="D305" t="s">
        <v>929</v>
      </c>
      <c r="E305" t="s">
        <v>930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925</v>
      </c>
      <c r="D306" t="s">
        <v>931</v>
      </c>
      <c r="E306" t="s">
        <v>932</v>
      </c>
      <c r="F306" t="s">
        <v>933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925</v>
      </c>
      <c r="D307" t="s">
        <v>934</v>
      </c>
      <c r="E307" t="s">
        <v>935</v>
      </c>
      <c r="F307" t="s">
        <v>936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925</v>
      </c>
      <c r="D308" t="s">
        <v>937</v>
      </c>
      <c r="E308" t="s">
        <v>938</v>
      </c>
      <c r="F308" t="s">
        <v>939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940</v>
      </c>
      <c r="D309" t="s">
        <v>941</v>
      </c>
      <c r="E309" t="s">
        <v>942</v>
      </c>
      <c r="F309" t="s">
        <v>943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940</v>
      </c>
      <c r="D310" t="s">
        <v>944</v>
      </c>
      <c r="E310" t="s">
        <v>945</v>
      </c>
      <c r="F310" t="s">
        <v>946</v>
      </c>
      <c r="G310">
        <v>10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940</v>
      </c>
      <c r="D311" t="s">
        <v>947</v>
      </c>
      <c r="E311" t="s">
        <v>948</v>
      </c>
      <c r="F311" t="s">
        <v>949</v>
      </c>
      <c r="G311">
        <v>20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950</v>
      </c>
      <c r="D312" t="s">
        <v>951</v>
      </c>
      <c r="E312" t="s">
        <v>39</v>
      </c>
      <c r="F312" t="s">
        <v>952</v>
      </c>
      <c r="G312">
        <v>1</v>
      </c>
      <c r="H312">
        <v>1</v>
      </c>
      <c r="I312">
        <v>1</v>
      </c>
      <c r="J312">
        <v>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950</v>
      </c>
      <c r="D313" t="s">
        <v>953</v>
      </c>
      <c r="E313" t="s">
        <v>39</v>
      </c>
      <c r="F313" t="s">
        <v>952</v>
      </c>
      <c r="G313">
        <v>1.35</v>
      </c>
      <c r="H313">
        <v>2</v>
      </c>
      <c r="I313">
        <v>2</v>
      </c>
      <c r="J313">
        <v>1</v>
      </c>
      <c r="K313">
        <v>1</v>
      </c>
      <c r="L313">
        <v>1.7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950</v>
      </c>
      <c r="D314" t="s">
        <v>954</v>
      </c>
      <c r="E314" t="s">
        <v>39</v>
      </c>
      <c r="F314" t="s">
        <v>952</v>
      </c>
      <c r="G314">
        <v>1.75</v>
      </c>
      <c r="H314">
        <v>2</v>
      </c>
      <c r="I314">
        <v>2</v>
      </c>
      <c r="J314">
        <v>1</v>
      </c>
      <c r="K314">
        <v>1</v>
      </c>
      <c r="L314">
        <v>2.8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950</v>
      </c>
      <c r="D315" t="s">
        <v>955</v>
      </c>
      <c r="E315" t="s">
        <v>39</v>
      </c>
      <c r="F315" t="s">
        <v>952</v>
      </c>
      <c r="G315">
        <v>2.2999999999999998</v>
      </c>
      <c r="H315">
        <v>3</v>
      </c>
      <c r="I315">
        <v>3</v>
      </c>
      <c r="J315">
        <v>2</v>
      </c>
      <c r="K315">
        <v>1</v>
      </c>
      <c r="L315">
        <v>4.5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950</v>
      </c>
      <c r="D316" t="s">
        <v>956</v>
      </c>
      <c r="E316" t="s">
        <v>39</v>
      </c>
      <c r="F316" t="s">
        <v>952</v>
      </c>
      <c r="G316">
        <v>3</v>
      </c>
      <c r="H316">
        <v>4</v>
      </c>
      <c r="I316">
        <v>4</v>
      </c>
      <c r="J316">
        <v>3</v>
      </c>
      <c r="K316">
        <v>2</v>
      </c>
      <c r="L316">
        <v>7.5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950</v>
      </c>
      <c r="D317" t="s">
        <v>957</v>
      </c>
      <c r="E317" t="s">
        <v>39</v>
      </c>
      <c r="F317" t="s">
        <v>952</v>
      </c>
      <c r="G317">
        <v>4</v>
      </c>
      <c r="H317">
        <v>5</v>
      </c>
      <c r="I317">
        <v>5</v>
      </c>
      <c r="J317">
        <v>4</v>
      </c>
      <c r="K317">
        <v>2</v>
      </c>
      <c r="L317">
        <v>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950</v>
      </c>
      <c r="D318" t="s">
        <v>958</v>
      </c>
      <c r="E318" t="s">
        <v>39</v>
      </c>
      <c r="F318" t="s">
        <v>952</v>
      </c>
      <c r="G318">
        <v>5.2</v>
      </c>
      <c r="H318">
        <v>6</v>
      </c>
      <c r="I318">
        <v>6</v>
      </c>
      <c r="J318">
        <v>5</v>
      </c>
      <c r="K318">
        <v>2</v>
      </c>
      <c r="L318">
        <v>19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950</v>
      </c>
      <c r="D319" t="s">
        <v>959</v>
      </c>
      <c r="E319" t="s">
        <v>39</v>
      </c>
      <c r="F319" t="s">
        <v>952</v>
      </c>
      <c r="G319">
        <v>6.8</v>
      </c>
      <c r="H319">
        <v>7</v>
      </c>
      <c r="I319">
        <v>7</v>
      </c>
      <c r="J319">
        <v>6</v>
      </c>
      <c r="K319">
        <v>3</v>
      </c>
      <c r="L319">
        <v>30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950</v>
      </c>
      <c r="D320" t="s">
        <v>960</v>
      </c>
      <c r="E320" t="s">
        <v>39</v>
      </c>
      <c r="F320" t="s">
        <v>952</v>
      </c>
      <c r="G320">
        <v>10.199999999999999</v>
      </c>
      <c r="H320">
        <v>8</v>
      </c>
      <c r="I320">
        <v>8</v>
      </c>
      <c r="J320">
        <v>6</v>
      </c>
      <c r="K320">
        <v>3</v>
      </c>
      <c r="L320">
        <v>45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961</v>
      </c>
      <c r="D321" t="s">
        <v>962</v>
      </c>
      <c r="E321" t="s">
        <v>963</v>
      </c>
      <c r="F321" t="s">
        <v>964</v>
      </c>
      <c r="G321">
        <v>25</v>
      </c>
      <c r="H321" t="s">
        <v>965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961</v>
      </c>
      <c r="D322" t="s">
        <v>966</v>
      </c>
      <c r="E322" t="s">
        <v>963</v>
      </c>
      <c r="F322" t="s">
        <v>967</v>
      </c>
      <c r="G322">
        <v>20</v>
      </c>
      <c r="H322" t="s">
        <v>965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961</v>
      </c>
      <c r="D323" t="s">
        <v>968</v>
      </c>
      <c r="E323" t="s">
        <v>963</v>
      </c>
      <c r="F323" t="s">
        <v>969</v>
      </c>
      <c r="G323">
        <v>25</v>
      </c>
      <c r="H323" t="s">
        <v>965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53" si="5">A323+1</f>
        <v>323</v>
      </c>
      <c r="B324">
        <v>0</v>
      </c>
      <c r="C324" t="s">
        <v>961</v>
      </c>
      <c r="D324" t="s">
        <v>970</v>
      </c>
      <c r="E324" t="s">
        <v>963</v>
      </c>
      <c r="F324" t="s">
        <v>971</v>
      </c>
      <c r="G324">
        <v>20</v>
      </c>
      <c r="H324" t="s">
        <v>965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961</v>
      </c>
      <c r="D325" t="s">
        <v>972</v>
      </c>
      <c r="E325" t="s">
        <v>963</v>
      </c>
      <c r="F325" t="s">
        <v>973</v>
      </c>
      <c r="G325">
        <v>0.4</v>
      </c>
      <c r="H325" t="s">
        <v>965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961</v>
      </c>
      <c r="D326" t="s">
        <v>974</v>
      </c>
      <c r="E326" t="s">
        <v>963</v>
      </c>
      <c r="F326" t="s">
        <v>975</v>
      </c>
      <c r="G326">
        <v>3</v>
      </c>
      <c r="H326" t="s">
        <v>965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961</v>
      </c>
      <c r="D327" t="s">
        <v>976</v>
      </c>
      <c r="E327" t="s">
        <v>963</v>
      </c>
      <c r="F327" t="s">
        <v>977</v>
      </c>
      <c r="G327">
        <v>1.5</v>
      </c>
      <c r="H327" t="s">
        <v>965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961</v>
      </c>
      <c r="D328" t="s">
        <v>978</v>
      </c>
      <c r="E328" t="s">
        <v>963</v>
      </c>
      <c r="F328" t="s">
        <v>979</v>
      </c>
      <c r="G328">
        <v>0.15</v>
      </c>
      <c r="H328" t="s">
        <v>965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961</v>
      </c>
      <c r="D329" t="s">
        <v>980</v>
      </c>
      <c r="E329" t="s">
        <v>963</v>
      </c>
      <c r="F329" t="s">
        <v>981</v>
      </c>
      <c r="G329">
        <v>0.5</v>
      </c>
      <c r="H329" t="s">
        <v>965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961</v>
      </c>
      <c r="D330" t="s">
        <v>982</v>
      </c>
      <c r="E330" t="s">
        <v>963</v>
      </c>
      <c r="F330" t="s">
        <v>983</v>
      </c>
      <c r="G330">
        <v>25</v>
      </c>
      <c r="H330" t="s">
        <v>965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961</v>
      </c>
      <c r="D331" t="s">
        <v>984</v>
      </c>
      <c r="E331" t="s">
        <v>963</v>
      </c>
      <c r="F331" t="s">
        <v>985</v>
      </c>
      <c r="G331">
        <v>8</v>
      </c>
      <c r="H331" t="s">
        <v>986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961</v>
      </c>
      <c r="D332" t="s">
        <v>987</v>
      </c>
      <c r="E332" t="s">
        <v>963</v>
      </c>
      <c r="F332" t="s">
        <v>988</v>
      </c>
      <c r="G332">
        <v>15</v>
      </c>
      <c r="H332" t="s">
        <v>986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989</v>
      </c>
      <c r="D333" t="s">
        <v>990</v>
      </c>
      <c r="E333" t="s">
        <v>991</v>
      </c>
      <c r="F333" t="s">
        <v>992</v>
      </c>
      <c r="G333">
        <v>0.8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989</v>
      </c>
      <c r="D334" t="s">
        <v>993</v>
      </c>
      <c r="E334" t="s">
        <v>994</v>
      </c>
      <c r="F334" t="s">
        <v>995</v>
      </c>
      <c r="G334">
        <v>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989</v>
      </c>
      <c r="D335" t="s">
        <v>996</v>
      </c>
      <c r="E335" t="s">
        <v>997</v>
      </c>
      <c r="F335" t="s">
        <v>998</v>
      </c>
      <c r="G335">
        <v>7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5"/>
        <v>335</v>
      </c>
      <c r="B336">
        <v>0</v>
      </c>
      <c r="C336" t="s">
        <v>989</v>
      </c>
      <c r="D336" t="s">
        <v>999</v>
      </c>
      <c r="E336" t="s">
        <v>1000</v>
      </c>
      <c r="F336" t="s">
        <v>1001</v>
      </c>
      <c r="G336">
        <v>10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5"/>
        <v>336</v>
      </c>
      <c r="B337">
        <v>0</v>
      </c>
      <c r="C337" t="s">
        <v>989</v>
      </c>
      <c r="D337" t="s">
        <v>1002</v>
      </c>
      <c r="E337" t="s">
        <v>1003</v>
      </c>
      <c r="F337" t="s">
        <v>1004</v>
      </c>
      <c r="G337">
        <v>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5"/>
        <v>337</v>
      </c>
      <c r="B338">
        <v>0</v>
      </c>
      <c r="C338" t="s">
        <v>989</v>
      </c>
      <c r="D338" t="s">
        <v>1005</v>
      </c>
      <c r="E338" t="s">
        <v>1006</v>
      </c>
      <c r="F338" t="s">
        <v>1007</v>
      </c>
      <c r="G338">
        <v>5</v>
      </c>
      <c r="H338">
        <v>10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5"/>
        <v>338</v>
      </c>
      <c r="B339">
        <v>0</v>
      </c>
      <c r="C339" t="s">
        <v>989</v>
      </c>
      <c r="D339" t="s">
        <v>1008</v>
      </c>
      <c r="E339" t="s">
        <v>1009</v>
      </c>
      <c r="F339" t="s">
        <v>1010</v>
      </c>
      <c r="G339">
        <v>10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5"/>
        <v>339</v>
      </c>
      <c r="B340">
        <v>0</v>
      </c>
      <c r="C340" t="s">
        <v>950</v>
      </c>
      <c r="D340" t="s">
        <v>1011</v>
      </c>
      <c r="E340" t="s">
        <v>39</v>
      </c>
      <c r="F340" t="s">
        <v>1012</v>
      </c>
      <c r="G340">
        <v>15.3</v>
      </c>
      <c r="H340">
        <v>9</v>
      </c>
      <c r="I340">
        <v>9</v>
      </c>
      <c r="J340">
        <v>6</v>
      </c>
      <c r="K340">
        <v>3</v>
      </c>
      <c r="L340">
        <v>67.5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5"/>
        <v>340</v>
      </c>
      <c r="B341">
        <v>0</v>
      </c>
      <c r="C341" t="s">
        <v>950</v>
      </c>
      <c r="D341" t="s">
        <v>1013</v>
      </c>
      <c r="E341" t="s">
        <v>39</v>
      </c>
      <c r="F341" t="s">
        <v>1012</v>
      </c>
      <c r="G341">
        <v>22.95</v>
      </c>
      <c r="H341">
        <v>10</v>
      </c>
      <c r="I341">
        <v>10</v>
      </c>
      <c r="J341">
        <v>7</v>
      </c>
      <c r="K341">
        <v>3</v>
      </c>
      <c r="L341">
        <v>101.25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5"/>
        <v>341</v>
      </c>
      <c r="B342">
        <v>0</v>
      </c>
      <c r="C342" t="s">
        <v>633</v>
      </c>
      <c r="D342" t="s">
        <v>1014</v>
      </c>
      <c r="E342" t="s">
        <v>1015</v>
      </c>
      <c r="F342" t="s">
        <v>1016</v>
      </c>
      <c r="G342">
        <v>20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5"/>
        <v>342</v>
      </c>
      <c r="B343">
        <v>0</v>
      </c>
      <c r="C343" t="s">
        <v>633</v>
      </c>
      <c r="D343" t="s">
        <v>1017</v>
      </c>
      <c r="E343" t="s">
        <v>1018</v>
      </c>
      <c r="F343" t="s">
        <v>1019</v>
      </c>
      <c r="G343">
        <v>500000000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5"/>
        <v>343</v>
      </c>
      <c r="B344">
        <v>0</v>
      </c>
      <c r="C344" t="s">
        <v>633</v>
      </c>
      <c r="D344" t="s">
        <v>1020</v>
      </c>
      <c r="E344" t="s">
        <v>1021</v>
      </c>
      <c r="F344" t="s">
        <v>1022</v>
      </c>
      <c r="G344">
        <v>13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ht="15.75" x14ac:dyDescent="0.25">
      <c r="A345">
        <f t="shared" si="5"/>
        <v>344</v>
      </c>
      <c r="B345">
        <v>0</v>
      </c>
      <c r="C345" t="s">
        <v>18</v>
      </c>
      <c r="D345" t="s">
        <v>1023</v>
      </c>
      <c r="E345" s="2" t="s">
        <v>1064</v>
      </c>
      <c r="F345" t="s">
        <v>1024</v>
      </c>
      <c r="G345">
        <v>30</v>
      </c>
      <c r="H345">
        <v>3</v>
      </c>
      <c r="I345">
        <v>20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5"/>
        <v>345</v>
      </c>
      <c r="B346">
        <v>0</v>
      </c>
      <c r="C346" t="s">
        <v>18</v>
      </c>
      <c r="D346" t="s">
        <v>1025</v>
      </c>
      <c r="E346" t="s">
        <v>1026</v>
      </c>
      <c r="F346" t="s">
        <v>1027</v>
      </c>
      <c r="G346">
        <v>1000</v>
      </c>
      <c r="H346">
        <v>90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5"/>
        <v>346</v>
      </c>
      <c r="B347">
        <v>0</v>
      </c>
      <c r="C347" t="s">
        <v>925</v>
      </c>
      <c r="D347" t="s">
        <v>1028</v>
      </c>
      <c r="E347" t="s">
        <v>1029</v>
      </c>
      <c r="F347" t="s">
        <v>1030</v>
      </c>
      <c r="G347">
        <v>50000</v>
      </c>
      <c r="H347">
        <v>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5"/>
        <v>347</v>
      </c>
      <c r="B348">
        <v>0</v>
      </c>
      <c r="C348" t="s">
        <v>925</v>
      </c>
      <c r="D348" t="s">
        <v>1031</v>
      </c>
      <c r="E348" t="s">
        <v>1032</v>
      </c>
      <c r="F348" t="s">
        <v>1033</v>
      </c>
      <c r="G348">
        <v>10</v>
      </c>
      <c r="H348">
        <v>0.65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5"/>
        <v>348</v>
      </c>
      <c r="B349">
        <v>0</v>
      </c>
      <c r="C349" t="s">
        <v>925</v>
      </c>
      <c r="D349" t="s">
        <v>1034</v>
      </c>
      <c r="E349" t="s">
        <v>1035</v>
      </c>
      <c r="F349" t="s">
        <v>1036</v>
      </c>
      <c r="G349">
        <v>75</v>
      </c>
      <c r="H349">
        <v>100</v>
      </c>
      <c r="I349">
        <v>125</v>
      </c>
      <c r="J349">
        <v>150</v>
      </c>
      <c r="K349">
        <v>20</v>
      </c>
      <c r="L349">
        <v>30</v>
      </c>
      <c r="M349">
        <v>30</v>
      </c>
      <c r="N349">
        <v>20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5"/>
        <v>349</v>
      </c>
      <c r="B350">
        <v>0</v>
      </c>
      <c r="C350" t="s">
        <v>925</v>
      </c>
      <c r="D350" t="s">
        <v>1037</v>
      </c>
      <c r="E350" t="s">
        <v>1038</v>
      </c>
      <c r="F350" t="s">
        <v>1039</v>
      </c>
      <c r="G350">
        <v>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5"/>
        <v>350</v>
      </c>
      <c r="B351">
        <v>0</v>
      </c>
      <c r="C351" t="s">
        <v>925</v>
      </c>
      <c r="D351" t="s">
        <v>1040</v>
      </c>
      <c r="E351" t="s">
        <v>932</v>
      </c>
      <c r="F351" t="s">
        <v>1041</v>
      </c>
      <c r="G351">
        <v>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5"/>
        <v>351</v>
      </c>
      <c r="B352">
        <v>0</v>
      </c>
      <c r="C352" t="s">
        <v>925</v>
      </c>
      <c r="D352" t="s">
        <v>1042</v>
      </c>
      <c r="E352" t="s">
        <v>1043</v>
      </c>
      <c r="F352" t="s">
        <v>1044</v>
      </c>
      <c r="G352">
        <v>0.6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 t="shared" si="5"/>
        <v>352</v>
      </c>
      <c r="B353">
        <v>0</v>
      </c>
      <c r="C353" t="s">
        <v>626</v>
      </c>
      <c r="D353" t="s">
        <v>1045</v>
      </c>
      <c r="E353" t="s">
        <v>1046</v>
      </c>
      <c r="F353" t="s">
        <v>1047</v>
      </c>
      <c r="G353">
        <v>0.1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2026-07-31T12:40:14Z</dcterms:modified>
</cp:coreProperties>
</file>
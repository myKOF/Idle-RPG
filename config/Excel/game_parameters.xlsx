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EE72238A-F38E-433B-8E2F-4BBA3AE34E0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19" i="2"/>
  <c r="A320" i="2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74" i="2" l="1"/>
  <c r="U231" i="2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</calcChain>
</file>

<file path=xl/sharedStrings.xml><?xml version="1.0" encoding="utf-8"?>
<sst xmlns="http://schemas.openxmlformats.org/spreadsheetml/2006/main" count="1757" uniqueCount="1025">
  <si>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</si>
  <si>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</si>
  <si>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</si>
  <si>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</si>
  <si>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</si>
  <si>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</si>
  <si>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</si>
  <si>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</si>
  <si>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</si>
  <si>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</si>
  <si>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</si>
  <si>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</si>
  <si>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</si>
  <si>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</si>
  <si>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</si>
  <si>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</si>
  <si>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</si>
  <si>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</si>
  <si>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</si>
  <si>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</si>
  <si>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</si>
  <si>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</si>
  <si>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</si>
  <si>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</si>
  <si>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</si>
  <si>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</si>
  <si>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</si>
  <si>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</si>
  <si>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</si>
  <si>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</si>
  <si>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</si>
  <si>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</si>
  <si>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</si>
  <si>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</si>
  <si>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</si>
  <si>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</si>
  <si>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</si>
  <si>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</si>
  <si>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</si>
  <si>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</si>
  <si>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</si>
  <si>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</si>
  <si>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</si>
  <si>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</si>
  <si>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</si>
  <si>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</si>
  <si>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</si>
  <si>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</si>
  <si>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</si>
  <si>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</si>
  <si>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</si>
  <si>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</si>
  <si>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</si>
  <si>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</si>
  <si>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</si>
  <si>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</si>
  <si>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</si>
  <si>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</si>
  <si>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</si>
  <si>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</si>
  <si>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</si>
  <si>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</si>
  <si>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</si>
  <si>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</si>
  <si>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</si>
  <si>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</si>
  <si>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</si>
  <si>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</si>
  <si>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</si>
  <si>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</si>
  <si>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</si>
  <si>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</si>
  <si>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</si>
  <si>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</si>
  <si>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</si>
  <si>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</si>
  <si>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</si>
  <si>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</si>
  <si>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</si>
  <si>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</si>
  <si>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</si>
  <si>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</si>
  <si>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</si>
  <si>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</si>
  <si>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</si>
  <si>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</si>
  <si>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</si>
  <si>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</si>
  <si>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</si>
  <si>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</si>
  <si>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</si>
  <si>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</si>
  <si>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</si>
  <si>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</si>
  <si>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</si>
  <si>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</si>
  <si>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</si>
  <si>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</si>
  <si>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</si>
  <si>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</si>
  <si>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</si>
  <si>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</si>
  <si>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</si>
  <si>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</si>
  <si>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</si>
  <si>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</si>
  <si>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</si>
  <si>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</si>
  <si>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</si>
  <si>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</si>
  <si>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</si>
  <si>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</si>
  <si>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</si>
  <si>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</si>
  <si>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</si>
  <si>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</si>
  <si>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</si>
  <si>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</si>
  <si>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</si>
  <si>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</si>
  <si>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</si>
  <si>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</si>
  <si>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</si>
  <si>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</si>
  <si>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</si>
  <si>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</si>
  <si>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</si>
  <si>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</si>
  <si>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</si>
  <si>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</si>
  <si>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</si>
  <si>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</si>
  <si>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</si>
  <si>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</si>
  <si>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</si>
  <si>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</si>
  <si>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</si>
  <si>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</si>
  <si>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</si>
  <si>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</si>
  <si>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</si>
  <si>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</si>
  <si>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</si>
  <si>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</si>
  <si>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</si>
  <si>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</si>
  <si>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</si>
  <si>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</si>
  <si>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</si>
  <si>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</si>
  <si>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</si>
  <si>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</si>
  <si>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</si>
  <si>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</si>
  <si>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</si>
  <si>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</si>
  <si>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</si>
  <si>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</si>
  <si>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</si>
  <si>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</si>
  <si>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</si>
  <si>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</si>
  <si>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</si>
  <si>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</si>
  <si>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</si>
  <si>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</si>
  <si>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</si>
  <si>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</si>
  <si>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</si>
  <si>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</si>
  <si>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</si>
  <si>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</si>
  <si>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</si>
  <si>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</si>
  <si>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</si>
  <si>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</si>
  <si>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</si>
  <si>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</si>
  <si>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</si>
  <si>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</si>
  <si>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</si>
  <si>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</si>
  <si>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</si>
  <si>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</si>
  <si>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</si>
  <si>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</si>
  <si>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</si>
  <si>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</si>
  <si>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</si>
  <si>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</si>
  <si>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</si>
  <si>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</si>
  <si>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</si>
  <si>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</si>
  <si>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</si>
  <si>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</si>
  <si>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</si>
  <si>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</si>
  <si>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</si>
  <si>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</si>
  <si>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</si>
  <si>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</si>
  <si>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</si>
  <si>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</si>
  <si>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</si>
  <si>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</si>
  <si>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</si>
  <si>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</si>
  <si>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</si>
  <si>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</si>
  <si>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</si>
  <si>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</si>
  <si>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</si>
  <si>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</si>
  <si>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</si>
  <si>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</si>
  <si>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</si>
  <si>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</si>
  <si>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</si>
  <si>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</si>
  <si>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</si>
  <si>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</si>
  <si>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</si>
  <si>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</si>
  <si>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</si>
  <si>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</si>
  <si>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</si>
  <si>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</si>
  <si>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</si>
  <si>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</si>
  <si>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</si>
  <si>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</si>
  <si>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</si>
  <si>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</si>
  <si>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</si>
  <si>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</si>
  <si>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</si>
  <si>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</si>
  <si>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</si>
  <si>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</si>
  <si>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</si>
  <si>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</si>
  <si>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</si>
  <si>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</si>
  <si>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</si>
  <si>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</si>
  <si>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</si>
  <si>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</si>
  <si>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</si>
  <si>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</si>
  <si>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</si>
  <si>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</si>
  <si>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</si>
  <si>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</si>
  <si>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</si>
  <si>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</si>
  <si>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</si>
  <si>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</si>
  <si>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</si>
  <si>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</si>
  <si>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</si>
  <si>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</si>
  <si>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</si>
  <si>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</si>
  <si>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</si>
  <si>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</si>
  <si>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</si>
  <si>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</si>
  <si>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</si>
  <si>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</si>
  <si>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</si>
  <si>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</si>
  <si>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</si>
  <si>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</si>
  <si>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</si>
  <si>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</si>
  <si>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</si>
  <si>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</si>
  <si>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</si>
  <si>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</si>
  <si>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</si>
  <si>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</si>
  <si>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</si>
  <si>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</si>
  <si>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</si>
  <si>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</si>
  <si>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</si>
  <si>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</si>
  <si>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</si>
  <si>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</si>
  <si>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</si>
  <si>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</si>
  <si>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</si>
  <si>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</si>
  <si>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</si>
  <si>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</si>
  <si>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</si>
  <si>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</si>
  <si>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</si>
  <si>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</si>
  <si>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</si>
  <si>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</si>
  <si>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</si>
  <si>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</si>
  <si>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</si>
  <si>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</si>
  <si>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</si>
  <si>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</si>
  <si>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</si>
  <si>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</si>
  <si>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</si>
  <si>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</si>
  <si>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</si>
  <si>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</si>
  <si>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</si>
  <si>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</si>
  <si>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</si>
  <si>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</si>
  <si>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</si>
  <si>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</si>
  <si>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</si>
  <si>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</si>
  <si>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</si>
  <si>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</si>
  <si>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</si>
  <si>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</si>
  <si>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</si>
  <si>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</si>
  <si>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</si>
  <si>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</si>
  <si>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</si>
  <si>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</si>
  <si>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</si>
  <si>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</si>
  <si>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</si>
  <si>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</si>
  <si>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</si>
  <si>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</si>
  <si>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</si>
  <si>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</si>
  <si>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</si>
  <si>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</si>
  <si>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</si>
  <si>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</si>
  <si>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</si>
  <si>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</si>
  <si>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</si>
  <si>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</si>
  <si>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</si>
  <si>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</si>
  <si>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</si>
  <si>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</si>
  <si>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</si>
  <si>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</si>
  <si>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</si>
  <si>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</si>
  <si>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</si>
  <si>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</si>
  <si>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</si>
  <si>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</si>
  <si>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</si>
  <si>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</si>
  <si>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</si>
  <si>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</si>
  <si>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</si>
  <si>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</si>
  <si>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</si>
  <si>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</si>
  <si>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</si>
  <si>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</si>
  <si>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</si>
  <si>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</si>
  <si>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</si>
  <si>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</si>
  <si>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</si>
  <si>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</si>
  <si>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</si>
  <si>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</si>
  <si>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</si>
  <si>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</si>
  <si>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</si>
  <si>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</si>
  <si>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</si>
  <si>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</si>
  <si>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</si>
  <si>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</si>
  <si>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</si>
  <si>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</si>
  <si>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</si>
  <si>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</si>
  <si>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</si>
  <si>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</si>
  <si>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</si>
  <si>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</si>
  <si>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</si>
  <si>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</si>
  <si>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</si>
  <si>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</si>
  <si>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</si>
  <si>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</si>
  <si>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</si>
  <si>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</si>
  <si>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</si>
  <si>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</si>
  <si>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</si>
  <si>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</si>
  <si>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</si>
  <si>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</si>
  <si>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</si>
  <si>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</si>
  <si>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</si>
  <si>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</si>
  <si>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</si>
  <si>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</si>
  <si>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</si>
  <si>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</si>
  <si>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</si>
  <si>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</si>
  <si>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</si>
  <si>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</si>
  <si>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</si>
  <si>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</si>
  <si>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</si>
  <si>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</si>
  <si>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</si>
  <si>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</si>
  <si>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</si>
  <si>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</si>
  <si>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</si>
  <si>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</si>
  <si>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</si>
  <si>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</si>
  <si>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</si>
  <si>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</si>
  <si>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</si>
  <si>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</si>
  <si>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</si>
  <si>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</si>
  <si>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</si>
  <si>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</si>
  <si>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</si>
  <si>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</si>
  <si>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</si>
  <si>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</si>
  <si>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</si>
  <si>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</si>
  <si>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</si>
  <si>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</si>
  <si>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</si>
  <si>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</si>
  <si>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</si>
  <si>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</si>
  <si>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</si>
  <si>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</si>
  <si>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</si>
  <si>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</si>
  <si>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</si>
  <si>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</si>
  <si>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</si>
  <si>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</si>
  <si>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</si>
  <si>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</si>
  <si>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</si>
  <si>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</si>
  <si>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</si>
  <si>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</si>
  <si>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</si>
  <si>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</si>
  <si>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</si>
  <si>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</si>
  <si>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</si>
  <si>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</si>
  <si>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</si>
  <si>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</si>
  <si>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</si>
  <si>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</si>
  <si>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</si>
  <si>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</si>
  <si>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</si>
  <si>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</si>
  <si>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</si>
  <si>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</si>
  <si>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</si>
  <si>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</si>
  <si>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</si>
  <si>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</si>
  <si>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</si>
  <si>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</si>
  <si>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</si>
  <si>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</si>
  <si>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</si>
  <si>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</si>
  <si>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</si>
  <si>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</si>
  <si>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</si>
  <si>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</si>
  <si>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</si>
  <si>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</si>
  <si>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</si>
  <si>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</si>
  <si>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</si>
  <si>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</si>
  <si>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</si>
  <si>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</si>
  <si>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</si>
  <si>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</si>
  <si>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</si>
  <si>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</si>
  <si>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</si>
  <si>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</si>
  <si>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</si>
  <si>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</si>
  <si>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</si>
  <si>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</si>
  <si>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</si>
  <si>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</si>
  <si>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</si>
  <si>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</si>
  <si>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</si>
  <si>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</si>
  <si>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</si>
  <si>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</si>
  <si>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</si>
  <si>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</si>
  <si>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</si>
  <si>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</si>
  <si>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</si>
  <si>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</si>
  <si>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</si>
  <si>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</si>
  <si>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</si>
  <si>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</si>
  <si>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</si>
  <si>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</si>
  <si>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</si>
  <si>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</si>
  <si>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</si>
  <si>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</si>
  <si>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</si>
  <si>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</si>
  <si>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</si>
  <si>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</si>
  <si>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</si>
  <si>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</si>
  <si>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</si>
  <si>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</si>
  <si>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</si>
  <si>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</si>
  <si>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</si>
  <si>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</si>
  <si>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</si>
  <si>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</si>
  <si>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</si>
  <si>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</si>
  <si>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</si>
  <si>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</si>
  <si>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</si>
  <si>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</si>
  <si>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</si>
  <si>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</si>
  <si>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</si>
  <si>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</si>
  <si>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</si>
  <si>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</si>
  <si>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</si>
  <si>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</si>
  <si>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</si>
  <si>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</si>
  <si>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</si>
  <si>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</si>
  <si>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</si>
  <si>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</si>
  <si>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</si>
  <si>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</si>
  <si>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</si>
  <si>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</si>
  <si>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</si>
  <si>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</si>
  <si>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</si>
  <si>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</si>
  <si>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</si>
  <si>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</si>
  <si>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</si>
  <si>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</si>
  <si>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</si>
  <si>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</si>
  <si>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</si>
  <si>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</si>
  <si>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</si>
  <si>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</si>
  <si>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</si>
  <si>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</si>
  <si>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</si>
  <si>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</si>
  <si>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</si>
  <si>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</si>
  <si>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</si>
  <si>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</si>
  <si>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</si>
  <si>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</si>
  <si>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</si>
  <si>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</si>
  <si>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</si>
  <si>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</si>
  <si>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</si>
  <si>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</si>
  <si>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</si>
  <si>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</si>
  <si>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</si>
  <si>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</si>
  <si>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</si>
  <si>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</si>
  <si>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</si>
  <si>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</si>
  <si>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</si>
  <si>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</si>
  <si>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</si>
  <si>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</si>
  <si>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</si>
  <si>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</si>
  <si>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</si>
  <si>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</si>
  <si>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</si>
  <si>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</si>
  <si>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</si>
  <si>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</si>
  <si>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</si>
  <si>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</si>
  <si>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</si>
  <si>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</si>
  <si>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</si>
  <si>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</si>
  <si>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</si>
  <si>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</si>
  <si>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</si>
  <si>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</si>
  <si>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</si>
  <si>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</si>
  <si>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</si>
  <si>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</si>
  <si>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</si>
  <si>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</si>
  <si>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</si>
  <si>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</si>
  <si>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</si>
  <si>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</si>
  <si>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</si>
  <si>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</si>
  <si>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</si>
  <si>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</si>
  <si>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</si>
  <si>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</si>
  <si>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</si>
  <si>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</si>
  <si>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</si>
  <si>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</si>
  <si>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</si>
  <si>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</si>
  <si>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</si>
  <si>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</si>
  <si>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</si>
  <si>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</si>
  <si>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</si>
  <si>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</si>
  <si>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</si>
  <si>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</si>
  <si>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</si>
  <si>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</si>
  <si>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</si>
  <si>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</si>
  <si>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</si>
  <si>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</si>
  <si>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</si>
  <si>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</si>
  <si>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</si>
  <si>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</si>
  <si>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</si>
  <si>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</si>
  <si>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</si>
  <si>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</si>
  <si>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</si>
  <si>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</si>
  <si>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</si>
  <si>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</si>
  <si>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</si>
  <si>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</si>
  <si>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</si>
  <si>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</si>
  <si>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</si>
  <si>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</si>
  <si>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</si>
  <si>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</si>
  <si>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</si>
  <si>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</si>
  <si>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</si>
  <si>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</si>
  <si>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</si>
  <si>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</si>
  <si>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</si>
  <si>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</si>
  <si>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</si>
  <si>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</si>
  <si>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</si>
  <si>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</si>
  <si>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</si>
  <si>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</si>
  <si>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</si>
  <si>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</si>
  <si>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</si>
  <si>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</si>
  <si>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</si>
  <si>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</si>
  <si>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</si>
  <si>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</si>
  <si>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</si>
  <si>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</si>
  <si>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</si>
  <si>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</si>
  <si>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</si>
  <si>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</si>
  <si>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</si>
  <si>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</si>
  <si>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</si>
  <si>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</si>
  <si>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</si>
  <si>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</si>
  <si>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</si>
  <si>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</si>
  <si>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</si>
  <si>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</si>
  <si>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</si>
  <si>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</si>
  <si>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</si>
  <si>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</si>
  <si>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</si>
  <si>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</si>
  <si>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</si>
  <si>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</si>
  <si>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</si>
  <si>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</si>
  <si>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</si>
  <si>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</si>
  <si>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</si>
  <si>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</si>
  <si>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</si>
  <si>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</si>
  <si>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</si>
  <si>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</si>
  <si>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</si>
  <si>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</si>
  <si>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</si>
  <si>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</si>
  <si>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</si>
  <si>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</si>
  <si>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</si>
  <si>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</si>
  <si>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</si>
  <si>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</si>
  <si>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</si>
  <si>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</si>
  <si>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</si>
  <si>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</si>
  <si>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</si>
  <si>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</si>
  <si>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</si>
  <si>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</si>
  <si>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</si>
  <si>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</si>
  <si>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</si>
  <si>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</si>
  <si>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</si>
  <si>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</si>
  <si>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</si>
  <si>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</si>
  <si>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</si>
  <si>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</si>
  <si>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</si>
  <si>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</si>
  <si>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</si>
  <si>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</si>
  <si>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</si>
  <si>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</si>
  <si>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</si>
  <si>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</si>
  <si>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</si>
  <si>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</si>
  <si>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</si>
  <si>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</si>
  <si>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</si>
  <si>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</si>
  <si>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</si>
  <si>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</si>
  <si>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</si>
  <si>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</si>
  <si>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</si>
  <si>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</si>
  <si>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</si>
  <si>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</si>
  <si>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</si>
  <si>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</si>
  <si>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</si>
  <si>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</si>
  <si>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</si>
  <si>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</si>
  <si>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</si>
  <si>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</si>
  <si>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</si>
  <si>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</si>
  <si>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</si>
  <si>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</si>
  <si>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</si>
  <si>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</si>
  <si>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</si>
  <si>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</si>
  <si>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</si>
  <si>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</si>
  <si>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</si>
  <si>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</si>
  <si>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</si>
  <si>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</si>
  <si>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</si>
  <si>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</si>
  <si>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</si>
  <si>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</si>
  <si>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</si>
  <si>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</si>
  <si>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</si>
  <si>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</si>
  <si>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</si>
  <si>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</si>
  <si>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</si>
  <si>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</si>
  <si>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</si>
  <si>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</si>
  <si>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</si>
  <si>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</si>
  <si>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</si>
  <si>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</si>
  <si>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</si>
  <si>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</si>
  <si>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</si>
  <si>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</si>
  <si>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</si>
  <si>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</si>
  <si>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</si>
  <si>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</si>
  <si>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</si>
  <si>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</si>
  <si>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</si>
  <si>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</si>
  <si>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</si>
  <si>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</si>
  <si>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</si>
  <si>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</si>
  <si>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</si>
  <si>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</si>
  <si>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</si>
  <si>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</si>
  <si>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</si>
  <si>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</si>
  <si>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</si>
  <si>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</si>
  <si>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</si>
  <si>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</si>
  <si>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</si>
  <si>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</si>
  <si>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</si>
  <si>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</si>
  <si>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</si>
  <si>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</si>
  <si>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</si>
  <si>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</si>
  <si>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</si>
  <si>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</si>
  <si>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</si>
  <si>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</si>
  <si>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</si>
  <si>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</si>
  <si>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</si>
  <si>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</si>
  <si>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</si>
  <si>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</si>
  <si>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</si>
  <si>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</si>
  <si>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</si>
  <si>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</si>
  <si>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</si>
  <si>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</si>
  <si>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</si>
  <si>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</si>
  <si>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</si>
  <si>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</si>
  <si>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</si>
  <si>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</si>
  <si>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</si>
  <si>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</si>
  <si>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</si>
  <si>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</si>
  <si>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</si>
  <si>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</si>
  <si>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</si>
  <si>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</si>
  <si>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</si>
  <si>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</si>
  <si>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</si>
  <si>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</si>
  <si>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</si>
  <si>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</si>
  <si>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</si>
  <si>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</si>
  <si>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</si>
  <si>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</si>
  <si>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</si>
  <si>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</si>
  <si>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</si>
  <si>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</si>
  <si>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</si>
  <si>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</si>
  <si>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</si>
  <si>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</si>
  <si>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</si>
  <si>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</si>
  <si>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</si>
  <si>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</si>
  <si>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</si>
  <si>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</si>
  <si>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</si>
  <si>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</si>
  <si>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</si>
  <si>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</si>
  <si>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</si>
  <si>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</si>
  <si>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</si>
  <si>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</si>
  <si>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</si>
  <si>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</si>
  <si>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</si>
  <si>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</si>
  <si>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</si>
  <si>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</si>
  <si>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</si>
  <si>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</si>
  <si>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</si>
  <si>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</si>
  <si>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</si>
  <si>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</si>
  <si>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</si>
  <si>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</si>
  <si>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</si>
  <si>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</si>
  <si>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</si>
  <si>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</si>
  <si>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</si>
  <si>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</si>
  <si>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</si>
  <si>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</si>
  <si>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</si>
  <si>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</si>
  <si>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</si>
  <si>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</si>
  <si>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</si>
  <si>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</si>
  <si>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</si>
  <si>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</si>
  <si>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</si>
  <si>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</si>
  <si>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</si>
  <si>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</si>
  <si>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</si>
  <si>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</si>
  <si>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</si>
  <si>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</si>
  <si>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</si>
  <si>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</si>
  <si>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</si>
  <si>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</si>
  <si>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</si>
  <si>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</si>
  <si>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</si>
  <si>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</si>
  <si>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</si>
  <si>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</si>
  <si>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</si>
  <si>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</si>
  <si>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</si>
  <si>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</si>
  <si>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</si>
  <si>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</si>
  <si>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</si>
  <si>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</si>
  <si>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</si>
  <si>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</si>
  <si>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</si>
  <si>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</si>
  <si>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</si>
  <si>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</si>
  <si>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</si>
  <si>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</si>
  <si>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</si>
  <si>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</si>
  <si>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</si>
  <si>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</si>
  <si>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</si>
  <si>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</si>
  <si>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</si>
  <si>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</si>
  <si>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</si>
  <si>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</si>
  <si>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</si>
  <si>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</si>
  <si>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</si>
  <si>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</si>
  <si>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</si>
  <si>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</si>
  <si>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</si>
  <si>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</si>
  <si>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</si>
  <si>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</si>
  <si>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</si>
  <si>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</si>
  <si>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</si>
  <si>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</si>
  <si>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</si>
  <si>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</si>
  <si>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{0.75,1,1.5,1.75,2,3,4,5}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</si>
</sst>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1"/>
  <sheetViews>
    <sheetView topLeftCell="A296" workbookViewId="0">
      <selection activeCell="G320" sqref="G32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 t="str">
        <f>計算表!G312</f>
        <v>{0.75,1,1.5,1.75,2,3,4,5}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換目標間隔</v>
      </c>
      <c r="E320" t="str">
        <f>計算表!E320</f>
        <v>公式 a 秒</v>
      </c>
      <c r="F320" t="str">
        <f>計算表!F320</f>
        <v>轉頭打下一隻敵人的間隔時間</v>
      </c>
      <c r="G320">
        <f>計算表!G320</f>
        <v>0.7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普通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</v>
      </c>
      <c r="H321">
        <f>計算表!H321</f>
        <v>1</v>
      </c>
      <c r="I321">
        <f>計算表!I321</f>
        <v>1</v>
      </c>
      <c r="J321">
        <f>計算表!J321</f>
        <v>1</v>
      </c>
      <c r="K321">
        <f>計算表!K321</f>
        <v>0</v>
      </c>
      <c r="L321">
        <f>計算表!L321</f>
        <v>1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精良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1.35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1.7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稀有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1.75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2.8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獨特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2.2999999999999998</v>
      </c>
      <c r="H324">
        <f>計算表!H324</f>
        <v>3</v>
      </c>
      <c r="I324">
        <f>計算表!I324</f>
        <v>3</v>
      </c>
      <c r="J324">
        <f>計算表!J324</f>
        <v>2</v>
      </c>
      <c r="K324">
        <f>計算表!K324</f>
        <v>1</v>
      </c>
      <c r="L324">
        <f>計算表!L324</f>
        <v>4.5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史詩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3</v>
      </c>
      <c r="H325">
        <f>計算表!H325</f>
        <v>4</v>
      </c>
      <c r="I325">
        <f>計算表!I325</f>
        <v>4</v>
      </c>
      <c r="J325">
        <f>計算表!J325</f>
        <v>3</v>
      </c>
      <c r="K325">
        <f>計算表!K325</f>
        <v>2</v>
      </c>
      <c r="L325">
        <f>計算表!L325</f>
        <v>7.5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傳說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4</v>
      </c>
      <c r="H326">
        <f>計算表!H326</f>
        <v>5</v>
      </c>
      <c r="I326">
        <f>計算表!I326</f>
        <v>5</v>
      </c>
      <c r="J326">
        <f>計算表!J326</f>
        <v>4</v>
      </c>
      <c r="K326">
        <f>計算表!K326</f>
        <v>2</v>
      </c>
      <c r="L326">
        <f>計算表!L326</f>
        <v>12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神話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5.2</v>
      </c>
      <c r="H327">
        <f>計算表!H327</f>
        <v>6</v>
      </c>
      <c r="I327">
        <f>計算表!I327</f>
        <v>6</v>
      </c>
      <c r="J327">
        <f>計算表!J327</f>
        <v>5</v>
      </c>
      <c r="K327">
        <f>計算表!K327</f>
        <v>2</v>
      </c>
      <c r="L327">
        <f>計算表!L327</f>
        <v>19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6.8</v>
      </c>
      <c r="H328">
        <f>計算表!H328</f>
        <v>7</v>
      </c>
      <c r="I328">
        <f>計算表!I328</f>
        <v>7</v>
      </c>
      <c r="J328">
        <f>計算表!J328</f>
        <v>6</v>
      </c>
      <c r="K328">
        <f>計算表!K328</f>
        <v>3</v>
      </c>
      <c r="L328">
        <f>計算表!L328</f>
        <v>30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神鑄創世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10.199999999999999</v>
      </c>
      <c r="H329">
        <f>計算表!H329</f>
        <v>8</v>
      </c>
      <c r="I329">
        <f>計算表!I329</f>
        <v>8</v>
      </c>
      <c r="J329">
        <f>計算表!J329</f>
        <v>6</v>
      </c>
      <c r="K329">
        <f>計算表!K329</f>
        <v>3</v>
      </c>
      <c r="L329">
        <f>計算表!L329</f>
        <v>45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15.3</v>
      </c>
      <c r="H330">
        <f>計算表!H330</f>
        <v>9</v>
      </c>
      <c r="I330">
        <f>計算表!I330</f>
        <v>9</v>
      </c>
      <c r="J330">
        <f>計算表!J330</f>
        <v>6</v>
      </c>
      <c r="K330">
        <f>計算表!K330</f>
        <v>3</v>
      </c>
      <c r="L330">
        <f>計算表!L330</f>
        <v>67.5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神鑄混沌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22.95</v>
      </c>
      <c r="H331">
        <f>計算表!H331</f>
        <v>10</v>
      </c>
      <c r="I331">
        <f>計算表!I331</f>
        <v>10</v>
      </c>
      <c r="J331">
        <f>計算表!J331</f>
        <v>7</v>
      </c>
      <c r="K331">
        <f>計算表!K331</f>
        <v>3</v>
      </c>
      <c r="L331">
        <f>計算表!L331</f>
        <v>101.25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1"/>
  <sheetViews>
    <sheetView tabSelected="1" topLeftCell="A296" workbookViewId="0">
      <selection activeCell="G320" sqref="G320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974</v>
      </c>
      <c r="D2" t="s">
        <v>975</v>
      </c>
      <c r="E2" t="s">
        <v>976</v>
      </c>
      <c r="F2" t="s">
        <v>977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974</v>
      </c>
      <c r="D3" t="s">
        <v>978</v>
      </c>
      <c r="E3" t="s">
        <v>976</v>
      </c>
      <c r="F3" t="s">
        <v>979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974</v>
      </c>
      <c r="D4" t="s">
        <v>980</v>
      </c>
      <c r="E4" t="s">
        <v>976</v>
      </c>
      <c r="F4" t="s">
        <v>981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948</v>
      </c>
      <c r="E15" t="s">
        <v>949</v>
      </c>
      <c r="F15" t="s">
        <v>950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951</v>
      </c>
      <c r="E16" t="s">
        <v>952</v>
      </c>
      <c r="F16" t="s">
        <v>953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982</v>
      </c>
      <c r="E96" s="2" t="s">
        <v>983</v>
      </c>
      <c r="F96" s="2" t="s">
        <v>984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1004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990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985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986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987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988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989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991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992</v>
      </c>
      <c r="E135" t="s">
        <v>283</v>
      </c>
      <c r="F135" t="s">
        <v>312</v>
      </c>
      <c r="G135" s="3" t="s">
        <v>997</v>
      </c>
      <c r="H135" s="3" t="s">
        <v>995</v>
      </c>
      <c r="I135" s="3" t="s">
        <v>996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993</v>
      </c>
      <c r="E136" t="s">
        <v>283</v>
      </c>
      <c r="F136" t="s">
        <v>312</v>
      </c>
      <c r="G136" s="3" t="s">
        <v>998</v>
      </c>
      <c r="H136" s="3" t="s">
        <v>999</v>
      </c>
      <c r="I136" s="3" t="s">
        <v>1000</v>
      </c>
      <c r="J136" s="3" t="s">
        <v>1002</v>
      </c>
      <c r="K136" s="3" t="s">
        <v>1001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994</v>
      </c>
      <c r="E137" t="s">
        <v>283</v>
      </c>
      <c r="F137" t="s">
        <v>312</v>
      </c>
      <c r="G137" s="3" t="s">
        <v>1013</v>
      </c>
      <c r="H137" s="3" t="s">
        <v>1014</v>
      </c>
      <c r="I137" s="3" t="s">
        <v>1015</v>
      </c>
      <c r="J137" s="3" t="s">
        <v>1016</v>
      </c>
      <c r="K137" s="3" t="s">
        <v>1017</v>
      </c>
      <c r="L137" s="3" t="s">
        <v>1018</v>
      </c>
      <c r="M137" s="3" t="s">
        <v>1019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1003</v>
      </c>
      <c r="E138" t="s">
        <v>283</v>
      </c>
      <c r="F138" t="s">
        <v>312</v>
      </c>
      <c r="G138" s="3" t="s">
        <v>1006</v>
      </c>
      <c r="H138" s="3" t="s">
        <v>1007</v>
      </c>
      <c r="I138" s="3" t="s">
        <v>1005</v>
      </c>
      <c r="J138" s="3" t="s">
        <v>1008</v>
      </c>
      <c r="K138" s="3" t="s">
        <v>1009</v>
      </c>
      <c r="L138" s="3" t="s">
        <v>1010</v>
      </c>
      <c r="M138" s="3" t="s">
        <v>1011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971</v>
      </c>
      <c r="E183" t="s">
        <v>972</v>
      </c>
      <c r="F183" t="s">
        <v>973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939</v>
      </c>
      <c r="E195" t="s">
        <v>940</v>
      </c>
      <c r="F195" t="s">
        <v>941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942</v>
      </c>
      <c r="E196" t="s">
        <v>943</v>
      </c>
      <c r="F196" t="s">
        <v>944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945</v>
      </c>
      <c r="E197" t="s">
        <v>946</v>
      </c>
      <c r="F197" t="s">
        <v>947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1012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954</v>
      </c>
      <c r="E297" t="s">
        <v>955</v>
      </c>
      <c r="F297" t="s">
        <v>956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957</v>
      </c>
      <c r="E298" t="s">
        <v>958</v>
      </c>
      <c r="F298" t="s">
        <v>959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960</v>
      </c>
      <c r="E299" t="s">
        <v>961</v>
      </c>
      <c r="F299" t="s">
        <v>962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963</v>
      </c>
      <c r="E300" t="s">
        <v>964</v>
      </c>
      <c r="F300" t="s">
        <v>965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966</v>
      </c>
      <c r="E301" t="s">
        <v>616</v>
      </c>
      <c r="F301" t="s">
        <v>967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968</v>
      </c>
      <c r="E302" t="s">
        <v>969</v>
      </c>
      <c r="F302" t="s">
        <v>970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s="3" t="s">
        <v>1020</v>
      </c>
      <c r="F312" t="s">
        <v>914</v>
      </c>
      <c r="G312" s="3" t="s">
        <v>1024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915</v>
      </c>
      <c r="E313" t="s">
        <v>916</v>
      </c>
      <c r="F313" t="s">
        <v>917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918</v>
      </c>
      <c r="E314" t="s">
        <v>919</v>
      </c>
      <c r="F314" t="s">
        <v>920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921</v>
      </c>
      <c r="E315" t="s">
        <v>922</v>
      </c>
      <c r="F315" t="s">
        <v>923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924</v>
      </c>
      <c r="E316" t="s">
        <v>925</v>
      </c>
      <c r="F316" t="s">
        <v>926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927</v>
      </c>
      <c r="E317" t="s">
        <v>928</v>
      </c>
      <c r="F317" t="s">
        <v>929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930</v>
      </c>
      <c r="E318" t="s">
        <v>931</v>
      </c>
      <c r="F318" t="s">
        <v>932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933</v>
      </c>
      <c r="E319" t="s">
        <v>934</v>
      </c>
      <c r="F319" t="s">
        <v>935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.75" x14ac:dyDescent="0.25">
      <c r="A320">
        <f t="shared" si="8"/>
        <v>319</v>
      </c>
      <c r="B320">
        <v>0</v>
      </c>
      <c r="C320" t="s">
        <v>912</v>
      </c>
      <c r="D320" t="s">
        <v>1021</v>
      </c>
      <c r="E320" t="s">
        <v>1022</v>
      </c>
      <c r="F320" s="5" t="s">
        <v>1023</v>
      </c>
      <c r="G320">
        <v>0.7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881</v>
      </c>
      <c r="E321" t="s">
        <v>39</v>
      </c>
      <c r="F321" t="s">
        <v>882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883</v>
      </c>
      <c r="E322" t="s">
        <v>39</v>
      </c>
      <c r="F322" t="s">
        <v>882</v>
      </c>
      <c r="G322">
        <v>1.35</v>
      </c>
      <c r="H322">
        <v>2</v>
      </c>
      <c r="I322">
        <v>2</v>
      </c>
      <c r="J322">
        <v>1</v>
      </c>
      <c r="K322">
        <v>1</v>
      </c>
      <c r="L322">
        <v>1.7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884</v>
      </c>
      <c r="E323" t="s">
        <v>39</v>
      </c>
      <c r="F323" t="s">
        <v>882</v>
      </c>
      <c r="G323">
        <v>1.75</v>
      </c>
      <c r="H323">
        <v>2</v>
      </c>
      <c r="I323">
        <v>2</v>
      </c>
      <c r="J323">
        <v>1</v>
      </c>
      <c r="K323">
        <v>1</v>
      </c>
      <c r="L323">
        <v>2.8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880</v>
      </c>
      <c r="D324" t="s">
        <v>885</v>
      </c>
      <c r="E324" t="s">
        <v>39</v>
      </c>
      <c r="F324" t="s">
        <v>882</v>
      </c>
      <c r="G324">
        <v>2.2999999999999998</v>
      </c>
      <c r="H324">
        <v>3</v>
      </c>
      <c r="I324">
        <v>3</v>
      </c>
      <c r="J324">
        <v>2</v>
      </c>
      <c r="K324">
        <v>1</v>
      </c>
      <c r="L324">
        <v>4.5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1" si="9">A324+1</f>
        <v>324</v>
      </c>
      <c r="B325">
        <v>0</v>
      </c>
      <c r="C325" t="s">
        <v>880</v>
      </c>
      <c r="D325" t="s">
        <v>886</v>
      </c>
      <c r="E325" t="s">
        <v>39</v>
      </c>
      <c r="F325" t="s">
        <v>882</v>
      </c>
      <c r="G325">
        <v>3</v>
      </c>
      <c r="H325">
        <v>4</v>
      </c>
      <c r="I325">
        <v>4</v>
      </c>
      <c r="J325">
        <v>3</v>
      </c>
      <c r="K325">
        <v>2</v>
      </c>
      <c r="L325">
        <v>7.5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887</v>
      </c>
      <c r="E326" t="s">
        <v>39</v>
      </c>
      <c r="F326" t="s">
        <v>882</v>
      </c>
      <c r="G326">
        <v>4</v>
      </c>
      <c r="H326">
        <v>5</v>
      </c>
      <c r="I326">
        <v>5</v>
      </c>
      <c r="J326">
        <v>4</v>
      </c>
      <c r="K326">
        <v>2</v>
      </c>
      <c r="L326">
        <v>12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888</v>
      </c>
      <c r="E327" t="s">
        <v>39</v>
      </c>
      <c r="F327" t="s">
        <v>882</v>
      </c>
      <c r="G327">
        <v>5.2</v>
      </c>
      <c r="H327">
        <v>6</v>
      </c>
      <c r="I327">
        <v>6</v>
      </c>
      <c r="J327">
        <v>5</v>
      </c>
      <c r="K327">
        <v>2</v>
      </c>
      <c r="L327">
        <v>19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889</v>
      </c>
      <c r="E328" t="s">
        <v>39</v>
      </c>
      <c r="F328" t="s">
        <v>882</v>
      </c>
      <c r="G328">
        <v>6.8</v>
      </c>
      <c r="H328">
        <v>7</v>
      </c>
      <c r="I328">
        <v>7</v>
      </c>
      <c r="J328">
        <v>6</v>
      </c>
      <c r="K328">
        <v>3</v>
      </c>
      <c r="L328">
        <v>30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890</v>
      </c>
      <c r="E329" t="s">
        <v>39</v>
      </c>
      <c r="F329" t="s">
        <v>882</v>
      </c>
      <c r="G329">
        <v>10.199999999999999</v>
      </c>
      <c r="H329">
        <v>8</v>
      </c>
      <c r="I329">
        <v>8</v>
      </c>
      <c r="J329">
        <v>6</v>
      </c>
      <c r="K329">
        <v>3</v>
      </c>
      <c r="L329">
        <v>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936</v>
      </c>
      <c r="E330" t="s">
        <v>39</v>
      </c>
      <c r="F330" t="s">
        <v>937</v>
      </c>
      <c r="G330">
        <v>15.3</v>
      </c>
      <c r="H330">
        <v>9</v>
      </c>
      <c r="I330">
        <v>9</v>
      </c>
      <c r="J330">
        <v>6</v>
      </c>
      <c r="K330">
        <v>3</v>
      </c>
      <c r="L330">
        <v>67.5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880</v>
      </c>
      <c r="D331" t="s">
        <v>938</v>
      </c>
      <c r="E331" t="s">
        <v>39</v>
      </c>
      <c r="F331" t="s">
        <v>937</v>
      </c>
      <c r="G331">
        <v>22.95</v>
      </c>
      <c r="H331">
        <v>10</v>
      </c>
      <c r="I331">
        <v>10</v>
      </c>
      <c r="J331">
        <v>7</v>
      </c>
      <c r="K331">
        <v>3</v>
      </c>
      <c r="L331">
        <v>101.25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</sheetData>
  <sortState xmlns:xlrd2="http://schemas.microsoft.com/office/spreadsheetml/2017/richdata2" ref="A2:R331">
    <sortCondition ref="C2:C33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2026-08-13T05:59:38Z</dcterms:modified>
</cp:coreProperties>
</file>
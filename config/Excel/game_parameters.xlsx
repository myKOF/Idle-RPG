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64D51D18-4E78-49CB-A99C-94036137BC0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1" l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306" i="2"/>
  <c r="A307" i="2"/>
  <c r="A308" i="2" s="1"/>
  <c r="A309" i="2" s="1"/>
  <c r="A310" i="2" s="1"/>
  <c r="A311" i="2" s="1"/>
  <c r="A31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2" i="1"/>
  <c r="A313" i="2" l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8" i="2"/>
  <c r="A356" i="2" l="1"/>
  <c r="A39" i="2"/>
  <c r="A357" i="2" l="1"/>
  <c r="A40" i="2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</calcChain>
</file>

<file path=xl/sharedStrings.xml><?xml version="1.0" encoding="utf-8"?>
<sst xmlns="http://schemas.openxmlformats.org/spreadsheetml/2006/main" count="1904" uniqueCount="1094">
  <si>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</si>
  <si>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</si>
  <si>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</si>
  <si>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</si>
  <si>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</si>
  <si>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</si>
  <si>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</si>
  <si>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</si>
  <si>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</si>
  <si>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</si>
  <si>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</si>
  <si>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</si>
  <si>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</si>
  <si>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</si>
  <si>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</si>
  <si>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</si>
  <si>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</si>
  <si>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</si>
  <si>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上限 = a（0=無上限）</t>
  </si>
  <si>
    <t>a=詞條上限率上限（%）。影響裝備洗煉時更高數值的出現機率；0 代表無上限。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</si>
  <si>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</si>
  <si>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</si>
  <si>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</si>
  <si>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</si>
  <si>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</si>
  <si>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</si>
  <si>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</si>
  <si>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</si>
  <si>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</si>
  <si>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</si>
  <si>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</si>
  <si>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</si>
  <si>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</si>
  <si>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</si>
  <si>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</si>
  <si>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</si>
  <si>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</si>
  <si>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</si>
  <si>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</si>
  <si>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</si>
  <si>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</si>
  <si>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</si>
  <si>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</si>
  <si>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</si>
  <si>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</si>
  <si>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</si>
  <si>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</si>
  <si>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</si>
  <si>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</si>
  <si>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</si>
  <si>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</si>
  <si>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</si>
  <si>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</si>
  <si>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</si>
  <si>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</si>
  <si>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</si>
  <si>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</si>
  <si>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</si>
  <si>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</si>
  <si>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</si>
  <si>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</si>
  <si>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</si>
  <si>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</si>
  <si>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</si>
  <si>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</si>
  <si>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</si>
  <si>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</si>
  <si>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</si>
  <si>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</si>
  <si>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</si>
  <si>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</si>
  <si>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</si>
  <si>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</si>
  <si>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</si>
  <si>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</si>
  <si>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</si>
  <si>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</si>
  <si>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</si>
  <si>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</si>
  <si>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</si>
  <si>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</si>
  <si>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</si>
  <si>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</si>
  <si>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</si>
  <si>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</si>
  <si>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</si>
  <si>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</si>
  <si>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</si>
  <si>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</si>
  <si>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</si>
  <si>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</si>
  <si>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</si>
  <si>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</si>
  <si>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</si>
  <si>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</si>
  <si>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</si>
  <si>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</si>
  <si>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</si>
  <si>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</si>
  <si>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</si>
  <si>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</si>
  <si>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</si>
  <si>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</si>
  <si>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</si>
  <si>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</si>
  <si>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</si>
  <si>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</si>
  <si>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</si>
  <si>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</si>
  <si>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</si>
  <si>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</si>
  <si>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</si>
  <si>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</si>
  <si>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</si>
  <si>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</si>
  <si>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</si>
  <si>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</si>
  <si>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</si>
  <si>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</si>
  <si>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</si>
  <si>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</si>
  <si>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</si>
  <si>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</si>
  <si>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</si>
  <si>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</si>
  <si>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</si>
  <si>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</si>
  <si>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</si>
  <si>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</si>
  <si>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</si>
  <si>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</si>
  <si>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</si>
  <si>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</si>
  <si>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</si>
  <si>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</si>
  <si>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</si>
  <si>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</si>
  <si>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</si>
  <si>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</si>
  <si>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</si>
  <si>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</si>
  <si>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</si>
  <si>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</si>
  <si>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</si>
  <si>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</si>
  <si>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</si>
  <si>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</si>
  <si>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</si>
  <si>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r>
      <rPr>
        <sz val="11"/>
        <rFont val="微軟正黑體"/>
        <family val="2"/>
      </rPr>
      <t>(最大生命</t>
    </r>
    <r>
      <rPr>
        <sz val="11"/>
        <rFont val="細明體"/>
        <family val="2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</rPr>
      <t>秒</t>
    </r>
  </si>
  <si>
    <r>
      <t>a=</t>
    </r>
    <r>
      <rPr>
        <sz val="11"/>
        <rFont val="細明體"/>
        <family val="3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</rPr>
      <t>基礎值</t>
    </r>
    <r>
      <rPr>
        <sz val="11"/>
        <rFont val="微軟正黑體"/>
        <family val="2"/>
      </rPr>
      <t>。</t>
    </r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</si>
  <si>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</si>
  <si>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</si>
  <si>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</si>
  <si>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</si>
  <si>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</si>
  <si>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</si>
  <si>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</si>
  <si>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</si>
  <si>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</si>
  <si>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</si>
  <si>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</si>
  <si>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</si>
  <si>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</si>
  <si>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</si>
  <si>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</si>
  <si>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</si>
  <si>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</si>
  <si>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</si>
  <si>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</si>
  <si>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</si>
  <si>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</si>
  <si>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</si>
  <si>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</si>
  <si>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</si>
  <si>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</si>
  <si>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</si>
  <si>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</si>
  <si>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</si>
  <si>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</si>
  <si>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</si>
  <si>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</si>
  <si>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</si>
  <si>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</si>
  <si>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</si>
  <si>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</si>
  <si>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</si>
  <si>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</si>
  <si>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</si>
  <si>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</si>
  <si>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</si>
  <si>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</si>
  <si>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</si>
  <si>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</si>
  <si>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</si>
  <si>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</si>
  <si>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</si>
  <si>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</si>
  <si>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</si>
  <si>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</si>
  <si>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r>
      <t xml:space="preserve">1 -  a / (1+( </t>
    </r>
    <r>
      <rPr>
        <sz val="11"/>
        <rFont val="微軟正黑體"/>
        <family val="2"/>
      </rPr>
      <t>抗性值</t>
    </r>
    <r>
      <rPr>
        <sz val="11"/>
        <rFont val="Calibri"/>
        <family val="2"/>
      </rPr>
      <t xml:space="preserve"> / b)^c)</t>
    </r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</si>
  <si>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</si>
  <si>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</si>
  <si>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</si>
  <si>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</si>
  <si>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</si>
  <si>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</si>
  <si>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</si>
  <si>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</si>
  <si>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</si>
  <si>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</si>
  <si>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</si>
  <si>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</si>
  <si>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</si>
  <si>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</si>
  <si>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</si>
  <si>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</si>
  <si>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</si>
  <si>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</si>
  <si>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</si>
  <si>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</si>
  <si>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</si>
  <si>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</si>
  <si>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</si>
  <si>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</si>
  <si>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</si>
  <si>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</si>
  <si>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</si>
  <si>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</si>
  <si>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</si>
  <si>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</si>
  <si>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</si>
  <si>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</si>
  <si>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</si>
  <si>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</si>
  <si>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</si>
  <si>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</si>
  <si>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</si>
  <si>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</si>
  <si>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</si>
  <si>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</si>
  <si>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</si>
  <si>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</si>
  <si>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</si>
  <si>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</si>
  <si>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</si>
  <si>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</si>
  <si>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</si>
  <si>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</si>
  <si>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</si>
  <si>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</si>
  <si>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</si>
  <si>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</si>
  <si>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</si>
  <si>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</si>
  <si>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</si>
  <si>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</si>
  <si>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</si>
  <si>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</si>
  <si>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</si>
  <si>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</si>
  <si>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</si>
  <si>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</si>
  <si>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</si>
  <si>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</si>
  <si>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</si>
  <si>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</si>
  <si>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</si>
  <si>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</si>
  <si>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</si>
  <si>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</si>
  <si>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</si>
  <si>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</si>
  <si>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</si>
  <si>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</si>
  <si>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</si>
  <si>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</si>
  <si>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</si>
  <si>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</si>
  <si>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</si>
  <si>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</si>
  <si>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</si>
  <si>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</si>
  <si>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</si>
  <si>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</si>
  <si>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</si>
  <si>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</si>
  <si>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</si>
  <si>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</si>
  <si>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</si>
  <si>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</si>
  <si>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</si>
  <si>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</si>
  <si>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</si>
  <si>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</si>
  <si>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</si>
  <si>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</si>
  <si>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</rPr>
      <t>關</t>
    </r>
    <r>
      <rPr>
        <sz val="11"/>
        <rFont val="Calibri"/>
        <family val="2"/>
      </rPr>
      <t>)</t>
    </r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</si>
  <si>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</si>
  <si>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</si>
  <si>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</si>
  <si>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</si>
  <si>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</si>
  <si>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{1~2,88}</t>
  </si>
  <si>
    <t>{4,2}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</si>
  <si>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</si>
  <si>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{1~3,85}</t>
  </si>
  <si>
    <t>{4,10}</t>
  </si>
  <si>
    <t>{5,4}</t>
  </si>
  <si>
    <t>{6,1}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</si>
  <si>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</si>
  <si>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{1~3,80}</t>
  </si>
  <si>
    <t>{4,12}</t>
  </si>
  <si>
    <t>{5,6}</t>
  </si>
  <si>
    <t>{6,2}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</si>
  <si>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</si>
  <si>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</si>
  <si>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</si>
  <si>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</si>
  <si>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</si>
  <si>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</si>
  <si>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</si>
  <si>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</si>
  <si>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</si>
  <si>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{6,20}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</si>
  <si>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</si>
  <si>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</si>
  <si>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</si>
  <si>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</si>
  <si>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</si>
  <si>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</si>
  <si>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</si>
  <si>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</si>
  <si>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</si>
  <si>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</si>
  <si>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</si>
  <si>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</si>
  <si>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</si>
  <si>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</si>
  <si>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</si>
  <si>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</si>
  <si>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</si>
  <si>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</si>
  <si>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</si>
  <si>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</si>
  <si>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</si>
  <si>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</si>
  <si>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</si>
  <si>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</si>
  <si>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</si>
  <si>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</si>
  <si>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</si>
  <si>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</si>
  <si>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</si>
  <si>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</si>
  <si>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</si>
  <si>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</si>
  <si>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</si>
  <si>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</si>
  <si>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</si>
  <si>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</si>
  <si>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</si>
  <si>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</si>
  <si>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</si>
  <si>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</si>
  <si>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</si>
  <si>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</si>
  <si>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</si>
  <si>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</si>
  <si>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</si>
  <si>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</si>
  <si>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</si>
  <si>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</si>
  <si>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</si>
  <si>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</si>
  <si>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</si>
  <si>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</si>
  <si>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</si>
  <si>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</si>
  <si>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</si>
  <si>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</si>
  <si>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</si>
  <si>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</si>
  <si>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</si>
  <si>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</si>
  <si>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</si>
  <si>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</si>
  <si>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</si>
  <si>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</si>
  <si>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</si>
  <si>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</si>
  <si>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</si>
  <si>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</si>
  <si>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</si>
  <si>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</si>
  <si>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</si>
  <si>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</si>
  <si>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</si>
  <si>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</si>
  <si>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</si>
  <si>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</si>
  <si>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</si>
  <si>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</si>
  <si>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</si>
  <si>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</si>
  <si>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</si>
  <si>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</si>
  <si>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</si>
  <si>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</si>
  <si>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</si>
  <si>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</si>
  <si>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</si>
  <si>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</si>
  <si>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</si>
  <si>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</si>
  <si>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</si>
  <si>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</si>
  <si>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</si>
  <si>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</si>
  <si>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</si>
  <si>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</si>
  <si>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</si>
  <si>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</si>
  <si>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</si>
  <si>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</si>
  <si>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</si>
  <si>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</si>
  <si>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</si>
  <si>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</si>
  <si>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</si>
  <si>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</si>
  <si>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</si>
  <si>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</si>
  <si>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</si>
  <si>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</si>
  <si>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</si>
  <si>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</si>
  <si>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</si>
  <si>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</si>
  <si>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</si>
  <si>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</si>
  <si>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</si>
  <si>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</si>
  <si>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{1~19=25}</t>
  </si>
  <si>
    <t>{20~99=35}</t>
  </si>
  <si>
    <t>{100~149=40}</t>
  </si>
  <si>
    <t>{150~199=50}</t>
  </si>
  <si>
    <t>{200~249=50}</t>
  </si>
  <si>
    <t>{250~299=50}</t>
  </si>
  <si>
    <t>{300+=50}</t>
  </si>
  <si>
    <t>精良裝備</t>
  </si>
  <si>
    <t>{1~19=15}</t>
  </si>
  <si>
    <t>{20~99=20}</t>
  </si>
  <si>
    <t>{100~149=30}</t>
  </si>
  <si>
    <t>{150~199=40}</t>
  </si>
  <si>
    <t>{200~249=40}</t>
  </si>
  <si>
    <t>{250~299=40}</t>
  </si>
  <si>
    <t>{300+=40}</t>
  </si>
  <si>
    <t>稀有裝備</t>
  </si>
  <si>
    <t>{1~19=10}</t>
  </si>
  <si>
    <t>{20~99=15}</t>
  </si>
  <si>
    <t>{100~149=20}</t>
  </si>
  <si>
    <t>{150~199=30}</t>
  </si>
  <si>
    <t>{200~249=30}</t>
  </si>
  <si>
    <t>{250~299=30}</t>
  </si>
  <si>
    <t>{300+=30}</t>
  </si>
  <si>
    <t>獨特裝備</t>
  </si>
  <si>
    <t>{1~19=0}</t>
  </si>
  <si>
    <t>{20~99=5}</t>
  </si>
  <si>
    <t>{100~149=10}</t>
  </si>
  <si>
    <t>{150~199=15}</t>
  </si>
  <si>
    <t>{200~249=15}</t>
  </si>
  <si>
    <t>{250~299=15}</t>
  </si>
  <si>
    <t>{300+=20}</t>
  </si>
  <si>
    <t>史詩裝備</t>
  </si>
  <si>
    <t>{1~39=0}</t>
  </si>
  <si>
    <t>{40~49=2}</t>
  </si>
  <si>
    <t>{50~99=1}</t>
  </si>
  <si>
    <t>{100~149=2.5}</t>
  </si>
  <si>
    <t>{150~199=5}</t>
  </si>
  <si>
    <t>{200~249=6}</t>
  </si>
  <si>
    <t>{250~299=7}</t>
  </si>
  <si>
    <t>{300+=8}</t>
  </si>
  <si>
    <t>傳說裝備</t>
  </si>
  <si>
    <t>{1~49=0}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</si>
  <si>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</si>
  <si>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</si>
  <si>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</si>
  <si>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</si>
  <si>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</si>
  <si>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</si>
  <si>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</si>
  <si>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</si>
  <si>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</si>
  <si>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</si>
  <si>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</si>
  <si>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</si>
  <si>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</si>
  <si>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</si>
  <si>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</si>
  <si>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</si>
  <si>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</si>
  <si>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</si>
  <si>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</si>
  <si>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</si>
  <si>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</si>
  <si>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</si>
  <si>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</si>
  <si>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</si>
  <si>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</si>
  <si>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</si>
  <si>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</si>
  <si>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</si>
  <si>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</si>
  <si>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</si>
  <si>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</si>
  <si>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</si>
  <si>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</si>
  <si>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</si>
  <si>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</si>
  <si>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</si>
  <si>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</si>
  <si>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</si>
  <si>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</si>
  <si>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</si>
  <si>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</si>
  <si>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</si>
  <si>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</si>
  <si>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</si>
  <si>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</si>
  <si>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</si>
  <si>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</si>
  <si>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</si>
  <si>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</si>
  <si>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</si>
  <si>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</si>
  <si>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</si>
  <si>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</si>
  <si>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</si>
  <si>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</si>
  <si>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</si>
  <si>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</si>
  <si>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</si>
  <si>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</si>
  <si>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</si>
  <si>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</si>
  <si>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</si>
  <si>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</si>
  <si>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</si>
  <si>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</si>
  <si>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</si>
  <si>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</si>
  <si>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</si>
  <si>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</si>
  <si>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</si>
  <si>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</si>
  <si>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</si>
  <si>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</si>
  <si>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</si>
  <si>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</si>
  <si>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</si>
  <si>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</si>
  <si>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</si>
  <si>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</si>
  <si>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</si>
  <si>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</si>
  <si>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</si>
  <si>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</si>
  <si>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</si>
  <si>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</si>
  <si>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</si>
  <si>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</si>
  <si>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</si>
  <si>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</si>
  <si>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</si>
  <si>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</si>
  <si>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</si>
  <si>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</si>
  <si>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</si>
  <si>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</si>
  <si>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</si>
  <si>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</si>
  <si>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</si>
  <si>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</si>
  <si>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</si>
  <si>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</si>
  <si>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</si>
  <si>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</si>
  <si>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</si>
  <si>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</si>
  <si>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</si>
  <si>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</si>
  <si>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</si>
  <si>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</si>
  <si>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</si>
  <si>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</si>
  <si>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</si>
  <si>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</si>
  <si>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</si>
  <si>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</si>
  <si>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</si>
  <si>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</si>
  <si>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</si>
  <si>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</si>
  <si>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</si>
  <si>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</si>
  <si>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</si>
  <si>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</si>
  <si>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</si>
  <si>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</si>
  <si>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</si>
  <si>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</si>
  <si>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</si>
  <si>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</si>
  <si>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</si>
  <si>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</si>
  <si>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</si>
  <si>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</si>
  <si>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</si>
  <si>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</si>
  <si>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</si>
  <si>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</si>
  <si>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</si>
  <si>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</si>
  <si>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</si>
  <si>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</si>
  <si>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</si>
  <si>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</si>
  <si>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</si>
  <si>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</si>
  <si>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</si>
  <si>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</si>
  <si>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</si>
  <si>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</si>
  <si>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</si>
  <si>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</si>
  <si>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</si>
  <si>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</si>
  <si>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</si>
  <si>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</si>
  <si>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</si>
  <si>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</si>
  <si>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</si>
  <si>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</si>
  <si>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</si>
  <si>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</si>
  <si>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</si>
  <si>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</si>
  <si>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</si>
  <si>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</si>
  <si>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</si>
  <si>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</si>
  <si>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</si>
  <si>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</si>
  <si>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</si>
  <si>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</si>
  <si>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</si>
  <si>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</si>
  <si>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</si>
  <si>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</si>
  <si>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</si>
  <si>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</si>
  <si>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</si>
  <si>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</si>
  <si>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</si>
  <si>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</si>
  <si>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</si>
  <si>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</si>
  <si>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</si>
  <si>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</si>
  <si>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</si>
  <si>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</si>
  <si>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</si>
  <si>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</si>
  <si>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</si>
  <si>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</si>
  <si>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</si>
  <si>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</si>
  <si>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</si>
  <si>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</si>
  <si>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</si>
  <si>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</si>
  <si>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</si>
  <si>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</si>
  <si>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</si>
  <si>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</si>
  <si>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</si>
  <si>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</si>
  <si>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</si>
  <si>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</si>
  <si>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</si>
  <si>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</si>
  <si>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</si>
  <si>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</si>
  <si>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</si>
  <si>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</si>
  <si>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</si>
  <si>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</si>
  <si>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</si>
  <si>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</si>
  <si>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</si>
  <si>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</si>
  <si>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</si>
  <si>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</si>
  <si>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</si>
  <si>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</si>
  <si>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</si>
  <si>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</si>
  <si>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</si>
  <si>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</si>
  <si>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</si>
  <si>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</si>
  <si>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</si>
  <si>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</si>
  <si>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</si>
  <si>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</si>
  <si>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</si>
  <si>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</si>
  <si>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</si>
  <si>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</si>
  <si>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</si>
  <si>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</si>
  <si>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</si>
  <si>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</si>
  <si>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</si>
  <si>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</si>
  <si>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</si>
  <si>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</si>
  <si>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</si>
  <si>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</si>
  <si>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</si>
  <si>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</si>
  <si>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</si>
  <si>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</si>
  <si>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</si>
  <si>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</si>
  <si>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</si>
  <si>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</si>
  <si>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</si>
  <si>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</si>
  <si>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</si>
  <si>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</si>
  <si>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</si>
  <si>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</si>
  <si>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</si>
  <si>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</si>
  <si>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</si>
  <si>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</si>
  <si>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</si>
  <si>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</si>
  <si>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</si>
  <si>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</si>
  <si>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</si>
  <si>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</si>
  <si>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</si>
  <si>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</si>
  <si>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</si>
  <si>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</si>
  <si>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</si>
  <si>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</si>
  <si>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</si>
  <si>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</si>
  <si>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</si>
  <si>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</si>
  <si>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</si>
  <si>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</si>
  <si>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</si>
  <si>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</si>
  <si>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</si>
  <si>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</si>
  <si>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</si>
  <si>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</si>
  <si>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</si>
  <si>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</si>
  <si>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</si>
  <si>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</si>
  <si>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</si>
  <si>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</si>
  <si>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</si>
  <si>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</si>
  <si>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</si>
  <si>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</si>
  <si>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</si>
  <si>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</si>
  <si>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</si>
  <si>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</si>
  <si>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</si>
  <si>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</si>
  <si>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</si>
  <si>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</si>
  <si>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</si>
  <si>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</si>
  <si>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</si>
  <si>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</si>
  <si>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</si>
  <si>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</si>
  <si>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</si>
  <si>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</si>
  <si>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</si>
  <si>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</si>
  <si>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</si>
  <si>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</si>
  <si>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</si>
  <si>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</si>
  <si>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</si>
  <si>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</si>
  <si>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</si>
  <si>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</si>
  <si>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</si>
  <si>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</si>
  <si>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</si>
  <si>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</si>
  <si>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</si>
  <si>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</si>
  <si>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</si>
  <si>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</si>
  <si>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</si>
  <si>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</si>
  <si>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</si>
  <si>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</si>
  <si>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</si>
  <si>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</si>
  <si>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</si>
  <si>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</si>
  <si>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</si>
  <si>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</si>
  <si>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</si>
  <si>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</si>
  <si>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</si>
  <si>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</si>
  <si>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</si>
  <si>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</si>
  <si>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</si>
  <si>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</si>
  <si>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</si>
  <si>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</si>
  <si>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</si>
  <si>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</si>
  <si>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</si>
  <si>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</si>
  <si>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</si>
  <si>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</si>
  <si>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</si>
  <si>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</si>
  <si>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</si>
  <si>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</si>
  <si>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</si>
  <si>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</si>
  <si>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</si>
  <si>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</si>
  <si>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</si>
  <si>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</si>
  <si>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</si>
  <si>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</si>
  <si>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</si>
  <si>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</si>
  <si>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</si>
  <si>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</si>
  <si>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</si>
  <si>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</si>
  <si>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</si>
  <si>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</si>
  <si>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</si>
  <si>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</si>
  <si>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</si>
  <si>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</si>
  <si>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</si>
  <si>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</si>
  <si>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</si>
  <si>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</si>
  <si>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</si>
  <si>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</si>
  <si>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</si>
  <si>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</si>
  <si>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</si>
  <si>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</si>
  <si>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</si>
  <si>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</si>
  <si>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</si>
  <si>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</si>
  <si>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</si>
  <si>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</si>
  <si>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</si>
  <si>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</si>
  <si>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</si>
  <si>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</si>
  <si>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</si>
  <si>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</si>
  <si>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</si>
  <si>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</si>
  <si>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</si>
  <si>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</si>
  <si>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</si>
  <si>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</si>
  <si>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</si>
  <si>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</si>
  <si>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</si>
  <si>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</si>
  <si>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</si>
  <si>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</si>
  <si>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</si>
  <si>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</si>
  <si>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</si>
  <si>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</si>
  <si>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</si>
  <si>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</si>
  <si>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</si>
  <si>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</si>
  <si>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</si>
  <si>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</si>
  <si>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</si>
  <si>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r>
      <rPr>
        <sz val="11"/>
        <rFont val="Calibri"/>
        <family val="2"/>
      </rPr>
      <t>a×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>/c)</t>
    </r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</si>
  <si>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</si>
  <si>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</si>
  <si>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</si>
  <si>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</si>
  <si>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</si>
  <si>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</si>
  <si>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</si>
  <si>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</si>
  <si>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</si>
  <si>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</si>
  <si>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</si>
  <si>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</si>
  <si>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</si>
  <si>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</si>
  <si>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</si>
  <si>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</si>
  <si>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</si>
  <si>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</si>
  <si>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</si>
  <si>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</si>
  <si>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</si>
  <si>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</si>
  <si>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</si>
  <si>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</si>
  <si>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</si>
  <si>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</si>
  <si>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</si>
  <si>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</si>
  <si>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</si>
  <si>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</si>
  <si>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</si>
  <si>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</si>
  <si>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</si>
  <si>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</si>
  <si>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</si>
  <si>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</si>
  <si>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</si>
  <si>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</si>
  <si>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</si>
  <si>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</si>
  <si>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</si>
  <si>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</si>
  <si>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</si>
  <si>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</si>
  <si>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</si>
  <si>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</si>
  <si>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</si>
  <si>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</si>
  <si>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</si>
  <si>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</si>
  <si>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</si>
  <si>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</si>
  <si>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</si>
  <si>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</si>
  <si>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</si>
  <si>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</si>
  <si>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</si>
  <si>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</si>
  <si>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</si>
  <si>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</si>
  <si>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</si>
  <si>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</si>
  <si>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</si>
  <si>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</si>
  <si>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</si>
  <si>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</si>
  <si>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</si>
  <si>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</si>
  <si>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</si>
  <si>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</si>
  <si>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</si>
  <si>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</si>
  <si>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</si>
  <si>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</si>
  <si>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</si>
  <si>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</si>
  <si>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</si>
  <si>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</si>
  <si>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</si>
  <si>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</si>
  <si>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</si>
  <si>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</si>
  <si>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</si>
  <si>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</si>
  <si>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</si>
  <si>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</si>
  <si>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</si>
  <si>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</si>
  <si>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</si>
  <si>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</si>
  <si>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</si>
  <si>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</si>
  <si>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</si>
  <si>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</si>
  <si>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</si>
  <si>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</si>
  <si>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</si>
  <si>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</si>
  <si>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</si>
  <si>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</si>
  <si>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</si>
  <si>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</si>
  <si>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</si>
  <si>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</si>
  <si>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r>
      <t>a×</t>
    </r>
    <r>
      <rPr>
        <sz val="11"/>
        <rFont val="細明體"/>
        <family val="2"/>
      </rPr>
      <t>熟練度等級</t>
    </r>
    <r>
      <rPr>
        <sz val="11"/>
        <rFont val="Calibri"/>
        <family val="2"/>
      </rPr>
      <t>^b + c</t>
    </r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</si>
  <si>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</si>
  <si>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</si>
  <si>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</si>
  <si>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</si>
  <si>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</si>
  <si>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</si>
  <si>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</si>
  <si>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</si>
  <si>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</si>
  <si>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</si>
  <si>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</si>
  <si>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</si>
  <si>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</si>
  <si>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</si>
  <si>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</si>
  <si>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</si>
  <si>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</si>
  <si>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</si>
  <si>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</si>
  <si>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</si>
  <si>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</si>
  <si>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</si>
  <si>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</si>
  <si>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</si>
  <si>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</si>
  <si>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</si>
  <si>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</si>
  <si>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</si>
  <si>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</si>
  <si>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</si>
  <si>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</si>
  <si>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</si>
  <si>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捨去((目前地圖最高階段 × c - a) ÷ b) × b（下限 1）</t>
  </si>
  <si>
    <t>a=等級扣減；b=取整單位；c=關卡比例；以此等級的當前場景菁英怪計算離線收益。</t>
  </si>
  <si>
    <t>怪物種類</t>
  </si>
  <si>
    <t>a＝1 時使用菁英怪；a＝0 時使用普通怪</t>
  </si>
  <si>
    <t>離線收益的怪物種類；菁英怪會套用菁英經驗與掉落倍率。</t>
  </si>
  <si>
    <t>{10~11,3}</t>
    <phoneticPr fontId="2" type="noConversion"/>
  </si>
  <si>
    <t>{12,2}</t>
    <phoneticPr fontId="2" type="noConversion"/>
  </si>
  <si>
    <t>{13,1}</t>
    <phoneticPr fontId="2" type="noConversion"/>
  </si>
  <si>
    <t>{14,0.5}</t>
    <phoneticPr fontId="2" type="noConversion"/>
  </si>
  <si>
    <t>{15,0.3}</t>
    <phoneticPr fontId="2" type="noConversion"/>
  </si>
  <si>
    <t>{16,0.2}</t>
    <phoneticPr fontId="2" type="noConversion"/>
  </si>
  <si>
    <t>{7~9,8}</t>
    <phoneticPr fontId="2" type="noConversion"/>
  </si>
  <si>
    <t>{5,20}</t>
    <phoneticPr fontId="2" type="noConversion"/>
  </si>
  <si>
    <t>{1~10=0}</t>
    <phoneticPr fontId="2" type="noConversion"/>
  </si>
  <si>
    <t>{1~10=100}</t>
    <phoneticPr fontId="2" type="noConversion"/>
  </si>
  <si>
    <t>{1~10=50}</t>
    <phoneticPr fontId="2" type="noConversion"/>
  </si>
  <si>
    <t>{1~10=10}</t>
    <phoneticPr fontId="2" type="noConversion"/>
  </si>
  <si>
    <t>{1~10=5}</t>
    <phoneticPr fontId="2" type="noConversion"/>
  </si>
  <si>
    <t>{11~20=0}</t>
    <phoneticPr fontId="2" type="noConversion"/>
  </si>
  <si>
    <t>{11~20=100}</t>
    <phoneticPr fontId="2" type="noConversion"/>
  </si>
  <si>
    <t>{11~20=20}</t>
    <phoneticPr fontId="2" type="noConversion"/>
  </si>
  <si>
    <t>{11~20=10}</t>
    <phoneticPr fontId="2" type="noConversion"/>
  </si>
  <si>
    <t>{11~20=2}</t>
    <phoneticPr fontId="2" type="noConversion"/>
  </si>
  <si>
    <t>{21~30=0}</t>
    <phoneticPr fontId="2" type="noConversion"/>
  </si>
  <si>
    <t>{21~30=100}</t>
    <phoneticPr fontId="2" type="noConversion"/>
  </si>
  <si>
    <t>{21~30=50}</t>
    <phoneticPr fontId="2" type="noConversion"/>
  </si>
  <si>
    <t>{21~30=5}</t>
    <phoneticPr fontId="2" type="noConversion"/>
  </si>
  <si>
    <t>{31~40=0}</t>
    <phoneticPr fontId="2" type="noConversion"/>
  </si>
  <si>
    <t>{31~40=150}</t>
    <phoneticPr fontId="2" type="noConversion"/>
  </si>
  <si>
    <t>{31~40=100}</t>
    <phoneticPr fontId="2" type="noConversion"/>
  </si>
  <si>
    <t>{31~40=10}</t>
    <phoneticPr fontId="2" type="noConversion"/>
  </si>
  <si>
    <t>{41~50=0}</t>
    <phoneticPr fontId="2" type="noConversion"/>
  </si>
  <si>
    <t>{41~50=150}</t>
    <phoneticPr fontId="2" type="noConversion"/>
  </si>
  <si>
    <t>{41~50=200}</t>
    <phoneticPr fontId="2" type="noConversion"/>
  </si>
  <si>
    <t>{41~50=25}</t>
    <phoneticPr fontId="2" type="noConversion"/>
  </si>
  <si>
    <t>{41~50=1}</t>
    <phoneticPr fontId="2" type="noConversion"/>
  </si>
  <si>
    <t>{51~75=0}</t>
    <phoneticPr fontId="2" type="noConversion"/>
  </si>
  <si>
    <t>{51~75=350}</t>
    <phoneticPr fontId="2" type="noConversion"/>
  </si>
  <si>
    <t>{51~75=200}</t>
    <phoneticPr fontId="2" type="noConversion"/>
  </si>
  <si>
    <t>{51~75=50}</t>
    <phoneticPr fontId="2" type="noConversion"/>
  </si>
  <si>
    <t>{51~75=5}</t>
    <phoneticPr fontId="2" type="noConversion"/>
  </si>
  <si>
    <t>{76+=0}</t>
    <phoneticPr fontId="2" type="noConversion"/>
  </si>
  <si>
    <t>{76+=400}</t>
    <phoneticPr fontId="2" type="noConversion"/>
  </si>
  <si>
    <t>{76+=250}</t>
    <phoneticPr fontId="2" type="noConversion"/>
  </si>
  <si>
    <t>{76+=100}</t>
    <phoneticPr fontId="2" type="noConversion"/>
  </si>
  <si>
    <t>{76+=10}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</si>
</sst>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</font>
    <font>
      <sz val="11"/>
      <name val="微軟正黑體"/>
      <family val="2"/>
    </font>
    <font>
      <sz val="11"/>
      <name val="細明體"/>
      <family val="2"/>
    </font>
    <font>
      <sz val="11"/>
      <name val="細明體"/>
      <family val="3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2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7"/>
  <sheetViews>
    <sheetView topLeftCell="A109" workbookViewId="0">
      <selection activeCell="E121" sqref="E121"/>
    </sheetView>
  </sheetViews>
  <sheetFormatPr defaultRowHeight="15" x14ac:dyDescent="0.25"/>
  <cols>
    <col min="3" max="5" width="23.85546875" customWidth="1"/>
    <col min="6" max="6" width="29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5</v>
      </c>
      <c r="I116">
        <f>計算表!I116</f>
        <v>2</v>
      </c>
      <c r="J116">
        <f>計算表!J116</f>
        <v>10</v>
      </c>
      <c r="K116">
        <f>計算表!K116</f>
        <v>2.5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78.100000000000009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72.113600000000005</v>
      </c>
      <c r="H174">
        <f>計算表!H174</f>
        <v>22.118399999999998</v>
      </c>
      <c r="I174">
        <f>計算表!I174</f>
        <v>4.6079999999999997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53.837361999999999</v>
      </c>
      <c r="H175">
        <f>計算表!H175</f>
        <v>33.734898000000001</v>
      </c>
      <c r="I175">
        <f>計算表!I175</f>
        <v>9.11754</v>
      </c>
      <c r="J175">
        <f>計算表!J175</f>
        <v>2.4641999999999999</v>
      </c>
      <c r="K175">
        <f>計算表!K175</f>
        <v>0.66600000000000004</v>
      </c>
      <c r="L175">
        <f>計算表!L175</f>
        <v>0.18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49.993825599999994</v>
      </c>
      <c r="H176">
        <f>計算表!H176</f>
        <v>32.817838399999999</v>
      </c>
      <c r="I176">
        <f>計算表!I176</f>
        <v>11.316495999999999</v>
      </c>
      <c r="J176">
        <f>計算表!J176</f>
        <v>3.9022399999999999</v>
      </c>
      <c r="K176">
        <f>計算表!K176</f>
        <v>1.3455999999999999</v>
      </c>
      <c r="L176">
        <f>計算表!L176</f>
        <v>0.46400000000000002</v>
      </c>
      <c r="M176">
        <f>計算表!M176</f>
        <v>0.16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36.76497232906253</v>
      </c>
      <c r="H177">
        <f>計算表!H177</f>
        <v>38.491879564687487</v>
      </c>
      <c r="I177">
        <f>計算表!I177</f>
        <v>15.094854731249995</v>
      </c>
      <c r="J177">
        <f>計算表!J177</f>
        <v>5.9195508749999988</v>
      </c>
      <c r="K177">
        <f>計算表!K177</f>
        <v>2.3213924999999995</v>
      </c>
      <c r="L177">
        <f>計算表!L177</f>
        <v>0.91034999999999988</v>
      </c>
      <c r="M177">
        <f>計算表!M177</f>
        <v>0.35699999999999998</v>
      </c>
      <c r="N177">
        <f>計算表!N177</f>
        <v>0.13999999999999999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31.631675870386633</v>
      </c>
      <c r="H178">
        <f>計算表!H178</f>
        <v>38.434848634168908</v>
      </c>
      <c r="I178">
        <f>計算表!I178</f>
        <v>16.857389751828471</v>
      </c>
      <c r="J178">
        <f>計算表!J178</f>
        <v>7.3935919964159975</v>
      </c>
      <c r="K178">
        <f>計算表!K178</f>
        <v>3.2428035071999992</v>
      </c>
      <c r="L178">
        <f>計算表!L178</f>
        <v>1.4222822399999997</v>
      </c>
      <c r="M178">
        <f>計算表!M178</f>
        <v>0.62380799999999992</v>
      </c>
      <c r="N178">
        <f>計算表!N178</f>
        <v>0.27359999999999995</v>
      </c>
      <c r="O178">
        <f>計算表!O178</f>
        <v>0.12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25.407543428799851</v>
      </c>
      <c r="H179">
        <f>計算表!H179</f>
        <v>39.287974783901511</v>
      </c>
      <c r="I179">
        <f>計算表!I179</f>
        <v>18.619893262512562</v>
      </c>
      <c r="J179">
        <f>計算表!J179</f>
        <v>8.8245939632760972</v>
      </c>
      <c r="K179">
        <f>計算表!K179</f>
        <v>4.1822720205099984</v>
      </c>
      <c r="L179">
        <f>計算表!L179</f>
        <v>1.9821194409999996</v>
      </c>
      <c r="M179">
        <f>計算表!M179</f>
        <v>0.93939309999999998</v>
      </c>
      <c r="N179">
        <f>計算表!N179</f>
        <v>0.44520999999999994</v>
      </c>
      <c r="O179">
        <f>計算表!O179</f>
        <v>0.21099999999999999</v>
      </c>
      <c r="P179">
        <f>計算表!P179</f>
        <v>0.1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18.159999999999986</v>
      </c>
      <c r="H180">
        <f>計算表!H180</f>
        <v>40.96</v>
      </c>
      <c r="I180">
        <f>計算表!I180</f>
        <v>20.48</v>
      </c>
      <c r="J180">
        <f>計算表!J180</f>
        <v>10.24</v>
      </c>
      <c r="K180">
        <f>計算表!K180</f>
        <v>5.12</v>
      </c>
      <c r="L180">
        <f>計算表!L180</f>
        <v>2.56</v>
      </c>
      <c r="M180">
        <f>計算表!M180</f>
        <v>1.28</v>
      </c>
      <c r="N180">
        <f>計算表!N180</f>
        <v>0.64</v>
      </c>
      <c r="O180">
        <f>計算表!O180</f>
        <v>0.32</v>
      </c>
      <c r="P180">
        <f>計算表!P180</f>
        <v>0.16</v>
      </c>
      <c r="Q180">
        <f>計算表!Q180</f>
        <v>0.08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{1~10=0}</v>
      </c>
      <c r="H189" t="str">
        <f>計算表!H189</f>
        <v>{11~20=0}</v>
      </c>
      <c r="I189" t="str">
        <f>計算表!I189</f>
        <v>{21~30=0}</v>
      </c>
      <c r="J189" t="str">
        <f>計算表!J189</f>
        <v>{31~40=0}</v>
      </c>
      <c r="K189" t="str">
        <f>計算表!K189</f>
        <v>{41~50=0}</v>
      </c>
      <c r="L189" t="str">
        <f>計算表!L189</f>
        <v>{51~75=0}</v>
      </c>
      <c r="M189" t="str">
        <f>計算表!M189</f>
        <v>{76+=0}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{1~10=0}</v>
      </c>
      <c r="H190" t="str">
        <f>計算表!H190</f>
        <v>{11~20=0}</v>
      </c>
      <c r="I190" t="str">
        <f>計算表!I190</f>
        <v>{21~30=0}</v>
      </c>
      <c r="J190" t="str">
        <f>計算表!J190</f>
        <v>{31~40=0}</v>
      </c>
      <c r="K190" t="str">
        <f>計算表!K190</f>
        <v>{41~50=0}</v>
      </c>
      <c r="L190" t="str">
        <f>計算表!L190</f>
        <v>{51~75=0}</v>
      </c>
      <c r="M190" t="str">
        <f>計算表!M190</f>
        <v>{76+=0}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{1~10=100}</v>
      </c>
      <c r="H191" t="str">
        <f>計算表!H191</f>
        <v>{11~20=100}</v>
      </c>
      <c r="I191" t="str">
        <f>計算表!I191</f>
        <v>{21~30=0}</v>
      </c>
      <c r="J191" t="str">
        <f>計算表!J191</f>
        <v>{31~40=0}</v>
      </c>
      <c r="K191" t="str">
        <f>計算表!K191</f>
        <v>{41~50=0}</v>
      </c>
      <c r="L191" t="str">
        <f>計算表!L191</f>
        <v>{51~75=0}</v>
      </c>
      <c r="M191" t="str">
        <f>計算表!M191</f>
        <v>{76+=0}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{1~10=50}</v>
      </c>
      <c r="H192" t="str">
        <f>計算表!H192</f>
        <v>{11~20=100}</v>
      </c>
      <c r="I192" t="str">
        <f>計算表!I192</f>
        <v>{21~30=100}</v>
      </c>
      <c r="J192" t="str">
        <f>計算表!J192</f>
        <v>{31~40=150}</v>
      </c>
      <c r="K192" t="str">
        <f>計算表!K192</f>
        <v>{41~50=0}</v>
      </c>
      <c r="L192" t="str">
        <f>計算表!L192</f>
        <v>{51~75=0}</v>
      </c>
      <c r="M192" t="str">
        <f>計算表!M192</f>
        <v>{76+=0}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{1~10=10}</v>
      </c>
      <c r="H193" t="str">
        <f>計算表!H193</f>
        <v>{11~20=20}</v>
      </c>
      <c r="I193" t="str">
        <f>計算表!I193</f>
        <v>{21~30=100}</v>
      </c>
      <c r="J193" t="str">
        <f>計算表!J193</f>
        <v>{31~40=150}</v>
      </c>
      <c r="K193" t="str">
        <f>計算表!K193</f>
        <v>{41~50=200}</v>
      </c>
      <c r="L193" t="str">
        <f>計算表!L193</f>
        <v>{51~75=350}</v>
      </c>
      <c r="M193" t="str">
        <f>計算表!M193</f>
        <v>{76+=400}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{1~10=5}</v>
      </c>
      <c r="H194" t="str">
        <f>計算表!H194</f>
        <v>{11~20=10}</v>
      </c>
      <c r="I194" t="str">
        <f>計算表!I194</f>
        <v>{21~30=50}</v>
      </c>
      <c r="J194" t="str">
        <f>計算表!J194</f>
        <v>{31~40=100}</v>
      </c>
      <c r="K194" t="str">
        <f>計算表!K194</f>
        <v>{41~50=150}</v>
      </c>
      <c r="L194" t="str">
        <f>計算表!L194</f>
        <v>{51~75=200}</v>
      </c>
      <c r="M194" t="str">
        <f>計算表!M194</f>
        <v>{76+=250}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{11~20=2}</v>
      </c>
      <c r="I195" t="str">
        <f>計算表!I195</f>
        <v>{21~30=5}</v>
      </c>
      <c r="J195" t="str">
        <f>計算表!J195</f>
        <v>{31~40=10}</v>
      </c>
      <c r="K195" t="str">
        <f>計算表!K195</f>
        <v>{41~50=25}</v>
      </c>
      <c r="L195" t="str">
        <f>計算表!L195</f>
        <v>{51~75=50}</v>
      </c>
      <c r="M195" t="str">
        <f>計算表!M195</f>
        <v>{76+=100}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{11~20=0}</v>
      </c>
      <c r="I196" t="str">
        <f>計算表!I196</f>
        <v>{21~30=0}</v>
      </c>
      <c r="J196" t="str">
        <f>計算表!J196</f>
        <v>{31~40=0}</v>
      </c>
      <c r="K196" t="str">
        <f>計算表!K196</f>
        <v>{41~50=1}</v>
      </c>
      <c r="L196" t="str">
        <f>計算表!L196</f>
        <v>{51~75=5}</v>
      </c>
      <c r="M196" t="str">
        <f>計算表!M196</f>
        <v>{76+=10}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× c - a) ÷ b) × b（下限 1）</v>
      </c>
      <c r="F310" t="str">
        <f>計算表!F310</f>
        <v>a=等級扣減；b=取整單位；c=關卡比例；以此等級的當前場景菁英怪計算離線收益。</v>
      </c>
      <c r="G310">
        <f>計算表!G310</f>
        <v>10</v>
      </c>
      <c r="H310">
        <f>計算表!H310</f>
        <v>10</v>
      </c>
      <c r="I310">
        <f>計算表!I310</f>
        <v>1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10-離線</v>
      </c>
      <c r="D312" t="str">
        <f>計算表!D312</f>
        <v>怪物種類</v>
      </c>
      <c r="E312" t="str">
        <f>計算表!E312</f>
        <v>a＝1 時使用菁英怪；a＝0 時使用普通怪</v>
      </c>
      <c r="F312" t="str">
        <f>計算表!F312</f>
        <v>離線收益的怪物種類；菁英怪會套用菁英經驗與掉落倍率。</v>
      </c>
      <c r="G312">
        <f>計算表!G312</f>
        <v>1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普通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</v>
      </c>
      <c r="H313">
        <f>計算表!H313</f>
        <v>1</v>
      </c>
      <c r="I313">
        <f>計算表!I313</f>
        <v>1</v>
      </c>
      <c r="J313">
        <f>計算表!J313</f>
        <v>1</v>
      </c>
      <c r="K313">
        <f>計算表!K313</f>
        <v>0</v>
      </c>
      <c r="L313">
        <f>計算表!L313</f>
        <v>1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精良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1.35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1.7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稀有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1.75</v>
      </c>
      <c r="H315">
        <f>計算表!H315</f>
        <v>2</v>
      </c>
      <c r="I315">
        <f>計算表!I315</f>
        <v>2</v>
      </c>
      <c r="J315">
        <f>計算表!J315</f>
        <v>1</v>
      </c>
      <c r="K315">
        <f>計算表!K315</f>
        <v>1</v>
      </c>
      <c r="L315">
        <f>計算表!L315</f>
        <v>2.8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獨特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2.2999999999999998</v>
      </c>
      <c r="H316">
        <f>計算表!H316</f>
        <v>3</v>
      </c>
      <c r="I316">
        <f>計算表!I316</f>
        <v>3</v>
      </c>
      <c r="J316">
        <f>計算表!J316</f>
        <v>2</v>
      </c>
      <c r="K316">
        <f>計算表!K316</f>
        <v>1</v>
      </c>
      <c r="L316">
        <f>計算表!L316</f>
        <v>4.5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史詩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3</v>
      </c>
      <c r="H317">
        <f>計算表!H317</f>
        <v>4</v>
      </c>
      <c r="I317">
        <f>計算表!I317</f>
        <v>4</v>
      </c>
      <c r="J317">
        <f>計算表!J317</f>
        <v>3</v>
      </c>
      <c r="K317">
        <f>計算表!K317</f>
        <v>2</v>
      </c>
      <c r="L317">
        <f>計算表!L317</f>
        <v>7.5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傳說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4</v>
      </c>
      <c r="H318">
        <f>計算表!H318</f>
        <v>5</v>
      </c>
      <c r="I318">
        <f>計算表!I318</f>
        <v>5</v>
      </c>
      <c r="J318">
        <f>計算表!J318</f>
        <v>4</v>
      </c>
      <c r="K318">
        <f>計算表!K318</f>
        <v>2</v>
      </c>
      <c r="L318">
        <f>計算表!L318</f>
        <v>12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神話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5.2</v>
      </c>
      <c r="H319">
        <f>計算表!H319</f>
        <v>6</v>
      </c>
      <c r="I319">
        <f>計算表!I319</f>
        <v>6</v>
      </c>
      <c r="J319">
        <f>計算表!J319</f>
        <v>5</v>
      </c>
      <c r="K319">
        <f>計算表!K319</f>
        <v>2</v>
      </c>
      <c r="L319">
        <f>計算表!L319</f>
        <v>19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6.8</v>
      </c>
      <c r="H320">
        <f>計算表!H320</f>
        <v>7</v>
      </c>
      <c r="I320">
        <f>計算表!I320</f>
        <v>7</v>
      </c>
      <c r="J320">
        <f>計算表!J320</f>
        <v>6</v>
      </c>
      <c r="K320">
        <f>計算表!K320</f>
        <v>3</v>
      </c>
      <c r="L320">
        <f>計算表!L320</f>
        <v>30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神鑄創世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10.199999999999999</v>
      </c>
      <c r="H321">
        <f>計算表!H321</f>
        <v>8</v>
      </c>
      <c r="I321">
        <f>計算表!I321</f>
        <v>8</v>
      </c>
      <c r="J321">
        <f>計算表!J321</f>
        <v>6</v>
      </c>
      <c r="K321">
        <f>計算表!K321</f>
        <v>3</v>
      </c>
      <c r="L321">
        <f>計算表!L321</f>
        <v>45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加速齒輪</v>
      </c>
      <c r="E322" t="str">
        <f>計算表!E322</f>
        <v>效果值 = a × 階級(T1~T7)</v>
      </c>
      <c r="F322" t="str">
        <f>計算表!F322</f>
        <v>節點=b。分解速度 +v%/階（另固定+50 個百分點）（掉寶類零件效果實際×0.5）。</v>
      </c>
      <c r="G322">
        <f>計算表!G322</f>
        <v>25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碎片熔煉爐</v>
      </c>
      <c r="E323" t="str">
        <f>計算表!E323</f>
        <v>效果值 = a × 階級(T1~T7)</v>
      </c>
      <c r="F323" t="str">
        <f>計算表!F323</f>
        <v>節點=b。分解碎片產量 +v%/階（掉寶類零件效果實際×0.5）。</v>
      </c>
      <c r="G323">
        <f>計算表!G323</f>
        <v>20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淘金濾網</v>
      </c>
      <c r="E324" t="str">
        <f>計算表!E324</f>
        <v>效果值 = a × 階級(T1~T7)</v>
      </c>
      <c r="F324" t="str">
        <f>計算表!F324</f>
        <v>節點=b。分解金幣產量 +v%/階（掉寶類零件效果實際×0.5）。</v>
      </c>
      <c r="G324">
        <f>計算表!G324</f>
        <v>25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精粹透鏡</v>
      </c>
      <c r="E325" t="str">
        <f>計算表!E325</f>
        <v>效果值 = a × 階級(T1~T7)</v>
      </c>
      <c r="F325" t="str">
        <f>計算表!F325</f>
        <v>節點=b。附魔精華拆解產出率 +v%/階（掉寶類零件效果實際×0.5）。</v>
      </c>
      <c r="G325">
        <f>計算表!G325</f>
        <v>20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拓本回收臂</v>
      </c>
      <c r="E326" t="str">
        <f>計算表!E326</f>
        <v>效果值 = a × 階級(T1~T7)</v>
      </c>
      <c r="F326" t="str">
        <f>計算表!F326</f>
        <v>節點=b。分解 v%/階 機率回收 1 本附魔書（掉寶類零件效果實際×0.5）。</v>
      </c>
      <c r="G326">
        <f>計算表!G326</f>
        <v>0.4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複製處理艙</v>
      </c>
      <c r="E327" t="str">
        <f>計算表!E327</f>
        <v>效果值 = a × 階級(T1~T7)</v>
      </c>
      <c r="F327" t="str">
        <f>計算表!F327</f>
        <v>節點=b。分解 v%/階 機率碎片+金幣翻倍（掉寶類零件效果實際×0.5）。</v>
      </c>
      <c r="G327">
        <f>計算表!G327</f>
        <v>3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知識回收器</v>
      </c>
      <c r="E328" t="str">
        <f>計算表!E328</f>
        <v>效果值 = a × 階級(T1~T7)</v>
      </c>
      <c r="F328" t="str">
        <f>計算表!F328</f>
        <v>節點=b。分解 v%/階 機率獲得經驗(裝備等級×25)（掉寶類零件效果實際×0.5）。</v>
      </c>
      <c r="G328">
        <f>計算表!G328</f>
        <v>1.5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探礦核心</v>
      </c>
      <c r="E329" t="str">
        <f>計算表!E329</f>
        <v>效果值 = a × 階級(T1~T7)</v>
      </c>
      <c r="F329" t="str">
        <f>計算表!F329</f>
        <v>節點=b。分解 v%/階 機率額外掉一個零件（掉寶類零件效果實際×0.5）。</v>
      </c>
      <c r="G329">
        <f>計算表!G329</f>
        <v>0.15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幸運晶片</v>
      </c>
      <c r="E330" t="str">
        <f>計算表!E330</f>
        <v>效果值 = a × 階級(T1~T7)</v>
      </c>
      <c r="F330" t="str">
        <f>計算表!F330</f>
        <v>節點=b。分解 v%/階 機率大豐收(碎片/金幣/精華×3)（掉寶類零件效果實際×0.5）。</v>
      </c>
      <c r="G330">
        <f>計算表!G330</f>
        <v>0.5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太古精華萃取器</v>
      </c>
      <c r="E331" t="str">
        <f>計算表!E331</f>
        <v>效果值 = a × 階級(T1~T7)</v>
      </c>
      <c r="F331" t="str">
        <f>計算表!F331</f>
        <v>節點=b。分解太古精華掉落率 +v%/階（掉寶類零件效果實際×0.5）。</v>
      </c>
      <c r="G331">
        <f>計算表!G331</f>
        <v>25</v>
      </c>
      <c r="H331" t="str">
        <f>計算表!H331</f>
        <v>salvage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幸運核心</v>
      </c>
      <c r="E332" t="str">
        <f>計算表!E332</f>
        <v>效果值 = a × 階級(T1~T7)</v>
      </c>
      <c r="F332" t="str">
        <f>計算表!F332</f>
        <v>節點=b。合成大成功率 +v%/階（掉寶類零件效果實際×0.5）。</v>
      </c>
      <c r="G332">
        <f>計算表!G332</f>
        <v>8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表-自動機組零件</v>
      </c>
      <c r="D333" t="str">
        <f>計算表!D333</f>
        <v>重骰模組</v>
      </c>
      <c r="E333" t="str">
        <f>計算表!E333</f>
        <v>效果值 = a × 階級(T1~T7)</v>
      </c>
      <c r="F333" t="str">
        <f>計算表!F333</f>
        <v>節點=b。合成詞條重骰機率 +v%/階（掉寶類零件效果實際×0.5）。</v>
      </c>
      <c r="G333">
        <f>計算表!G333</f>
        <v>15</v>
      </c>
      <c r="H333" t="str">
        <f>計算表!H333</f>
        <v>synth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出怪間隔</v>
      </c>
      <c r="E334" t="str">
        <f>計算表!E334</f>
        <v>a 秒 × (1-移動速度%)</v>
      </c>
      <c r="F334" t="str">
        <f>計算表!F334</f>
        <v>RESPAWN_DELAY。</v>
      </c>
      <c r="G334">
        <f>計算表!G334</f>
        <v>0.8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死亡復活時間</v>
      </c>
      <c r="E335" t="str">
        <f>計算表!E335</f>
        <v>a 秒</v>
      </c>
      <c r="F335" t="str">
        <f>計算表!F335</f>
        <v>REVIVE_DELAY。</v>
      </c>
      <c r="G335">
        <f>計算表!G335</f>
        <v>3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零件階級上限</v>
      </c>
      <c r="E336" t="str">
        <f>計算表!E336</f>
        <v>T a</v>
      </c>
      <c r="F336" t="str">
        <f>計算表!F336</f>
        <v>PART_MAX_TIER。</v>
      </c>
      <c r="G336">
        <f>計算表!G336</f>
        <v>7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零件庫存保留</v>
      </c>
      <c r="E337" t="str">
        <f>計算表!E337</f>
        <v>每種未安裝最多保留 a 顆</v>
      </c>
      <c r="F337" t="str">
        <f>計算表!F337</f>
        <v>PART_KEEP_PER_KEY，多餘自動分解。</v>
      </c>
      <c r="G337">
        <f>計算表!G337</f>
        <v>10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合成節點槽位</v>
      </c>
      <c r="E338" t="str">
        <f>計算表!E338</f>
        <v>a 格</v>
      </c>
      <c r="F338" t="str">
        <f>計算表!F338</f>
        <v>分解槽為金幣解鎖 10~20 格。　※合成功能已停用，本列未生效。</v>
      </c>
      <c r="G338">
        <f>計算表!G338</f>
        <v>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寶石一般上限 / 神鑄上限</v>
      </c>
      <c r="E339" t="str">
        <f>計算表!E339</f>
        <v>一般 a 階；神鑄可到 b 階</v>
      </c>
      <c r="F339" t="str">
        <f>計算表!F339</f>
        <v>GEM_MAX_LEVEL / GEM_FORGE_MAX_LEVEL。</v>
      </c>
      <c r="G339">
        <f>計算表!G339</f>
        <v>5</v>
      </c>
      <c r="H339">
        <f>計算表!H339</f>
        <v>10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表-固定參數</v>
      </c>
      <c r="D340" t="str">
        <f>計算表!D340</f>
        <v>詞條數硬上限</v>
      </c>
      <c r="E340" t="str">
        <f>計算表!E340</f>
        <v>a 條</v>
      </c>
      <c r="F340" t="str">
        <f>計算表!F340</f>
        <v>MAX_AFFIXES = 單件裝備詞條數的安全硬上限；目前稀有度表最高 10 條。</v>
      </c>
      <c r="G340">
        <f>計算表!G340</f>
        <v>10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15.3</v>
      </c>
      <c r="H341">
        <f>計算表!H341</f>
        <v>9</v>
      </c>
      <c r="I341">
        <f>計算表!I341</f>
        <v>9</v>
      </c>
      <c r="J341">
        <f>計算表!J341</f>
        <v>6</v>
      </c>
      <c r="K341">
        <f>計算表!K341</f>
        <v>3</v>
      </c>
      <c r="L341">
        <f>計算表!L341</f>
        <v>67.5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表-稀有度</v>
      </c>
      <c r="D342" t="str">
        <f>計算表!D342</f>
        <v>神鑄混沌</v>
      </c>
      <c r="E342" t="str">
        <f>計算表!E342</f>
        <v>（查表）</v>
      </c>
      <c r="F342" t="str">
        <f>計算表!F342</f>
        <v>a=詞條數值倍率 b=詞條數下限 c=詞條數上限 d=寶石插槽 e=附魔欄位 f=分解係數；倍率與分解係數為暫定值，可調整。</v>
      </c>
      <c r="G342">
        <f>計算表!G342</f>
        <v>22.95</v>
      </c>
      <c r="H342">
        <f>計算表!H342</f>
        <v>10</v>
      </c>
      <c r="I342">
        <f>計算表!I342</f>
        <v>10</v>
      </c>
      <c r="J342">
        <f>計算表!J342</f>
        <v>7</v>
      </c>
      <c r="K342">
        <f>計算表!K342</f>
        <v>3</v>
      </c>
      <c r="L342">
        <f>計算表!L342</f>
        <v>101.25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裝備神鑄混沌基礎成功率</v>
      </c>
      <c r="E343" t="str">
        <f>計算表!E343</f>
        <v>混沌品質基礎成功率 a%</v>
      </c>
      <c r="F343" t="str">
        <f>計算表!F343</f>
        <v>6 件混沌裝備神鑄為神鑄混沌的基礎成功率。</v>
      </c>
      <c r="G343">
        <f>計算表!G343</f>
        <v>20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裝備神鑄混沌金幣</v>
      </c>
      <c r="E344" t="str">
        <f>計算表!E344</f>
        <v>混沌品質單次金幣消耗 a</v>
      </c>
      <c r="F344" t="str">
        <f>計算表!F344</f>
        <v>暫定 5 億，可自行調整。</v>
      </c>
      <c r="G344">
        <f>計算表!G344</f>
        <v>500000000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6-神鑄</v>
      </c>
      <c r="D345" t="str">
        <f>計算表!D345</f>
        <v>裝備神鑄混沌時間(秒)</v>
      </c>
      <c r="E345" t="str">
        <f>計算表!E345</f>
        <v>混沌品質神鑄時間 a 秒</v>
      </c>
      <c r="F345" t="str">
        <f>計算表!F345</f>
        <v>暫定 13 秒，可自行調整。</v>
      </c>
      <c r="G345">
        <f>計算表!G345</f>
        <v>13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技能熟練度經驗需求</v>
      </c>
      <c r="E346" t="str">
        <f>計算表!E346</f>
        <v>a×熟練度等級^b + c</v>
      </c>
      <c r="F346" t="str">
        <f>計算表!F346</f>
        <v>技能熟練度升 1 級所需經驗（沿用玩家升級公式未轉生版；L=目前熟練度等級）。</v>
      </c>
      <c r="G346">
        <f>計算表!G346</f>
        <v>30</v>
      </c>
      <c r="H346">
        <f>計算表!H346</f>
        <v>3</v>
      </c>
      <c r="I346">
        <f>計算表!I346</f>
        <v>20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1-成長經驗</v>
      </c>
      <c r="D347" t="str">
        <f>計算表!D347</f>
        <v>技能熟練度</v>
      </c>
      <c r="E347" t="str">
        <f>計算表!E347</f>
        <v>上限 a 級；擊殺技能經驗 = 怪物經驗 × b%</v>
      </c>
      <c r="F347" t="str">
        <f>計算表!F347</f>
        <v>打怪（野外/高塔/離線）獲得技能經驗；每升 1 級 +1 技能點。初始 0 級。</v>
      </c>
      <c r="G347">
        <f>計算表!G347</f>
        <v>1000</v>
      </c>
      <c r="H347">
        <f>計算表!H347</f>
        <v>90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融合花費</v>
      </c>
      <c r="E348" t="str">
        <f>計算表!E348</f>
        <v>金幣 a × 素材數；魔法卷軸 b 張 × 素材數</v>
      </c>
      <c r="F348" t="str">
        <f>計算表!F348</f>
        <v>執行技能融合的花費。</v>
      </c>
      <c r="G348">
        <f>計算表!G348</f>
        <v>50000</v>
      </c>
      <c r="H348">
        <f>計算表!H348</f>
        <v>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物魔判定</v>
      </c>
      <c r="E349" t="str">
        <f>計算表!E349</f>
        <v>混合素材：物/魔依素材數比例分掉 (100-a)%，物+魔佔 a%；雙屬性每段攻擊係數 b</v>
      </c>
      <c r="F349" t="str">
        <f>計算表!F349</f>
        <v>2 物 2 魔時即 45/45/10。純物理/純魔法素材不擲骰；任一真傷素材→真傷。</v>
      </c>
      <c r="G349">
        <f>計算表!G349</f>
        <v>10</v>
      </c>
      <c r="H349">
        <f>計算表!H349</f>
        <v>0.65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攻擊力四檔</v>
      </c>
      <c r="E350" t="str">
        <f>計算表!E350</f>
        <v>素材滿級傷害% 平均 → ×a/b/c/d%，機率 e/f/g/h%</v>
      </c>
      <c r="F350" t="str">
        <f>計算表!F350</f>
        <v>融合技攻擊力四檔位與機率。</v>
      </c>
      <c r="G350">
        <f>計算表!G350</f>
        <v>75</v>
      </c>
      <c r="H350">
        <f>計算表!H350</f>
        <v>100</v>
      </c>
      <c r="I350">
        <f>計算表!I350</f>
        <v>125</v>
      </c>
      <c r="J350">
        <f>計算表!J350</f>
        <v>150</v>
      </c>
      <c r="K350">
        <f>計算表!K350</f>
        <v>20</v>
      </c>
      <c r="L350">
        <f>計算表!L350</f>
        <v>30</v>
      </c>
      <c r="M350">
        <f>計算表!M350</f>
        <v>30</v>
      </c>
      <c r="N350">
        <f>計算表!N350</f>
        <v>20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同屬性加成</v>
      </c>
      <c r="E351" t="str">
        <f>計算表!E351</f>
        <v>素材中同屬性每多 1 個，該屬性最終傷害 +a%</v>
      </c>
      <c r="F351" t="str">
        <f>計算表!F351</f>
        <v>等價折入 elems 權重與總傷害值（戰鬥端零改動）。物理視為一種屬性、每個物理素材佔 2 份。</v>
      </c>
      <c r="G351">
        <f>計算表!G351</f>
        <v>25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效果融合機率</v>
      </c>
      <c r="E352" t="str">
        <f>計算表!E352</f>
        <v>a%</v>
      </c>
      <c r="F352" t="str">
        <f>計算表!F352</f>
        <v>特效正常取 1 個素材的特效包；a% 機率再併入第 2 個素材的特效包（最多 2 個）。</v>
      </c>
      <c r="G352">
        <f>計算表!G352</f>
        <v>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9-融合</v>
      </c>
      <c r="D353" t="str">
        <f>計算表!D353</f>
        <v>成長曲線</v>
      </c>
      <c r="E353" t="str">
        <f>計算表!E353</f>
        <v>Lv.1 = 滿級值 × a，線性成長至滿級（10 級基準）</v>
      </c>
      <c r="F353" t="str">
        <f>計算表!F353</f>
        <v>融合技所有隨機結果值為滿級值；轉生上限 15 時可超過滿級值（與一般技能同理）。</v>
      </c>
      <c r="G353">
        <f>計算表!G353</f>
        <v>0.6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>
        <f>計算表!B354</f>
        <v>0</v>
      </c>
      <c r="C354" t="str">
        <f>計算表!C354</f>
        <v>6-分解精華機率</v>
      </c>
      <c r="D354" t="str">
        <f>計算表!D354</f>
        <v>魔法卷軸換算</v>
      </c>
      <c r="E354" t="str">
        <f>計算表!E354</f>
        <v>魔法卷軸 = 附魔精華實得量 × a（機率式進位）</v>
      </c>
      <c r="F354" t="str">
        <f>計算表!F354</f>
        <v>拆解裝備與高塔通關皆適用；期望值 = 精華量 × a。</v>
      </c>
      <c r="G354">
        <f>計算表!G354</f>
        <v>0.1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>
        <f>計算表!B355</f>
        <v>0</v>
      </c>
      <c r="C355" t="str">
        <f>計算表!C355</f>
        <v>0-遊戲預設</v>
      </c>
      <c r="D355" t="str">
        <f>計算表!D355</f>
        <v>開場金幣</v>
      </c>
      <c r="E355" t="str">
        <f>計算表!E355</f>
        <v>a</v>
      </c>
      <c r="F355" t="str">
        <f>計算表!F355</f>
        <v>新遊戲與重新開局時給予的金幣數量。</v>
      </c>
      <c r="G355">
        <f>計算表!G355</f>
        <v>50000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>
        <f>計算表!B356</f>
        <v>0</v>
      </c>
      <c r="C356" t="str">
        <f>計算表!C356</f>
        <v>0-遊戲預設</v>
      </c>
      <c r="D356" t="str">
        <f>計算表!D356</f>
        <v>開場裝備碎片</v>
      </c>
      <c r="E356" t="str">
        <f>計算表!E356</f>
        <v>a</v>
      </c>
      <c r="F356" t="str">
        <f>計算表!F356</f>
        <v>新遊戲與重新開局時給予的裝備碎片數量。</v>
      </c>
      <c r="G356">
        <f>計算表!G356</f>
        <v>500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>
        <f>計算表!B357</f>
        <v>0</v>
      </c>
      <c r="C357" t="str">
        <f>計算表!C357</f>
        <v>0-遊戲預設</v>
      </c>
      <c r="D357" t="str">
        <f>計算表!D357</f>
        <v>開場附魔精華</v>
      </c>
      <c r="E357" t="str">
        <f>計算表!E357</f>
        <v>a</v>
      </c>
      <c r="F357" t="str">
        <f>計算表!F357</f>
        <v>新遊戲與重新開局時給予的附魔精華數量。</v>
      </c>
      <c r="G357">
        <f>計算表!G357</f>
        <v>100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7"/>
  <sheetViews>
    <sheetView tabSelected="1" topLeftCell="A322" workbookViewId="0">
      <selection activeCell="G350" sqref="G350"/>
    </sheetView>
  </sheetViews>
  <sheetFormatPr defaultRowHeight="15" x14ac:dyDescent="0.25"/>
  <cols>
    <col min="3" max="3" width="21.140625" customWidth="1"/>
    <col min="4" max="4" width="30" customWidth="1"/>
    <col min="5" max="5" width="41.85546875" customWidth="1"/>
    <col min="6" max="6" width="35.5703125" customWidth="1"/>
    <col min="7" max="13" width="12.7109375" customWidth="1"/>
    <col min="14" max="17" width="10.28515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20</v>
      </c>
      <c r="D2" t="s">
        <v>21</v>
      </c>
      <c r="E2" t="s">
        <v>22</v>
      </c>
      <c r="F2" t="s">
        <v>23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20</v>
      </c>
      <c r="D3" t="s">
        <v>24</v>
      </c>
      <c r="E3" t="s">
        <v>25</v>
      </c>
      <c r="F3" t="s">
        <v>26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20</v>
      </c>
      <c r="D4" t="s">
        <v>27</v>
      </c>
      <c r="E4" t="s">
        <v>28</v>
      </c>
      <c r="F4" t="s">
        <v>29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20</v>
      </c>
      <c r="D5" t="s">
        <v>30</v>
      </c>
      <c r="E5" t="s">
        <v>31</v>
      </c>
      <c r="F5" t="s">
        <v>32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20</v>
      </c>
      <c r="D6" t="s">
        <v>33</v>
      </c>
      <c r="E6" t="s">
        <v>34</v>
      </c>
      <c r="F6" t="s">
        <v>35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20</v>
      </c>
      <c r="D7" t="s">
        <v>36</v>
      </c>
      <c r="E7" t="s">
        <v>37</v>
      </c>
      <c r="F7" t="s">
        <v>38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39</v>
      </c>
      <c r="D8" t="s">
        <v>40</v>
      </c>
      <c r="E8" t="s">
        <v>41</v>
      </c>
      <c r="F8" t="s">
        <v>42</v>
      </c>
      <c r="G8">
        <v>1</v>
      </c>
      <c r="H8" t="s">
        <v>43</v>
      </c>
      <c r="I8">
        <v>0</v>
      </c>
      <c r="J8" t="s">
        <v>44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39</v>
      </c>
      <c r="D9" t="s">
        <v>45</v>
      </c>
      <c r="E9" t="s">
        <v>41</v>
      </c>
      <c r="F9" t="s">
        <v>42</v>
      </c>
      <c r="G9">
        <v>1.5</v>
      </c>
      <c r="H9" t="s">
        <v>46</v>
      </c>
      <c r="I9">
        <v>500000</v>
      </c>
      <c r="J9" t="s">
        <v>47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39</v>
      </c>
      <c r="D10" t="s">
        <v>48</v>
      </c>
      <c r="E10" t="s">
        <v>41</v>
      </c>
      <c r="F10" t="s">
        <v>42</v>
      </c>
      <c r="G10">
        <v>2.5</v>
      </c>
      <c r="H10" t="s">
        <v>49</v>
      </c>
      <c r="I10">
        <v>1500000</v>
      </c>
      <c r="J10" t="s">
        <v>50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39</v>
      </c>
      <c r="D11" t="s">
        <v>51</v>
      </c>
      <c r="E11" t="s">
        <v>41</v>
      </c>
      <c r="F11" t="s">
        <v>42</v>
      </c>
      <c r="G11">
        <v>3.5</v>
      </c>
      <c r="H11" t="s">
        <v>52</v>
      </c>
      <c r="I11">
        <v>3000000</v>
      </c>
      <c r="J11" t="s">
        <v>53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39</v>
      </c>
      <c r="D12" t="s">
        <v>54</v>
      </c>
      <c r="E12" t="s">
        <v>41</v>
      </c>
      <c r="F12" t="s">
        <v>42</v>
      </c>
      <c r="G12">
        <v>5</v>
      </c>
      <c r="H12" t="s">
        <v>55</v>
      </c>
      <c r="I12">
        <v>6000000</v>
      </c>
      <c r="J12" t="s">
        <v>56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39</v>
      </c>
      <c r="D13" t="s">
        <v>57</v>
      </c>
      <c r="E13" t="s">
        <v>41</v>
      </c>
      <c r="F13" t="s">
        <v>42</v>
      </c>
      <c r="G13">
        <v>7</v>
      </c>
      <c r="H13" t="s">
        <v>58</v>
      </c>
      <c r="I13">
        <v>12000000</v>
      </c>
      <c r="J13" t="s">
        <v>59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39</v>
      </c>
      <c r="D14" t="s">
        <v>60</v>
      </c>
      <c r="E14" t="s">
        <v>41</v>
      </c>
      <c r="F14" t="s">
        <v>42</v>
      </c>
      <c r="G14">
        <v>10</v>
      </c>
      <c r="H14" t="s">
        <v>61</v>
      </c>
      <c r="I14">
        <v>24000000</v>
      </c>
      <c r="J14" t="s">
        <v>62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39</v>
      </c>
      <c r="D15" t="s">
        <v>63</v>
      </c>
      <c r="E15" t="s">
        <v>41</v>
      </c>
      <c r="F15" t="s">
        <v>42</v>
      </c>
      <c r="G15">
        <v>14</v>
      </c>
      <c r="H15" t="s">
        <v>64</v>
      </c>
      <c r="I15">
        <v>48000000</v>
      </c>
      <c r="J15" t="s">
        <v>65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39</v>
      </c>
      <c r="D16" t="s">
        <v>66</v>
      </c>
      <c r="E16" t="s">
        <v>41</v>
      </c>
      <c r="F16" t="s">
        <v>42</v>
      </c>
      <c r="G16">
        <v>18</v>
      </c>
      <c r="H16" t="s">
        <v>67</v>
      </c>
      <c r="I16">
        <v>96000000</v>
      </c>
      <c r="J16" t="s">
        <v>68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39</v>
      </c>
      <c r="D17" t="s">
        <v>69</v>
      </c>
      <c r="E17" t="s">
        <v>41</v>
      </c>
      <c r="F17" t="s">
        <v>42</v>
      </c>
      <c r="G17">
        <v>24</v>
      </c>
      <c r="H17" t="s">
        <v>70</v>
      </c>
      <c r="I17">
        <v>192000000</v>
      </c>
      <c r="J17" t="s">
        <v>71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39</v>
      </c>
      <c r="D18" t="s">
        <v>72</v>
      </c>
      <c r="E18" t="s">
        <v>41</v>
      </c>
      <c r="F18" t="s">
        <v>42</v>
      </c>
      <c r="G18">
        <v>30</v>
      </c>
      <c r="H18" t="s">
        <v>73</v>
      </c>
      <c r="I18">
        <v>384000000</v>
      </c>
      <c r="J18" t="s">
        <v>74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39</v>
      </c>
      <c r="D19" t="s">
        <v>75</v>
      </c>
      <c r="E19" t="s">
        <v>41</v>
      </c>
      <c r="F19" t="s">
        <v>42</v>
      </c>
      <c r="G19">
        <v>60</v>
      </c>
      <c r="H19" t="s">
        <v>76</v>
      </c>
      <c r="I19">
        <v>768000000</v>
      </c>
      <c r="J19" t="s">
        <v>77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39</v>
      </c>
      <c r="D20" t="s">
        <v>78</v>
      </c>
      <c r="E20" t="s">
        <v>41</v>
      </c>
      <c r="F20" t="s">
        <v>42</v>
      </c>
      <c r="G20">
        <v>100</v>
      </c>
      <c r="H20" t="s">
        <v>79</v>
      </c>
      <c r="I20">
        <v>1536000000</v>
      </c>
      <c r="J20" t="s">
        <v>80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39</v>
      </c>
      <c r="D21" t="s">
        <v>81</v>
      </c>
      <c r="E21" t="s">
        <v>41</v>
      </c>
      <c r="F21" t="s">
        <v>42</v>
      </c>
      <c r="G21">
        <v>150</v>
      </c>
      <c r="H21" t="s">
        <v>82</v>
      </c>
      <c r="I21">
        <v>3072000000</v>
      </c>
      <c r="J21" t="s">
        <v>83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39</v>
      </c>
      <c r="D22" t="s">
        <v>84</v>
      </c>
      <c r="E22" t="s">
        <v>41</v>
      </c>
      <c r="F22" t="s">
        <v>42</v>
      </c>
      <c r="G22">
        <v>200</v>
      </c>
      <c r="H22" t="s">
        <v>85</v>
      </c>
      <c r="I22">
        <v>6144000000</v>
      </c>
      <c r="J22" t="s">
        <v>86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39</v>
      </c>
      <c r="D23" t="s">
        <v>87</v>
      </c>
      <c r="E23" t="s">
        <v>41</v>
      </c>
      <c r="F23" t="s">
        <v>42</v>
      </c>
      <c r="G23">
        <v>300</v>
      </c>
      <c r="H23" t="s">
        <v>88</v>
      </c>
      <c r="I23">
        <v>12288000000</v>
      </c>
      <c r="J23" t="s">
        <v>89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39</v>
      </c>
      <c r="D24" t="s">
        <v>90</v>
      </c>
      <c r="E24" t="s">
        <v>41</v>
      </c>
      <c r="F24" t="s">
        <v>42</v>
      </c>
      <c r="G24">
        <v>450</v>
      </c>
      <c r="H24" t="s">
        <v>91</v>
      </c>
      <c r="I24">
        <v>24576000000</v>
      </c>
      <c r="J24" t="s">
        <v>92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39</v>
      </c>
      <c r="D25" t="s">
        <v>93</v>
      </c>
      <c r="E25" t="s">
        <v>41</v>
      </c>
      <c r="F25" t="s">
        <v>42</v>
      </c>
      <c r="G25">
        <v>650</v>
      </c>
      <c r="H25" t="s">
        <v>94</v>
      </c>
      <c r="I25">
        <v>49152000000</v>
      </c>
      <c r="J25" t="s">
        <v>95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39</v>
      </c>
      <c r="D26" t="s">
        <v>96</v>
      </c>
      <c r="E26" t="s">
        <v>41</v>
      </c>
      <c r="F26" t="s">
        <v>42</v>
      </c>
      <c r="G26">
        <v>800</v>
      </c>
      <c r="H26" t="s">
        <v>97</v>
      </c>
      <c r="I26">
        <v>98304000000</v>
      </c>
      <c r="J26" t="s">
        <v>98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39</v>
      </c>
      <c r="D27" t="s">
        <v>99</v>
      </c>
      <c r="E27" t="s">
        <v>41</v>
      </c>
      <c r="F27" t="s">
        <v>42</v>
      </c>
      <c r="G27">
        <v>1200</v>
      </c>
      <c r="H27" t="s">
        <v>100</v>
      </c>
      <c r="I27">
        <v>196608000000</v>
      </c>
      <c r="J27" t="s">
        <v>101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39</v>
      </c>
      <c r="D28" t="s">
        <v>102</v>
      </c>
      <c r="E28" t="s">
        <v>41</v>
      </c>
      <c r="F28" t="s">
        <v>42</v>
      </c>
      <c r="G28">
        <v>2500</v>
      </c>
      <c r="H28" t="s">
        <v>103</v>
      </c>
      <c r="I28">
        <v>393216000000</v>
      </c>
      <c r="J28" t="s">
        <v>104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105</v>
      </c>
      <c r="D29" t="s">
        <v>106</v>
      </c>
      <c r="E29" t="s">
        <v>107</v>
      </c>
      <c r="F29" t="s">
        <v>108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105</v>
      </c>
      <c r="D30" t="s">
        <v>109</v>
      </c>
      <c r="E30" t="s">
        <v>110</v>
      </c>
      <c r="F30" t="s">
        <v>111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105</v>
      </c>
      <c r="D31" t="s">
        <v>112</v>
      </c>
      <c r="E31" t="s">
        <v>113</v>
      </c>
      <c r="F31" t="s">
        <v>114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105</v>
      </c>
      <c r="D32" t="s">
        <v>115</v>
      </c>
      <c r="E32" t="s">
        <v>116</v>
      </c>
      <c r="F32" t="s">
        <v>117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105</v>
      </c>
      <c r="D33" t="s">
        <v>118</v>
      </c>
      <c r="E33" t="s">
        <v>119</v>
      </c>
      <c r="F33" t="s">
        <v>120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105</v>
      </c>
      <c r="D34" t="s">
        <v>121</v>
      </c>
      <c r="E34" t="s">
        <v>122</v>
      </c>
      <c r="F34" t="s">
        <v>123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105</v>
      </c>
      <c r="D35" t="s">
        <v>124</v>
      </c>
      <c r="E35" t="s">
        <v>125</v>
      </c>
      <c r="F35" t="s">
        <v>126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105</v>
      </c>
      <c r="D36" t="s">
        <v>127</v>
      </c>
      <c r="E36" t="s">
        <v>128</v>
      </c>
      <c r="F36" t="s">
        <v>129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105</v>
      </c>
      <c r="D37" t="s">
        <v>130</v>
      </c>
      <c r="E37" t="s">
        <v>131</v>
      </c>
      <c r="F37" t="s">
        <v>132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105</v>
      </c>
      <c r="D38" t="s">
        <v>133</v>
      </c>
      <c r="E38" t="s">
        <v>134</v>
      </c>
      <c r="F38" t="s">
        <v>135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105</v>
      </c>
      <c r="D39" t="s">
        <v>136</v>
      </c>
      <c r="E39" t="s">
        <v>137</v>
      </c>
      <c r="F39" t="s">
        <v>138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105</v>
      </c>
      <c r="D40" t="s">
        <v>139</v>
      </c>
      <c r="E40" t="s">
        <v>140</v>
      </c>
      <c r="F40" t="s">
        <v>141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105</v>
      </c>
      <c r="D41" t="s">
        <v>142</v>
      </c>
      <c r="E41" t="s">
        <v>140</v>
      </c>
      <c r="F41" t="s">
        <v>143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105</v>
      </c>
      <c r="D42" t="s">
        <v>144</v>
      </c>
      <c r="E42" t="s">
        <v>145</v>
      </c>
      <c r="F42" t="s">
        <v>146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105</v>
      </c>
      <c r="D43" t="s">
        <v>147</v>
      </c>
      <c r="E43" s="1" t="s">
        <v>148</v>
      </c>
      <c r="F43" s="2" t="s">
        <v>149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105</v>
      </c>
      <c r="D44" t="s">
        <v>150</v>
      </c>
      <c r="E44" t="s">
        <v>151</v>
      </c>
      <c r="F44" t="s">
        <v>152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153</v>
      </c>
      <c r="D45" t="s">
        <v>154</v>
      </c>
      <c r="E45" t="s">
        <v>155</v>
      </c>
      <c r="F45" t="s">
        <v>156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153</v>
      </c>
      <c r="D46" t="s">
        <v>157</v>
      </c>
      <c r="E46" t="s">
        <v>155</v>
      </c>
      <c r="F46" t="s">
        <v>158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153</v>
      </c>
      <c r="D47" t="s">
        <v>159</v>
      </c>
      <c r="E47" t="s">
        <v>155</v>
      </c>
      <c r="F47" t="s">
        <v>160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153</v>
      </c>
      <c r="D48" t="s">
        <v>161</v>
      </c>
      <c r="E48" t="s">
        <v>155</v>
      </c>
      <c r="F48" t="s">
        <v>162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153</v>
      </c>
      <c r="D49" t="s">
        <v>163</v>
      </c>
      <c r="E49" t="s">
        <v>155</v>
      </c>
      <c r="F49" t="s">
        <v>164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153</v>
      </c>
      <c r="D50" t="s">
        <v>165</v>
      </c>
      <c r="E50" t="s">
        <v>155</v>
      </c>
      <c r="F50" t="s">
        <v>166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153</v>
      </c>
      <c r="D51" t="s">
        <v>167</v>
      </c>
      <c r="E51" t="s">
        <v>155</v>
      </c>
      <c r="F51" t="s">
        <v>168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153</v>
      </c>
      <c r="D52" t="s">
        <v>169</v>
      </c>
      <c r="E52" t="s">
        <v>155</v>
      </c>
      <c r="F52" t="s">
        <v>170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153</v>
      </c>
      <c r="D53" t="s">
        <v>171</v>
      </c>
      <c r="E53" t="s">
        <v>155</v>
      </c>
      <c r="F53" t="s">
        <v>172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153</v>
      </c>
      <c r="D54" t="s">
        <v>173</v>
      </c>
      <c r="E54" t="s">
        <v>155</v>
      </c>
      <c r="F54" t="s">
        <v>174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153</v>
      </c>
      <c r="D55" t="s">
        <v>175</v>
      </c>
      <c r="E55" t="s">
        <v>155</v>
      </c>
      <c r="F55" t="s">
        <v>176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153</v>
      </c>
      <c r="D56" t="s">
        <v>177</v>
      </c>
      <c r="E56" t="s">
        <v>155</v>
      </c>
      <c r="F56" t="s">
        <v>178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153</v>
      </c>
      <c r="D57" t="s">
        <v>179</v>
      </c>
      <c r="E57" t="s">
        <v>155</v>
      </c>
      <c r="F57" t="s">
        <v>180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153</v>
      </c>
      <c r="D58" t="s">
        <v>181</v>
      </c>
      <c r="E58" t="s">
        <v>155</v>
      </c>
      <c r="F58" t="s">
        <v>182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153</v>
      </c>
      <c r="D59" t="s">
        <v>183</v>
      </c>
      <c r="E59" t="s">
        <v>155</v>
      </c>
      <c r="F59" t="s">
        <v>184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153</v>
      </c>
      <c r="D60" t="s">
        <v>185</v>
      </c>
      <c r="E60" t="s">
        <v>155</v>
      </c>
      <c r="F60" t="s">
        <v>186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153</v>
      </c>
      <c r="D61" t="s">
        <v>187</v>
      </c>
      <c r="E61" t="s">
        <v>155</v>
      </c>
      <c r="F61" t="s">
        <v>188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153</v>
      </c>
      <c r="D62" t="s">
        <v>189</v>
      </c>
      <c r="E62" t="s">
        <v>18</v>
      </c>
      <c r="F62" t="s">
        <v>19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153</v>
      </c>
      <c r="D63" t="s">
        <v>190</v>
      </c>
      <c r="E63" t="s">
        <v>155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153</v>
      </c>
      <c r="D64" t="s">
        <v>192</v>
      </c>
      <c r="E64" s="2" t="s">
        <v>155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s="2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s="2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s="2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s="2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s="2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s="3" t="s">
        <v>218</v>
      </c>
      <c r="E74" t="s">
        <v>219</v>
      </c>
      <c r="F74" s="3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256</v>
      </c>
      <c r="D90" t="s">
        <v>121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256</v>
      </c>
      <c r="D93" t="s">
        <v>136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256</v>
      </c>
      <c r="D94" t="s">
        <v>139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256</v>
      </c>
      <c r="D95" t="s">
        <v>142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>
        <v>0</v>
      </c>
      <c r="C104" t="s">
        <v>295</v>
      </c>
      <c r="D104" s="1" t="s">
        <v>296</v>
      </c>
      <c r="E104" t="s">
        <v>297</v>
      </c>
      <c r="F104" t="s">
        <v>298</v>
      </c>
      <c r="G104" s="2" t="s">
        <v>299</v>
      </c>
      <c r="H104" t="s">
        <v>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>
        <v>0</v>
      </c>
      <c r="C105" t="s">
        <v>295</v>
      </c>
      <c r="D105" s="1" t="s">
        <v>301</v>
      </c>
      <c r="E105" t="s">
        <v>297</v>
      </c>
      <c r="F105" t="s">
        <v>298</v>
      </c>
      <c r="G105" s="2" t="s">
        <v>302</v>
      </c>
      <c r="H105" s="2" t="s">
        <v>300</v>
      </c>
      <c r="I105" t="s">
        <v>303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>
        <v>0</v>
      </c>
      <c r="C106" t="s">
        <v>295</v>
      </c>
      <c r="D106" s="1" t="s">
        <v>304</v>
      </c>
      <c r="E106" t="s">
        <v>297</v>
      </c>
      <c r="F106" t="s">
        <v>298</v>
      </c>
      <c r="G106" s="2" t="s">
        <v>305</v>
      </c>
      <c r="H106" s="2" t="s">
        <v>306</v>
      </c>
      <c r="I106" s="2" t="s">
        <v>307</v>
      </c>
      <c r="J106" t="s">
        <v>308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>
        <v>0</v>
      </c>
      <c r="C107" t="s">
        <v>295</v>
      </c>
      <c r="D107" s="1" t="s">
        <v>309</v>
      </c>
      <c r="E107" t="s">
        <v>297</v>
      </c>
      <c r="F107" t="s">
        <v>298</v>
      </c>
      <c r="G107" s="2" t="s">
        <v>310</v>
      </c>
      <c r="H107" s="2" t="s">
        <v>311</v>
      </c>
      <c r="I107" s="2" t="s">
        <v>312</v>
      </c>
      <c r="J107" s="2" t="s">
        <v>313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295</v>
      </c>
      <c r="D108" s="1" t="s">
        <v>314</v>
      </c>
      <c r="E108" t="s">
        <v>297</v>
      </c>
      <c r="F108" t="s">
        <v>298</v>
      </c>
      <c r="G108" s="2" t="s">
        <v>315</v>
      </c>
      <c r="H108" s="2" t="s">
        <v>316</v>
      </c>
      <c r="I108" s="2" t="s">
        <v>317</v>
      </c>
      <c r="J108" s="2" t="s">
        <v>318</v>
      </c>
      <c r="K108" s="2" t="s">
        <v>319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295</v>
      </c>
      <c r="D109" t="s">
        <v>320</v>
      </c>
      <c r="E109" t="s">
        <v>297</v>
      </c>
      <c r="F109" t="s">
        <v>298</v>
      </c>
      <c r="G109" t="s">
        <v>321</v>
      </c>
      <c r="H109" t="s">
        <v>322</v>
      </c>
      <c r="I109" s="2" t="s">
        <v>1060</v>
      </c>
      <c r="J109" t="s">
        <v>323</v>
      </c>
      <c r="K109" s="2" t="s">
        <v>1059</v>
      </c>
      <c r="L109" s="2" t="s">
        <v>1053</v>
      </c>
      <c r="M109" s="2" t="s">
        <v>1054</v>
      </c>
      <c r="N109" s="2" t="s">
        <v>1055</v>
      </c>
      <c r="O109" s="2" t="s">
        <v>1056</v>
      </c>
      <c r="P109" s="2" t="s">
        <v>1057</v>
      </c>
      <c r="Q109" s="2" t="s">
        <v>1058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295</v>
      </c>
      <c r="D110" t="s">
        <v>324</v>
      </c>
      <c r="E110" t="s">
        <v>297</v>
      </c>
      <c r="F110" t="s">
        <v>325</v>
      </c>
      <c r="G110" t="s">
        <v>326</v>
      </c>
      <c r="H110" t="s">
        <v>327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295</v>
      </c>
      <c r="D111" t="s">
        <v>328</v>
      </c>
      <c r="E111" t="s">
        <v>297</v>
      </c>
      <c r="F111" t="s">
        <v>329</v>
      </c>
      <c r="G111" t="s">
        <v>330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331</v>
      </c>
      <c r="D112" t="s">
        <v>332</v>
      </c>
      <c r="E112" t="s">
        <v>333</v>
      </c>
      <c r="F112" t="s">
        <v>334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331</v>
      </c>
      <c r="D113" t="s">
        <v>335</v>
      </c>
      <c r="E113" t="s">
        <v>336</v>
      </c>
      <c r="F113" t="s">
        <v>337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331</v>
      </c>
      <c r="D114" t="s">
        <v>338</v>
      </c>
      <c r="E114" t="s">
        <v>339</v>
      </c>
      <c r="F114" t="s">
        <v>340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341</v>
      </c>
      <c r="D115" t="s">
        <v>342</v>
      </c>
      <c r="E115" t="s">
        <v>343</v>
      </c>
      <c r="F115" t="s">
        <v>344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341</v>
      </c>
      <c r="D116" t="s">
        <v>345</v>
      </c>
      <c r="E116" t="s">
        <v>346</v>
      </c>
      <c r="F116" t="s">
        <v>347</v>
      </c>
      <c r="G116">
        <v>20</v>
      </c>
      <c r="H116">
        <v>5</v>
      </c>
      <c r="I116">
        <v>2</v>
      </c>
      <c r="J116">
        <v>10</v>
      </c>
      <c r="K116">
        <v>2.5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341</v>
      </c>
      <c r="D117" t="s">
        <v>348</v>
      </c>
      <c r="E117" t="s">
        <v>284</v>
      </c>
      <c r="F117" t="s">
        <v>349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286</v>
      </c>
      <c r="D118" t="s">
        <v>287</v>
      </c>
      <c r="E118" t="s">
        <v>41</v>
      </c>
      <c r="F118" t="s">
        <v>350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286</v>
      </c>
      <c r="D119" t="s">
        <v>290</v>
      </c>
      <c r="E119" t="s">
        <v>41</v>
      </c>
      <c r="F119" t="s">
        <v>350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286</v>
      </c>
      <c r="D120" t="s">
        <v>291</v>
      </c>
      <c r="E120" t="s">
        <v>41</v>
      </c>
      <c r="F120" t="s">
        <v>350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353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354</v>
      </c>
      <c r="D121" t="s">
        <v>355</v>
      </c>
      <c r="E121" t="s">
        <v>356</v>
      </c>
      <c r="F121" t="s">
        <v>357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354</v>
      </c>
      <c r="D122" t="s">
        <v>358</v>
      </c>
      <c r="E122" t="s">
        <v>359</v>
      </c>
      <c r="F122" t="s">
        <v>360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354</v>
      </c>
      <c r="D123" t="s">
        <v>139</v>
      </c>
      <c r="E123" t="s">
        <v>361</v>
      </c>
      <c r="F123" t="s">
        <v>362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354</v>
      </c>
      <c r="D124" t="s">
        <v>363</v>
      </c>
      <c r="E124" t="s">
        <v>364</v>
      </c>
      <c r="F124" t="s">
        <v>365</v>
      </c>
      <c r="G124" t="s">
        <v>366</v>
      </c>
      <c r="H124" t="s">
        <v>367</v>
      </c>
      <c r="I124" t="s">
        <v>368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354</v>
      </c>
      <c r="D125" t="s">
        <v>257</v>
      </c>
      <c r="E125" t="s">
        <v>369</v>
      </c>
      <c r="F125" t="s">
        <v>370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354</v>
      </c>
      <c r="D126" t="s">
        <v>260</v>
      </c>
      <c r="E126" t="s">
        <v>371</v>
      </c>
      <c r="F126" t="s">
        <v>372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354</v>
      </c>
      <c r="D127" t="s">
        <v>373</v>
      </c>
      <c r="E127" t="s">
        <v>374</v>
      </c>
      <c r="F127" t="s">
        <v>375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354</v>
      </c>
      <c r="D128" t="s">
        <v>376</v>
      </c>
      <c r="E128" t="s">
        <v>377</v>
      </c>
      <c r="F128" t="s">
        <v>378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354</v>
      </c>
      <c r="D129" t="s">
        <v>142</v>
      </c>
      <c r="E129" t="s">
        <v>379</v>
      </c>
      <c r="F129" t="s">
        <v>380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354</v>
      </c>
      <c r="D130" t="s">
        <v>381</v>
      </c>
      <c r="E130" t="s">
        <v>382</v>
      </c>
      <c r="F130" t="s">
        <v>383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354</v>
      </c>
      <c r="D131" t="s">
        <v>263</v>
      </c>
      <c r="E131" t="s">
        <v>384</v>
      </c>
      <c r="F131" t="s">
        <v>385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354</v>
      </c>
      <c r="D132" t="s">
        <v>386</v>
      </c>
      <c r="E132" t="s">
        <v>387</v>
      </c>
      <c r="F132" t="s">
        <v>388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354</v>
      </c>
      <c r="D133" t="s">
        <v>389</v>
      </c>
      <c r="E133" t="s">
        <v>390</v>
      </c>
      <c r="F133" t="s">
        <v>391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354</v>
      </c>
      <c r="D134" t="s">
        <v>392</v>
      </c>
      <c r="E134" t="s">
        <v>390</v>
      </c>
      <c r="F134" t="s">
        <v>393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354</v>
      </c>
      <c r="D135" t="s">
        <v>394</v>
      </c>
      <c r="E135" t="s">
        <v>395</v>
      </c>
      <c r="F135" t="s">
        <v>396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354</v>
      </c>
      <c r="D136" t="s">
        <v>397</v>
      </c>
      <c r="E136" t="s">
        <v>398</v>
      </c>
      <c r="F136" t="s">
        <v>399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354</v>
      </c>
      <c r="D137" t="s">
        <v>400</v>
      </c>
      <c r="E137" t="s">
        <v>401</v>
      </c>
      <c r="F137" t="s">
        <v>402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354</v>
      </c>
      <c r="D138" t="s">
        <v>403</v>
      </c>
      <c r="E138" t="s">
        <v>404</v>
      </c>
      <c r="F138" t="s">
        <v>393</v>
      </c>
      <c r="G138" t="s">
        <v>405</v>
      </c>
      <c r="H138" t="s">
        <v>406</v>
      </c>
      <c r="I138" t="s">
        <v>407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408</v>
      </c>
      <c r="D139" t="s">
        <v>409</v>
      </c>
      <c r="E139" t="s">
        <v>410</v>
      </c>
      <c r="F139" t="s">
        <v>411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408</v>
      </c>
      <c r="D140" t="s">
        <v>412</v>
      </c>
      <c r="E140" t="s">
        <v>413</v>
      </c>
      <c r="F140" t="s">
        <v>414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408</v>
      </c>
      <c r="D141" t="s">
        <v>415</v>
      </c>
      <c r="E141" t="s">
        <v>416</v>
      </c>
      <c r="F141" t="s">
        <v>417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418</v>
      </c>
      <c r="D142" t="s">
        <v>419</v>
      </c>
      <c r="E142" t="s">
        <v>420</v>
      </c>
      <c r="F142" t="s">
        <v>421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418</v>
      </c>
      <c r="D143" t="s">
        <v>422</v>
      </c>
      <c r="E143" t="s">
        <v>423</v>
      </c>
      <c r="F143" t="s">
        <v>424</v>
      </c>
      <c r="G143">
        <v>55</v>
      </c>
      <c r="H143" t="s">
        <v>425</v>
      </c>
      <c r="I143" t="s">
        <v>426</v>
      </c>
      <c r="J143" t="s">
        <v>351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418</v>
      </c>
      <c r="D144" t="s">
        <v>427</v>
      </c>
      <c r="E144" t="s">
        <v>423</v>
      </c>
      <c r="F144" t="s">
        <v>424</v>
      </c>
      <c r="G144">
        <v>25</v>
      </c>
      <c r="H144" t="s">
        <v>425</v>
      </c>
      <c r="I144">
        <v>2</v>
      </c>
      <c r="J144" t="s">
        <v>351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418</v>
      </c>
      <c r="D145" t="s">
        <v>428</v>
      </c>
      <c r="E145" t="s">
        <v>423</v>
      </c>
      <c r="F145" t="s">
        <v>424</v>
      </c>
      <c r="G145">
        <v>12</v>
      </c>
      <c r="H145" t="s">
        <v>425</v>
      </c>
      <c r="I145">
        <v>2.5</v>
      </c>
      <c r="J145" t="s">
        <v>351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418</v>
      </c>
      <c r="D146" t="s">
        <v>429</v>
      </c>
      <c r="E146" t="s">
        <v>423</v>
      </c>
      <c r="F146" t="s">
        <v>424</v>
      </c>
      <c r="G146">
        <v>5.5</v>
      </c>
      <c r="H146" t="s">
        <v>425</v>
      </c>
      <c r="I146">
        <v>3</v>
      </c>
      <c r="J146" t="s">
        <v>351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418</v>
      </c>
      <c r="D147" t="s">
        <v>430</v>
      </c>
      <c r="E147" t="s">
        <v>423</v>
      </c>
      <c r="F147" t="s">
        <v>424</v>
      </c>
      <c r="G147">
        <v>1.8</v>
      </c>
      <c r="H147" t="s">
        <v>425</v>
      </c>
      <c r="I147">
        <v>3.5</v>
      </c>
      <c r="J147" t="s">
        <v>431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418</v>
      </c>
      <c r="D148" t="s">
        <v>432</v>
      </c>
      <c r="E148" t="s">
        <v>423</v>
      </c>
      <c r="F148" t="s">
        <v>424</v>
      </c>
      <c r="G148">
        <v>0.35</v>
      </c>
      <c r="H148" t="s">
        <v>425</v>
      </c>
      <c r="I148">
        <v>4</v>
      </c>
      <c r="J148" t="s">
        <v>433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418</v>
      </c>
      <c r="D149" t="s">
        <v>434</v>
      </c>
      <c r="E149" t="s">
        <v>423</v>
      </c>
      <c r="F149" t="s">
        <v>424</v>
      </c>
      <c r="G149">
        <v>0.08</v>
      </c>
      <c r="H149" t="s">
        <v>425</v>
      </c>
      <c r="I149">
        <v>4.5</v>
      </c>
      <c r="J149" t="s">
        <v>435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418</v>
      </c>
      <c r="D150" t="s">
        <v>436</v>
      </c>
      <c r="E150" t="s">
        <v>423</v>
      </c>
      <c r="F150" t="s">
        <v>424</v>
      </c>
      <c r="G150">
        <v>1.4999999999999999E-2</v>
      </c>
      <c r="H150" t="s">
        <v>425</v>
      </c>
      <c r="I150">
        <v>5</v>
      </c>
      <c r="J150" t="s">
        <v>437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438</v>
      </c>
      <c r="D151" t="s">
        <v>439</v>
      </c>
      <c r="E151" t="s">
        <v>440</v>
      </c>
      <c r="F151" t="s">
        <v>441</v>
      </c>
      <c r="G151" s="2" t="s">
        <v>442</v>
      </c>
      <c r="H151" s="2" t="s">
        <v>443</v>
      </c>
      <c r="I151" t="s">
        <v>444</v>
      </c>
      <c r="J151" t="s">
        <v>445</v>
      </c>
      <c r="K151" t="s">
        <v>446</v>
      </c>
      <c r="L151" t="s">
        <v>447</v>
      </c>
      <c r="M151" t="s">
        <v>448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438</v>
      </c>
      <c r="D152" t="s">
        <v>449</v>
      </c>
      <c r="E152" t="s">
        <v>440</v>
      </c>
      <c r="F152" t="s">
        <v>441</v>
      </c>
      <c r="G152" s="2" t="s">
        <v>450</v>
      </c>
      <c r="H152" s="2" t="s">
        <v>451</v>
      </c>
      <c r="I152" t="s">
        <v>452</v>
      </c>
      <c r="J152" t="s">
        <v>453</v>
      </c>
      <c r="K152" t="s">
        <v>454</v>
      </c>
      <c r="L152" t="s">
        <v>455</v>
      </c>
      <c r="M152" t="s">
        <v>456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438</v>
      </c>
      <c r="D153" t="s">
        <v>457</v>
      </c>
      <c r="E153" t="s">
        <v>440</v>
      </c>
      <c r="F153" t="s">
        <v>441</v>
      </c>
      <c r="G153" s="2" t="s">
        <v>458</v>
      </c>
      <c r="H153" s="2" t="s">
        <v>459</v>
      </c>
      <c r="I153" s="2" t="s">
        <v>460</v>
      </c>
      <c r="J153" t="s">
        <v>461</v>
      </c>
      <c r="K153" t="s">
        <v>462</v>
      </c>
      <c r="L153" t="s">
        <v>463</v>
      </c>
      <c r="M153" t="s">
        <v>464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438</v>
      </c>
      <c r="D154" t="s">
        <v>465</v>
      </c>
      <c r="E154" t="s">
        <v>440</v>
      </c>
      <c r="F154" t="s">
        <v>441</v>
      </c>
      <c r="G154" s="2" t="s">
        <v>466</v>
      </c>
      <c r="H154" s="2" t="s">
        <v>467</v>
      </c>
      <c r="I154" s="2" t="s">
        <v>468</v>
      </c>
      <c r="J154" s="2" t="s">
        <v>469</v>
      </c>
      <c r="K154" t="s">
        <v>470</v>
      </c>
      <c r="L154" t="s">
        <v>471</v>
      </c>
      <c r="M154" t="s">
        <v>472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438</v>
      </c>
      <c r="D155" t="s">
        <v>473</v>
      </c>
      <c r="E155" t="s">
        <v>440</v>
      </c>
      <c r="F155" t="s">
        <v>441</v>
      </c>
      <c r="G155" s="2" t="s">
        <v>474</v>
      </c>
      <c r="H155" s="2" t="s">
        <v>475</v>
      </c>
      <c r="I155" s="2" t="s">
        <v>476</v>
      </c>
      <c r="J155" t="s">
        <v>477</v>
      </c>
      <c r="K155" t="s">
        <v>478</v>
      </c>
      <c r="L155" t="s">
        <v>479</v>
      </c>
      <c r="M155" t="s">
        <v>480</v>
      </c>
      <c r="N155" t="s">
        <v>481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438</v>
      </c>
      <c r="D156" t="s">
        <v>482</v>
      </c>
      <c r="E156" t="s">
        <v>440</v>
      </c>
      <c r="F156" t="s">
        <v>441</v>
      </c>
      <c r="G156" t="s">
        <v>483</v>
      </c>
      <c r="H156" t="s">
        <v>484</v>
      </c>
      <c r="I156" t="s">
        <v>270</v>
      </c>
      <c r="J156" t="s">
        <v>485</v>
      </c>
      <c r="K156" t="s">
        <v>486</v>
      </c>
      <c r="L156" t="s">
        <v>487</v>
      </c>
      <c r="M156" t="s">
        <v>488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438</v>
      </c>
      <c r="D157" t="s">
        <v>489</v>
      </c>
      <c r="E157" t="s">
        <v>440</v>
      </c>
      <c r="F157" t="s">
        <v>441</v>
      </c>
      <c r="G157" t="s">
        <v>483</v>
      </c>
      <c r="H157" t="s">
        <v>484</v>
      </c>
      <c r="I157" t="s">
        <v>490</v>
      </c>
      <c r="J157" t="s">
        <v>491</v>
      </c>
      <c r="K157" t="s">
        <v>492</v>
      </c>
      <c r="L157" t="s">
        <v>493</v>
      </c>
      <c r="M157" t="s">
        <v>494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438</v>
      </c>
      <c r="D158" t="s">
        <v>495</v>
      </c>
      <c r="E158" t="s">
        <v>440</v>
      </c>
      <c r="F158" t="s">
        <v>441</v>
      </c>
      <c r="G158" t="s">
        <v>483</v>
      </c>
      <c r="H158" t="s">
        <v>484</v>
      </c>
      <c r="I158" t="s">
        <v>490</v>
      </c>
      <c r="J158" t="s">
        <v>496</v>
      </c>
      <c r="K158" t="s">
        <v>497</v>
      </c>
      <c r="L158" t="s">
        <v>498</v>
      </c>
      <c r="M158" t="s">
        <v>499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438</v>
      </c>
      <c r="D159" t="s">
        <v>500</v>
      </c>
      <c r="E159" t="s">
        <v>501</v>
      </c>
      <c r="F159" t="s">
        <v>502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503</v>
      </c>
      <c r="D160" t="s">
        <v>504</v>
      </c>
      <c r="E160" t="s">
        <v>505</v>
      </c>
      <c r="F160" t="s">
        <v>506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503</v>
      </c>
      <c r="D161" t="s">
        <v>507</v>
      </c>
      <c r="E161" t="s">
        <v>505</v>
      </c>
      <c r="F161" t="s">
        <v>506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503</v>
      </c>
      <c r="D162" t="s">
        <v>508</v>
      </c>
      <c r="E162" t="s">
        <v>505</v>
      </c>
      <c r="F162" t="s">
        <v>506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503</v>
      </c>
      <c r="D163" t="s">
        <v>509</v>
      </c>
      <c r="E163" t="s">
        <v>505</v>
      </c>
      <c r="F163" t="s">
        <v>506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503</v>
      </c>
      <c r="D164" t="s">
        <v>510</v>
      </c>
      <c r="E164" t="s">
        <v>505</v>
      </c>
      <c r="F164" t="s">
        <v>506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503</v>
      </c>
      <c r="D165" t="s">
        <v>511</v>
      </c>
      <c r="E165" t="s">
        <v>505</v>
      </c>
      <c r="F165" t="s">
        <v>506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503</v>
      </c>
      <c r="D166" t="s">
        <v>512</v>
      </c>
      <c r="E166" t="s">
        <v>505</v>
      </c>
      <c r="F166" t="s">
        <v>506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513</v>
      </c>
      <c r="D167" t="s">
        <v>514</v>
      </c>
      <c r="E167" t="s">
        <v>515</v>
      </c>
      <c r="F167" t="s">
        <v>516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513</v>
      </c>
      <c r="D168" t="s">
        <v>517</v>
      </c>
      <c r="E168" t="s">
        <v>518</v>
      </c>
      <c r="F168" t="s">
        <v>519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513</v>
      </c>
      <c r="D169" t="s">
        <v>520</v>
      </c>
      <c r="E169" t="s">
        <v>518</v>
      </c>
      <c r="F169" t="s">
        <v>521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513</v>
      </c>
      <c r="D170" t="s">
        <v>522</v>
      </c>
      <c r="E170" t="s">
        <v>523</v>
      </c>
      <c r="F170" t="s">
        <v>524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525</v>
      </c>
      <c r="D171" t="s">
        <v>526</v>
      </c>
      <c r="E171" t="s">
        <v>527</v>
      </c>
      <c r="F171" t="s">
        <v>528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525</v>
      </c>
      <c r="D172" t="s">
        <v>529</v>
      </c>
      <c r="E172" t="s">
        <v>530</v>
      </c>
      <c r="F172" t="s">
        <v>531</v>
      </c>
      <c r="G172" s="4">
        <v>92</v>
      </c>
      <c r="H172" s="4">
        <v>7.5</v>
      </c>
      <c r="I172" s="4">
        <v>0.5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525</v>
      </c>
      <c r="D173" t="s">
        <v>532</v>
      </c>
      <c r="E173" t="s">
        <v>533</v>
      </c>
      <c r="F173" t="s">
        <v>534</v>
      </c>
      <c r="G173" s="4">
        <v>78.100000000000009</v>
      </c>
      <c r="H173" s="4">
        <v>19.2</v>
      </c>
      <c r="I173" s="4">
        <v>2.4</v>
      </c>
      <c r="J173" s="4">
        <v>0.3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525</v>
      </c>
      <c r="D174" t="s">
        <v>535</v>
      </c>
      <c r="E174" t="s">
        <v>536</v>
      </c>
      <c r="F174" t="s">
        <v>537</v>
      </c>
      <c r="G174" s="4">
        <v>72.113600000000005</v>
      </c>
      <c r="H174" s="4">
        <v>22.118399999999998</v>
      </c>
      <c r="I174" s="4">
        <v>4.6079999999999997</v>
      </c>
      <c r="J174" s="4">
        <v>0.96</v>
      </c>
      <c r="K174" s="4">
        <v>0.2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525</v>
      </c>
      <c r="D175" t="s">
        <v>538</v>
      </c>
      <c r="E175" t="s">
        <v>539</v>
      </c>
      <c r="F175" t="s">
        <v>540</v>
      </c>
      <c r="G175" s="4">
        <v>53.837361999999999</v>
      </c>
      <c r="H175" s="4">
        <v>33.734898000000001</v>
      </c>
      <c r="I175" s="4">
        <v>9.11754</v>
      </c>
      <c r="J175" s="4">
        <v>2.4641999999999999</v>
      </c>
      <c r="K175" s="4">
        <v>0.66600000000000004</v>
      </c>
      <c r="L175" s="4">
        <v>0.18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525</v>
      </c>
      <c r="D176" t="s">
        <v>541</v>
      </c>
      <c r="E176" t="s">
        <v>542</v>
      </c>
      <c r="F176" t="s">
        <v>543</v>
      </c>
      <c r="G176" s="4">
        <v>49.993825599999994</v>
      </c>
      <c r="H176" s="4">
        <v>32.817838399999999</v>
      </c>
      <c r="I176" s="4">
        <v>11.316495999999999</v>
      </c>
      <c r="J176" s="4">
        <v>3.9022399999999999</v>
      </c>
      <c r="K176" s="4">
        <v>1.3455999999999999</v>
      </c>
      <c r="L176" s="4">
        <v>0.46400000000000002</v>
      </c>
      <c r="M176" s="4">
        <v>0.16</v>
      </c>
      <c r="N176" s="4">
        <v>0</v>
      </c>
      <c r="O176" s="4">
        <v>0</v>
      </c>
      <c r="P176" s="4">
        <v>0</v>
      </c>
      <c r="Q176" s="4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525</v>
      </c>
      <c r="D177" t="s">
        <v>544</v>
      </c>
      <c r="E177" t="s">
        <v>545</v>
      </c>
      <c r="F177" t="s">
        <v>546</v>
      </c>
      <c r="G177" s="4">
        <v>36.76497232906253</v>
      </c>
      <c r="H177" s="4">
        <v>38.491879564687487</v>
      </c>
      <c r="I177" s="4">
        <v>15.094854731249995</v>
      </c>
      <c r="J177" s="4">
        <v>5.9195508749999988</v>
      </c>
      <c r="K177" s="4">
        <v>2.3213924999999995</v>
      </c>
      <c r="L177" s="4">
        <v>0.91034999999999988</v>
      </c>
      <c r="M177" s="4">
        <v>0.35699999999999998</v>
      </c>
      <c r="N177" s="4">
        <v>0.13999999999999999</v>
      </c>
      <c r="O177" s="4">
        <v>0</v>
      </c>
      <c r="P177" s="4">
        <v>0</v>
      </c>
      <c r="Q177" s="4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525</v>
      </c>
      <c r="D178" t="s">
        <v>547</v>
      </c>
      <c r="E178" t="s">
        <v>548</v>
      </c>
      <c r="F178" t="s">
        <v>549</v>
      </c>
      <c r="G178" s="4">
        <v>31.631675870386633</v>
      </c>
      <c r="H178" s="4">
        <v>38.434848634168908</v>
      </c>
      <c r="I178" s="4">
        <v>16.857389751828471</v>
      </c>
      <c r="J178" s="4">
        <v>7.3935919964159975</v>
      </c>
      <c r="K178" s="4">
        <v>3.2428035071999992</v>
      </c>
      <c r="L178" s="4">
        <v>1.4222822399999997</v>
      </c>
      <c r="M178" s="4">
        <v>0.62380799999999992</v>
      </c>
      <c r="N178" s="4">
        <v>0.27359999999999995</v>
      </c>
      <c r="O178" s="4">
        <v>0.12</v>
      </c>
      <c r="P178" s="4">
        <v>0</v>
      </c>
      <c r="Q178" s="4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525</v>
      </c>
      <c r="D179" t="s">
        <v>550</v>
      </c>
      <c r="E179" t="s">
        <v>551</v>
      </c>
      <c r="F179" t="s">
        <v>552</v>
      </c>
      <c r="G179" s="4">
        <v>25.407543428799851</v>
      </c>
      <c r="H179" s="4">
        <v>39.287974783901511</v>
      </c>
      <c r="I179" s="4">
        <v>18.619893262512562</v>
      </c>
      <c r="J179" s="4">
        <v>8.8245939632760972</v>
      </c>
      <c r="K179" s="4">
        <v>4.1822720205099984</v>
      </c>
      <c r="L179" s="4">
        <v>1.9821194409999996</v>
      </c>
      <c r="M179" s="4">
        <v>0.93939309999999998</v>
      </c>
      <c r="N179" s="4">
        <v>0.44520999999999994</v>
      </c>
      <c r="O179" s="4">
        <v>0.21099999999999999</v>
      </c>
      <c r="P179" s="4">
        <v>0.1</v>
      </c>
      <c r="Q179" s="4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525</v>
      </c>
      <c r="D180" t="s">
        <v>553</v>
      </c>
      <c r="E180" t="s">
        <v>554</v>
      </c>
      <c r="F180" t="s">
        <v>555</v>
      </c>
      <c r="G180" s="4">
        <v>18.159999999999986</v>
      </c>
      <c r="H180" s="4">
        <v>40.96</v>
      </c>
      <c r="I180" s="4">
        <v>20.48</v>
      </c>
      <c r="J180" s="4">
        <v>10.24</v>
      </c>
      <c r="K180" s="4">
        <v>5.12</v>
      </c>
      <c r="L180" s="4">
        <v>2.56</v>
      </c>
      <c r="M180" s="4">
        <v>1.28</v>
      </c>
      <c r="N180" s="4">
        <v>0.64</v>
      </c>
      <c r="O180" s="4">
        <v>0.32</v>
      </c>
      <c r="P180" s="4">
        <v>0.16</v>
      </c>
      <c r="Q180" s="4">
        <v>0.08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525</v>
      </c>
      <c r="D181" t="s">
        <v>556</v>
      </c>
      <c r="E181" t="s">
        <v>557</v>
      </c>
      <c r="F181" t="s">
        <v>558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525</v>
      </c>
      <c r="D182" t="s">
        <v>559</v>
      </c>
      <c r="E182" t="s">
        <v>560</v>
      </c>
      <c r="F182" t="s">
        <v>561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525</v>
      </c>
      <c r="D183" t="s">
        <v>562</v>
      </c>
      <c r="E183" t="s">
        <v>563</v>
      </c>
      <c r="F183" t="s">
        <v>564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565</v>
      </c>
      <c r="D184" t="s">
        <v>566</v>
      </c>
      <c r="E184" t="s">
        <v>567</v>
      </c>
      <c r="F184" t="s">
        <v>568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565</v>
      </c>
      <c r="D185" t="s">
        <v>262</v>
      </c>
      <c r="E185" t="s">
        <v>569</v>
      </c>
      <c r="F185" t="s">
        <v>570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565</v>
      </c>
      <c r="D186" t="s">
        <v>571</v>
      </c>
      <c r="E186" t="s">
        <v>572</v>
      </c>
      <c r="F186" t="s">
        <v>573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565</v>
      </c>
      <c r="D187" t="s">
        <v>574</v>
      </c>
      <c r="E187" t="s">
        <v>575</v>
      </c>
      <c r="F187" t="s">
        <v>576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565</v>
      </c>
      <c r="D188" t="s">
        <v>577</v>
      </c>
      <c r="E188" t="s">
        <v>578</v>
      </c>
      <c r="F188" t="s">
        <v>579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580</v>
      </c>
      <c r="D189" t="s">
        <v>439</v>
      </c>
      <c r="E189" t="s">
        <v>581</v>
      </c>
      <c r="F189" t="s">
        <v>582</v>
      </c>
      <c r="G189" s="2" t="s">
        <v>1061</v>
      </c>
      <c r="H189" s="2" t="s">
        <v>1066</v>
      </c>
      <c r="I189" s="2" t="s">
        <v>1071</v>
      </c>
      <c r="J189" s="2" t="s">
        <v>1075</v>
      </c>
      <c r="K189" s="2" t="s">
        <v>1079</v>
      </c>
      <c r="L189" s="2" t="s">
        <v>1084</v>
      </c>
      <c r="M189" s="2" t="s">
        <v>1089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580</v>
      </c>
      <c r="D190" t="s">
        <v>449</v>
      </c>
      <c r="E190" t="s">
        <v>581</v>
      </c>
      <c r="F190" t="s">
        <v>582</v>
      </c>
      <c r="G190" s="2" t="s">
        <v>1061</v>
      </c>
      <c r="H190" s="2" t="s">
        <v>1066</v>
      </c>
      <c r="I190" s="2" t="s">
        <v>1071</v>
      </c>
      <c r="J190" s="2" t="s">
        <v>1075</v>
      </c>
      <c r="K190" s="2" t="s">
        <v>1079</v>
      </c>
      <c r="L190" s="2" t="s">
        <v>1084</v>
      </c>
      <c r="M190" s="2" t="s">
        <v>1089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580</v>
      </c>
      <c r="D191" t="s">
        <v>457</v>
      </c>
      <c r="E191" t="s">
        <v>581</v>
      </c>
      <c r="F191" t="s">
        <v>582</v>
      </c>
      <c r="G191" s="2" t="s">
        <v>1062</v>
      </c>
      <c r="H191" s="2" t="s">
        <v>1067</v>
      </c>
      <c r="I191" s="2" t="s">
        <v>1071</v>
      </c>
      <c r="J191" s="2" t="s">
        <v>1075</v>
      </c>
      <c r="K191" s="2" t="s">
        <v>1079</v>
      </c>
      <c r="L191" s="2" t="s">
        <v>1084</v>
      </c>
      <c r="M191" s="2" t="s">
        <v>1089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580</v>
      </c>
      <c r="D192" t="s">
        <v>465</v>
      </c>
      <c r="E192" t="s">
        <v>581</v>
      </c>
      <c r="F192" t="s">
        <v>582</v>
      </c>
      <c r="G192" s="2" t="s">
        <v>1063</v>
      </c>
      <c r="H192" s="2" t="s">
        <v>1067</v>
      </c>
      <c r="I192" s="2" t="s">
        <v>1072</v>
      </c>
      <c r="J192" s="2" t="s">
        <v>1076</v>
      </c>
      <c r="K192" s="2" t="s">
        <v>1079</v>
      </c>
      <c r="L192" s="2" t="s">
        <v>1084</v>
      </c>
      <c r="M192" s="2" t="s">
        <v>1089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580</v>
      </c>
      <c r="D193" t="s">
        <v>473</v>
      </c>
      <c r="E193" t="s">
        <v>581</v>
      </c>
      <c r="F193" t="s">
        <v>582</v>
      </c>
      <c r="G193" s="2" t="s">
        <v>1064</v>
      </c>
      <c r="H193" s="2" t="s">
        <v>1068</v>
      </c>
      <c r="I193" s="2" t="s">
        <v>1072</v>
      </c>
      <c r="J193" s="2" t="s">
        <v>1076</v>
      </c>
      <c r="K193" s="2" t="s">
        <v>1081</v>
      </c>
      <c r="L193" s="2" t="s">
        <v>1085</v>
      </c>
      <c r="M193" s="2" t="s">
        <v>1090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580</v>
      </c>
      <c r="D194" t="s">
        <v>482</v>
      </c>
      <c r="E194" t="s">
        <v>581</v>
      </c>
      <c r="F194" t="s">
        <v>582</v>
      </c>
      <c r="G194" s="2" t="s">
        <v>1065</v>
      </c>
      <c r="H194" s="2" t="s">
        <v>1069</v>
      </c>
      <c r="I194" s="2" t="s">
        <v>1073</v>
      </c>
      <c r="J194" s="2" t="s">
        <v>1077</v>
      </c>
      <c r="K194" s="2" t="s">
        <v>1080</v>
      </c>
      <c r="L194" s="2" t="s">
        <v>1086</v>
      </c>
      <c r="M194" s="2" t="s">
        <v>1091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580</v>
      </c>
      <c r="D195" t="s">
        <v>489</v>
      </c>
      <c r="E195" t="s">
        <v>581</v>
      </c>
      <c r="F195" t="s">
        <v>582</v>
      </c>
      <c r="G195" t="s">
        <v>583</v>
      </c>
      <c r="H195" s="2" t="s">
        <v>1070</v>
      </c>
      <c r="I195" s="2" t="s">
        <v>1074</v>
      </c>
      <c r="J195" s="2" t="s">
        <v>1078</v>
      </c>
      <c r="K195" s="2" t="s">
        <v>1082</v>
      </c>
      <c r="L195" s="2" t="s">
        <v>1087</v>
      </c>
      <c r="M195" s="2" t="s">
        <v>1092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580</v>
      </c>
      <c r="D196" t="s">
        <v>495</v>
      </c>
      <c r="E196" t="s">
        <v>581</v>
      </c>
      <c r="F196" t="s">
        <v>582</v>
      </c>
      <c r="G196" t="s">
        <v>583</v>
      </c>
      <c r="H196" s="2" t="s">
        <v>1066</v>
      </c>
      <c r="I196" s="2" t="s">
        <v>1071</v>
      </c>
      <c r="J196" s="2" t="s">
        <v>1075</v>
      </c>
      <c r="K196" s="2" t="s">
        <v>1083</v>
      </c>
      <c r="L196" s="2" t="s">
        <v>1088</v>
      </c>
      <c r="M196" s="2" t="s">
        <v>1093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584</v>
      </c>
      <c r="D197" t="s">
        <v>585</v>
      </c>
      <c r="E197" t="s">
        <v>586</v>
      </c>
      <c r="F197" t="s">
        <v>587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584</v>
      </c>
      <c r="D198" t="s">
        <v>588</v>
      </c>
      <c r="E198" t="s">
        <v>589</v>
      </c>
      <c r="F198" t="s">
        <v>590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584</v>
      </c>
      <c r="D199" t="s">
        <v>591</v>
      </c>
      <c r="E199" t="s">
        <v>592</v>
      </c>
      <c r="F199" t="s">
        <v>593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584</v>
      </c>
      <c r="D200" t="s">
        <v>594</v>
      </c>
      <c r="E200" t="s">
        <v>595</v>
      </c>
      <c r="F200" t="s">
        <v>596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584</v>
      </c>
      <c r="D201" t="s">
        <v>597</v>
      </c>
      <c r="E201" t="s">
        <v>598</v>
      </c>
      <c r="F201" t="s">
        <v>599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584</v>
      </c>
      <c r="D202" t="s">
        <v>600</v>
      </c>
      <c r="E202" t="s">
        <v>601</v>
      </c>
      <c r="F202" t="s">
        <v>602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584</v>
      </c>
      <c r="D203" t="s">
        <v>603</v>
      </c>
      <c r="E203" t="s">
        <v>604</v>
      </c>
      <c r="F203" t="s">
        <v>605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584</v>
      </c>
      <c r="D204" t="s">
        <v>606</v>
      </c>
      <c r="E204" t="s">
        <v>607</v>
      </c>
      <c r="F204" t="s">
        <v>608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584</v>
      </c>
      <c r="D205" t="s">
        <v>609</v>
      </c>
      <c r="E205" t="s">
        <v>610</v>
      </c>
      <c r="F205" t="s">
        <v>611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584</v>
      </c>
      <c r="D206" t="s">
        <v>612</v>
      </c>
      <c r="E206" t="s">
        <v>613</v>
      </c>
      <c r="F206" t="s">
        <v>614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584</v>
      </c>
      <c r="D207" t="s">
        <v>615</v>
      </c>
      <c r="E207" t="s">
        <v>616</v>
      </c>
      <c r="F207" t="s">
        <v>617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618</v>
      </c>
      <c r="D208" t="s">
        <v>619</v>
      </c>
      <c r="E208" t="s">
        <v>620</v>
      </c>
      <c r="F208" t="s">
        <v>621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618</v>
      </c>
      <c r="D209" t="s">
        <v>622</v>
      </c>
      <c r="E209" t="s">
        <v>623</v>
      </c>
      <c r="F209" t="s">
        <v>624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625</v>
      </c>
      <c r="D210" t="s">
        <v>626</v>
      </c>
      <c r="E210" t="s">
        <v>627</v>
      </c>
      <c r="F210" t="s">
        <v>628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625</v>
      </c>
      <c r="D211" t="s">
        <v>629</v>
      </c>
      <c r="E211" t="s">
        <v>630</v>
      </c>
      <c r="F211" t="s">
        <v>631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625</v>
      </c>
      <c r="D212" t="s">
        <v>632</v>
      </c>
      <c r="E212" t="s">
        <v>633</v>
      </c>
      <c r="F212" t="s">
        <v>634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625</v>
      </c>
      <c r="D213" t="s">
        <v>635</v>
      </c>
      <c r="E213" t="s">
        <v>633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625</v>
      </c>
      <c r="D214" t="s">
        <v>636</v>
      </c>
      <c r="E214" t="s">
        <v>637</v>
      </c>
      <c r="F214" t="s">
        <v>638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639</v>
      </c>
      <c r="D215" t="s">
        <v>640</v>
      </c>
      <c r="E215" t="s">
        <v>641</v>
      </c>
      <c r="F215" t="s">
        <v>642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639</v>
      </c>
      <c r="D216" t="s">
        <v>643</v>
      </c>
      <c r="E216" t="s">
        <v>644</v>
      </c>
      <c r="F216" t="s">
        <v>642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625</v>
      </c>
      <c r="D217" t="s">
        <v>645</v>
      </c>
      <c r="E217" t="s">
        <v>627</v>
      </c>
      <c r="F217" t="s">
        <v>646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625</v>
      </c>
      <c r="D218" t="s">
        <v>647</v>
      </c>
      <c r="E218" t="s">
        <v>648</v>
      </c>
      <c r="F218" t="s">
        <v>649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625</v>
      </c>
      <c r="D219" t="s">
        <v>650</v>
      </c>
      <c r="E219" t="s">
        <v>651</v>
      </c>
      <c r="F219" t="s">
        <v>652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625</v>
      </c>
      <c r="D220" t="s">
        <v>653</v>
      </c>
      <c r="E220" t="s">
        <v>654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625</v>
      </c>
      <c r="D221" t="s">
        <v>655</v>
      </c>
      <c r="E221" t="s">
        <v>656</v>
      </c>
      <c r="F221" t="s">
        <v>657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625</v>
      </c>
      <c r="D222" t="s">
        <v>658</v>
      </c>
      <c r="E222" t="s">
        <v>659</v>
      </c>
      <c r="F222" t="s">
        <v>660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661</v>
      </c>
      <c r="D223" t="s">
        <v>662</v>
      </c>
      <c r="E223" t="s">
        <v>663</v>
      </c>
      <c r="F223" t="s">
        <v>664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661</v>
      </c>
      <c r="D224" t="s">
        <v>665</v>
      </c>
      <c r="E224" t="s">
        <v>666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661</v>
      </c>
      <c r="D225" t="s">
        <v>667</v>
      </c>
      <c r="E225" t="s">
        <v>666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661</v>
      </c>
      <c r="D226" t="s">
        <v>668</v>
      </c>
      <c r="E226" t="s">
        <v>669</v>
      </c>
      <c r="F226" t="s">
        <v>670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639</v>
      </c>
      <c r="D227" t="s">
        <v>665</v>
      </c>
      <c r="E227" t="s">
        <v>671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639</v>
      </c>
      <c r="D228" t="s">
        <v>672</v>
      </c>
      <c r="E228" t="s">
        <v>673</v>
      </c>
      <c r="F228" t="s">
        <v>674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639</v>
      </c>
      <c r="D229" t="s">
        <v>675</v>
      </c>
      <c r="E229" t="s">
        <v>676</v>
      </c>
      <c r="F229" t="s">
        <v>677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678</v>
      </c>
      <c r="D230" t="s">
        <v>679</v>
      </c>
      <c r="E230" t="s">
        <v>680</v>
      </c>
      <c r="F230" t="s">
        <v>681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678</v>
      </c>
      <c r="D231" t="s">
        <v>682</v>
      </c>
      <c r="E231" t="s">
        <v>683</v>
      </c>
      <c r="F231" t="s">
        <v>684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678</v>
      </c>
      <c r="D232" t="s">
        <v>685</v>
      </c>
      <c r="E232" t="s">
        <v>686</v>
      </c>
      <c r="F232" t="s">
        <v>687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678</v>
      </c>
      <c r="D233" t="s">
        <v>688</v>
      </c>
      <c r="E233" t="s">
        <v>689</v>
      </c>
      <c r="F233" t="s">
        <v>687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690</v>
      </c>
      <c r="D234" t="s">
        <v>691</v>
      </c>
      <c r="E234" t="s">
        <v>692</v>
      </c>
      <c r="F234" t="s">
        <v>693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694</v>
      </c>
      <c r="D235" t="s">
        <v>695</v>
      </c>
      <c r="E235" t="s">
        <v>696</v>
      </c>
      <c r="F235" t="s">
        <v>697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698</v>
      </c>
      <c r="D236" t="s">
        <v>699</v>
      </c>
      <c r="E236" t="s">
        <v>700</v>
      </c>
      <c r="F236" t="s">
        <v>701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698</v>
      </c>
      <c r="D237" t="s">
        <v>702</v>
      </c>
      <c r="E237" t="s">
        <v>703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698</v>
      </c>
      <c r="D238" t="s">
        <v>704</v>
      </c>
      <c r="E238" t="s">
        <v>705</v>
      </c>
      <c r="F238" t="s">
        <v>706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698</v>
      </c>
      <c r="D239" t="s">
        <v>707</v>
      </c>
      <c r="E239" t="s">
        <v>708</v>
      </c>
      <c r="F239" t="s">
        <v>709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698</v>
      </c>
      <c r="D240" t="s">
        <v>710</v>
      </c>
      <c r="E240" t="s">
        <v>711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712</v>
      </c>
      <c r="D241" t="s">
        <v>713</v>
      </c>
      <c r="E241" t="s">
        <v>714</v>
      </c>
      <c r="F241" t="s">
        <v>715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712</v>
      </c>
      <c r="D242" t="s">
        <v>716</v>
      </c>
      <c r="E242" t="s">
        <v>717</v>
      </c>
      <c r="F242" t="s">
        <v>718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712</v>
      </c>
      <c r="D243" t="s">
        <v>719</v>
      </c>
      <c r="E243" t="s">
        <v>720</v>
      </c>
      <c r="F243" t="s">
        <v>721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712</v>
      </c>
      <c r="D244" t="s">
        <v>722</v>
      </c>
      <c r="E244" t="s">
        <v>723</v>
      </c>
      <c r="F244" t="s">
        <v>724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712</v>
      </c>
      <c r="D245" t="s">
        <v>725</v>
      </c>
      <c r="E245" t="s">
        <v>726</v>
      </c>
      <c r="F245" t="s">
        <v>727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712</v>
      </c>
      <c r="D246" t="s">
        <v>728</v>
      </c>
      <c r="E246" t="s">
        <v>729</v>
      </c>
      <c r="F246" t="s">
        <v>730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712</v>
      </c>
      <c r="D247" t="s">
        <v>731</v>
      </c>
      <c r="E247" t="s">
        <v>732</v>
      </c>
      <c r="F247" t="s">
        <v>733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712</v>
      </c>
      <c r="D248" t="s">
        <v>734</v>
      </c>
      <c r="E248" t="s">
        <v>735</v>
      </c>
      <c r="F248" t="s">
        <v>736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712</v>
      </c>
      <c r="D249" t="s">
        <v>737</v>
      </c>
      <c r="E249" t="s">
        <v>738</v>
      </c>
      <c r="F249" t="s">
        <v>739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712</v>
      </c>
      <c r="D250" t="s">
        <v>740</v>
      </c>
      <c r="E250" t="s">
        <v>741</v>
      </c>
      <c r="F250" t="s">
        <v>742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743</v>
      </c>
      <c r="D251" t="s">
        <v>744</v>
      </c>
      <c r="E251" t="s">
        <v>745</v>
      </c>
      <c r="F251" t="s">
        <v>746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743</v>
      </c>
      <c r="D252" t="s">
        <v>747</v>
      </c>
      <c r="E252" t="s">
        <v>748</v>
      </c>
      <c r="F252" t="s">
        <v>749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743</v>
      </c>
      <c r="D253" t="s">
        <v>750</v>
      </c>
      <c r="E253" t="s">
        <v>751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743</v>
      </c>
      <c r="D254" t="s">
        <v>752</v>
      </c>
      <c r="E254" t="s">
        <v>753</v>
      </c>
      <c r="F254" t="s">
        <v>754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755</v>
      </c>
      <c r="D255" t="s">
        <v>756</v>
      </c>
      <c r="E255" t="s">
        <v>757</v>
      </c>
      <c r="F255" t="s">
        <v>758</v>
      </c>
      <c r="G255" t="s">
        <v>759</v>
      </c>
      <c r="H255" t="s">
        <v>760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755</v>
      </c>
      <c r="D256" t="s">
        <v>761</v>
      </c>
      <c r="E256" t="s">
        <v>757</v>
      </c>
      <c r="F256" t="s">
        <v>758</v>
      </c>
      <c r="G256" t="s">
        <v>759</v>
      </c>
      <c r="H256" t="s">
        <v>762</v>
      </c>
      <c r="I256" t="s">
        <v>763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755</v>
      </c>
      <c r="D257" t="s">
        <v>764</v>
      </c>
      <c r="E257" t="s">
        <v>757</v>
      </c>
      <c r="F257" t="s">
        <v>758</v>
      </c>
      <c r="G257" t="s">
        <v>759</v>
      </c>
      <c r="H257" t="s">
        <v>765</v>
      </c>
      <c r="I257" t="s">
        <v>763</v>
      </c>
      <c r="J257" t="s">
        <v>766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755</v>
      </c>
      <c r="D258" t="s">
        <v>767</v>
      </c>
      <c r="E258" t="s">
        <v>757</v>
      </c>
      <c r="F258" t="s">
        <v>758</v>
      </c>
      <c r="G258" t="s">
        <v>768</v>
      </c>
      <c r="H258" t="s">
        <v>765</v>
      </c>
      <c r="I258" t="s">
        <v>769</v>
      </c>
      <c r="J258" t="s">
        <v>766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755</v>
      </c>
      <c r="D259" t="s">
        <v>770</v>
      </c>
      <c r="E259" t="s">
        <v>757</v>
      </c>
      <c r="F259" t="s">
        <v>758</v>
      </c>
      <c r="G259" t="s">
        <v>771</v>
      </c>
      <c r="H259" t="s">
        <v>765</v>
      </c>
      <c r="I259" t="s">
        <v>769</v>
      </c>
      <c r="J259" t="s">
        <v>772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4">A259+1</f>
        <v>259</v>
      </c>
      <c r="B260">
        <v>0</v>
      </c>
      <c r="C260" t="s">
        <v>755</v>
      </c>
      <c r="D260" t="s">
        <v>773</v>
      </c>
      <c r="E260" t="s">
        <v>757</v>
      </c>
      <c r="F260" t="s">
        <v>758</v>
      </c>
      <c r="G260" t="s">
        <v>774</v>
      </c>
      <c r="H260" t="s">
        <v>765</v>
      </c>
      <c r="I260" t="s">
        <v>769</v>
      </c>
      <c r="J260" t="s">
        <v>772</v>
      </c>
      <c r="K260" t="s">
        <v>775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755</v>
      </c>
      <c r="D261" t="s">
        <v>776</v>
      </c>
      <c r="E261" t="s">
        <v>757</v>
      </c>
      <c r="F261" t="s">
        <v>758</v>
      </c>
      <c r="G261" t="s">
        <v>777</v>
      </c>
      <c r="H261" t="s">
        <v>778</v>
      </c>
      <c r="I261" t="s">
        <v>772</v>
      </c>
      <c r="J261" t="s">
        <v>779</v>
      </c>
      <c r="K261" t="s">
        <v>780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755</v>
      </c>
      <c r="D262" t="s">
        <v>781</v>
      </c>
      <c r="E262" t="s">
        <v>757</v>
      </c>
      <c r="F262" t="s">
        <v>758</v>
      </c>
      <c r="G262" t="s">
        <v>765</v>
      </c>
      <c r="H262" t="s">
        <v>778</v>
      </c>
      <c r="I262" t="s">
        <v>772</v>
      </c>
      <c r="J262" t="s">
        <v>779</v>
      </c>
      <c r="K262" t="s">
        <v>782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755</v>
      </c>
      <c r="D263" t="s">
        <v>783</v>
      </c>
      <c r="E263" t="s">
        <v>757</v>
      </c>
      <c r="F263" t="s">
        <v>758</v>
      </c>
      <c r="G263" t="s">
        <v>778</v>
      </c>
      <c r="H263" t="s">
        <v>784</v>
      </c>
      <c r="I263" t="s">
        <v>779</v>
      </c>
      <c r="J263" t="s">
        <v>785</v>
      </c>
      <c r="K263" t="s">
        <v>786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755</v>
      </c>
      <c r="D264" t="s">
        <v>787</v>
      </c>
      <c r="E264" t="s">
        <v>757</v>
      </c>
      <c r="F264" t="s">
        <v>758</v>
      </c>
      <c r="G264" t="s">
        <v>784</v>
      </c>
      <c r="H264" t="s">
        <v>788</v>
      </c>
      <c r="I264" t="s">
        <v>785</v>
      </c>
      <c r="J264" t="s">
        <v>789</v>
      </c>
      <c r="K264" t="s">
        <v>790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755</v>
      </c>
      <c r="D265" t="s">
        <v>791</v>
      </c>
      <c r="E265" t="s">
        <v>757</v>
      </c>
      <c r="F265" t="s">
        <v>758</v>
      </c>
      <c r="G265" t="s">
        <v>788</v>
      </c>
      <c r="H265" t="s">
        <v>792</v>
      </c>
      <c r="I265" t="s">
        <v>789</v>
      </c>
      <c r="J265" t="s">
        <v>793</v>
      </c>
      <c r="K265" t="s">
        <v>794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755</v>
      </c>
      <c r="D266" t="s">
        <v>795</v>
      </c>
      <c r="E266" t="s">
        <v>757</v>
      </c>
      <c r="F266" t="s">
        <v>758</v>
      </c>
      <c r="G266" t="s">
        <v>792</v>
      </c>
      <c r="H266" t="s">
        <v>796</v>
      </c>
      <c r="I266" t="s">
        <v>793</v>
      </c>
      <c r="J266" t="s">
        <v>797</v>
      </c>
      <c r="K266" t="s">
        <v>798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755</v>
      </c>
      <c r="D267" t="s">
        <v>799</v>
      </c>
      <c r="E267" t="s">
        <v>757</v>
      </c>
      <c r="F267" t="s">
        <v>758</v>
      </c>
      <c r="G267" t="s">
        <v>796</v>
      </c>
      <c r="H267" t="s">
        <v>800</v>
      </c>
      <c r="I267" t="s">
        <v>797</v>
      </c>
      <c r="J267" t="s">
        <v>801</v>
      </c>
      <c r="K267" t="s">
        <v>802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755</v>
      </c>
      <c r="D268" t="s">
        <v>803</v>
      </c>
      <c r="E268" t="s">
        <v>757</v>
      </c>
      <c r="F268" t="s">
        <v>758</v>
      </c>
      <c r="G268" t="s">
        <v>800</v>
      </c>
      <c r="H268" t="s">
        <v>804</v>
      </c>
      <c r="I268" t="s">
        <v>801</v>
      </c>
      <c r="J268" t="s">
        <v>805</v>
      </c>
      <c r="K268" t="s">
        <v>806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755</v>
      </c>
      <c r="D269" t="s">
        <v>807</v>
      </c>
      <c r="E269" t="s">
        <v>757</v>
      </c>
      <c r="F269" t="s">
        <v>758</v>
      </c>
      <c r="G269" t="s">
        <v>804</v>
      </c>
      <c r="H269" t="s">
        <v>808</v>
      </c>
      <c r="I269" t="s">
        <v>805</v>
      </c>
      <c r="J269" t="s">
        <v>809</v>
      </c>
      <c r="K269" t="s">
        <v>810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755</v>
      </c>
      <c r="D270" t="s">
        <v>811</v>
      </c>
      <c r="E270" t="s">
        <v>757</v>
      </c>
      <c r="F270" t="s">
        <v>758</v>
      </c>
      <c r="G270" t="s">
        <v>808</v>
      </c>
      <c r="H270" t="s">
        <v>812</v>
      </c>
      <c r="I270" t="s">
        <v>809</v>
      </c>
      <c r="J270" t="s">
        <v>813</v>
      </c>
      <c r="K270" t="s">
        <v>814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755</v>
      </c>
      <c r="D271" t="s">
        <v>815</v>
      </c>
      <c r="E271" t="s">
        <v>757</v>
      </c>
      <c r="F271" t="s">
        <v>758</v>
      </c>
      <c r="G271" t="s">
        <v>812</v>
      </c>
      <c r="H271" t="s">
        <v>816</v>
      </c>
      <c r="I271" t="s">
        <v>813</v>
      </c>
      <c r="J271" t="s">
        <v>817</v>
      </c>
      <c r="K271" t="s">
        <v>818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755</v>
      </c>
      <c r="D272" t="s">
        <v>819</v>
      </c>
      <c r="E272" t="s">
        <v>757</v>
      </c>
      <c r="F272" t="s">
        <v>758</v>
      </c>
      <c r="G272" t="s">
        <v>802</v>
      </c>
      <c r="H272" t="s">
        <v>820</v>
      </c>
      <c r="I272" t="s">
        <v>821</v>
      </c>
      <c r="J272" t="s">
        <v>817</v>
      </c>
      <c r="K272" t="s">
        <v>822</v>
      </c>
      <c r="L272" t="s">
        <v>823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755</v>
      </c>
      <c r="D273" t="s">
        <v>824</v>
      </c>
      <c r="E273" t="s">
        <v>757</v>
      </c>
      <c r="F273" t="s">
        <v>758</v>
      </c>
      <c r="G273" t="s">
        <v>802</v>
      </c>
      <c r="H273" t="s">
        <v>820</v>
      </c>
      <c r="I273" t="s">
        <v>821</v>
      </c>
      <c r="J273" t="s">
        <v>817</v>
      </c>
      <c r="K273" t="s">
        <v>822</v>
      </c>
      <c r="L273" t="s">
        <v>823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755</v>
      </c>
      <c r="D274" t="s">
        <v>825</v>
      </c>
      <c r="E274" t="s">
        <v>757</v>
      </c>
      <c r="F274" t="s">
        <v>758</v>
      </c>
      <c r="G274" t="s">
        <v>802</v>
      </c>
      <c r="H274" t="s">
        <v>820</v>
      </c>
      <c r="I274" t="s">
        <v>821</v>
      </c>
      <c r="J274" t="s">
        <v>817</v>
      </c>
      <c r="K274" t="s">
        <v>822</v>
      </c>
      <c r="L274" t="s">
        <v>823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826</v>
      </c>
      <c r="D275" t="s">
        <v>756</v>
      </c>
      <c r="E275" t="s">
        <v>827</v>
      </c>
      <c r="F275" t="s">
        <v>828</v>
      </c>
      <c r="G275" t="s">
        <v>829</v>
      </c>
      <c r="H275" t="s">
        <v>830</v>
      </c>
      <c r="I275" t="s">
        <v>831</v>
      </c>
      <c r="J275" t="s">
        <v>832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826</v>
      </c>
      <c r="D276" t="s">
        <v>761</v>
      </c>
      <c r="E276" t="s">
        <v>827</v>
      </c>
      <c r="F276" t="s">
        <v>828</v>
      </c>
      <c r="G276" t="s">
        <v>833</v>
      </c>
      <c r="H276" t="s">
        <v>830</v>
      </c>
      <c r="I276" t="s">
        <v>834</v>
      </c>
      <c r="J276" t="s">
        <v>835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826</v>
      </c>
      <c r="D277" t="s">
        <v>764</v>
      </c>
      <c r="E277" t="s">
        <v>827</v>
      </c>
      <c r="F277" t="s">
        <v>828</v>
      </c>
      <c r="G277" t="s">
        <v>836</v>
      </c>
      <c r="H277" t="s">
        <v>830</v>
      </c>
      <c r="I277" t="s">
        <v>837</v>
      </c>
      <c r="J277" t="s">
        <v>838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826</v>
      </c>
      <c r="D278" t="s">
        <v>767</v>
      </c>
      <c r="E278" t="s">
        <v>827</v>
      </c>
      <c r="F278" t="s">
        <v>828</v>
      </c>
      <c r="G278" t="s">
        <v>839</v>
      </c>
      <c r="H278" t="s">
        <v>830</v>
      </c>
      <c r="I278" t="s">
        <v>837</v>
      </c>
      <c r="J278" t="s">
        <v>838</v>
      </c>
      <c r="K278" t="s">
        <v>840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826</v>
      </c>
      <c r="D279" t="s">
        <v>770</v>
      </c>
      <c r="E279" t="s">
        <v>827</v>
      </c>
      <c r="F279" t="s">
        <v>828</v>
      </c>
      <c r="G279" t="s">
        <v>841</v>
      </c>
      <c r="H279" t="s">
        <v>830</v>
      </c>
      <c r="I279" t="s">
        <v>837</v>
      </c>
      <c r="J279" t="s">
        <v>842</v>
      </c>
      <c r="K279" t="s">
        <v>843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826</v>
      </c>
      <c r="D280" t="s">
        <v>773</v>
      </c>
      <c r="E280" t="s">
        <v>827</v>
      </c>
      <c r="F280" t="s">
        <v>828</v>
      </c>
      <c r="G280" t="s">
        <v>844</v>
      </c>
      <c r="H280" t="s">
        <v>830</v>
      </c>
      <c r="I280" t="s">
        <v>837</v>
      </c>
      <c r="J280" t="s">
        <v>845</v>
      </c>
      <c r="K280" t="s">
        <v>846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826</v>
      </c>
      <c r="D281" t="s">
        <v>776</v>
      </c>
      <c r="E281" t="s">
        <v>827</v>
      </c>
      <c r="F281" t="s">
        <v>828</v>
      </c>
      <c r="G281" t="s">
        <v>847</v>
      </c>
      <c r="H281" t="s">
        <v>830</v>
      </c>
      <c r="I281" t="s">
        <v>848</v>
      </c>
      <c r="J281" t="s">
        <v>849</v>
      </c>
      <c r="K281" t="s">
        <v>850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826</v>
      </c>
      <c r="D282" t="s">
        <v>781</v>
      </c>
      <c r="E282" t="s">
        <v>827</v>
      </c>
      <c r="F282" t="s">
        <v>828</v>
      </c>
      <c r="G282" t="s">
        <v>851</v>
      </c>
      <c r="H282" t="s">
        <v>830</v>
      </c>
      <c r="I282" t="s">
        <v>852</v>
      </c>
      <c r="J282" t="s">
        <v>853</v>
      </c>
      <c r="K282" t="s">
        <v>854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826</v>
      </c>
      <c r="D283" t="s">
        <v>783</v>
      </c>
      <c r="E283" t="s">
        <v>827</v>
      </c>
      <c r="F283" t="s">
        <v>828</v>
      </c>
      <c r="G283" t="s">
        <v>855</v>
      </c>
      <c r="H283" t="s">
        <v>830</v>
      </c>
      <c r="I283" t="s">
        <v>856</v>
      </c>
      <c r="J283" t="s">
        <v>857</v>
      </c>
      <c r="K283" t="s">
        <v>858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826</v>
      </c>
      <c r="D284" t="s">
        <v>787</v>
      </c>
      <c r="E284" t="s">
        <v>827</v>
      </c>
      <c r="F284" t="s">
        <v>828</v>
      </c>
      <c r="G284" t="s">
        <v>859</v>
      </c>
      <c r="H284" t="s">
        <v>830</v>
      </c>
      <c r="I284" t="s">
        <v>856</v>
      </c>
      <c r="J284" t="s">
        <v>857</v>
      </c>
      <c r="K284" t="s">
        <v>860</v>
      </c>
      <c r="L284" t="s">
        <v>861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826</v>
      </c>
      <c r="D285" t="s">
        <v>791</v>
      </c>
      <c r="E285" t="s">
        <v>827</v>
      </c>
      <c r="F285" t="s">
        <v>828</v>
      </c>
      <c r="G285" t="s">
        <v>862</v>
      </c>
      <c r="H285" t="s">
        <v>830</v>
      </c>
      <c r="I285" t="s">
        <v>856</v>
      </c>
      <c r="J285" t="s">
        <v>857</v>
      </c>
      <c r="K285" t="s">
        <v>863</v>
      </c>
      <c r="L285" t="s">
        <v>864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826</v>
      </c>
      <c r="D286" t="s">
        <v>795</v>
      </c>
      <c r="E286" t="s">
        <v>827</v>
      </c>
      <c r="F286" t="s">
        <v>828</v>
      </c>
      <c r="G286" t="s">
        <v>865</v>
      </c>
      <c r="H286" t="s">
        <v>830</v>
      </c>
      <c r="I286" t="s">
        <v>866</v>
      </c>
      <c r="J286" t="s">
        <v>867</v>
      </c>
      <c r="K286" t="s">
        <v>868</v>
      </c>
      <c r="L286" t="s">
        <v>869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826</v>
      </c>
      <c r="D287" t="s">
        <v>799</v>
      </c>
      <c r="E287" t="s">
        <v>827</v>
      </c>
      <c r="F287" t="s">
        <v>828</v>
      </c>
      <c r="G287" t="s">
        <v>870</v>
      </c>
      <c r="H287" t="s">
        <v>830</v>
      </c>
      <c r="I287" t="s">
        <v>866</v>
      </c>
      <c r="J287" t="s">
        <v>867</v>
      </c>
      <c r="K287" t="s">
        <v>868</v>
      </c>
      <c r="L287" t="s">
        <v>871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826</v>
      </c>
      <c r="D288" t="s">
        <v>803</v>
      </c>
      <c r="E288" t="s">
        <v>827</v>
      </c>
      <c r="F288" t="s">
        <v>828</v>
      </c>
      <c r="G288" t="s">
        <v>872</v>
      </c>
      <c r="H288" t="s">
        <v>830</v>
      </c>
      <c r="I288" t="s">
        <v>866</v>
      </c>
      <c r="J288" t="s">
        <v>867</v>
      </c>
      <c r="K288" t="s">
        <v>868</v>
      </c>
      <c r="L288" t="s">
        <v>873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826</v>
      </c>
      <c r="D289" t="s">
        <v>807</v>
      </c>
      <c r="E289" t="s">
        <v>827</v>
      </c>
      <c r="F289" t="s">
        <v>828</v>
      </c>
      <c r="G289" t="s">
        <v>874</v>
      </c>
      <c r="H289" t="s">
        <v>830</v>
      </c>
      <c r="I289" t="s">
        <v>866</v>
      </c>
      <c r="J289" t="s">
        <v>875</v>
      </c>
      <c r="K289" t="s">
        <v>876</v>
      </c>
      <c r="L289" t="s">
        <v>869</v>
      </c>
      <c r="M289" t="s">
        <v>877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826</v>
      </c>
      <c r="D290" t="s">
        <v>811</v>
      </c>
      <c r="E290" t="s">
        <v>827</v>
      </c>
      <c r="F290" t="s">
        <v>828</v>
      </c>
      <c r="G290" t="s">
        <v>878</v>
      </c>
      <c r="H290" t="s">
        <v>830</v>
      </c>
      <c r="I290" t="s">
        <v>866</v>
      </c>
      <c r="J290" t="s">
        <v>875</v>
      </c>
      <c r="K290" t="s">
        <v>876</v>
      </c>
      <c r="L290" t="s">
        <v>871</v>
      </c>
      <c r="M290" t="s">
        <v>879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826</v>
      </c>
      <c r="D291" t="s">
        <v>815</v>
      </c>
      <c r="E291" t="s">
        <v>827</v>
      </c>
      <c r="F291" t="s">
        <v>828</v>
      </c>
      <c r="G291" t="s">
        <v>880</v>
      </c>
      <c r="H291" t="s">
        <v>830</v>
      </c>
      <c r="I291" t="s">
        <v>866</v>
      </c>
      <c r="J291" t="s">
        <v>875</v>
      </c>
      <c r="K291" t="s">
        <v>876</v>
      </c>
      <c r="L291" t="s">
        <v>871</v>
      </c>
      <c r="M291" t="s">
        <v>881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826</v>
      </c>
      <c r="D292" t="s">
        <v>819</v>
      </c>
      <c r="E292" t="s">
        <v>827</v>
      </c>
      <c r="F292" t="s">
        <v>828</v>
      </c>
      <c r="G292" t="s">
        <v>882</v>
      </c>
      <c r="H292" t="s">
        <v>830</v>
      </c>
      <c r="I292" t="s">
        <v>866</v>
      </c>
      <c r="J292" t="s">
        <v>875</v>
      </c>
      <c r="K292" t="s">
        <v>876</v>
      </c>
      <c r="L292" t="s">
        <v>871</v>
      </c>
      <c r="M292" t="s">
        <v>881</v>
      </c>
      <c r="N292" t="s">
        <v>883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826</v>
      </c>
      <c r="D293" t="s">
        <v>824</v>
      </c>
      <c r="E293" t="s">
        <v>827</v>
      </c>
      <c r="F293" t="s">
        <v>828</v>
      </c>
      <c r="G293" t="s">
        <v>884</v>
      </c>
      <c r="H293" t="s">
        <v>830</v>
      </c>
      <c r="I293" t="s">
        <v>866</v>
      </c>
      <c r="J293" t="s">
        <v>875</v>
      </c>
      <c r="K293" t="s">
        <v>876</v>
      </c>
      <c r="L293" t="s">
        <v>871</v>
      </c>
      <c r="M293" t="s">
        <v>881</v>
      </c>
      <c r="N293" t="s">
        <v>885</v>
      </c>
      <c r="O293" t="s">
        <v>886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826</v>
      </c>
      <c r="D294" t="s">
        <v>825</v>
      </c>
      <c r="E294" t="s">
        <v>827</v>
      </c>
      <c r="F294" t="s">
        <v>828</v>
      </c>
      <c r="G294" t="s">
        <v>887</v>
      </c>
      <c r="H294" t="s">
        <v>830</v>
      </c>
      <c r="I294" t="s">
        <v>866</v>
      </c>
      <c r="J294" t="s">
        <v>875</v>
      </c>
      <c r="K294" t="s">
        <v>876</v>
      </c>
      <c r="L294" t="s">
        <v>871</v>
      </c>
      <c r="M294" t="s">
        <v>881</v>
      </c>
      <c r="N294" t="s">
        <v>888</v>
      </c>
      <c r="O294" t="s">
        <v>889</v>
      </c>
      <c r="P294" t="s">
        <v>890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891</v>
      </c>
      <c r="D295" t="s">
        <v>892</v>
      </c>
      <c r="E295" t="s">
        <v>893</v>
      </c>
      <c r="F295" t="s">
        <v>894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891</v>
      </c>
      <c r="D296" t="s">
        <v>895</v>
      </c>
      <c r="E296" t="s">
        <v>896</v>
      </c>
      <c r="F296" t="s">
        <v>897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891</v>
      </c>
      <c r="D297" t="s">
        <v>898</v>
      </c>
      <c r="E297" t="s">
        <v>899</v>
      </c>
      <c r="F297" t="s">
        <v>900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891</v>
      </c>
      <c r="D298" t="s">
        <v>901</v>
      </c>
      <c r="E298" t="s">
        <v>902</v>
      </c>
      <c r="F298" t="s">
        <v>903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891</v>
      </c>
      <c r="D299" t="s">
        <v>904</v>
      </c>
      <c r="E299" t="s">
        <v>905</v>
      </c>
      <c r="F299" t="s">
        <v>906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891</v>
      </c>
      <c r="D300" t="s">
        <v>907</v>
      </c>
      <c r="E300" t="s">
        <v>908</v>
      </c>
      <c r="F300" t="s">
        <v>909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891</v>
      </c>
      <c r="D301" t="s">
        <v>744</v>
      </c>
      <c r="E301" s="2" t="s">
        <v>910</v>
      </c>
      <c r="F301" t="s">
        <v>911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891</v>
      </c>
      <c r="D302" t="s">
        <v>912</v>
      </c>
      <c r="E302" t="s">
        <v>913</v>
      </c>
      <c r="F302" t="s">
        <v>914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891</v>
      </c>
      <c r="D303" t="s">
        <v>915</v>
      </c>
      <c r="E303" t="s">
        <v>916</v>
      </c>
      <c r="F303" t="s">
        <v>917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918</v>
      </c>
      <c r="D304" t="s">
        <v>919</v>
      </c>
      <c r="E304" t="s">
        <v>920</v>
      </c>
      <c r="F304" t="s">
        <v>921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918</v>
      </c>
      <c r="D305" t="s">
        <v>922</v>
      </c>
      <c r="E305" t="s">
        <v>923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918</v>
      </c>
      <c r="D306" t="s">
        <v>924</v>
      </c>
      <c r="E306" t="s">
        <v>925</v>
      </c>
      <c r="F306" t="s">
        <v>926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918</v>
      </c>
      <c r="D307" t="s">
        <v>927</v>
      </c>
      <c r="E307" t="s">
        <v>928</v>
      </c>
      <c r="F307" t="s">
        <v>929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918</v>
      </c>
      <c r="D308" t="s">
        <v>930</v>
      </c>
      <c r="E308" t="s">
        <v>931</v>
      </c>
      <c r="F308" t="s">
        <v>932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933</v>
      </c>
      <c r="D309" t="s">
        <v>934</v>
      </c>
      <c r="E309" t="s">
        <v>935</v>
      </c>
      <c r="F309" t="s">
        <v>936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933</v>
      </c>
      <c r="D310" t="s">
        <v>937</v>
      </c>
      <c r="E310" t="s">
        <v>1048</v>
      </c>
      <c r="F310" t="s">
        <v>1049</v>
      </c>
      <c r="G310">
        <v>10</v>
      </c>
      <c r="H310">
        <v>10</v>
      </c>
      <c r="I310">
        <v>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933</v>
      </c>
      <c r="D311" t="s">
        <v>938</v>
      </c>
      <c r="E311" t="s">
        <v>939</v>
      </c>
      <c r="F311" t="s">
        <v>940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933</v>
      </c>
      <c r="D312" t="s">
        <v>1050</v>
      </c>
      <c r="E312" t="s">
        <v>1051</v>
      </c>
      <c r="F312" t="s">
        <v>1052</v>
      </c>
      <c r="G312">
        <v>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941</v>
      </c>
      <c r="D313" t="s">
        <v>942</v>
      </c>
      <c r="E313" t="s">
        <v>41</v>
      </c>
      <c r="F313" t="s">
        <v>943</v>
      </c>
      <c r="G313">
        <v>1</v>
      </c>
      <c r="H313">
        <v>1</v>
      </c>
      <c r="I313">
        <v>1</v>
      </c>
      <c r="J313">
        <v>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941</v>
      </c>
      <c r="D314" t="s">
        <v>944</v>
      </c>
      <c r="E314" t="s">
        <v>41</v>
      </c>
      <c r="F314" t="s">
        <v>943</v>
      </c>
      <c r="G314">
        <v>1.35</v>
      </c>
      <c r="H314">
        <v>2</v>
      </c>
      <c r="I314">
        <v>2</v>
      </c>
      <c r="J314">
        <v>1</v>
      </c>
      <c r="K314">
        <v>1</v>
      </c>
      <c r="L314">
        <v>1.7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941</v>
      </c>
      <c r="D315" t="s">
        <v>945</v>
      </c>
      <c r="E315" t="s">
        <v>41</v>
      </c>
      <c r="F315" t="s">
        <v>943</v>
      </c>
      <c r="G315">
        <v>1.75</v>
      </c>
      <c r="H315">
        <v>2</v>
      </c>
      <c r="I315">
        <v>2</v>
      </c>
      <c r="J315">
        <v>1</v>
      </c>
      <c r="K315">
        <v>1</v>
      </c>
      <c r="L315">
        <v>2.8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941</v>
      </c>
      <c r="D316" t="s">
        <v>946</v>
      </c>
      <c r="E316" t="s">
        <v>41</v>
      </c>
      <c r="F316" t="s">
        <v>943</v>
      </c>
      <c r="G316">
        <v>2.2999999999999998</v>
      </c>
      <c r="H316">
        <v>3</v>
      </c>
      <c r="I316">
        <v>3</v>
      </c>
      <c r="J316">
        <v>2</v>
      </c>
      <c r="K316">
        <v>1</v>
      </c>
      <c r="L316">
        <v>4.5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941</v>
      </c>
      <c r="D317" t="s">
        <v>947</v>
      </c>
      <c r="E317" t="s">
        <v>41</v>
      </c>
      <c r="F317" t="s">
        <v>943</v>
      </c>
      <c r="G317">
        <v>3</v>
      </c>
      <c r="H317">
        <v>4</v>
      </c>
      <c r="I317">
        <v>4</v>
      </c>
      <c r="J317">
        <v>3</v>
      </c>
      <c r="K317">
        <v>2</v>
      </c>
      <c r="L317">
        <v>7.5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941</v>
      </c>
      <c r="D318" t="s">
        <v>948</v>
      </c>
      <c r="E318" t="s">
        <v>41</v>
      </c>
      <c r="F318" t="s">
        <v>943</v>
      </c>
      <c r="G318">
        <v>4</v>
      </c>
      <c r="H318">
        <v>5</v>
      </c>
      <c r="I318">
        <v>5</v>
      </c>
      <c r="J318">
        <v>4</v>
      </c>
      <c r="K318">
        <v>2</v>
      </c>
      <c r="L318">
        <v>12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941</v>
      </c>
      <c r="D319" t="s">
        <v>949</v>
      </c>
      <c r="E319" t="s">
        <v>41</v>
      </c>
      <c r="F319" t="s">
        <v>943</v>
      </c>
      <c r="G319">
        <v>5.2</v>
      </c>
      <c r="H319">
        <v>6</v>
      </c>
      <c r="I319">
        <v>6</v>
      </c>
      <c r="J319">
        <v>5</v>
      </c>
      <c r="K319">
        <v>2</v>
      </c>
      <c r="L319">
        <v>19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941</v>
      </c>
      <c r="D320" t="s">
        <v>950</v>
      </c>
      <c r="E320" t="s">
        <v>41</v>
      </c>
      <c r="F320" t="s">
        <v>943</v>
      </c>
      <c r="G320">
        <v>6.8</v>
      </c>
      <c r="H320">
        <v>7</v>
      </c>
      <c r="I320">
        <v>7</v>
      </c>
      <c r="J320">
        <v>6</v>
      </c>
      <c r="K320">
        <v>3</v>
      </c>
      <c r="L320">
        <v>30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941</v>
      </c>
      <c r="D321" t="s">
        <v>951</v>
      </c>
      <c r="E321" t="s">
        <v>41</v>
      </c>
      <c r="F321" t="s">
        <v>943</v>
      </c>
      <c r="G321">
        <v>10.199999999999999</v>
      </c>
      <c r="H321">
        <v>8</v>
      </c>
      <c r="I321">
        <v>8</v>
      </c>
      <c r="J321">
        <v>6</v>
      </c>
      <c r="K321">
        <v>3</v>
      </c>
      <c r="L321">
        <v>45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952</v>
      </c>
      <c r="D322" t="s">
        <v>953</v>
      </c>
      <c r="E322" t="s">
        <v>954</v>
      </c>
      <c r="F322" t="s">
        <v>955</v>
      </c>
      <c r="G322">
        <v>25</v>
      </c>
      <c r="H322" t="s">
        <v>956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952</v>
      </c>
      <c r="D323" t="s">
        <v>957</v>
      </c>
      <c r="E323" t="s">
        <v>954</v>
      </c>
      <c r="F323" t="s">
        <v>958</v>
      </c>
      <c r="G323">
        <v>20</v>
      </c>
      <c r="H323" t="s">
        <v>956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952</v>
      </c>
      <c r="D324" t="s">
        <v>959</v>
      </c>
      <c r="E324" t="s">
        <v>954</v>
      </c>
      <c r="F324" t="s">
        <v>960</v>
      </c>
      <c r="G324">
        <v>25</v>
      </c>
      <c r="H324" t="s">
        <v>956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57" si="5">A324+1</f>
        <v>324</v>
      </c>
      <c r="B325">
        <v>0</v>
      </c>
      <c r="C325" t="s">
        <v>952</v>
      </c>
      <c r="D325" t="s">
        <v>961</v>
      </c>
      <c r="E325" t="s">
        <v>954</v>
      </c>
      <c r="F325" t="s">
        <v>962</v>
      </c>
      <c r="G325">
        <v>20</v>
      </c>
      <c r="H325" t="s">
        <v>956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952</v>
      </c>
      <c r="D326" t="s">
        <v>963</v>
      </c>
      <c r="E326" t="s">
        <v>954</v>
      </c>
      <c r="F326" t="s">
        <v>964</v>
      </c>
      <c r="G326">
        <v>0.4</v>
      </c>
      <c r="H326" t="s">
        <v>956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952</v>
      </c>
      <c r="D327" t="s">
        <v>965</v>
      </c>
      <c r="E327" t="s">
        <v>954</v>
      </c>
      <c r="F327" t="s">
        <v>966</v>
      </c>
      <c r="G327">
        <v>3</v>
      </c>
      <c r="H327" t="s">
        <v>956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952</v>
      </c>
      <c r="D328" t="s">
        <v>967</v>
      </c>
      <c r="E328" t="s">
        <v>954</v>
      </c>
      <c r="F328" t="s">
        <v>968</v>
      </c>
      <c r="G328">
        <v>1.5</v>
      </c>
      <c r="H328" t="s">
        <v>956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952</v>
      </c>
      <c r="D329" t="s">
        <v>969</v>
      </c>
      <c r="E329" t="s">
        <v>954</v>
      </c>
      <c r="F329" t="s">
        <v>970</v>
      </c>
      <c r="G329">
        <v>0.15</v>
      </c>
      <c r="H329" t="s">
        <v>956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952</v>
      </c>
      <c r="D330" t="s">
        <v>971</v>
      </c>
      <c r="E330" t="s">
        <v>954</v>
      </c>
      <c r="F330" t="s">
        <v>972</v>
      </c>
      <c r="G330">
        <v>0.5</v>
      </c>
      <c r="H330" t="s">
        <v>956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952</v>
      </c>
      <c r="D331" t="s">
        <v>973</v>
      </c>
      <c r="E331" t="s">
        <v>954</v>
      </c>
      <c r="F331" t="s">
        <v>974</v>
      </c>
      <c r="G331">
        <v>25</v>
      </c>
      <c r="H331" t="s">
        <v>956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952</v>
      </c>
      <c r="D332" t="s">
        <v>975</v>
      </c>
      <c r="E332" t="s">
        <v>954</v>
      </c>
      <c r="F332" t="s">
        <v>976</v>
      </c>
      <c r="G332">
        <v>8</v>
      </c>
      <c r="H332" t="s">
        <v>977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952</v>
      </c>
      <c r="D333" t="s">
        <v>978</v>
      </c>
      <c r="E333" t="s">
        <v>954</v>
      </c>
      <c r="F333" t="s">
        <v>979</v>
      </c>
      <c r="G333">
        <v>15</v>
      </c>
      <c r="H333" t="s">
        <v>977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980</v>
      </c>
      <c r="D334" t="s">
        <v>981</v>
      </c>
      <c r="E334" t="s">
        <v>982</v>
      </c>
      <c r="F334" t="s">
        <v>983</v>
      </c>
      <c r="G334">
        <v>0.8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980</v>
      </c>
      <c r="D335" t="s">
        <v>984</v>
      </c>
      <c r="E335" t="s">
        <v>985</v>
      </c>
      <c r="F335" t="s">
        <v>986</v>
      </c>
      <c r="G335">
        <v>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980</v>
      </c>
      <c r="D336" t="s">
        <v>987</v>
      </c>
      <c r="E336" t="s">
        <v>988</v>
      </c>
      <c r="F336" t="s">
        <v>989</v>
      </c>
      <c r="G336">
        <v>7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980</v>
      </c>
      <c r="D337" t="s">
        <v>990</v>
      </c>
      <c r="E337" t="s">
        <v>991</v>
      </c>
      <c r="F337" t="s">
        <v>992</v>
      </c>
      <c r="G337">
        <v>10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980</v>
      </c>
      <c r="D338" t="s">
        <v>993</v>
      </c>
      <c r="E338" t="s">
        <v>994</v>
      </c>
      <c r="F338" t="s">
        <v>995</v>
      </c>
      <c r="G338">
        <v>2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980</v>
      </c>
      <c r="D339" t="s">
        <v>996</v>
      </c>
      <c r="E339" t="s">
        <v>997</v>
      </c>
      <c r="F339" t="s">
        <v>998</v>
      </c>
      <c r="G339">
        <v>5</v>
      </c>
      <c r="H339">
        <v>10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980</v>
      </c>
      <c r="D340" t="s">
        <v>999</v>
      </c>
      <c r="E340" t="s">
        <v>1000</v>
      </c>
      <c r="F340" t="s">
        <v>1001</v>
      </c>
      <c r="G340">
        <v>10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941</v>
      </c>
      <c r="D341" t="s">
        <v>1002</v>
      </c>
      <c r="E341" t="s">
        <v>41</v>
      </c>
      <c r="F341" t="s">
        <v>1003</v>
      </c>
      <c r="G341">
        <v>15.3</v>
      </c>
      <c r="H341">
        <v>9</v>
      </c>
      <c r="I341">
        <v>9</v>
      </c>
      <c r="J341">
        <v>6</v>
      </c>
      <c r="K341">
        <v>3</v>
      </c>
      <c r="L341">
        <v>67.5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941</v>
      </c>
      <c r="D342" t="s">
        <v>1004</v>
      </c>
      <c r="E342" t="s">
        <v>41</v>
      </c>
      <c r="F342" t="s">
        <v>1003</v>
      </c>
      <c r="G342">
        <v>22.95</v>
      </c>
      <c r="H342">
        <v>10</v>
      </c>
      <c r="I342">
        <v>10</v>
      </c>
      <c r="J342">
        <v>7</v>
      </c>
      <c r="K342">
        <v>3</v>
      </c>
      <c r="L342">
        <v>101.25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625</v>
      </c>
      <c r="D343" t="s">
        <v>1005</v>
      </c>
      <c r="E343" t="s">
        <v>1006</v>
      </c>
      <c r="F343" t="s">
        <v>1007</v>
      </c>
      <c r="G343">
        <v>20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625</v>
      </c>
      <c r="D344" t="s">
        <v>1008</v>
      </c>
      <c r="E344" t="s">
        <v>1009</v>
      </c>
      <c r="F344" t="s">
        <v>1010</v>
      </c>
      <c r="G344">
        <v>500000000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5"/>
        <v>344</v>
      </c>
      <c r="B345">
        <v>0</v>
      </c>
      <c r="C345" t="s">
        <v>625</v>
      </c>
      <c r="D345" t="s">
        <v>1011</v>
      </c>
      <c r="E345" t="s">
        <v>1012</v>
      </c>
      <c r="F345" t="s">
        <v>1013</v>
      </c>
      <c r="G345">
        <v>13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ht="15.75" x14ac:dyDescent="0.25">
      <c r="A346">
        <f t="shared" si="5"/>
        <v>345</v>
      </c>
      <c r="B346">
        <v>0</v>
      </c>
      <c r="C346" t="s">
        <v>20</v>
      </c>
      <c r="D346" t="s">
        <v>1014</v>
      </c>
      <c r="E346" s="2" t="s">
        <v>1015</v>
      </c>
      <c r="F346" t="s">
        <v>1016</v>
      </c>
      <c r="G346">
        <v>30</v>
      </c>
      <c r="H346">
        <v>3</v>
      </c>
      <c r="I346">
        <v>20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20</v>
      </c>
      <c r="D347" t="s">
        <v>1017</v>
      </c>
      <c r="E347" t="s">
        <v>1018</v>
      </c>
      <c r="F347" t="s">
        <v>1019</v>
      </c>
      <c r="G347">
        <v>1000</v>
      </c>
      <c r="H347">
        <v>90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918</v>
      </c>
      <c r="D348" t="s">
        <v>1020</v>
      </c>
      <c r="E348" t="s">
        <v>1021</v>
      </c>
      <c r="F348" t="s">
        <v>1022</v>
      </c>
      <c r="G348">
        <v>50000</v>
      </c>
      <c r="H348">
        <v>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918</v>
      </c>
      <c r="D349" t="s">
        <v>1023</v>
      </c>
      <c r="E349" t="s">
        <v>1024</v>
      </c>
      <c r="F349" t="s">
        <v>1025</v>
      </c>
      <c r="G349">
        <v>10</v>
      </c>
      <c r="H349">
        <v>0.65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918</v>
      </c>
      <c r="D350" t="s">
        <v>1026</v>
      </c>
      <c r="E350" t="s">
        <v>1027</v>
      </c>
      <c r="F350" t="s">
        <v>1028</v>
      </c>
      <c r="G350">
        <v>75</v>
      </c>
      <c r="H350">
        <v>100</v>
      </c>
      <c r="I350">
        <v>125</v>
      </c>
      <c r="J350">
        <v>150</v>
      </c>
      <c r="K350">
        <v>20</v>
      </c>
      <c r="L350">
        <v>30</v>
      </c>
      <c r="M350">
        <v>30</v>
      </c>
      <c r="N350">
        <v>20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918</v>
      </c>
      <c r="D351" t="s">
        <v>1029</v>
      </c>
      <c r="E351" t="s">
        <v>1030</v>
      </c>
      <c r="F351" t="s">
        <v>1031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918</v>
      </c>
      <c r="D352" t="s">
        <v>1032</v>
      </c>
      <c r="E352" t="s">
        <v>925</v>
      </c>
      <c r="F352" t="s">
        <v>1033</v>
      </c>
      <c r="G352">
        <v>5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918</v>
      </c>
      <c r="D353" t="s">
        <v>1034</v>
      </c>
      <c r="E353" t="s">
        <v>1035</v>
      </c>
      <c r="F353" t="s">
        <v>1036</v>
      </c>
      <c r="G353">
        <v>0.6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si="5"/>
        <v>353</v>
      </c>
      <c r="B354">
        <v>0</v>
      </c>
      <c r="C354" t="s">
        <v>618</v>
      </c>
      <c r="D354" t="s">
        <v>1037</v>
      </c>
      <c r="E354" t="s">
        <v>1038</v>
      </c>
      <c r="F354" t="s">
        <v>1039</v>
      </c>
      <c r="G354">
        <v>0.1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5"/>
        <v>354</v>
      </c>
      <c r="B355">
        <v>0</v>
      </c>
      <c r="C355" t="s">
        <v>1040</v>
      </c>
      <c r="D355" t="s">
        <v>1041</v>
      </c>
      <c r="E355" t="s">
        <v>1042</v>
      </c>
      <c r="F355" t="s">
        <v>1043</v>
      </c>
      <c r="G355">
        <v>50000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5"/>
        <v>355</v>
      </c>
      <c r="B356">
        <v>0</v>
      </c>
      <c r="C356" t="s">
        <v>1040</v>
      </c>
      <c r="D356" t="s">
        <v>1044</v>
      </c>
      <c r="E356" t="s">
        <v>1042</v>
      </c>
      <c r="F356" t="s">
        <v>1045</v>
      </c>
      <c r="G356">
        <v>500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 t="shared" si="5"/>
        <v>356</v>
      </c>
      <c r="B357">
        <v>0</v>
      </c>
      <c r="C357" t="s">
        <v>1040</v>
      </c>
      <c r="D357" t="s">
        <v>1046</v>
      </c>
      <c r="E357" t="s">
        <v>1042</v>
      </c>
      <c r="F357" t="s">
        <v>1047</v>
      </c>
      <c r="G357">
        <v>100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2026-08-04T05:10:58Z</dcterms:modified>
</cp:coreProperties>
</file>
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BC82AD14-BD00-4EF3-993F-67AECDD5286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30" i="1" l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A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A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A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A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A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A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A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A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A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A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A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A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A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A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A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A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A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A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A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A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A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A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A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A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A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A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A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A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A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A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A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A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A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A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A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A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A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A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A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A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A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A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A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A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A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A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A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A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A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A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A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A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A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A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A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A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A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A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A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A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A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A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A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A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A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A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A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A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A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A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A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A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A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A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A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A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A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A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A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A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A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A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A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A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A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A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A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A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A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A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A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A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A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A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A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A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A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A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A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A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A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A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A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A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A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A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A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A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A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A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A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A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A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A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A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A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A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A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A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A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A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A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A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A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A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A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A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A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A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A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A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A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A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A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A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A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A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A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A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A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A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A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A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A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A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A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A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A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A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A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A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A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A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A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A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A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A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A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A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A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A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A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A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A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A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A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A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A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A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A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A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A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A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A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A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A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A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" i="2"/>
  <c r="U212" i="2"/>
  <c r="V212" i="2"/>
  <c r="W212" i="2"/>
  <c r="X212" i="2"/>
  <c r="Y212" i="2"/>
  <c r="Z212" i="2"/>
  <c r="AA212" i="2"/>
  <c r="AB212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V211" i="2"/>
  <c r="W211" i="2"/>
  <c r="X211" i="2"/>
  <c r="Y211" i="2"/>
  <c r="Z211" i="2"/>
  <c r="AA211" i="2"/>
  <c r="AB211" i="2"/>
  <c r="U211" i="2"/>
  <c r="U231" i="2" l="1"/>
</calcChain>
</file>

<file path=xl/sharedStrings.xml><?xml version="1.0" encoding="utf-8"?>
<sst xmlns="http://schemas.openxmlformats.org/spreadsheetml/2006/main" count="1752" uniqueCount="1021">
  <si>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</si>
  <si>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</si>
  <si>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</si>
  <si>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</si>
  <si>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</si>
  <si>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</si>
  <si>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</si>
  <si>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</si>
  <si>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</si>
  <si>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</si>
  <si>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</si>
  <si>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</si>
  <si>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</si>
  <si>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</si>
  <si>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</si>
  <si>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</si>
  <si>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</si>
  <si>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</si>
  <si>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</si>
  <si>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</si>
  <si>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</si>
  <si>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</si>
  <si>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</si>
  <si>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</si>
  <si>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</si>
  <si>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</si>
  <si>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</si>
  <si>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</si>
  <si>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</si>
  <si>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</si>
  <si>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</si>
  <si>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</si>
  <si>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</si>
  <si>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</si>
  <si>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</si>
  <si>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</si>
  <si>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</si>
  <si>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</si>
  <si>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</si>
  <si>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</si>
  <si>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</si>
  <si>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</si>
  <si>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</si>
  <si>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</si>
  <si>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</si>
  <si>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</si>
  <si>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</si>
  <si>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</si>
  <si>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</si>
  <si>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</si>
  <si>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</si>
  <si>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</si>
  <si>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</si>
  <si>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</si>
  <si>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</si>
  <si>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</si>
  <si>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</si>
  <si>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</si>
  <si>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</si>
  <si>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</si>
  <si>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</si>
  <si>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</si>
  <si>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</si>
  <si>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</si>
  <si>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</si>
  <si>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</si>
  <si>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</si>
  <si>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</si>
  <si>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</si>
  <si>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</si>
  <si>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</si>
  <si>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</si>
  <si>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</si>
  <si>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</si>
  <si>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</si>
  <si>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</si>
  <si>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</si>
  <si>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</si>
  <si>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</si>
  <si>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</si>
  <si>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</si>
  <si>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</si>
  <si>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</si>
  <si>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</si>
  <si>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</si>
  <si>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</si>
  <si>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</si>
  <si>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</si>
  <si>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</si>
  <si>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</si>
  <si>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</si>
  <si>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</si>
  <si>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</si>
  <si>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</si>
  <si>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</si>
  <si>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</si>
  <si>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</si>
  <si>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</si>
  <si>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</si>
  <si>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</si>
  <si>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</si>
  <si>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</si>
  <si>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</si>
  <si>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</si>
  <si>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</si>
  <si>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</si>
  <si>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</si>
  <si>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</si>
  <si>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</si>
  <si>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</si>
  <si>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</si>
  <si>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</si>
  <si>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</si>
  <si>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</si>
  <si>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</si>
  <si>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</si>
  <si>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</si>
  <si>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</si>
  <si>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</si>
  <si>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</si>
  <si>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</si>
  <si>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</si>
  <si>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</si>
  <si>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</si>
  <si>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</si>
  <si>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</si>
  <si>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</si>
  <si>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</si>
  <si>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</si>
  <si>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</si>
  <si>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</si>
  <si>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</si>
  <si>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</si>
  <si>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</si>
  <si>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</si>
  <si>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</si>
  <si>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</si>
  <si>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</si>
  <si>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</si>
  <si>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</si>
  <si>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</si>
  <si>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</si>
  <si>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</si>
  <si>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</si>
  <si>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</si>
  <si>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</si>
  <si>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</si>
  <si>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</si>
  <si>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</si>
  <si>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</si>
  <si>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</si>
  <si>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</si>
  <si>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</si>
  <si>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</si>
  <si>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</si>
  <si>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</si>
  <si>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</si>
  <si>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</si>
  <si>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</si>
  <si>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</si>
  <si>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</si>
  <si>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</si>
  <si>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</si>
  <si>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</si>
  <si>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</si>
  <si>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</si>
  <si>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</si>
  <si>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</si>
  <si>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</si>
  <si>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</si>
  <si>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</si>
  <si>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</si>
  <si>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</si>
  <si>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</si>
  <si>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</si>
  <si>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</si>
  <si>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</si>
  <si>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</si>
  <si>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</si>
  <si>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</si>
  <si>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</si>
  <si>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</si>
  <si>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</si>
  <si>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</si>
  <si>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</si>
  <si>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</si>
  <si>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</si>
  <si>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</si>
  <si>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</si>
  <si>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</si>
  <si>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</si>
  <si>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</si>
  <si>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</si>
  <si>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</si>
  <si>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</si>
  <si>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</si>
  <si>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</si>
  <si>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</si>
  <si>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</si>
  <si>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</si>
  <si>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</si>
  <si>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</si>
  <si>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</si>
  <si>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</si>
  <si>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</si>
  <si>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</si>
  <si>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</si>
  <si>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</si>
  <si>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</si>
  <si>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</si>
  <si>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</si>
  <si>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</si>
  <si>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</si>
  <si>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</si>
  <si>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</si>
  <si>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</si>
  <si>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</si>
  <si>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</si>
  <si>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</si>
  <si>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</si>
  <si>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</si>
  <si>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</si>
  <si>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</si>
  <si>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</si>
  <si>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</si>
  <si>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</si>
  <si>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</si>
  <si>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</si>
  <si>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</si>
  <si>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</si>
  <si>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</si>
  <si>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</si>
  <si>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</si>
  <si>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</si>
  <si>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</si>
  <si>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</si>
  <si>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</si>
  <si>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</si>
  <si>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</si>
  <si>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</si>
  <si>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</si>
  <si>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</si>
  <si>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</si>
  <si>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</si>
  <si>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</si>
  <si>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</si>
  <si>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</si>
  <si>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</si>
  <si>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</si>
  <si>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</si>
  <si>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</si>
  <si>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</si>
  <si>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</si>
  <si>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</si>
  <si>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</si>
  <si>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</si>
  <si>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</si>
  <si>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</si>
  <si>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</si>
  <si>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</si>
  <si>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</si>
  <si>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</si>
  <si>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</si>
  <si>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</si>
  <si>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</si>
  <si>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</si>
  <si>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</si>
  <si>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</si>
  <si>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</si>
  <si>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</si>
  <si>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</si>
  <si>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</si>
  <si>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</si>
  <si>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</si>
  <si>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</si>
  <si>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</si>
  <si>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</si>
  <si>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</si>
  <si>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</si>
  <si>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</si>
  <si>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</si>
  <si>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</si>
  <si>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</si>
  <si>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</si>
  <si>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</si>
  <si>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</si>
  <si>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</si>
  <si>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</si>
  <si>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</si>
  <si>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</si>
  <si>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</si>
  <si>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</si>
  <si>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</si>
  <si>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</si>
  <si>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</si>
  <si>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</si>
  <si>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{1~3,64}</t>
  </si>
  <si>
    <t>{4,20}</t>
  </si>
  <si>
    <t>{5,10}</t>
  </si>
  <si>
    <t>{6,5}</t>
  </si>
  <si>
    <t>{7~8,1}</t>
  </si>
  <si>
    <t>{1~3,5}</t>
  </si>
  <si>
    <t>{4,8}</t>
  </si>
  <si>
    <t>{5,20}</t>
  </si>
  <si>
    <t>{6,20}</t>
  </si>
  <si>
    <t>{7~9,8}</t>
  </si>
  <si>
    <t>{10~11,3}</t>
  </si>
  <si>
    <t>{12,2}</t>
  </si>
  <si>
    <t>{13,1}</t>
  </si>
  <si>
    <t>{14,0.5}</t>
  </si>
  <si>
    <t>{15,0.3}</t>
  </si>
  <si>
    <t>{16,0.2}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</si>
  <si>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</si>
  <si>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</si>
  <si>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</si>
  <si>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</si>
  <si>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</si>
  <si>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</si>
  <si>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</si>
  <si>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</si>
  <si>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</si>
  <si>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</si>
  <si>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</si>
  <si>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</si>
  <si>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</si>
  <si>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</si>
  <si>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</si>
  <si>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</si>
  <si>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</si>
  <si>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</si>
  <si>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</si>
  <si>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</si>
  <si>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</si>
  <si>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</si>
  <si>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</si>
  <si>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</si>
  <si>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</si>
  <si>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</si>
  <si>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</si>
  <si>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</si>
  <si>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</si>
  <si>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</si>
  <si>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</si>
  <si>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</si>
  <si>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</si>
  <si>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</si>
  <si>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</si>
  <si>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</si>
  <si>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</si>
  <si>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</si>
  <si>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</si>
  <si>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</si>
  <si>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</si>
  <si>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</si>
  <si>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</si>
  <si>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</si>
  <si>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</si>
  <si>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</si>
  <si>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</si>
  <si>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</si>
  <si>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</si>
  <si>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</si>
  <si>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</si>
  <si>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</si>
  <si>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</si>
  <si>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</si>
  <si>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</si>
  <si>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</si>
  <si>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</si>
  <si>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</si>
  <si>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</si>
  <si>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</si>
  <si>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</si>
  <si>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</si>
  <si>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</si>
  <si>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</si>
  <si>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</si>
  <si>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</si>
  <si>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</si>
  <si>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</si>
  <si>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</si>
  <si>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</si>
  <si>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</si>
  <si>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</si>
  <si>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</si>
  <si>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</si>
  <si>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</si>
  <si>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</si>
  <si>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</si>
  <si>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</si>
  <si>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</si>
  <si>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</si>
  <si>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</si>
  <si>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</si>
  <si>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</si>
  <si>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</si>
  <si>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</si>
  <si>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</si>
  <si>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</si>
  <si>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</si>
  <si>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</si>
  <si>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</si>
  <si>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</si>
  <si>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</si>
  <si>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</si>
  <si>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</si>
  <si>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</si>
  <si>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</si>
  <si>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</si>
  <si>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</si>
  <si>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</si>
  <si>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</si>
  <si>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</si>
  <si>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</si>
  <si>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</si>
  <si>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</si>
  <si>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</si>
  <si>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</si>
  <si>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</si>
  <si>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</si>
  <si>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</si>
  <si>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</si>
  <si>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</si>
  <si>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</si>
  <si>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</si>
  <si>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</si>
  <si>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</si>
  <si>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</si>
  <si>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</si>
  <si>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</si>
  <si>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</si>
  <si>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</si>
  <si>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</si>
  <si>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</si>
  <si>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</si>
  <si>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</si>
  <si>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</si>
  <si>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</si>
  <si>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</si>
  <si>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</si>
  <si>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</si>
  <si>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</si>
  <si>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</si>
  <si>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</si>
  <si>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</si>
  <si>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</si>
  <si>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</si>
  <si>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</si>
  <si>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</si>
  <si>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</si>
  <si>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</si>
  <si>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</si>
  <si>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</si>
  <si>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</si>
  <si>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</si>
  <si>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</si>
  <si>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</si>
  <si>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</si>
  <si>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</si>
  <si>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</si>
  <si>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</si>
  <si>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</si>
  <si>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</si>
  <si>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</si>
  <si>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</si>
  <si>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</si>
  <si>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</si>
  <si>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</si>
  <si>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</si>
  <si>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</si>
  <si>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</si>
  <si>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</si>
  <si>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</si>
  <si>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</si>
  <si>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</si>
  <si>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</si>
  <si>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</si>
  <si>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</si>
  <si>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</si>
  <si>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</si>
  <si>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</si>
  <si>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</si>
  <si>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</si>
  <si>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</si>
  <si>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</si>
  <si>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</si>
  <si>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</si>
  <si>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</si>
  <si>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</si>
  <si>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</si>
  <si>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</si>
  <si>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</si>
  <si>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</si>
  <si>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</si>
  <si>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</si>
  <si>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</si>
  <si>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</si>
  <si>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</si>
  <si>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</si>
  <si>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</si>
  <si>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</si>
  <si>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</si>
  <si>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</si>
  <si>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</si>
  <si>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</si>
  <si>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</si>
  <si>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</si>
  <si>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</si>
  <si>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</si>
  <si>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</si>
  <si>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</si>
  <si>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</si>
  <si>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</si>
  <si>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</si>
  <si>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</si>
  <si>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</si>
  <si>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</si>
  <si>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</si>
  <si>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</si>
  <si>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</si>
  <si>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</si>
  <si>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</si>
  <si>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</si>
  <si>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</si>
  <si>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</si>
  <si>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</si>
  <si>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</si>
  <si>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</si>
  <si>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</si>
  <si>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</si>
  <si>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</si>
  <si>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</si>
  <si>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</si>
  <si>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</si>
  <si>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</si>
  <si>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</si>
  <si>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</si>
  <si>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</si>
  <si>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</si>
  <si>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</si>
  <si>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</si>
  <si>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</si>
  <si>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</si>
  <si>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</si>
  <si>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</si>
  <si>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</si>
  <si>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</si>
  <si>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</si>
  <si>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</si>
  <si>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</si>
  <si>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</si>
  <si>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</si>
  <si>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</si>
  <si>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</si>
  <si>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</si>
  <si>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</si>
  <si>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</si>
  <si>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</si>
  <si>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</si>
  <si>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</si>
  <si>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</si>
  <si>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</si>
  <si>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</si>
  <si>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</si>
  <si>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</si>
  <si>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</si>
  <si>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</si>
  <si>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</si>
  <si>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</si>
  <si>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</si>
  <si>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</si>
  <si>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</si>
  <si>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</si>
  <si>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</si>
  <si>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</si>
  <si>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</si>
  <si>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</si>
  <si>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</si>
  <si>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</si>
  <si>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</si>
  <si>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</si>
  <si>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</si>
  <si>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</si>
  <si>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</si>
  <si>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</si>
  <si>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</si>
  <si>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</si>
  <si>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</si>
  <si>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</si>
  <si>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</si>
  <si>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</si>
  <si>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</si>
  <si>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</si>
  <si>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</si>
  <si>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</si>
  <si>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</si>
  <si>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</si>
  <si>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</si>
  <si>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</si>
  <si>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</si>
  <si>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</si>
  <si>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</si>
  <si>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</si>
  <si>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</si>
  <si>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</si>
  <si>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</si>
  <si>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</si>
  <si>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</si>
  <si>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</si>
  <si>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</si>
  <si>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</si>
  <si>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</si>
  <si>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</si>
  <si>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</si>
  <si>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</si>
  <si>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</si>
  <si>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</si>
  <si>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</si>
  <si>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</si>
  <si>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</si>
  <si>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</si>
  <si>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</si>
  <si>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</si>
  <si>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</si>
  <si>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</si>
  <si>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</si>
  <si>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</si>
  <si>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</si>
  <si>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</si>
  <si>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</si>
  <si>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</si>
  <si>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</si>
  <si>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</si>
  <si>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</si>
  <si>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</si>
  <si>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</si>
  <si>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</si>
  <si>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</si>
  <si>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</si>
  <si>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</si>
  <si>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</si>
  <si>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</si>
  <si>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</si>
  <si>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</si>
  <si>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</si>
  <si>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</si>
  <si>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</si>
  <si>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</si>
  <si>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</si>
  <si>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</si>
  <si>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</si>
  <si>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</si>
  <si>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</si>
  <si>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</si>
  <si>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</si>
  <si>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</si>
  <si>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</si>
  <si>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</si>
  <si>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</si>
  <si>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</si>
  <si>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</si>
  <si>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</si>
  <si>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</si>
  <si>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</si>
  <si>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</si>
  <si>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</si>
  <si>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</si>
  <si>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</si>
  <si>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</si>
  <si>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</si>
  <si>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</si>
  <si>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</si>
  <si>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</si>
  <si>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</si>
  <si>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</si>
  <si>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</si>
  <si>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</si>
  <si>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</si>
  <si>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</si>
  <si>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</si>
  <si>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</si>
  <si>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</si>
  <si>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</si>
  <si>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</si>
  <si>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</si>
  <si>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</si>
  <si>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</si>
  <si>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</si>
  <si>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</si>
  <si>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</si>
  <si>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</si>
  <si>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</si>
  <si>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</si>
  <si>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</si>
  <si>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</si>
  <si>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</si>
  <si>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</si>
  <si>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</si>
  <si>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</si>
  <si>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</si>
  <si>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</si>
  <si>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</si>
  <si>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</si>
  <si>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</si>
  <si>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</si>
  <si>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</si>
  <si>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</si>
  <si>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</si>
  <si>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</si>
  <si>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</si>
  <si>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</si>
  <si>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</si>
  <si>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</si>
  <si>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</si>
  <si>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</si>
  <si>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</si>
  <si>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</si>
  <si>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</si>
  <si>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</si>
  <si>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</si>
  <si>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</si>
  <si>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</si>
  <si>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</si>
  <si>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</si>
  <si>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</si>
  <si>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</si>
  <si>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</si>
  <si>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</si>
  <si>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</si>
  <si>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</si>
  <si>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</si>
  <si>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</si>
  <si>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</si>
  <si>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</si>
  <si>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</si>
  <si>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</si>
  <si>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</si>
  <si>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</si>
  <si>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</si>
  <si>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</si>
  <si>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</si>
  <si>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</si>
  <si>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</si>
  <si>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</si>
  <si>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</si>
  <si>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</si>
  <si>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</si>
  <si>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</si>
  <si>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</si>
  <si>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</si>
  <si>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</si>
  <si>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</si>
  <si>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</si>
  <si>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</si>
  <si>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</si>
  <si>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</si>
  <si>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</si>
  <si>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</si>
  <si>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</si>
  <si>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</si>
  <si>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</si>
  <si>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</si>
  <si>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</si>
  <si>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</si>
  <si>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</si>
  <si>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</si>
  <si>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</si>
  <si>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</si>
  <si>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</si>
  <si>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</si>
  <si>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</si>
  <si>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</si>
  <si>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</si>
  <si>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</si>
  <si>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</si>
  <si>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</si>
  <si>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</si>
  <si>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</si>
  <si>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</si>
  <si>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</si>
  <si>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</si>
  <si>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</si>
  <si>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</si>
  <si>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</si>
  <si>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</si>
  <si>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</si>
  <si>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</si>
  <si>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</si>
  <si>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</si>
  <si>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</si>
  <si>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</si>
  <si>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</si>
  <si>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</si>
  <si>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</si>
  <si>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</si>
  <si>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</si>
  <si>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</si>
  <si>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</si>
  <si>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</si>
  <si>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</si>
  <si>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</si>
  <si>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</si>
  <si>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</si>
  <si>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</si>
  <si>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</si>
  <si>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</si>
  <si>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</si>
  <si>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</si>
  <si>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</si>
  <si>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</si>
  <si>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</si>
  <si>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</si>
  <si>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</si>
  <si>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</si>
  <si>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</si>
  <si>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</si>
  <si>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</si>
  <si>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</si>
  <si>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</si>
  <si>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</si>
  <si>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</si>
  <si>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</si>
  <si>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</si>
  <si>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</si>
  <si>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</si>
  <si>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</si>
  <si>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</si>
  <si>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</si>
  <si>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</si>
  <si>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</si>
  <si>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</si>
  <si>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</si>
  <si>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</si>
  <si>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</si>
  <si>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</si>
  <si>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</si>
  <si>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</si>
  <si>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</si>
  <si>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</si>
  <si>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</si>
  <si>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</si>
  <si>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</si>
  <si>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</si>
  <si>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</si>
  <si>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</si>
  <si>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</si>
  <si>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</si>
  <si>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</si>
  <si>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</si>
  <si>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</si>
  <si>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</si>
  <si>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</si>
  <si>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</si>
  <si>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</si>
  <si>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</si>
  <si>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</si>
  <si>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</si>
  <si>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</si>
  <si>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</si>
  <si>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</si>
  <si>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</si>
  <si>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</si>
  <si>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</si>
  <si>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</si>
  <si>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</si>
  <si>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</si>
  <si>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</si>
  <si>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</si>
  <si>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</si>
  <si>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</si>
  <si>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</si>
  <si>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</si>
  <si>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</si>
  <si>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</si>
  <si>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</si>
  <si>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</si>
  <si>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</si>
  <si>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</si>
  <si>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</si>
  <si>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</si>
  <si>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</si>
  <si>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</si>
  <si>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</si>
  <si>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</si>
  <si>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</si>
  <si>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</si>
  <si>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</si>
  <si>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</si>
  <si>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</si>
  <si>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</si>
  <si>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</si>
  <si>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</si>
  <si>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</si>
  <si>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</si>
  <si>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</si>
  <si>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</si>
  <si>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</si>
  <si>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</si>
  <si>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</si>
  <si>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</si>
  <si>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</si>
  <si>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</si>
  <si>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</si>
  <si>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</si>
  <si>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</si>
  <si>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</si>
  <si>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</si>
  <si>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</si>
  <si>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</si>
  <si>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</si>
  <si>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</si>
  <si>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</si>
  <si>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</si>
  <si>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</si>
  <si>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</si>
  <si>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</si>
  <si>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</si>
  <si>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</si>
  <si>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</si>
  <si>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</si>
  <si>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</si>
  <si>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</si>
  <si>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</si>
  <si>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</si>
  <si>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</si>
  <si>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</si>
  <si>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</si>
  <si>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</si>
  <si>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</si>
  <si>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</si>
  <si>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</si>
  <si>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</si>
  <si>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</si>
  <si>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</si>
  <si>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</si>
  <si>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</si>
  <si>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</si>
  <si>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</si>
  <si>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</si>
  <si>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</si>
  <si>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</si>
  <si>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</si>
  <si>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</si>
  <si>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</si>
  <si>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</si>
  <si>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</si>
  <si>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</si>
  <si>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</si>
  <si>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</si>
  <si>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</si>
  <si>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</si>
  <si>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</si>
  <si>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</si>
  <si>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</si>
  <si>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</si>
  <si>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</si>
  <si>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</si>
  <si>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</si>
  <si>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</si>
  <si>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</si>
  <si>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</si>
  <si>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</si>
  <si>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</si>
  <si>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</si>
  <si>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</si>
  <si>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</si>
  <si>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</si>
  <si>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</si>
  <si>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</si>
  <si>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</si>
  <si>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</si>
  <si>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</si>
  <si>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</si>
  <si>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</si>
  <si>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</si>
  <si>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</si>
  <si>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</si>
  <si>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</si>
  <si>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</si>
  <si>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</si>
  <si>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</si>
  <si>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</si>
  <si>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</si>
  <si>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</si>
  <si>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</si>
  <si>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</si>
  <si>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</si>
  <si>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</si>
  <si>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</si>
  <si>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100</t>
    </r>
    <r>
      <rPr>
        <sz val="11"/>
        <rFont val="細明體"/>
        <family val="3"/>
        <charset val="136"/>
      </rPr>
      <t>關之後</t>
    </r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</si>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</sst>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8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0"/>
  <sheetViews>
    <sheetView tabSelected="1" workbookViewId="0">
      <selection activeCell="A3" sqref="A3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t="str">
        <f>計算表!F11</f>
        <v>2026-07-30 改制：技能點不再隨角色升級發放，改由技能熟練度提供（每級 1 點）。a=基礎點數（開局兩個 1 級技能）；b 停用；c=舊制上限常數（保留相容）。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10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t="str">
        <f>計算表!F29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t="str">
        <f>計算表!F30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t="str">
        <f>計算表!F31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t="str">
        <f>計算表!F32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t="str">
        <f>計算表!F33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t="str">
        <f>計算表!F34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t="str">
        <f>計算表!F35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t="str">
        <f>計算表!F36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t="str">
        <f>計算表!F37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a=吸血上限（%）；0＝無上限。2026-07-30 改版：吸血不再擋上限、也不再以造成的傷害計算，每次回復 = 每秒生命回復 × 吸血%。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a=吸魔上限（%）；0＝無上限。2026-07-30 改版：吸魔不再擋上限、也不再以造成的傷害計算，每次回復 = 每秒法力恢復 × 吸魔%。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5</v>
      </c>
      <c r="H60">
        <f>計算表!H60</f>
        <v>4.0000000000000001E-3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>
        <f>計算表!H65</f>
        <v>1.0000000000000001E-5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>
        <f>計算表!H66</f>
        <v>2.5000000000000001E-3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a×(1+(攻速%+敏捷×b)/100)</v>
      </c>
      <c r="F68" t="str">
        <f>計算表!F68</f>
        <v>a=基礎次/秒 b=每點敏捷%。下限 0.2、上限 5。</v>
      </c>
      <c r="G68">
        <f>計算表!G68</f>
        <v>2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>
        <f>計算表!G70</f>
        <v>3.4999999999999999E-6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(最大生命×a% + b )/秒</v>
      </c>
      <c r="F72" t="str">
        <f>計算表!F72</f>
        <v>a=生命加成比例 b=基礎值。</v>
      </c>
      <c r="G72">
        <f>計算表!G72</f>
        <v>2</v>
      </c>
      <c r="H72">
        <f>計算表!H72</f>
        <v>20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控制持續時間×max(0, 1−每秒遞減率×經過秒數)</v>
      </c>
      <c r="F87" t="str">
        <f>計算表!F87</f>
        <v>普通敵人每秒遞減 1%；菁英每秒遞減 3%；BOSS 不受控場遞減。</v>
      </c>
      <c r="G87">
        <f>計算表!G87</f>
        <v>1</v>
      </c>
      <c r="H87">
        <f>計算表!H87</f>
        <v>3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t="str">
        <f>計算表!F96</f>
        <v xml:space="preserve">物理穿透與魔法穿透各自換算（不設上限），用百分比計算。a=係數 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>
        <f>計算表!I120</f>
        <v>1.0449999999999999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{1~3,64}</v>
      </c>
      <c r="H132" t="str">
        <f>計算表!H132</f>
        <v>{4,20}</v>
      </c>
      <c r="I132" t="str">
        <f>計算表!I132</f>
        <v>{5,10}</v>
      </c>
      <c r="J132" t="str">
        <f>計算表!J132</f>
        <v>{6,5}</v>
      </c>
      <c r="K132" t="str">
        <f>計算表!K132</f>
        <v>{7~8,1}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數量權重100關之後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{1~3,5}</v>
      </c>
      <c r="H133" t="str">
        <f>計算表!H133</f>
        <v>{4,8}</v>
      </c>
      <c r="I133" t="str">
        <f>計算表!I133</f>
        <v>{5,20}</v>
      </c>
      <c r="J133" t="str">
        <f>計算表!J133</f>
        <v>{6,20}</v>
      </c>
      <c r="K133" t="str">
        <f>計算表!K133</f>
        <v>{7~9,8}</v>
      </c>
      <c r="L133" t="str">
        <f>計算表!L133</f>
        <v>{10~11,3}</v>
      </c>
      <c r="M133" t="str">
        <f>計算表!M133</f>
        <v>{12,2}</v>
      </c>
      <c r="N133" t="str">
        <f>計算表!N133</f>
        <v>{13,1}</v>
      </c>
      <c r="O133" t="str">
        <f>計算表!O133</f>
        <v>{14,0.5}</v>
      </c>
      <c r="P133" t="str">
        <f>計算表!P133</f>
        <v>{15,0.3}</v>
      </c>
      <c r="Q133" t="str">
        <f>計算表!Q133</f>
        <v>{16,0.2}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菁英 數量權重(荒漠1~200關)</v>
      </c>
      <c r="E134" t="str">
        <f>計算表!E134</f>
        <v>權重表：{數量,權重} 或 {下限~上限,權重}</v>
      </c>
      <c r="F134" t="str">
        <f>計算表!F134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4" t="str">
        <f>計算表!G134</f>
        <v>{1~2,95}</v>
      </c>
      <c r="H134" t="str">
        <f>計算表!H134</f>
        <v>{3,5}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數量權重(冰原1~300關)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5" t="str">
        <f>計算表!G135</f>
        <v>{1~2,75}</v>
      </c>
      <c r="H135" t="str">
        <f>計算表!H135</f>
        <v>{3,20}</v>
      </c>
      <c r="I135" t="str">
        <f>計算表!I135</f>
        <v>{4,5}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數量權重(沼澤1~400關)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6" t="str">
        <f>計算表!G136</f>
        <v>{1~2,50}</v>
      </c>
      <c r="H136" t="str">
        <f>計算表!H136</f>
        <v>{3,10}</v>
      </c>
      <c r="I136" t="str">
        <f>計算表!I136</f>
        <v>{4,10}</v>
      </c>
      <c r="J136" t="str">
        <f>計算表!J136</f>
        <v>{5,6}</v>
      </c>
      <c r="K136" t="str">
        <f>計算表!K136</f>
        <v>{6,2}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數量權重(亡靈山脈1~500關)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7" t="str">
        <f>計算表!G137</f>
        <v>{1~2,1}</v>
      </c>
      <c r="H137" t="str">
        <f>計算表!H137</f>
        <v>{3,3}</v>
      </c>
      <c r="I137" t="str">
        <f>計算表!I137</f>
        <v>{4~5,5}</v>
      </c>
      <c r="J137" t="str">
        <f>計算表!J137</f>
        <v>{6~10,30}</v>
      </c>
      <c r="K137" t="str">
        <f>計算表!K137</f>
        <v>{11~16,30}</v>
      </c>
      <c r="L137" t="str">
        <f>計算表!L137</f>
        <v>{17~20,10}</v>
      </c>
      <c r="M137" t="str">
        <f>計算表!M137</f>
        <v>{21~30,5}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數量權重500關之後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8" t="str">
        <f>計算表!G138</f>
        <v>{1~2,2}</v>
      </c>
      <c r="H138" t="str">
        <f>計算表!H138</f>
        <v>{3,8}</v>
      </c>
      <c r="I138" t="str">
        <f>計算表!I138</f>
        <v>{4~5,30}</v>
      </c>
      <c r="J138" t="str">
        <f>計算表!J138</f>
        <v>{6~7,15}</v>
      </c>
      <c r="K138" t="str">
        <f>計算表!K138</f>
        <v>{8~9,8}</v>
      </c>
      <c r="L138" t="str">
        <f>計算表!L138</f>
        <v>{10,3}</v>
      </c>
      <c r="M138" t="str">
        <f>計算表!M138</f>
        <v>{11,1.5}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BOSS 數量權重</v>
      </c>
      <c r="E139" t="str">
        <f>計算表!E139</f>
        <v>權重表：{數量,權重} 或 {下限~上限,權重}</v>
      </c>
      <c r="F139" t="str">
        <f>計算表!F139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39" t="str">
        <f>計算表!G139</f>
        <v>{1,100}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4-戰場站位</v>
      </c>
      <c r="D140" t="str">
        <f>計算表!D140</f>
        <v>棋盤格數</v>
      </c>
      <c r="E140" t="str">
        <f>計算表!E140</f>
        <v>敵方 a 行 × b 列</v>
      </c>
      <c r="F140" t="str">
        <f>計算表!F140</f>
        <v>a=行數（由左至右；越右離我方越遠）b=列數。我方視為棋盤左側的單一單位。</v>
      </c>
      <c r="G140">
        <f>計算表!G140</f>
        <v>10</v>
      </c>
      <c r="H140">
        <f>計算表!H140</f>
        <v>10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距離規則</v>
      </c>
      <c r="E141" t="str">
        <f>計算表!E141</f>
        <v>距離 = a×(行-1) + (中央列 ? b : c)</v>
      </c>
      <c r="F141" t="str">
        <f>計算表!F141</f>
        <v>數字越小越近。普攻與技能都以此挑最近目標；同距離隨機挑一個；鎖定後直到目標死亡才換。</v>
      </c>
      <c r="G141">
        <f>計算表!G141</f>
        <v>1</v>
      </c>
      <c r="H141">
        <f>計算表!H141</f>
        <v>1</v>
      </c>
      <c r="I141">
        <f>計算表!I141</f>
        <v>1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BOSS 佔格</v>
      </c>
      <c r="E142" t="str">
        <f>計算表!E142</f>
        <v>a 行 × b 列</v>
      </c>
      <c r="F142" t="str">
        <f>計算表!F142</f>
        <v>BOSS 佔多格；受範圍傷害仍只算命中 1 次。棋盤放不下時自動退回 1×1。</v>
      </c>
      <c r="G142">
        <f>計算表!G142</f>
        <v>2</v>
      </c>
      <c r="H142">
        <f>計算表!H142</f>
        <v>2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5-太古詞條</v>
      </c>
      <c r="D143" t="str">
        <f>計算表!D143</f>
        <v>高塔太古精華機率</v>
      </c>
      <c r="E143" t="str">
        <f>計算表!E143</f>
        <v>min(a%, b% + (樓層-c)×d%)</v>
      </c>
      <c r="F143" t="str">
        <f>計算表!F143</f>
        <v>以樓層計算；每場獨立判定 1 顆。</v>
      </c>
      <c r="G143">
        <f>計算表!G143</f>
        <v>100</v>
      </c>
      <c r="H143">
        <f>計算表!H143</f>
        <v>10</v>
      </c>
      <c r="I143">
        <f>計算表!I143</f>
        <v>40</v>
      </c>
      <c r="J143">
        <f>計算表!J143</f>
        <v>2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太古詞條產生率(2詞條)</v>
      </c>
      <c r="E144" t="str">
        <f>計算表!E144</f>
        <v>權重擲骰：a~c = 0~2條太古的權重%</v>
      </c>
      <c r="F144" t="str">
        <f>計算表!F144</f>
        <v>裝備產出時依詞條數量決定太古條數與隨機位置（位置永久固定，洗煉不變）。a=0條 b=1條 c=2條。</v>
      </c>
      <c r="G144">
        <f>計算表!G144</f>
        <v>92</v>
      </c>
      <c r="H144">
        <f>計算表!H144</f>
        <v>7.5</v>
      </c>
      <c r="I144">
        <f>計算表!I144</f>
        <v>0.5</v>
      </c>
      <c r="J144">
        <f>計算表!J144</f>
        <v>0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太古詞條產生率(3詞條)</v>
      </c>
      <c r="E145" t="str">
        <f>計算表!E145</f>
        <v>權重擲骰：a~d = 0~3條太古的權重%</v>
      </c>
      <c r="F145" t="str">
        <f>計算表!F145</f>
        <v>裝備產出時依詞條數量決定太古條數與隨機位置（位置永久固定，洗煉不變）。a=0條 b=1條 c=2條 d=3條。</v>
      </c>
      <c r="G145">
        <f>計算表!G145</f>
        <v>78.100000000000009</v>
      </c>
      <c r="H145">
        <f>計算表!H145</f>
        <v>19.2</v>
      </c>
      <c r="I145">
        <f>計算表!I145</f>
        <v>2.4</v>
      </c>
      <c r="J145">
        <f>計算表!J145</f>
        <v>0.3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太古詞條產生率(4詞條)</v>
      </c>
      <c r="E146" t="str">
        <f>計算表!E146</f>
        <v>權重擲骰：a~e = 0~4條太古的權重%</v>
      </c>
      <c r="F146" t="str">
        <f>計算表!F146</f>
        <v>裝備產出時依詞條數量決定太古條數與隨機位置（位置永久固定，洗煉不變）。a=0條 b=1條 c=2條 d=3條 e=4條。</v>
      </c>
      <c r="G146">
        <f>計算表!G146</f>
        <v>72.113600000000005</v>
      </c>
      <c r="H146">
        <f>計算表!H146</f>
        <v>22.118399999999998</v>
      </c>
      <c r="I146">
        <f>計算表!I146</f>
        <v>4.6079999999999997</v>
      </c>
      <c r="J146">
        <f>計算表!J146</f>
        <v>0.96</v>
      </c>
      <c r="K146">
        <f>計算表!K146</f>
        <v>0.2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太古詞條產生率(5詞條)</v>
      </c>
      <c r="E147" t="str">
        <f>計算表!E147</f>
        <v>權重擲骰：a~f = 0~5條太古的權重%</v>
      </c>
      <c r="F147" t="str">
        <f>計算表!F147</f>
        <v>裝備產出時依詞條數量決定太古條數與隨機位置（位置永久固定，洗煉不變）。a=0條 b=1條 c=2條 d=3條 e=4條 f=5條。</v>
      </c>
      <c r="G147">
        <f>計算表!G147</f>
        <v>53.837361999999999</v>
      </c>
      <c r="H147">
        <f>計算表!H147</f>
        <v>33.734898000000001</v>
      </c>
      <c r="I147">
        <f>計算表!I147</f>
        <v>9.11754</v>
      </c>
      <c r="J147">
        <f>計算表!J147</f>
        <v>2.4641999999999999</v>
      </c>
      <c r="K147">
        <f>計算表!K147</f>
        <v>0.66600000000000004</v>
      </c>
      <c r="L147">
        <f>計算表!L147</f>
        <v>0.18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太古詞條產生率(6詞條)</v>
      </c>
      <c r="E148" t="str">
        <f>計算表!E148</f>
        <v>權重擲骰：a~g = 0~6條太古的權重%</v>
      </c>
      <c r="F148" t="str">
        <f>計算表!F148</f>
        <v>裝備產出時依詞條數量決定太古條數與隨機位置（位置永久固定，洗煉不變）。a=0條 b=1條 c=2條 d=3條 e=4條 f=5條 g=6條。</v>
      </c>
      <c r="G148">
        <f>計算表!G148</f>
        <v>49.993825599999994</v>
      </c>
      <c r="H148">
        <f>計算表!H148</f>
        <v>32.817838399999999</v>
      </c>
      <c r="I148">
        <f>計算表!I148</f>
        <v>11.316495999999999</v>
      </c>
      <c r="J148">
        <f>計算表!J148</f>
        <v>3.9022399999999999</v>
      </c>
      <c r="K148">
        <f>計算表!K148</f>
        <v>1.3455999999999999</v>
      </c>
      <c r="L148">
        <f>計算表!L148</f>
        <v>0.46400000000000002</v>
      </c>
      <c r="M148">
        <f>計算表!M148</f>
        <v>0.16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太古詞條產生率(7詞條)</v>
      </c>
      <c r="E149" t="str">
        <f>計算表!E149</f>
        <v>權重擲骰：a~h = 0~7條太古的權重%</v>
      </c>
      <c r="F149" t="str">
        <f>計算表!F149</f>
        <v>裝備產出時依詞條數量決定太古條數與隨機位置（位置永久固定，洗煉不變）。a=0條 b=1條 c=2條 d=3條 e=4條 f=5條 g=6條 h=7條。</v>
      </c>
      <c r="G149">
        <f>計算表!G149</f>
        <v>36.76497232906253</v>
      </c>
      <c r="H149">
        <f>計算表!H149</f>
        <v>38.491879564687487</v>
      </c>
      <c r="I149">
        <f>計算表!I149</f>
        <v>15.094854731249995</v>
      </c>
      <c r="J149">
        <f>計算表!J149</f>
        <v>5.9195508749999988</v>
      </c>
      <c r="K149">
        <f>計算表!K149</f>
        <v>2.3213924999999995</v>
      </c>
      <c r="L149">
        <f>計算表!L149</f>
        <v>0.91034999999999988</v>
      </c>
      <c r="M149">
        <f>計算表!M149</f>
        <v>0.35699999999999998</v>
      </c>
      <c r="N149">
        <f>計算表!N149</f>
        <v>0.13999999999999999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太古詞條產生率(8詞條)</v>
      </c>
      <c r="E150" t="str">
        <f>計算表!E150</f>
        <v>權重擲骰：a~i = 0~8條太古的權重%</v>
      </c>
      <c r="F150" t="str">
        <f>計算表!F150</f>
        <v>裝備產出時依詞條數量決定太古條數與隨機位置（位置永久固定，洗煉不變）。a=0條 b=1條 c=2條 d=3條 e=4條 f=5條 g=6條 h=7條 i=8條。</v>
      </c>
      <c r="G150">
        <f>計算表!G150</f>
        <v>31.631675870386633</v>
      </c>
      <c r="H150">
        <f>計算表!H150</f>
        <v>38.434848634168908</v>
      </c>
      <c r="I150">
        <f>計算表!I150</f>
        <v>16.857389751828471</v>
      </c>
      <c r="J150">
        <f>計算表!J150</f>
        <v>7.3935919964159975</v>
      </c>
      <c r="K150">
        <f>計算表!K150</f>
        <v>3.2428035071999992</v>
      </c>
      <c r="L150">
        <f>計算表!L150</f>
        <v>1.4222822399999997</v>
      </c>
      <c r="M150">
        <f>計算表!M150</f>
        <v>0.62380799999999992</v>
      </c>
      <c r="N150">
        <f>計算表!N150</f>
        <v>0.27359999999999995</v>
      </c>
      <c r="O150">
        <f>計算表!O150</f>
        <v>0.12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太古詞條產生率(9詞條)</v>
      </c>
      <c r="E151" t="str">
        <f>計算表!E151</f>
        <v>權重擲骰：a~j = 0~9條太古的權重%</v>
      </c>
      <c r="F151" t="str">
        <f>計算表!F151</f>
        <v>裝備產出時依詞條數量決定太古條數與隨機位置（位置永久固定，洗煉不變）。a=0條 b=1條 c=2條 d=3條 e=4條 f=5條 g=6條 h=7條 i=8條 j=9條。</v>
      </c>
      <c r="G151">
        <f>計算表!G151</f>
        <v>25.407543428799851</v>
      </c>
      <c r="H151">
        <f>計算表!H151</f>
        <v>39.287974783901511</v>
      </c>
      <c r="I151">
        <f>計算表!I151</f>
        <v>18.619893262512562</v>
      </c>
      <c r="J151">
        <f>計算表!J151</f>
        <v>8.8245939632760972</v>
      </c>
      <c r="K151">
        <f>計算表!K151</f>
        <v>4.1822720205099984</v>
      </c>
      <c r="L151">
        <f>計算表!L151</f>
        <v>1.9821194409999996</v>
      </c>
      <c r="M151">
        <f>計算表!M151</f>
        <v>0.93939309999999998</v>
      </c>
      <c r="N151">
        <f>計算表!N151</f>
        <v>0.44520999999999994</v>
      </c>
      <c r="O151">
        <f>計算表!O151</f>
        <v>0.21099999999999999</v>
      </c>
      <c r="P151">
        <f>計算表!P151</f>
        <v>0.1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太古詞條產生率(10詞條)</v>
      </c>
      <c r="E152" t="str">
        <f>計算表!E152</f>
        <v>權重擲骰：a~k = 0~10條太古的權重%</v>
      </c>
      <c r="F152" t="str">
        <f>計算表!F152</f>
        <v>裝備產出時依詞條數量決定太古條數與隨機位置（位置永久固定，洗煉不變）。a=0條 b=1條 c=2條 d=3條 e=4條 f=5條 g=6條 h=7條 i=8條 j=9條 k=10條。</v>
      </c>
      <c r="G152">
        <f>計算表!G152</f>
        <v>18.159999999999986</v>
      </c>
      <c r="H152">
        <f>計算表!H152</f>
        <v>40.96</v>
      </c>
      <c r="I152">
        <f>計算表!I152</f>
        <v>20.48</v>
      </c>
      <c r="J152">
        <f>計算表!J152</f>
        <v>10.24</v>
      </c>
      <c r="K152">
        <f>計算表!K152</f>
        <v>5.12</v>
      </c>
      <c r="L152">
        <f>計算表!L152</f>
        <v>2.56</v>
      </c>
      <c r="M152">
        <f>計算表!M152</f>
        <v>1.28</v>
      </c>
      <c r="N152">
        <f>計算表!N152</f>
        <v>0.64</v>
      </c>
      <c r="O152">
        <f>計算表!O152</f>
        <v>0.32</v>
      </c>
      <c r="P152">
        <f>計算表!P152</f>
        <v>0.16</v>
      </c>
      <c r="Q152">
        <f>計算表!Q152</f>
        <v>0.08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太古詞條數值倍率</v>
      </c>
      <c r="E153" t="str">
        <f>計算表!E153</f>
        <v>原詞條上限 × a</v>
      </c>
      <c r="F153" t="str">
        <f>計算表!F153</f>
        <v>a=太古詞條強度倍率（上限已含×1.2，再×a）。</v>
      </c>
      <c r="G153">
        <f>計算表!G153</f>
        <v>1.35</v>
      </c>
      <c r="H153">
        <f>計算表!H153</f>
        <v>0</v>
      </c>
      <c r="I153">
        <f>計算表!I153</f>
        <v>0</v>
      </c>
      <c r="J153">
        <f>計算表!J153</f>
        <v>0</v>
      </c>
      <c r="K153">
        <f>計算表!K153</f>
        <v>0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太古幸運權重倍率</v>
      </c>
      <c r="E154" t="str">
        <f>計算表!E154</f>
        <v>m = a × 幸運值總合 / (幸運值總合 + 太古幸運權重分母)</v>
      </c>
      <c r="F154" t="str">
        <f>計算表!F154</f>
        <v>a=幸運值影響倍率；m 用於提高太古詞條數的高條數權重。</v>
      </c>
      <c r="G154">
        <f>計算表!G154</f>
        <v>0.5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太古幸運權重分母</v>
      </c>
      <c r="E155" t="str">
        <f>計算表!E155</f>
        <v>m = 太古幸運權重倍率 × 幸運值總合 / (幸運值總合 + a)</v>
      </c>
      <c r="F155" t="str">
        <f>計算表!F155</f>
        <v>a=幸運值飽和分母；幸運值越高，m 越接近太古幸運權重倍率。</v>
      </c>
      <c r="G155">
        <f>計算表!G155</f>
        <v>4000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5-高塔裝備掉落</v>
      </c>
      <c r="D156" t="str">
        <f>計算表!D156</f>
        <v>普通裝備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{1~10=0}</v>
      </c>
      <c r="H156" t="str">
        <f>計算表!H156</f>
        <v>{11~20=0}</v>
      </c>
      <c r="I156" t="str">
        <f>計算表!I156</f>
        <v>{21~30=0}</v>
      </c>
      <c r="J156" t="str">
        <f>計算表!J156</f>
        <v>{31~40=0}</v>
      </c>
      <c r="K156" t="str">
        <f>計算表!K156</f>
        <v>{41~50=0}</v>
      </c>
      <c r="L156" t="str">
        <f>計算表!L156</f>
        <v>{51~75=0}</v>
      </c>
      <c r="M156" t="str">
        <f>計算表!M156</f>
        <v>{76+=0}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精良裝備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稀有裝備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{1~10=100}</v>
      </c>
      <c r="H158" t="str">
        <f>計算表!H158</f>
        <v>{11~20=100}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獨特裝備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{1~10=50}</v>
      </c>
      <c r="H159" t="str">
        <f>計算表!H159</f>
        <v>{11~20=100}</v>
      </c>
      <c r="I159" t="str">
        <f>計算表!I159</f>
        <v>{21~30=100}</v>
      </c>
      <c r="J159" t="str">
        <f>計算表!J159</f>
        <v>{31~40=150}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史詩裝備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{1~10=10}</v>
      </c>
      <c r="H160" t="str">
        <f>計算表!H160</f>
        <v>{11~20=20}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{41~50=200}</v>
      </c>
      <c r="L160" t="str">
        <f>計算表!L160</f>
        <v>{51~75=350}</v>
      </c>
      <c r="M160" t="str">
        <f>計算表!M160</f>
        <v>{76+=400}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傳說裝備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{1~10=5}</v>
      </c>
      <c r="H161" t="str">
        <f>計算表!H161</f>
        <v>{11~20=10}</v>
      </c>
      <c r="I161" t="str">
        <f>計算表!I161</f>
        <v>{21~30=50}</v>
      </c>
      <c r="J161" t="str">
        <f>計算表!J161</f>
        <v>{31~40=100}</v>
      </c>
      <c r="K161" t="str">
        <f>計算表!K161</f>
        <v>{41~50=150}</v>
      </c>
      <c r="L161" t="str">
        <f>計算表!L161</f>
        <v>{51~75=200}</v>
      </c>
      <c r="M161" t="str">
        <f>計算表!M161</f>
        <v>{76+=250}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神話裝備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{1~5=0}</v>
      </c>
      <c r="H162" t="str">
        <f>計算表!H162</f>
        <v>{11~20=2}</v>
      </c>
      <c r="I162" t="str">
        <f>計算表!I162</f>
        <v>{21~30=5}</v>
      </c>
      <c r="J162" t="str">
        <f>計算表!J162</f>
        <v>{31~40=10}</v>
      </c>
      <c r="K162" t="str">
        <f>計算表!K162</f>
        <v>{41~50=25}</v>
      </c>
      <c r="L162" t="str">
        <f>計算表!L162</f>
        <v>{51~75=50}</v>
      </c>
      <c r="M162" t="str">
        <f>計算表!M162</f>
        <v>{76+=100}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創世裝備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{11~20=0}</v>
      </c>
      <c r="I163" t="str">
        <f>計算表!I163</f>
        <v>{21~30=0}</v>
      </c>
      <c r="J163" t="str">
        <f>計算表!J163</f>
        <v>{31~40=0}</v>
      </c>
      <c r="K163" t="str">
        <f>計算表!K163</f>
        <v>{41~50=1}</v>
      </c>
      <c r="L163" t="str">
        <f>計算表!L163</f>
        <v>{51~75=5}</v>
      </c>
      <c r="M163" t="str">
        <f>計算表!M163</f>
        <v>{76+=10}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5-高塔獎勵</v>
      </c>
      <c r="D164" t="str">
        <f>計算表!D164</f>
        <v>零件階級</v>
      </c>
      <c r="E164" t="str">
        <f>計算表!E164</f>
        <v>clamp(1+⌊(樓層-1)/a⌋, 1, 7)</v>
      </c>
      <c r="F164" t="str">
        <f>計算表!F164</f>
        <v>首通必得、重複通關 30%。</v>
      </c>
      <c r="G164">
        <f>計算表!G164</f>
        <v>4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金幣</v>
      </c>
      <c r="E165" t="str">
        <f>計算表!E165</f>
        <v>a×樓層（首通×2）</v>
      </c>
      <c r="F165" t="str">
        <f>計算表!F165</f>
        <v>a=每層金幣。</v>
      </c>
      <c r="G165">
        <f>計算表!G165</f>
        <v>200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寶石</v>
      </c>
      <c r="E166" t="str">
        <f>計算表!E166</f>
        <v>clamp(1+⌊樓層/a⌋, 1, 5)，隨機種類×2 顆</v>
      </c>
      <c r="F166" t="str">
        <f>計算表!F166</f>
        <v>a=樓層除數。</v>
      </c>
      <c r="G166">
        <f>計算表!G166</f>
        <v>4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附魔精華</v>
      </c>
      <c r="E167" t="str">
        <f>計算表!E167</f>
        <v>a+樓層</v>
      </c>
      <c r="F167" t="str">
        <f>計算表!F167</f>
        <v>a=常數（另附魔書×2）。</v>
      </c>
      <c r="G167">
        <f>計算表!G167</f>
        <v>3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裝備戰利品等級</v>
      </c>
      <c r="E168" t="str">
        <f>計算表!E168</f>
        <v>a+樓層×b</v>
      </c>
      <c r="F168" t="str">
        <f>計算表!F168</f>
        <v>依 BOSS 掉落表擲骰。</v>
      </c>
      <c r="G168">
        <f>計算表!G168</f>
        <v>4</v>
      </c>
      <c r="H168">
        <f>計算表!H168</f>
        <v>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5-掉落通則</v>
      </c>
      <c r="D169" t="str">
        <f>計算表!D169</f>
        <v>掉寶率效果折半</v>
      </c>
      <c r="E169" t="str">
        <f>計算表!E169</f>
        <v>有效掉寶率 = 來源合計×a</v>
      </c>
      <c r="F169" t="str">
        <f>計算表!F169</f>
        <v>裝備詞條/附魔/神鑄貪婪/技能尋寶/相關分解零件的掉寶率效果統一×a。</v>
      </c>
      <c r="G169">
        <f>計算表!G169</f>
        <v>0.5</v>
      </c>
      <c r="H169">
        <f>計算表!H169</f>
        <v>0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加速齒輪固定加成</v>
      </c>
      <c r="E170" t="str">
        <f>計算表!E170</f>
        <v>實際加成 = 每階×階級 + a</v>
      </c>
      <c r="F170" t="str">
        <f>計算表!F170</f>
        <v>a=分解速度固定加成（個百分點）。</v>
      </c>
      <c r="G170">
        <f>計算表!G170</f>
        <v>50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掉落件數規則(&gt;100%)</v>
      </c>
      <c r="E171" t="str">
        <f>計算表!E171</f>
        <v>⌊機率/100⌋ + (餘數% 再 1 件)</v>
      </c>
      <c r="F171" t="str">
        <f>計算表!F171</f>
        <v>每品質獨立擲骰；實際機率 = 表值×(1+有效掉寶率%)，野外菁英再×1.5。　※規則寫死：機率整數部分必掉，餘數再擲一次。</v>
      </c>
      <c r="G171">
        <f>計算表!G171</f>
        <v>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5-稀有度擲骰</v>
      </c>
      <c r="D172" t="str">
        <f>計算表!D172</f>
        <v>權重加成 b</v>
      </c>
      <c r="E172" t="str">
        <f>計算表!E172</f>
        <v>b = 1 + 有效掉寶加成/a + 階段×c</v>
      </c>
      <c r="F172" t="str">
        <f>計算表!F172</f>
        <v>a=掉寶除數 c=每階加成。</v>
      </c>
      <c r="G172">
        <f>計算表!G172</f>
        <v>200</v>
      </c>
      <c r="H172">
        <f>計算表!H172</f>
        <v>6.0000000000000001E-3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普通 權重</v>
      </c>
      <c r="E173" t="str">
        <f>計算表!E173</f>
        <v>權重 = a×min(b, c)</v>
      </c>
      <c r="F173" t="str">
        <f>計算表!F173</f>
        <v>a=基礎權重 b=權重加成 c=加成上限 d=出現門檻。普通無加成。神鑄創世不參與此擲骰。(裝備合成才有作用，目前功能關閉中)</v>
      </c>
      <c r="G173">
        <f>計算表!G173</f>
        <v>55</v>
      </c>
      <c r="H173" t="str">
        <f>計算表!H173</f>
        <v>b</v>
      </c>
      <c r="I173" t="str">
        <f>計算表!I173</f>
        <v>-</v>
      </c>
      <c r="J173" t="str">
        <f>計算表!J173</f>
        <v>—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精良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25</v>
      </c>
      <c r="H174" t="str">
        <f>計算表!H174</f>
        <v>b</v>
      </c>
      <c r="I174">
        <f>計算表!I174</f>
        <v>2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稀有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12</v>
      </c>
      <c r="H175" t="str">
        <f>計算表!H175</f>
        <v>b</v>
      </c>
      <c r="I175">
        <f>計算表!I175</f>
        <v>2.5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獨特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5.5</v>
      </c>
      <c r="H176" t="str">
        <f>計算表!H176</f>
        <v>b</v>
      </c>
      <c r="I176">
        <f>計算表!I176</f>
        <v>3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史詩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1.8</v>
      </c>
      <c r="H177" t="str">
        <f>計算表!H177</f>
        <v>b</v>
      </c>
      <c r="I177">
        <f>計算表!I177</f>
        <v>3.5</v>
      </c>
      <c r="J177" t="str">
        <f>計算表!J177</f>
        <v>階段 8+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傳說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0.35</v>
      </c>
      <c r="H178" t="str">
        <f>計算表!H178</f>
        <v>b</v>
      </c>
      <c r="I178">
        <f>計算表!I178</f>
        <v>4</v>
      </c>
      <c r="J178" t="str">
        <f>計算表!J178</f>
        <v>階段 15+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神話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0.08</v>
      </c>
      <c r="H179" t="str">
        <f>計算表!H179</f>
        <v>b</v>
      </c>
      <c r="I179">
        <f>計算表!I179</f>
        <v>4.5</v>
      </c>
      <c r="J179" t="str">
        <f>計算表!J179</f>
        <v>階段 25+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創世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1.4999999999999999E-2</v>
      </c>
      <c r="H180" t="str">
        <f>計算表!H180</f>
        <v>b</v>
      </c>
      <c r="I180">
        <f>計算表!I180</f>
        <v>5</v>
      </c>
      <c r="J180" t="str">
        <f>計算表!J180</f>
        <v>階段 40+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6-分解精華機率</v>
      </c>
      <c r="D181" t="str">
        <f>計算表!D181</f>
        <v>附魔精華拆解機率</v>
      </c>
      <c r="E181" t="str">
        <f>計算表!E181</f>
        <v>稀有度基礎機率 × (1+精粹透鏡加成/100)</v>
      </c>
      <c r="F181" t="str">
        <f>計算表!F181</f>
        <v>一列列出各稀有度基礎機率%。&gt;100% 採必得+餘數。</v>
      </c>
      <c r="G181">
        <f>計算表!G181</f>
        <v>5</v>
      </c>
      <c r="H181">
        <f>計算表!H181</f>
        <v>7.5</v>
      </c>
      <c r="I181">
        <f>計算表!I181</f>
        <v>10</v>
      </c>
      <c r="J181">
        <f>計算表!J181</f>
        <v>15</v>
      </c>
      <c r="K181">
        <f>計算表!K181</f>
        <v>20</v>
      </c>
      <c r="L181">
        <f>計算表!L181</f>
        <v>25</v>
      </c>
      <c r="M181">
        <f>計算表!M181</f>
        <v>30</v>
      </c>
      <c r="N181">
        <f>計算表!N181</f>
        <v>100</v>
      </c>
      <c r="O181">
        <f>計算表!O181</f>
        <v>100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太古精華拆解機率(依稀有度)</v>
      </c>
      <c r="E182" t="str">
        <f>計算表!E182</f>
        <v>基礎機率×太古萃取器倍率；另每條太古詞條 50% 判定</v>
      </c>
      <c r="F182" t="str">
        <f>計算表!F182</f>
        <v>史詩0.5 傳說1 神話10 創世100 神鑄100（普通~獨特不掉）。</v>
      </c>
      <c r="G182">
        <f>計算表!G182</f>
        <v>0</v>
      </c>
      <c r="H182">
        <f>計算表!H182</f>
        <v>0</v>
      </c>
      <c r="I182">
        <f>計算表!I182</f>
        <v>0</v>
      </c>
      <c r="J182">
        <f>計算表!J182</f>
        <v>0.1</v>
      </c>
      <c r="K182">
        <f>計算表!K182</f>
        <v>0.5</v>
      </c>
      <c r="L182">
        <f>計算表!L182</f>
        <v>1</v>
      </c>
      <c r="M182">
        <f>計算表!M182</f>
        <v>10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魔法卷軸換算</v>
      </c>
      <c r="E183" t="str">
        <f>計算表!E183</f>
        <v>魔法卷軸 = 附魔精華實得量 × a（機率式進位）</v>
      </c>
      <c r="F183" t="str">
        <f>計算表!F183</f>
        <v>拆解裝備與高塔通關皆適用；期望值 = 精華量 × a。</v>
      </c>
      <c r="G183">
        <f>計算表!G183</f>
        <v>0.1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6-神鑄</v>
      </c>
      <c r="D184" t="str">
        <f>計算表!D184</f>
        <v>裝備神鑄成功率</v>
      </c>
      <c r="E184" t="str">
        <f>計算表!E184</f>
        <v>clamp(基礎 + 魔塵數×a, 0, 100)</v>
      </c>
      <c r="F184" t="str">
        <f>計算表!F184</f>
        <v>傳統品質每魔塵 a%；混沌品質另由「裝備神鑄混沌魔塵加成」控制。</v>
      </c>
      <c r="G184">
        <f>計算表!G184</f>
        <v>5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6-神鑄</v>
      </c>
      <c r="D185" t="str">
        <f>計算表!D185</f>
        <v>裝備神鑄基礎成功率</v>
      </c>
      <c r="E185" t="str">
        <f>計算表!E185</f>
        <v>傳說a 神話b 創世c 混沌d（%）</v>
      </c>
      <c r="F185" t="str">
        <f>計算表!F185</f>
        <v>依素材品質。</v>
      </c>
      <c r="G185">
        <f>計算表!G185</f>
        <v>55</v>
      </c>
      <c r="H185">
        <f>計算表!H185</f>
        <v>40</v>
      </c>
      <c r="I185">
        <f>計算表!I185</f>
        <v>25</v>
      </c>
      <c r="J185">
        <f>計算表!J185</f>
        <v>20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6-神鑄</v>
      </c>
      <c r="D186" t="str">
        <f>計算表!D186</f>
        <v>裝備神鑄金幣</v>
      </c>
      <c r="E186" t="str">
        <f>計算表!E186</f>
        <v>傳說a 神話b 創世c 混沌d</v>
      </c>
      <c r="F186" t="str">
        <f>計算表!F186</f>
        <v>單次金幣消耗；混沌暫定 5 億。</v>
      </c>
      <c r="G186">
        <f>計算表!G186</f>
        <v>5000000</v>
      </c>
      <c r="H186">
        <f>計算表!H186</f>
        <v>20000000</v>
      </c>
      <c r="I186">
        <f>計算表!I186</f>
        <v>100000000</v>
      </c>
      <c r="J186">
        <f>計算表!J186</f>
        <v>500000000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6-神鑄</v>
      </c>
      <c r="D187" t="str">
        <f>計算表!D187</f>
        <v>裝備神鑄時間(秒)</v>
      </c>
      <c r="E187" t="str">
        <f>計算表!E187</f>
        <v>傳說a 神話b 創世c 混沌d</v>
      </c>
      <c r="F187">
        <f>計算表!F187</f>
        <v>0</v>
      </c>
      <c r="G187">
        <f>計算表!G187</f>
        <v>3</v>
      </c>
      <c r="H187">
        <f>計算表!H187</f>
        <v>5</v>
      </c>
      <c r="I187">
        <f>計算表!I187</f>
        <v>8</v>
      </c>
      <c r="J187">
        <f>計算表!J187</f>
        <v>13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6-神鑄</v>
      </c>
      <c r="D188" t="str">
        <f>計算表!D188</f>
        <v>裝備神鑄混沌魔塵加成</v>
      </c>
      <c r="E188" t="str">
        <f>計算表!E188</f>
        <v>混沌品質每個魔塵增加 a% 成功率</v>
      </c>
      <c r="F188" t="str">
        <f>計算表!F188</f>
        <v>僅適用 6 件混沌裝備神鑄為神鑄混沌。</v>
      </c>
      <c r="G188">
        <f>計算表!G188</f>
        <v>3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6-神鑄</v>
      </c>
      <c r="D189" t="str">
        <f>計算表!D189</f>
        <v>寶石神鑄成功率</v>
      </c>
      <c r="E189" t="str">
        <f>計算表!E189</f>
        <v>clamp(基礎 + 魔塵數×a, 0, 100)</v>
      </c>
      <c r="F189" t="str">
        <f>計算表!F189</f>
        <v>基礎：5階45 6階35 7階25 8階15 9階5。a=每魔塵加成%。</v>
      </c>
      <c r="G189">
        <f>計算表!G189</f>
        <v>3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6-神鑄</v>
      </c>
      <c r="D190" t="str">
        <f>計算表!D190</f>
        <v>寶石神鑄基礎成功率</v>
      </c>
      <c r="E190" t="str">
        <f>計算表!E190</f>
        <v>5階a 6階b 7階c 8階d 9階e（%）</v>
      </c>
      <c r="F190" t="str">
        <f>計算表!F190</f>
        <v>依素材階級。</v>
      </c>
      <c r="G190">
        <f>計算表!G190</f>
        <v>50</v>
      </c>
      <c r="H190">
        <f>計算表!H190</f>
        <v>40</v>
      </c>
      <c r="I190">
        <f>計算表!I190</f>
        <v>35</v>
      </c>
      <c r="J190">
        <f>計算表!J190</f>
        <v>25</v>
      </c>
      <c r="K190">
        <f>計算表!K190</f>
        <v>15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6-神鑄</v>
      </c>
      <c r="D191" t="str">
        <f>計算表!D191</f>
        <v>寶石神鑄金幣</v>
      </c>
      <c r="E191" t="str">
        <f>計算表!E191</f>
        <v>a + (素材階級-b)×a</v>
      </c>
      <c r="F191" t="str">
        <f>計算表!F191</f>
        <v>a=基礎 b=起始階級。</v>
      </c>
      <c r="G191">
        <f>計算表!G191</f>
        <v>1000000</v>
      </c>
      <c r="H191">
        <f>計算表!H191</f>
        <v>5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6-神鑄</v>
      </c>
      <c r="D192" t="str">
        <f>計算表!D192</f>
        <v>寶石神鑄時間(秒)</v>
      </c>
      <c r="E192" t="str">
        <f>計算表!E192</f>
        <v>5階a 6階b 7階c 8階d 9階e</v>
      </c>
      <c r="F192">
        <f>計算表!F192</f>
        <v>0</v>
      </c>
      <c r="G192">
        <f>計算表!G192</f>
        <v>1</v>
      </c>
      <c r="H192">
        <f>計算表!H192</f>
        <v>2</v>
      </c>
      <c r="I192">
        <f>計算表!I192</f>
        <v>3</v>
      </c>
      <c r="J192">
        <f>計算表!J192</f>
        <v>4</v>
      </c>
      <c r="K192">
        <f>計算表!K192</f>
        <v>6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6-神鑄</v>
      </c>
      <c r="D193" t="str">
        <f>計算表!D193</f>
        <v>神鑄失敗</v>
      </c>
      <c r="E193" t="str">
        <f>計算表!E193</f>
        <v>裝備消耗a件退b件；寶石消耗a顆退b顆；每次失敗得魔塵1</v>
      </c>
      <c r="F193" t="str">
        <f>計算表!F193</f>
        <v>a=消耗 b=退回。</v>
      </c>
      <c r="G193">
        <f>計算表!G193</f>
        <v>3</v>
      </c>
      <c r="H193">
        <f>計算表!H193</f>
        <v>3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6-神鑄</v>
      </c>
      <c r="D194" t="str">
        <f>計算表!D194</f>
        <v>神鑄槽位 / 魔塵上限</v>
      </c>
      <c r="E194" t="str">
        <f>計算表!E194</f>
        <v>法陣a格；魔塵最多b個</v>
      </c>
      <c r="F194" t="str">
        <f>計算表!F194</f>
        <v>a=槽位 b=魔塵上限。</v>
      </c>
      <c r="G194">
        <f>計算表!G194</f>
        <v>6</v>
      </c>
      <c r="H194">
        <f>計算表!H194</f>
        <v>6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6-神鑄</v>
      </c>
      <c r="D195" t="str">
        <f>計算表!D195</f>
        <v>裝備神鑄混沌基礎成功率</v>
      </c>
      <c r="E195" t="str">
        <f>計算表!E195</f>
        <v>混沌品質基礎成功率 a%</v>
      </c>
      <c r="F195" t="str">
        <f>計算表!F195</f>
        <v>6 件混沌裝備神鑄為神鑄混沌的基礎成功率。</v>
      </c>
      <c r="G195">
        <f>計算表!G195</f>
        <v>20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6-神鑄</v>
      </c>
      <c r="D196" t="str">
        <f>計算表!D196</f>
        <v>裝備神鑄混沌金幣</v>
      </c>
      <c r="E196" t="str">
        <f>計算表!E196</f>
        <v>混沌品質單次金幣消耗 a</v>
      </c>
      <c r="F196" t="str">
        <f>計算表!F196</f>
        <v>暫定 5 億，可自行調整。</v>
      </c>
      <c r="G196">
        <f>計算表!G196</f>
        <v>500000000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6-神鑄</v>
      </c>
      <c r="D197" t="str">
        <f>計算表!D197</f>
        <v>裝備神鑄混沌時間(秒)</v>
      </c>
      <c r="E197" t="str">
        <f>計算表!E197</f>
        <v>混沌品質神鑄時間 a 秒</v>
      </c>
      <c r="F197" t="str">
        <f>計算表!F197</f>
        <v>暫定 13 秒，可自行調整。</v>
      </c>
      <c r="G197">
        <f>計算表!G197</f>
        <v>13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詞條數值</v>
      </c>
      <c r="E198" t="str">
        <f>計算表!E198</f>
        <v>(base+base×lv係數×(裝備等級-1))×稀有度倍率×rnd(0.8,1.2)</v>
      </c>
      <c r="F198" t="str">
        <f>計算表!F198</f>
        <v>base/lv係數見「詞條池」；稀有度倍率見「稀有度表」。　※指標列：base/lv 見「表-詞條池」，稀有度倍率見「表-稀有度」。</v>
      </c>
      <c r="G198">
        <f>計算表!G198</f>
        <v>0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太古詞條數值</v>
      </c>
      <c r="E199" t="str">
        <f>計算表!E199</f>
        <v>基準值×1.2×a</v>
      </c>
      <c r="F199" t="str">
        <f>計算表!F199</f>
        <v>a=太古倍率（=原上限的 135%）。　※實際由「5-太古詞條/太古詞條數值倍率」控制，本列不生效。</v>
      </c>
      <c r="G199">
        <f>計算表!G199</f>
        <v>1.35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強化倍率</v>
      </c>
      <c r="E200" t="str">
        <f>計算表!E200</f>
        <v>1 + a×強化等級</v>
      </c>
      <c r="F200" t="str">
        <f>計算表!F200</f>
        <v>裝備每 +1，全詞條數值 +5%。</v>
      </c>
      <c r="G200">
        <f>計算表!G200</f>
        <v>0.05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特殊被動數值</v>
      </c>
      <c r="E201" t="str">
        <f>計算表!E201</f>
        <v>base + perR×(稀有度-a)</v>
      </c>
      <c r="F201" t="str">
        <f>計算表!F201</f>
        <v>a=稀有級索引（稀有=基準）。base/perR 見「特殊被動表」。　※指標列：base/perR 見「表-特殊被動」。</v>
      </c>
      <c r="G201">
        <f>計算表!G201</f>
        <v>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神鑄特效數值</v>
      </c>
      <c r="E202" t="str">
        <f>計算表!E202</f>
        <v>base × rnd(0.8, 1.2)</v>
      </c>
      <c r="F202" t="str">
        <f>計算表!F202</f>
        <v>base 見「神鑄特效表」。神力為額外乘區、彼此相乘。　※指標列：base 見「表-神鑄特效」。</v>
      </c>
      <c r="G202">
        <f>計算表!G202</f>
        <v>0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附魔-攻擊類</v>
      </c>
      <c r="E203" t="str">
        <f>計算表!E203</f>
        <v>(a+裝備等級×b)×稀有度倍率×(1+c×寶石等級)</v>
      </c>
      <c r="F203" t="str">
        <f>計算表!F203</f>
        <v>火焰附魔再×1.25。寶石等級只在混合合成帶入。</v>
      </c>
      <c r="G203">
        <f>計算表!G203</f>
        <v>5</v>
      </c>
      <c r="H203">
        <f>計算表!H203</f>
        <v>1.2</v>
      </c>
      <c r="I203">
        <f>計算表!I203</f>
        <v>0.15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附魔-防禦/功能類</v>
      </c>
      <c r="E204" t="str">
        <f>計算表!E204</f>
        <v>min(a + 稀有度×b + 寶石等級×c, d)</v>
      </c>
      <c r="F204" t="str">
        <f>計算表!F204</f>
        <v>a=基礎 b=每階 c=每寶石等級 d=上限%。</v>
      </c>
      <c r="G204">
        <f>計算表!G204</f>
        <v>8</v>
      </c>
      <c r="H204">
        <f>計算表!H204</f>
        <v>4</v>
      </c>
      <c r="I204">
        <f>計算表!I204</f>
        <v>3</v>
      </c>
      <c r="J204">
        <f>計算表!J204</f>
        <v>60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手動附魔費用</v>
      </c>
      <c r="E205" t="str">
        <f>計算表!E205</f>
        <v>a 本附魔書 + b 附魔精華</v>
      </c>
      <c r="F205" t="str">
        <f>計算表!F205</f>
        <v>取下返還書、不退精華。</v>
      </c>
      <c r="G205">
        <f>計算表!G205</f>
        <v>1</v>
      </c>
      <c r="H205">
        <f>計算表!H205</f>
        <v>1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戰力評分</v>
      </c>
      <c r="E206" t="str">
        <f>計算表!E206</f>
        <v>Σ(詞條×權重×強化)+Σ(寶石×權重) →被動×1.15 →神鑄特效×(1+a×件數) →+Σ(附魔×1.2攻/×2防) →×(1+稀有度×b)</v>
      </c>
      <c r="F206" t="str">
        <f>計算表!F206</f>
        <v>詞條/寶石權重見 Equipment_Affix 表各詞條列的「戰力權重」欄。a=每條神鑄特效加成 b=稀有度加成。自動換裝門檻：新評分&gt;舊×1.02。</v>
      </c>
      <c r="G206">
        <f>計算表!G206</f>
        <v>0.15</v>
      </c>
      <c r="H206">
        <f>計算表!H206</f>
        <v>0.06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分解-碎片</v>
      </c>
      <c r="E207" t="str">
        <f>計算表!E207</f>
        <v>max(1, (a+裝備等級×b)×分解係數×rnd(0.85,1.15))</v>
      </c>
      <c r="F207" t="str">
        <f>計算表!F207</f>
        <v>分解係數見「稀有度表」salv 欄。</v>
      </c>
      <c r="G207">
        <f>計算表!G207</f>
        <v>2</v>
      </c>
      <c r="H207">
        <f>計算表!H207</f>
        <v>0.6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6-裝備</v>
      </c>
      <c r="D208" t="str">
        <f>計算表!D208</f>
        <v>分解-金幣</v>
      </c>
      <c r="E208" t="str">
        <f>計算表!E208</f>
        <v>round((a+裝備等級) × 品質分解係數 × b)</v>
      </c>
      <c r="F208" t="str">
        <f>計算表!F208</f>
        <v>a=基礎金幣；b=分解金幣倍率。淘金濾網金幣為額外來源，不影響本公式。</v>
      </c>
      <c r="G208">
        <f>計算表!G208</f>
        <v>3</v>
      </c>
      <c r="H208">
        <f>計算表!H208</f>
        <v>10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7-分解速度</v>
      </c>
      <c r="D209" t="str">
        <f>計算表!D209</f>
        <v>分解處理速度</v>
      </c>
      <c r="E209" t="str">
        <f>計算表!E209</f>
        <v>間隔 = a 秒 ÷ (1+加速加成)</v>
      </c>
      <c r="F209" t="str">
        <f>計算表!F209</f>
        <v>加速齒輪每階+25%，另固定+50 個百分點。　※＝生產線處理間隔，由「7-容量/生產線處理間隔」控制，本列不生效。</v>
      </c>
      <c r="G209">
        <f>計算表!G209</f>
        <v>2</v>
      </c>
      <c r="H209">
        <f>計算表!H209</f>
        <v>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7-分解槽</v>
      </c>
      <c r="D210" t="str">
        <f>計算表!D210</f>
        <v>分解槽解鎖費用</v>
      </c>
      <c r="E210" t="str">
        <f>計算表!E210</f>
        <v>a × b^(目標格數-1)</v>
      </c>
      <c r="F210" t="str">
        <f>計算表!F210</f>
        <v>初始 10 格、上限 20 格。</v>
      </c>
      <c r="G210">
        <f>計算表!G210</f>
        <v>10000</v>
      </c>
      <c r="H210">
        <f>計算表!H210</f>
        <v>10000</v>
      </c>
      <c r="I210">
        <f>計算表!I210</f>
        <v>2</v>
      </c>
      <c r="J210">
        <f>計算表!J210</f>
        <v>3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7-合成</v>
      </c>
      <c r="D211" t="str">
        <f>計算表!D211</f>
        <v>大成功率</v>
      </c>
      <c r="E211" t="str">
        <f>計算表!E211</f>
        <v>a%</v>
      </c>
      <c r="F211" t="str">
        <f>計算表!F211</f>
        <v>合成功能停用；保留基礎參數供舊資料相容。</v>
      </c>
      <c r="G211">
        <f>計算表!G211</f>
        <v>5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7-合成</v>
      </c>
      <c r="D212" t="str">
        <f>計算表!D212</f>
        <v>品質合成</v>
      </c>
      <c r="E212" t="str">
        <f>計算表!E212</f>
        <v>3 件同稀有度 → 1 件高一階（等級=平均）；大成功再+1 階</v>
      </c>
      <c r="F212" t="str">
        <f>計算表!F212</f>
        <v>合成功能已停用(SYNTHESIS_ENABLED=false)，本列未生效。</v>
      </c>
      <c r="G212">
        <f>計算表!G212</f>
        <v>0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7-合成</v>
      </c>
      <c r="D213" t="str">
        <f>計算表!D213</f>
        <v>混合合成</v>
      </c>
      <c r="E213" t="str">
        <f>計算表!E213</f>
        <v>1 裝備+1 寶石+1 附魔書 → 附魔（威力吃寶石等級）；大成功稀有度+1</v>
      </c>
      <c r="F213" t="str">
        <f>計算表!F213</f>
        <v>合成功能已停用，本列未生效。</v>
      </c>
      <c r="G213">
        <f>計算表!G213</f>
        <v>0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7-合成</v>
      </c>
      <c r="D214" t="str">
        <f>計算表!D214</f>
        <v>合成變異</v>
      </c>
      <c r="E214" t="str">
        <f>計算表!E214</f>
        <v>機率=合成變異率屬性（上限60%）；附魔威力×1.5 並追加 1 條詞條</v>
      </c>
      <c r="F214" t="str">
        <f>計算表!F214</f>
        <v>合成功能已停用，本列未生效。</v>
      </c>
      <c r="G214">
        <f>計算表!G214</f>
        <v>0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7-洗煉</v>
      </c>
      <c r="D217" t="str">
        <f>計算表!D217</f>
        <v>金幣費用</v>
      </c>
      <c r="E217" t="str">
        <f>計算表!E217</f>
        <v>a × b^稀有度 × (1+裝備等級×c)</v>
      </c>
      <c r="F217">
        <f>計算表!F217</f>
        <v>0</v>
      </c>
      <c r="G217">
        <f>計算表!G217</f>
        <v>40</v>
      </c>
      <c r="H217">
        <f>計算表!H217</f>
        <v>1.7</v>
      </c>
      <c r="I217">
        <f>計算表!I217</f>
        <v>0.15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7-洗煉</v>
      </c>
      <c r="D218" t="str">
        <f>計算表!D218</f>
        <v>精華費用</v>
      </c>
      <c r="E218" t="str">
        <f>計算表!E218</f>
        <v>普通~傳說 1+稀有度；神話a 創世b 神鑄c</v>
      </c>
      <c r="F218" t="str">
        <f>計算表!F218</f>
        <v>a/b/c=神話/創世/神鑄創世固定值。</v>
      </c>
      <c r="G218">
        <f>計算表!G218</f>
        <v>9</v>
      </c>
      <c r="H218">
        <f>計算表!H218</f>
        <v>14</v>
      </c>
      <c r="I218">
        <f>計算表!I218</f>
        <v>20</v>
      </c>
      <c r="J218">
        <f>計算表!J218</f>
        <v>50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7-洗煉</v>
      </c>
      <c r="D219" t="str">
        <f>計算表!D219</f>
        <v>數值洗煉分段權重</v>
      </c>
      <c r="E219" t="str">
        <f>計算表!E219</f>
        <v>先平分洗煉數值範圍，再以權重選擇低／高段：A=a；B=b＋（詞條上限率/100）^c</v>
      </c>
      <c r="F219" t="str">
        <f>計算表!F219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計算表!G219</f>
        <v>1</v>
      </c>
      <c r="H219">
        <f>計算表!H219</f>
        <v>1</v>
      </c>
      <c r="I219">
        <f>計算表!I219</f>
        <v>0.33329999999999999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7-容量</v>
      </c>
      <c r="D220" t="str">
        <f>計算表!D220</f>
        <v>輸送帶容量</v>
      </c>
      <c r="E220" t="str">
        <f>計算表!E220</f>
        <v>a（固定上限）</v>
      </c>
      <c r="F220" t="str">
        <f>計算表!F220</f>
        <v>程式實際為固定 20000；超出的新裝備直接丟棄。</v>
      </c>
      <c r="G220">
        <f>計算表!G220</f>
        <v>20000</v>
      </c>
      <c r="H220">
        <f>計算表!H220</f>
        <v>0</v>
      </c>
      <c r="I220">
        <f>計算表!I220</f>
        <v>0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7-容量</v>
      </c>
      <c r="D221" t="str">
        <f>計算表!D221</f>
        <v>合成暫存區</v>
      </c>
      <c r="E221" t="str">
        <f>計算表!E221</f>
        <v>a + ⌊負重上限/b⌋</v>
      </c>
      <c r="F221">
        <f>計算表!F221</f>
        <v>0</v>
      </c>
      <c r="G221">
        <f>計算表!G221</f>
        <v>30</v>
      </c>
      <c r="H221">
        <f>計算表!H221</f>
        <v>2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7-容量</v>
      </c>
      <c r="D222" t="str">
        <f>計算表!D222</f>
        <v>背包容量</v>
      </c>
      <c r="E222" t="str">
        <f>計算表!E222</f>
        <v>a + 背包擴充上限次數b</v>
      </c>
      <c r="F222" t="str">
        <f>計算表!F222</f>
        <v>a=初始格數 b為上限值；滿了自動分解新進裝備。</v>
      </c>
      <c r="G222">
        <f>計算表!G222</f>
        <v>100</v>
      </c>
      <c r="H222">
        <f>計算表!H222</f>
        <v>1000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7-容量</v>
      </c>
      <c r="D223" t="str">
        <f>計算表!D223</f>
        <v>背包擴充費用</v>
      </c>
      <c r="E223" t="str">
        <f>計算表!E223</f>
        <v>a + b × c^購買次數</v>
      </c>
      <c r="F223" t="str">
        <f>計算表!F223</f>
        <v>a=基值值 b=擴充倍數 c=指數底；達上限後不可再擴充。</v>
      </c>
      <c r="G223">
        <f>計算表!G223</f>
        <v>10000</v>
      </c>
      <c r="H223">
        <f>計算表!H223</f>
        <v>10000</v>
      </c>
      <c r="I223">
        <f>計算表!I223</f>
        <v>1.02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7-容量</v>
      </c>
      <c r="D224" t="str">
        <f>計算表!D224</f>
        <v>生產線處理間隔</v>
      </c>
      <c r="E224" t="str">
        <f>計算表!E224</f>
        <v>a 秒/件</v>
      </c>
      <c r="F224">
        <f>計算表!F224</f>
        <v>0</v>
      </c>
      <c r="G224">
        <f>計算表!G224</f>
        <v>2</v>
      </c>
      <c r="H224">
        <f>計算表!H224</f>
        <v>0</v>
      </c>
      <c r="I224">
        <f>計算表!I224</f>
        <v>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基礎成功率</v>
      </c>
      <c r="E225" t="str">
        <f>計算表!E225</f>
        <v>+5 以內 100%；之後 max(a%, 100% - (目標等級-5)×b%)</v>
      </c>
      <c r="F225" t="str">
        <f>計算表!F225</f>
        <v>a=下限 b=每級遞減。實際=基礎+強化成功率屬性。</v>
      </c>
      <c r="G225">
        <f>計算表!G225</f>
        <v>30</v>
      </c>
      <c r="H225">
        <f>計算表!H225</f>
        <v>6</v>
      </c>
      <c r="I225">
        <f>計算表!I225</f>
        <v>0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金幣費用</v>
      </c>
      <c r="E226" t="str">
        <f>計算表!E226</f>
        <v>a × b^目前強化等級 × (1+裝備等級×c)</v>
      </c>
      <c r="F226">
        <f>計算表!F226</f>
        <v>0</v>
      </c>
      <c r="G226">
        <f>計算表!G226</f>
        <v>25</v>
      </c>
      <c r="H226">
        <f>計算表!H226</f>
        <v>1.3</v>
      </c>
      <c r="I226">
        <f>計算表!I226</f>
        <v>0.2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7-強化</v>
      </c>
      <c r="D227" t="str">
        <f>計算表!D227</f>
        <v>碎片費用</v>
      </c>
      <c r="E227" t="str">
        <f>計算表!E227</f>
        <v>a × b^目前強化等級 × (1+裝備等級×c)</v>
      </c>
      <c r="F227">
        <f>計算表!F227</f>
        <v>0</v>
      </c>
      <c r="G227">
        <f>計算表!G227</f>
        <v>8</v>
      </c>
      <c r="H227">
        <f>計算表!H227</f>
        <v>1.35</v>
      </c>
      <c r="I227">
        <f>計算表!I227</f>
        <v>0.04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7-強化</v>
      </c>
      <c r="D228" t="str">
        <f>計算表!D228</f>
        <v>失敗懲罰</v>
      </c>
      <c r="E228" t="str">
        <f>計算表!E228</f>
        <v>消耗半數費用，強化等級不變</v>
      </c>
      <c r="F228" t="str">
        <f>計算表!F228</f>
        <v>寫死：失敗消耗半數費用。</v>
      </c>
      <c r="G228">
        <f>計算表!G228</f>
        <v>0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8-寶石</v>
      </c>
      <c r="D229" t="str">
        <f>計算表!D229</f>
        <v>能力數值(1~5階)</v>
      </c>
      <c r="E229" t="str">
        <f>計算表!E229</f>
        <v>base × 等級 × (1 + a×(等級-1))</v>
      </c>
      <c r="F229" t="str">
        <f>計算表!F229</f>
        <v>base 見「寶石種類表」。Lv1×1 Lv2×2.4 Lv3×4.2 Lv4×6.4 Lv5×9。</v>
      </c>
      <c r="G229">
        <f>計算表!G229</f>
        <v>0.2</v>
      </c>
      <c r="H229">
        <f>計算表!H229</f>
        <v>0</v>
      </c>
      <c r="I229">
        <f>計算表!I229</f>
        <v>0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8-寶石</v>
      </c>
      <c r="D230" t="str">
        <f>計算表!D230</f>
        <v>能力數值(6~10階神鑄)</v>
      </c>
      <c r="E230" t="str">
        <f>計算表!E230</f>
        <v>五階數值 × a^(階級-5)</v>
      </c>
      <c r="F230" t="str">
        <f>計算表!F230</f>
        <v>每高 1 階能力×a。</v>
      </c>
      <c r="G230">
        <f>計算表!G230</f>
        <v>2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8-寶石</v>
      </c>
      <c r="D231" t="str">
        <f>計算表!D231</f>
        <v>寶石升階(工廠自動)</v>
      </c>
      <c r="E231" t="str">
        <f>計算表!E231</f>
        <v>c 顆同種同級 → 1 顆同種高一級</v>
      </c>
      <c r="F231" t="str">
        <f>計算表!F231</f>
        <v>免費、自動（熔爐合成節點開關）。　※合成功能已停用，本列未生效。</v>
      </c>
      <c r="G231">
        <f>計算表!G231</f>
        <v>3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8-寶石</v>
      </c>
      <c r="D232" t="str">
        <f>計算表!D232</f>
        <v>寶石合成(手動)</v>
      </c>
      <c r="E232" t="str">
        <f>計算表!E232</f>
        <v>a 顆同種同級 → 1 顆同種下一階</v>
      </c>
      <c r="F232" t="str">
        <f>計算表!F232</f>
        <v>a=3；手動合成素材數量（3 合 1）；金幣另見「寶石合成金幣」。</v>
      </c>
      <c r="G232">
        <f>計算表!G232</f>
        <v>3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8-寶石</v>
      </c>
      <c r="D233" t="str">
        <f>計算表!D233</f>
        <v>寶石合成金幣</v>
      </c>
      <c r="E233" t="str">
        <f>計算表!E233</f>
        <v>依素材等級 a/b/c/d/e</v>
      </c>
      <c r="F233" t="str">
        <f>計算表!F233</f>
        <v>1級→2級 a、2級→3級 b …。</v>
      </c>
      <c r="G233">
        <f>計算表!G233</f>
        <v>100</v>
      </c>
      <c r="H233">
        <f>計算表!H233</f>
        <v>300</v>
      </c>
      <c r="I233">
        <f>計算表!I233</f>
        <v>900</v>
      </c>
      <c r="J233">
        <f>計算表!J233</f>
        <v>2700</v>
      </c>
      <c r="K233">
        <f>計算表!K233</f>
        <v>8100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8-寶石</v>
      </c>
      <c r="D234" t="str">
        <f>計算表!D234</f>
        <v>寶石轉換(九宮格)</v>
      </c>
      <c r="E234" t="str">
        <f>計算表!E234</f>
        <v>a 格；每格上限 b 顆；同階轉換數量不變（免費）</v>
      </c>
      <c r="F234" t="str">
        <f>計算表!F234</f>
        <v>融合寶石無法轉換。</v>
      </c>
      <c r="G234">
        <f>計算表!G234</f>
        <v>9</v>
      </c>
      <c r="H234">
        <f>計算表!H234</f>
        <v>1000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8-寶石</v>
      </c>
      <c r="D235" t="str">
        <f>計算表!D235</f>
        <v>寶石拆解(一般)</v>
      </c>
      <c r="E235" t="str">
        <f>計算表!E235</f>
        <v>⌊3^(N-1) × a⌋ 顆同種 1 級</v>
      </c>
      <c r="F235" t="str">
        <f>計算表!F235</f>
        <v>a=保留比例（損失 30%）。2級→2 3級→6 4級→18 5級→56。</v>
      </c>
      <c r="G235">
        <f>計算表!G235</f>
        <v>0.7</v>
      </c>
      <c r="H235">
        <f>計算表!H235</f>
        <v>0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8-寶石</v>
      </c>
      <c r="D236" t="str">
        <f>計算表!D236</f>
        <v>寶石拆解(融合)</v>
      </c>
      <c r="E236" t="str">
        <f>計算表!E236</f>
        <v>⌊81×leaves × a⌋ 顆 1 級（依屬性均分）</v>
      </c>
      <c r="F236" t="str">
        <f>計算表!F236</f>
        <v>leaves=素材 5 階總數（融合時雙方相加）。　※與「寶石拆解(一般)」共用保留率，本列不生效。</v>
      </c>
      <c r="G236">
        <f>計算表!G236</f>
        <v>0.7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8-寶石</v>
      </c>
      <c r="D237" t="str">
        <f>計算表!D237</f>
        <v>寶石融合成功率</v>
      </c>
      <c r="E237" t="str">
        <f>計算表!E237</f>
        <v>max(a%, b% - c%×雙方融合次數和)</v>
      </c>
      <c r="F237" t="str">
        <f>計算表!F237</f>
        <v>僅 5 階；產出雙屬性。</v>
      </c>
      <c r="G237">
        <f>計算表!G237</f>
        <v>10</v>
      </c>
      <c r="H237">
        <f>計算表!H237</f>
        <v>60</v>
      </c>
      <c r="I237">
        <f>計算表!I237</f>
        <v>10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8-寶石</v>
      </c>
      <c r="D238" t="str">
        <f>計算表!D238</f>
        <v>寶石融合數值</v>
      </c>
      <c r="E238" t="str">
        <f>計算表!E238</f>
        <v>同屬性 rnd(較小值,較大值×2)；異屬性 原值×rnd(0.5,1.5)</v>
      </c>
      <c r="F238" t="str">
        <f>計算表!F238</f>
        <v>失敗：較弱一方降解為 50% 機率 4~8 顆 Lv1 / 50% 機率 2~4 顆 Lv2。　※結構寫死：同屬性 rnd(小,大×2)、異屬性 原值×rnd(0.5,1.5)。</v>
      </c>
      <c r="G238">
        <f>計算表!G238</f>
        <v>0</v>
      </c>
      <c r="H238">
        <f>計算表!H238</f>
        <v>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8-寶石商店</v>
      </c>
      <c r="D239" t="str">
        <f>計算表!D239</f>
        <v>升級費用</v>
      </c>
      <c r="E239" t="str">
        <f>計算表!E239</f>
        <v>a + 商店等級^b × c</v>
      </c>
      <c r="F239" t="str">
        <f>計算表!F239</f>
        <v>Lv.1~20；Lv.20 滿級。</v>
      </c>
      <c r="G239">
        <f>計算表!G239</f>
        <v>100000</v>
      </c>
      <c r="H239">
        <f>計算表!H239</f>
        <v>3.5</v>
      </c>
      <c r="I239">
        <f>計算表!I239</f>
        <v>4000000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8-寶石商店</v>
      </c>
      <c r="D240" t="str">
        <f>計算表!D240</f>
        <v>手動刷新費用</v>
      </c>
      <c r="E240" t="str">
        <f>計算表!E240</f>
        <v>a × (下一次重置序號^b)</v>
      </c>
      <c r="F240" t="str">
        <f>計算表!F240</f>
        <v>第一次刷新序號為 1。</v>
      </c>
      <c r="G240">
        <f>計算表!G240</f>
        <v>5000</v>
      </c>
      <c r="H240">
        <f>計算表!H240</f>
        <v>2.5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8-寶石商店</v>
      </c>
      <c r="D241" t="str">
        <f>計算表!D241</f>
        <v>刷新週期</v>
      </c>
      <c r="E241" t="str">
        <f>計算表!E241</f>
        <v>a 小時重置刷新次數</v>
      </c>
      <c r="F241">
        <f>計算表!F241</f>
        <v>0</v>
      </c>
      <c r="G241">
        <f>計算表!G241</f>
        <v>8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8-寶石商店</v>
      </c>
      <c r="D242" t="str">
        <f>計算表!D242</f>
        <v>寶石標價(Lv1~10)</v>
      </c>
      <c r="E242" t="str">
        <f>計算表!E242</f>
        <v>各階價格</v>
      </c>
      <c r="F242" t="str">
        <f>計算表!F242</f>
        <v>a=Lv1 … j=Lv10。</v>
      </c>
      <c r="G242">
        <f>計算表!G242</f>
        <v>10000</v>
      </c>
      <c r="H242">
        <f>計算表!H242</f>
        <v>100000</v>
      </c>
      <c r="I242">
        <f>計算表!I242</f>
        <v>500000</v>
      </c>
      <c r="J242">
        <f>計算表!J242</f>
        <v>2000000</v>
      </c>
      <c r="K242">
        <f>計算表!K242</f>
        <v>10000000</v>
      </c>
      <c r="L242">
        <f>計算表!L242</f>
        <v>50000000</v>
      </c>
      <c r="M242">
        <f>計算表!M242</f>
        <v>200000000</v>
      </c>
      <c r="N242">
        <f>計算表!N242</f>
        <v>1000000000</v>
      </c>
      <c r="O242">
        <f>計算表!O242</f>
        <v>10000000000</v>
      </c>
      <c r="P242">
        <f>計算表!P242</f>
        <v>1000000000000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8-寶店刷出階級</v>
      </c>
      <c r="D243" t="str">
        <f>計算表!D243</f>
        <v>商店 Lv.1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1=75</v>
      </c>
      <c r="H243" t="str">
        <f>計算表!H243</f>
        <v>2=20</v>
      </c>
      <c r="I243" t="str">
        <f>計算表!I243</f>
        <v>3=4</v>
      </c>
      <c r="J243" t="str">
        <f>計算表!J243</f>
        <v>4=1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8-寶店刷出階級</v>
      </c>
      <c r="D244" t="str">
        <f>計算表!D244</f>
        <v>商店 Lv.2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1=73</v>
      </c>
      <c r="H244" t="str">
        <f>計算表!H244</f>
        <v>2=20</v>
      </c>
      <c r="I244" t="str">
        <f>計算表!I244</f>
        <v>3=5</v>
      </c>
      <c r="J244" t="str">
        <f>計算表!J244</f>
        <v>4=2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8-寶店刷出階級</v>
      </c>
      <c r="D245" t="str">
        <f>計算表!D245</f>
        <v>商店 Lv.3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1=71</v>
      </c>
      <c r="H245" t="str">
        <f>計算表!H245</f>
        <v>2=20</v>
      </c>
      <c r="I245" t="str">
        <f>計算表!I245</f>
        <v>3=6</v>
      </c>
      <c r="J245" t="str">
        <f>計算表!J245</f>
        <v>4=3</v>
      </c>
      <c r="K245">
        <f>計算表!K245</f>
        <v>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8-寶店刷出階級</v>
      </c>
      <c r="D246" t="str">
        <f>計算表!D246</f>
        <v>商店 Lv.4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1=70.5</v>
      </c>
      <c r="H246" t="str">
        <f>計算表!H246</f>
        <v>2=20</v>
      </c>
      <c r="I246" t="str">
        <f>計算表!I246</f>
        <v>3=6</v>
      </c>
      <c r="J246" t="str">
        <f>計算表!J246</f>
        <v>4=3</v>
      </c>
      <c r="K246" t="str">
        <f>計算表!K246</f>
        <v>5=0.5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8-寶店刷出階級</v>
      </c>
      <c r="D247" t="str">
        <f>計算表!D247</f>
        <v>商店 Lv.5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1=69</v>
      </c>
      <c r="H247" t="str">
        <f>計算表!H247</f>
        <v>2=20</v>
      </c>
      <c r="I247" t="str">
        <f>計算表!I247</f>
        <v>3=6</v>
      </c>
      <c r="J247" t="str">
        <f>計算表!J247</f>
        <v>4=4</v>
      </c>
      <c r="K247" t="str">
        <f>計算表!K247</f>
        <v>5=1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8-寶店刷出階級</v>
      </c>
      <c r="D248" t="str">
        <f>計算表!D248</f>
        <v>商店 Lv.6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1=67.5</v>
      </c>
      <c r="H248" t="str">
        <f>計算表!H248</f>
        <v>2=20</v>
      </c>
      <c r="I248" t="str">
        <f>計算表!I248</f>
        <v>3=6</v>
      </c>
      <c r="J248" t="str">
        <f>計算表!J248</f>
        <v>4=5</v>
      </c>
      <c r="K248" t="str">
        <f>計算表!K248</f>
        <v>5=1.5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8-寶店刷出階級</v>
      </c>
      <c r="D249" t="str">
        <f>計算表!D249</f>
        <v>商店 Lv.7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1=64</v>
      </c>
      <c r="H249" t="str">
        <f>計算表!H249</f>
        <v>2=20</v>
      </c>
      <c r="I249" t="str">
        <f>計算表!I249</f>
        <v>3=8</v>
      </c>
      <c r="J249" t="str">
        <f>計算表!J249</f>
        <v>4=6</v>
      </c>
      <c r="K249" t="str">
        <f>計算表!K249</f>
        <v>5=2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8-寶店刷出階級</v>
      </c>
      <c r="D250" t="str">
        <f>計算表!D250</f>
        <v>商店 Lv.8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1=61.5</v>
      </c>
      <c r="H250" t="str">
        <f>計算表!H250</f>
        <v>2=20</v>
      </c>
      <c r="I250" t="str">
        <f>計算表!I250</f>
        <v>3=9</v>
      </c>
      <c r="J250" t="str">
        <f>計算表!J250</f>
        <v>4=7</v>
      </c>
      <c r="K250" t="str">
        <f>計算表!K250</f>
        <v>5=2.5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8-寶店刷出階級</v>
      </c>
      <c r="D251" t="str">
        <f>計算表!D251</f>
        <v>商店 Lv.9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1=59</v>
      </c>
      <c r="H251" t="str">
        <f>計算表!H251</f>
        <v>2=20</v>
      </c>
      <c r="I251" t="str">
        <f>計算表!I251</f>
        <v>3=10</v>
      </c>
      <c r="J251" t="str">
        <f>計算表!J251</f>
        <v>4=8</v>
      </c>
      <c r="K251" t="str">
        <f>計算表!K251</f>
        <v>5=3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8-寶店刷出階級</v>
      </c>
      <c r="D252" t="str">
        <f>計算表!D252</f>
        <v>商店 Lv.10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1=58</v>
      </c>
      <c r="H252" t="str">
        <f>計算表!H252</f>
        <v>2=20</v>
      </c>
      <c r="I252" t="str">
        <f>計算表!I252</f>
        <v>3=10</v>
      </c>
      <c r="J252" t="str">
        <f>計算表!J252</f>
        <v>4=8</v>
      </c>
      <c r="K252" t="str">
        <f>計算表!K252</f>
        <v>5=3.5</v>
      </c>
      <c r="L252" t="str">
        <f>計算表!L252</f>
        <v>6=0.5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8-寶店刷出階級</v>
      </c>
      <c r="D253" t="str">
        <f>計算表!D253</f>
        <v>商店 Lv.11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1=57.25</v>
      </c>
      <c r="H253" t="str">
        <f>計算表!H253</f>
        <v>2=20</v>
      </c>
      <c r="I253" t="str">
        <f>計算表!I253</f>
        <v>3=10</v>
      </c>
      <c r="J253" t="str">
        <f>計算表!J253</f>
        <v>4=8</v>
      </c>
      <c r="K253" t="str">
        <f>計算表!K253</f>
        <v>5=4</v>
      </c>
      <c r="L253" t="str">
        <f>計算表!L253</f>
        <v>6=0.75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8-寶店刷出階級</v>
      </c>
      <c r="D254" t="str">
        <f>計算表!D254</f>
        <v>商店 Lv.12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1=53.5</v>
      </c>
      <c r="H254" t="str">
        <f>計算表!H254</f>
        <v>2=20</v>
      </c>
      <c r="I254" t="str">
        <f>計算表!I254</f>
        <v>3=12</v>
      </c>
      <c r="J254" t="str">
        <f>計算表!J254</f>
        <v>4=9</v>
      </c>
      <c r="K254" t="str">
        <f>計算表!K254</f>
        <v>5=4.5</v>
      </c>
      <c r="L254" t="str">
        <f>計算表!L254</f>
        <v>6=1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8-寶店刷出階級</v>
      </c>
      <c r="D255" t="str">
        <f>計算表!D255</f>
        <v>商店 Lv.13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1=53.25</v>
      </c>
      <c r="H255" t="str">
        <f>計算表!H255</f>
        <v>2=20</v>
      </c>
      <c r="I255" t="str">
        <f>計算表!I255</f>
        <v>3=12</v>
      </c>
      <c r="J255" t="str">
        <f>計算表!J255</f>
        <v>4=9</v>
      </c>
      <c r="K255" t="str">
        <f>計算表!K255</f>
        <v>5=4.5</v>
      </c>
      <c r="L255" t="str">
        <f>計算表!L255</f>
        <v>6=1.25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8-寶店刷出階級</v>
      </c>
      <c r="D256" t="str">
        <f>計算表!D256</f>
        <v>商店 Lv.14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1=53</v>
      </c>
      <c r="H256" t="str">
        <f>計算表!H256</f>
        <v>2=20</v>
      </c>
      <c r="I256" t="str">
        <f>計算表!I256</f>
        <v>3=12</v>
      </c>
      <c r="J256" t="str">
        <f>計算表!J256</f>
        <v>4=9</v>
      </c>
      <c r="K256" t="str">
        <f>計算表!K256</f>
        <v>5=4.5</v>
      </c>
      <c r="L256" t="str">
        <f>計算表!L256</f>
        <v>6=1.5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8-寶店刷出階級</v>
      </c>
      <c r="D257" t="str">
        <f>計算表!D257</f>
        <v>商店 Lv.15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1=51.5</v>
      </c>
      <c r="H257" t="str">
        <f>計算表!H257</f>
        <v>2=20</v>
      </c>
      <c r="I257" t="str">
        <f>計算表!I257</f>
        <v>3=12</v>
      </c>
      <c r="J257" t="str">
        <f>計算表!J257</f>
        <v>4=10</v>
      </c>
      <c r="K257" t="str">
        <f>計算表!K257</f>
        <v>5=5</v>
      </c>
      <c r="L257" t="str">
        <f>計算表!L257</f>
        <v>6=1</v>
      </c>
      <c r="M257" t="str">
        <f>計算表!M257</f>
        <v>7=0.5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8-寶店刷出階級</v>
      </c>
      <c r="D258" t="str">
        <f>計算表!D258</f>
        <v>商店 Lv.16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1=50.75</v>
      </c>
      <c r="H258" t="str">
        <f>計算表!H258</f>
        <v>2=20</v>
      </c>
      <c r="I258" t="str">
        <f>計算表!I258</f>
        <v>3=12</v>
      </c>
      <c r="J258" t="str">
        <f>計算表!J258</f>
        <v>4=10</v>
      </c>
      <c r="K258" t="str">
        <f>計算表!K258</f>
        <v>5=5</v>
      </c>
      <c r="L258" t="str">
        <f>計算表!L258</f>
        <v>6=1.25</v>
      </c>
      <c r="M258" t="str">
        <f>計算表!M258</f>
        <v>7=1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Lv.17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1=50.5</v>
      </c>
      <c r="H259" t="str">
        <f>計算表!H259</f>
        <v>2=20</v>
      </c>
      <c r="I259" t="str">
        <f>計算表!I259</f>
        <v>3=12</v>
      </c>
      <c r="J259" t="str">
        <f>計算表!J259</f>
        <v>4=10</v>
      </c>
      <c r="K259" t="str">
        <f>計算表!K259</f>
        <v>5=5</v>
      </c>
      <c r="L259" t="str">
        <f>計算表!L259</f>
        <v>6=1.25</v>
      </c>
      <c r="M259" t="str">
        <f>計算表!M259</f>
        <v>7=1.25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Lv.18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1=50</v>
      </c>
      <c r="H260" t="str">
        <f>計算表!H260</f>
        <v>2=20</v>
      </c>
      <c r="I260" t="str">
        <f>計算表!I260</f>
        <v>3=12</v>
      </c>
      <c r="J260" t="str">
        <f>計算表!J260</f>
        <v>4=10</v>
      </c>
      <c r="K260" t="str">
        <f>計算表!K260</f>
        <v>5=5</v>
      </c>
      <c r="L260" t="str">
        <f>計算表!L260</f>
        <v>6=1.25</v>
      </c>
      <c r="M260" t="str">
        <f>計算表!M260</f>
        <v>7=1.25</v>
      </c>
      <c r="N260" t="str">
        <f>計算表!N260</f>
        <v>8=0.5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Lv.19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1=49.65</v>
      </c>
      <c r="H261" t="str">
        <f>計算表!H261</f>
        <v>2=20</v>
      </c>
      <c r="I261" t="str">
        <f>計算表!I261</f>
        <v>3=12</v>
      </c>
      <c r="J261" t="str">
        <f>計算表!J261</f>
        <v>4=10</v>
      </c>
      <c r="K261" t="str">
        <f>計算表!K261</f>
        <v>5=5</v>
      </c>
      <c r="L261" t="str">
        <f>計算表!L261</f>
        <v>6=1.25</v>
      </c>
      <c r="M261" t="str">
        <f>計算表!M261</f>
        <v>7=1.25</v>
      </c>
      <c r="N261" t="str">
        <f>計算表!N261</f>
        <v>8=0.75</v>
      </c>
      <c r="O261" t="str">
        <f>計算表!O261</f>
        <v>9=0.1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Lv.20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1=48.9</v>
      </c>
      <c r="H262" t="str">
        <f>計算表!H262</f>
        <v>2=20</v>
      </c>
      <c r="I262" t="str">
        <f>計算表!I262</f>
        <v>3=12</v>
      </c>
      <c r="J262" t="str">
        <f>計算表!J262</f>
        <v>4=10</v>
      </c>
      <c r="K262" t="str">
        <f>計算表!K262</f>
        <v>5=5</v>
      </c>
      <c r="L262" t="str">
        <f>計算表!L262</f>
        <v>6=1.25</v>
      </c>
      <c r="M262" t="str">
        <f>計算表!M262</f>
        <v>7=1.25</v>
      </c>
      <c r="N262" t="str">
        <f>計算表!N262</f>
        <v>8=1</v>
      </c>
      <c r="O262" t="str">
        <f>計算表!O262</f>
        <v>9=0.5</v>
      </c>
      <c r="P262" t="str">
        <f>計算表!P262</f>
        <v>10=0.1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Lv.1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5=50</v>
      </c>
      <c r="H263" t="str">
        <f>計算表!H263</f>
        <v>6=50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Lv.2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5=50</v>
      </c>
      <c r="H264" t="str">
        <f>計算表!H264</f>
        <v>6=40</v>
      </c>
      <c r="I264" t="str">
        <f>計算表!I264</f>
        <v>7=10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Lv.3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5=50</v>
      </c>
      <c r="H265" t="str">
        <f>計算表!H265</f>
        <v>6=30</v>
      </c>
      <c r="I265" t="str">
        <f>計算表!I265</f>
        <v>7=10</v>
      </c>
      <c r="J265" t="str">
        <f>計算表!J265</f>
        <v>8=10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Lv.4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5=45</v>
      </c>
      <c r="H266" t="str">
        <f>計算表!H266</f>
        <v>6=30</v>
      </c>
      <c r="I266" t="str">
        <f>計算表!I266</f>
        <v>7=15</v>
      </c>
      <c r="J266" t="str">
        <f>計算表!J266</f>
        <v>8=10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Lv.5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5=40</v>
      </c>
      <c r="H267" t="str">
        <f>計算表!H267</f>
        <v>6=30</v>
      </c>
      <c r="I267" t="str">
        <f>計算表!I267</f>
        <v>7=15</v>
      </c>
      <c r="J267" t="str">
        <f>計算表!J267</f>
        <v>8=15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Lv.6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5=35</v>
      </c>
      <c r="H268" t="str">
        <f>計算表!H268</f>
        <v>6=30</v>
      </c>
      <c r="I268" t="str">
        <f>計算表!I268</f>
        <v>7=15</v>
      </c>
      <c r="J268" t="str">
        <f>計算表!J268</f>
        <v>8=15</v>
      </c>
      <c r="K268" t="str">
        <f>計算表!K268</f>
        <v>9=5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Lv.7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6=35</v>
      </c>
      <c r="H269" t="str">
        <f>計算表!H269</f>
        <v>7=30</v>
      </c>
      <c r="I269" t="str">
        <f>計算表!I269</f>
        <v>8=15</v>
      </c>
      <c r="J269" t="str">
        <f>計算表!J269</f>
        <v>9=15</v>
      </c>
      <c r="K269" t="str">
        <f>計算表!K269</f>
        <v>10=5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Lv.8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6=30</v>
      </c>
      <c r="H270" t="str">
        <f>計算表!H270</f>
        <v>7=30</v>
      </c>
      <c r="I270" t="str">
        <f>計算表!I270</f>
        <v>8=15</v>
      </c>
      <c r="J270" t="str">
        <f>計算表!J270</f>
        <v>9=15</v>
      </c>
      <c r="K270" t="str">
        <f>計算表!K270</f>
        <v>10=10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Lv.9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7=30</v>
      </c>
      <c r="H271" t="str">
        <f>計算表!H271</f>
        <v>8=30</v>
      </c>
      <c r="I271" t="str">
        <f>計算表!I271</f>
        <v>9=15</v>
      </c>
      <c r="J271" t="str">
        <f>計算表!J271</f>
        <v>10=15</v>
      </c>
      <c r="K271" t="str">
        <f>計算表!K271</f>
        <v>11=10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Lv.10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8=30</v>
      </c>
      <c r="H272" t="str">
        <f>計算表!H272</f>
        <v>9=30</v>
      </c>
      <c r="I272" t="str">
        <f>計算表!I272</f>
        <v>10=15</v>
      </c>
      <c r="J272" t="str">
        <f>計算表!J272</f>
        <v>11=15</v>
      </c>
      <c r="K272" t="str">
        <f>計算表!K272</f>
        <v>12=10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Lv.11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9=30</v>
      </c>
      <c r="H273" t="str">
        <f>計算表!H273</f>
        <v>10=30</v>
      </c>
      <c r="I273" t="str">
        <f>計算表!I273</f>
        <v>11=15</v>
      </c>
      <c r="J273" t="str">
        <f>計算表!J273</f>
        <v>12=15</v>
      </c>
      <c r="K273" t="str">
        <f>計算表!K273</f>
        <v>13=10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Lv.12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10=30</v>
      </c>
      <c r="H274" t="str">
        <f>計算表!H274</f>
        <v>11=30</v>
      </c>
      <c r="I274" t="str">
        <f>計算表!I274</f>
        <v>12=15</v>
      </c>
      <c r="J274" t="str">
        <f>計算表!J274</f>
        <v>13=15</v>
      </c>
      <c r="K274" t="str">
        <f>計算表!K274</f>
        <v>14=10</v>
      </c>
      <c r="L274">
        <f>計算表!L274</f>
        <v>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8-寶店刷出數量</v>
      </c>
      <c r="D275" t="str">
        <f>計算表!D275</f>
        <v>商店 Lv.13</v>
      </c>
      <c r="E275" t="str">
        <f>計算表!E275</f>
        <v>刷出數量=機率%（每格獨立）</v>
      </c>
      <c r="F275" t="str">
        <f>計算表!F275</f>
        <v>格式「刷出數量=機率%」，機率總和 100。</v>
      </c>
      <c r="G275" t="str">
        <f>計算表!G275</f>
        <v>11=30</v>
      </c>
      <c r="H275" t="str">
        <f>計算表!H275</f>
        <v>12=30</v>
      </c>
      <c r="I275" t="str">
        <f>計算表!I275</f>
        <v>13=15</v>
      </c>
      <c r="J275" t="str">
        <f>計算表!J275</f>
        <v>14=15</v>
      </c>
      <c r="K275" t="str">
        <f>計算表!K275</f>
        <v>15=10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8-寶店刷出數量</v>
      </c>
      <c r="D276" t="str">
        <f>計算表!D276</f>
        <v>商店 Lv.14</v>
      </c>
      <c r="E276" t="str">
        <f>計算表!E276</f>
        <v>刷出數量=機率%（每格獨立）</v>
      </c>
      <c r="F276" t="str">
        <f>計算表!F276</f>
        <v>格式「刷出數量=機率%」，機率總和 100。</v>
      </c>
      <c r="G276" t="str">
        <f>計算表!G276</f>
        <v>12=30</v>
      </c>
      <c r="H276" t="str">
        <f>計算表!H276</f>
        <v>13=30</v>
      </c>
      <c r="I276" t="str">
        <f>計算表!I276</f>
        <v>14=15</v>
      </c>
      <c r="J276" t="str">
        <f>計算表!J276</f>
        <v>15=15</v>
      </c>
      <c r="K276" t="str">
        <f>計算表!K276</f>
        <v>16=10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8-寶店刷出數量</v>
      </c>
      <c r="D277" t="str">
        <f>計算表!D277</f>
        <v>商店 Lv.15</v>
      </c>
      <c r="E277" t="str">
        <f>計算表!E277</f>
        <v>刷出數量=機率%（每格獨立）</v>
      </c>
      <c r="F277" t="str">
        <f>計算表!F277</f>
        <v>格式「刷出數量=機率%」，機率總和 100。</v>
      </c>
      <c r="G277" t="str">
        <f>計算表!G277</f>
        <v>13=30</v>
      </c>
      <c r="H277" t="str">
        <f>計算表!H277</f>
        <v>14=30</v>
      </c>
      <c r="I277" t="str">
        <f>計算表!I277</f>
        <v>15=15</v>
      </c>
      <c r="J277" t="str">
        <f>計算表!J277</f>
        <v>16=15</v>
      </c>
      <c r="K277" t="str">
        <f>計算表!K277</f>
        <v>17=10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8-寶店刷出數量</v>
      </c>
      <c r="D278" t="str">
        <f>計算表!D278</f>
        <v>商店 Lv.16</v>
      </c>
      <c r="E278" t="str">
        <f>計算表!E278</f>
        <v>刷出數量=機率%（每格獨立）</v>
      </c>
      <c r="F278" t="str">
        <f>計算表!F278</f>
        <v>格式「刷出數量=機率%」，機率總和 100。</v>
      </c>
      <c r="G278" t="str">
        <f>計算表!G278</f>
        <v>14=30</v>
      </c>
      <c r="H278" t="str">
        <f>計算表!H278</f>
        <v>15=30</v>
      </c>
      <c r="I278" t="str">
        <f>計算表!I278</f>
        <v>16=15</v>
      </c>
      <c r="J278" t="str">
        <f>計算表!J278</f>
        <v>17=15</v>
      </c>
      <c r="K278" t="str">
        <f>計算表!K278</f>
        <v>18=10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8-寶店刷出數量</v>
      </c>
      <c r="D279" t="str">
        <f>計算表!D279</f>
        <v>商店 Lv.17</v>
      </c>
      <c r="E279" t="str">
        <f>計算表!E279</f>
        <v>刷出數量=機率%（每格獨立）</v>
      </c>
      <c r="F279" t="str">
        <f>計算表!F279</f>
        <v>格式「刷出數量=機率%」，機率總和 100。</v>
      </c>
      <c r="G279" t="str">
        <f>計算表!G279</f>
        <v>15=30</v>
      </c>
      <c r="H279" t="str">
        <f>計算表!H279</f>
        <v>16=30</v>
      </c>
      <c r="I279" t="str">
        <f>計算表!I279</f>
        <v>17=15</v>
      </c>
      <c r="J279" t="str">
        <f>計算表!J279</f>
        <v>18=15</v>
      </c>
      <c r="K279" t="str">
        <f>計算表!K279</f>
        <v>19=10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8-寶店刷出數量</v>
      </c>
      <c r="D280" t="str">
        <f>計算表!D280</f>
        <v>商店 Lv.18</v>
      </c>
      <c r="E280" t="str">
        <f>計算表!E280</f>
        <v>刷出數量=機率%（每格獨立）</v>
      </c>
      <c r="F280" t="str">
        <f>計算表!F280</f>
        <v>格式「刷出數量=機率%」，機率總和 100。</v>
      </c>
      <c r="G280" t="str">
        <f>計算表!G280</f>
        <v>15=10</v>
      </c>
      <c r="H280" t="str">
        <f>計算表!H280</f>
        <v>16=20</v>
      </c>
      <c r="I280" t="str">
        <f>計算表!I280</f>
        <v>17=30</v>
      </c>
      <c r="J280" t="str">
        <f>計算表!J280</f>
        <v>18=15</v>
      </c>
      <c r="K280" t="str">
        <f>計算表!K280</f>
        <v>19=15</v>
      </c>
      <c r="L280" t="str">
        <f>計算表!L280</f>
        <v>20=10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8-寶店刷出數量</v>
      </c>
      <c r="D281" t="str">
        <f>計算表!D281</f>
        <v>商店 Lv.19</v>
      </c>
      <c r="E281" t="str">
        <f>計算表!E281</f>
        <v>刷出數量=機率%（每格獨立）</v>
      </c>
      <c r="F281" t="str">
        <f>計算表!F281</f>
        <v>格式「刷出數量=機率%」，機率總和 100。</v>
      </c>
      <c r="G281" t="str">
        <f>計算表!G281</f>
        <v>15=10</v>
      </c>
      <c r="H281" t="str">
        <f>計算表!H281</f>
        <v>16=20</v>
      </c>
      <c r="I281" t="str">
        <f>計算表!I281</f>
        <v>17=30</v>
      </c>
      <c r="J281" t="str">
        <f>計算表!J281</f>
        <v>18=15</v>
      </c>
      <c r="K281" t="str">
        <f>計算表!K281</f>
        <v>19=15</v>
      </c>
      <c r="L281" t="str">
        <f>計算表!L281</f>
        <v>20=10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8-寶店刷出數量</v>
      </c>
      <c r="D282" t="str">
        <f>計算表!D282</f>
        <v>商店 Lv.20</v>
      </c>
      <c r="E282" t="str">
        <f>計算表!E282</f>
        <v>刷出數量=機率%（每格獨立）</v>
      </c>
      <c r="F282" t="str">
        <f>計算表!F282</f>
        <v>格式「刷出數量=機率%」，機率總和 100。</v>
      </c>
      <c r="G282" t="str">
        <f>計算表!G282</f>
        <v>15=10</v>
      </c>
      <c r="H282" t="str">
        <f>計算表!H282</f>
        <v>16=20</v>
      </c>
      <c r="I282" t="str">
        <f>計算表!I282</f>
        <v>17=30</v>
      </c>
      <c r="J282" t="str">
        <f>計算表!J282</f>
        <v>18=15</v>
      </c>
      <c r="K282" t="str">
        <f>計算表!K282</f>
        <v>19=15</v>
      </c>
      <c r="L282" t="str">
        <f>計算表!L282</f>
        <v>20=10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9-技能</v>
      </c>
      <c r="D283" t="str">
        <f>計算表!D283</f>
        <v>技能原始傷害</v>
      </c>
      <c r="E283" t="str">
        <f>計算表!E283</f>
        <v>(base + per×(等級-1))% × 攻擊力</v>
      </c>
      <c r="F283" t="str">
        <f>計算表!F283</f>
        <v>各技能 base/per 見 skills.js 的 SKILLS 表（未納入本表）。</v>
      </c>
      <c r="G283">
        <f>計算表!G283</f>
        <v>0</v>
      </c>
      <c r="H283">
        <f>計算表!H283</f>
        <v>0</v>
      </c>
      <c r="I283">
        <f>計算表!I283</f>
        <v>0</v>
      </c>
      <c r="J283">
        <f>計算表!J283</f>
        <v>0</v>
      </c>
      <c r="K283">
        <f>計算表!K283</f>
        <v>0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9-技能</v>
      </c>
      <c r="D284" t="str">
        <f>計算表!D284</f>
        <v>一般技能法力消耗</v>
      </c>
      <c r="E284" t="str">
        <f>計算表!E284</f>
        <v>round(原始消耗 × (1 + a×(技能等級-1)))</v>
      </c>
      <c r="F284" t="str">
        <f>計算表!F284</f>
        <v>非複利。a=每級增幅。</v>
      </c>
      <c r="G284">
        <f>計算表!G284</f>
        <v>0.1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9-技能</v>
      </c>
      <c r="D285" t="str">
        <f>計算表!D285</f>
        <v>多敵人技能傷害</v>
      </c>
      <c r="E285" t="str">
        <f>計算表!E285</f>
        <v>原始傷害 × (1+範圍傷害%) ÷ 目標數</v>
      </c>
      <c r="F285" t="str">
        <f>計算表!F285</f>
        <v>單一目標不套用範圍傷害、也不除以目標數。　※規則寫死：原始傷害×(1+範圍傷害%)÷目標數。</v>
      </c>
      <c r="G285">
        <f>計算表!G285</f>
        <v>0</v>
      </c>
      <c r="H285">
        <f>計算表!H285</f>
        <v>0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9-技能</v>
      </c>
      <c r="D286" t="str">
        <f>計算表!D286</f>
        <v>實際冷卻</v>
      </c>
      <c r="E286" t="str">
        <f>計算表!E286</f>
        <v>技能冷卻 × (1 - 冷卻縮減%)</v>
      </c>
      <c r="F286" t="str">
        <f>計算表!F286</f>
        <v>規則寫死：技能CD×(1-冷卻縮減%)。</v>
      </c>
      <c r="G286">
        <f>計算表!G286</f>
        <v>0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9-技能</v>
      </c>
      <c r="D287" t="str">
        <f>計算表!D287</f>
        <v>施放硬直</v>
      </c>
      <c r="E287" t="str">
        <f>計算表!E287</f>
        <v>0 秒</v>
      </c>
      <c r="F287" t="str">
        <f>計算表!F287</f>
        <v>普攻與技能並行；技能施放間隔由技能共用冷卻（GCD）控制。</v>
      </c>
      <c r="G287">
        <f>計算表!G287</f>
        <v>0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9-技能</v>
      </c>
      <c r="D288" t="str">
        <f>計算表!D288</f>
        <v>技能共用冷卻(GCD)</v>
      </c>
      <c r="E288" t="str">
        <f>計算表!E288</f>
        <v>a 秒（固定，不受冷卻縮減影響）</v>
      </c>
      <c r="F288" t="str">
        <f>計算表!F288</f>
        <v>技能最短施放間隔；普攻擊殺後換目標也沿用此間隔。</v>
      </c>
      <c r="G288">
        <f>計算表!G288</f>
        <v>0.4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9-技能</v>
      </c>
      <c r="D289" t="str">
        <f>計算表!D289</f>
        <v>升級費用</v>
      </c>
      <c r="E289" t="str">
        <f>計算表!E289</f>
        <v>a×當前等級 + b^(1 + 當前等級/c)</v>
      </c>
      <c r="F289" t="str">
        <f>計算表!F289</f>
        <v>上限 5,000,000；降級全額退還。</v>
      </c>
      <c r="G289">
        <f>計算表!G289</f>
        <v>1000</v>
      </c>
      <c r="H289">
        <f>計算表!H289</f>
        <v>20</v>
      </c>
      <c r="I289">
        <f>計算表!I289</f>
        <v>10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9-技能</v>
      </c>
      <c r="D290" t="str">
        <f>計算表!D290</f>
        <v>等級上限</v>
      </c>
      <c r="E290" t="str">
        <f>計算表!E290</f>
        <v>全部技能（含被動/融合/潛力）10；轉生後 15</v>
      </c>
      <c r="F290" t="str">
        <f>計算表!F290</f>
        <v>2026-07-30 改制：上限走「轉生對照表」param e；4/8 級里程碑效果移除門檻、自 Lv.1 全附加。</v>
      </c>
      <c r="G290">
        <f>計算表!G290</f>
        <v>0</v>
      </c>
      <c r="H290">
        <f>計算表!H290</f>
        <v>0</v>
      </c>
      <c r="I290">
        <f>計算表!I290</f>
        <v>0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9-技能</v>
      </c>
      <c r="D291" t="str">
        <f>計算表!D291</f>
        <v>奧術衝擊(基礎技能)</v>
      </c>
      <c r="E291" t="str">
        <f>計算表!E291</f>
        <v>MP a／冷卻 b 秒／施法 c 秒／魔攻×d＋物攻×e</v>
      </c>
      <c r="F291" t="str">
        <f>計算表!F291</f>
        <v>固定自動施放技能常數。</v>
      </c>
      <c r="G291">
        <f>計算表!G291</f>
        <v>30</v>
      </c>
      <c r="H291">
        <f>計算表!H291</f>
        <v>10</v>
      </c>
      <c r="I291">
        <f>計算表!I291</f>
        <v>0.8</v>
      </c>
      <c r="J291">
        <f>計算表!J291</f>
        <v>1.5</v>
      </c>
      <c r="K291">
        <f>計算表!K291</f>
        <v>0.3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9-融合</v>
      </c>
      <c r="D292" t="str">
        <f>計算表!D292</f>
        <v>素材繼承比例</v>
      </c>
      <c r="E292" t="str">
        <f>計算表!E292</f>
        <v>各素材 base/per × a 後加總</v>
      </c>
      <c r="F292" t="str">
        <f>計算表!F292</f>
        <v>2026-07-30 種子演算法後不再使用（FUSE_FACTOR 僅保留相容）；新演算法見「攻擊力四檔」等新列。</v>
      </c>
      <c r="G292">
        <f>計算表!G292</f>
        <v>0.75</v>
      </c>
      <c r="H292">
        <f>計算表!H292</f>
        <v>0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9-融合</v>
      </c>
      <c r="D293" t="str">
        <f>計算表!D293</f>
        <v>融合冷卻</v>
      </c>
      <c r="E293" t="str">
        <f>計算表!E293</f>
        <v>素材最長冷卻 × a</v>
      </c>
      <c r="F293">
        <f>計算表!F293</f>
        <v>0</v>
      </c>
      <c r="G293">
        <f>計算表!G293</f>
        <v>1.25</v>
      </c>
      <c r="H293">
        <f>計算表!H293</f>
        <v>0</v>
      </c>
      <c r="I293">
        <f>計算表!I293</f>
        <v>0</v>
      </c>
      <c r="J293">
        <f>計算表!J293</f>
        <v>0</v>
      </c>
      <c r="K293">
        <f>計算表!K293</f>
        <v>0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9-融合</v>
      </c>
      <c r="D294" t="str">
        <f>計算表!D294</f>
        <v>變異觸發率</v>
      </c>
      <c r="E294" t="str">
        <f>計算表!E294</f>
        <v>a%</v>
      </c>
      <c r="F294" t="str">
        <f>計算表!F294</f>
        <v>8 種變異，至多 1 種。b 不再使用。</v>
      </c>
      <c r="G294">
        <f>計算表!G294</f>
        <v>45</v>
      </c>
      <c r="H294">
        <f>計算表!H294</f>
        <v>0</v>
      </c>
      <c r="I294">
        <f>計算表!I294</f>
        <v>0</v>
      </c>
      <c r="J294">
        <f>計算表!J294</f>
        <v>0</v>
      </c>
      <c r="K294">
        <f>計算表!K294</f>
        <v>0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9-融合</v>
      </c>
      <c r="D295" t="str">
        <f>計算表!D295</f>
        <v>DoT/控場/增益合併</v>
      </c>
      <c r="E295" t="str">
        <f>計算表!E295</f>
        <v>（種子演算法）buff/debuff 依鐘形權重取 1~N 個；數值於上限一半~上限均分 4 檔隨機</v>
      </c>
      <c r="F295" t="str">
        <f>計算表!F295</f>
        <v>2026-07-30 改制：舊合併規則廢止。增益/減益池=素材滿級效果同 key 取高；特效整包取 1 個素材（見「效果融合機率」）。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9-融合</v>
      </c>
      <c r="D296" t="str">
        <f>計算表!D296</f>
        <v>融合技能法力消耗</v>
      </c>
      <c r="E296" t="str">
        <f>計算表!E296</f>
        <v>round(素材原始消耗總和 × (1 + a×(融合技等級-1)))</v>
      </c>
      <c r="F296" t="str">
        <f>計算表!F296</f>
        <v>與「9-技能/一般技能法力消耗」共用公式，本列不生效。融合技法力=素材原始消耗總和。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9-融合</v>
      </c>
      <c r="D297" t="str">
        <f>計算表!D297</f>
        <v>融合花費</v>
      </c>
      <c r="E297" t="str">
        <f>計算表!E297</f>
        <v>金幣 a × 素材數；魔法卷軸 b 張 × 素材數</v>
      </c>
      <c r="F297" t="str">
        <f>計算表!F297</f>
        <v>執行技能融合的花費。</v>
      </c>
      <c r="G297">
        <f>計算表!G297</f>
        <v>50000</v>
      </c>
      <c r="H297">
        <f>計算表!H297</f>
        <v>5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9-融合</v>
      </c>
      <c r="D298" t="str">
        <f>計算表!D298</f>
        <v>物魔判定</v>
      </c>
      <c r="E298" t="str">
        <f>計算表!E298</f>
        <v>混合素材：物/魔依素材數比例分掉 (100-a)%，物+魔佔 a%；雙屬性每段攻擊係數 b</v>
      </c>
      <c r="F298" t="str">
        <f>計算表!F298</f>
        <v>2 物 2 魔時即 45/45/10。純物理/純魔法素材不擲骰；任一真傷素材→真傷。</v>
      </c>
      <c r="G298">
        <f>計算表!G298</f>
        <v>10</v>
      </c>
      <c r="H298">
        <f>計算表!H298</f>
        <v>0.65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9-融合</v>
      </c>
      <c r="D299" t="str">
        <f>計算表!D299</f>
        <v>攻擊力四檔</v>
      </c>
      <c r="E299" t="str">
        <f>計算表!E299</f>
        <v>素材滿級傷害% 平均 → ×a/b/c/d%，機率 e/f/g/h%</v>
      </c>
      <c r="F299" t="str">
        <f>計算表!F299</f>
        <v>融合技攻擊力四檔位與機率。</v>
      </c>
      <c r="G299">
        <f>計算表!G299</f>
        <v>75</v>
      </c>
      <c r="H299">
        <f>計算表!H299</f>
        <v>100</v>
      </c>
      <c r="I299">
        <f>計算表!I299</f>
        <v>125</v>
      </c>
      <c r="J299">
        <f>計算表!J299</f>
        <v>150</v>
      </c>
      <c r="K299">
        <f>計算表!K299</f>
        <v>20</v>
      </c>
      <c r="L299">
        <f>計算表!L299</f>
        <v>30</v>
      </c>
      <c r="M299">
        <f>計算表!M299</f>
        <v>30</v>
      </c>
      <c r="N299">
        <f>計算表!N299</f>
        <v>20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9-融合</v>
      </c>
      <c r="D300" t="str">
        <f>計算表!D300</f>
        <v>同屬性加成</v>
      </c>
      <c r="E300" t="str">
        <f>計算表!E300</f>
        <v>素材中同屬性每多 1 個，該屬性最終傷害 +a%</v>
      </c>
      <c r="F300" t="str">
        <f>計算表!F300</f>
        <v>等價折入 elems 權重與總傷害值（戰鬥端零改動）。物理視為一種屬性、每個物理素材佔 2 份。</v>
      </c>
      <c r="G300">
        <f>計算表!G300</f>
        <v>25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9-融合</v>
      </c>
      <c r="D301" t="str">
        <f>計算表!D301</f>
        <v>效果融合機率</v>
      </c>
      <c r="E301" t="str">
        <f>計算表!E301</f>
        <v>a%</v>
      </c>
      <c r="F301" t="str">
        <f>計算表!F301</f>
        <v>特效正常取 1 個素材的特效包；a% 機率再併入第 2 個素材的特效包（最多 2 個）。</v>
      </c>
      <c r="G301">
        <f>計算表!G301</f>
        <v>5</v>
      </c>
      <c r="H301">
        <f>計算表!H301</f>
        <v>0</v>
      </c>
      <c r="I301">
        <f>計算表!I301</f>
        <v>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9-融合</v>
      </c>
      <c r="D302" t="str">
        <f>計算表!D302</f>
        <v>成長曲線</v>
      </c>
      <c r="E302" t="str">
        <f>計算表!E302</f>
        <v>Lv.1 = 滿級值 × a，線性成長至滿級（10 級基準）</v>
      </c>
      <c r="F302" t="str">
        <f>計算表!F302</f>
        <v>融合技所有隨機結果值為滿級值；轉生上限 15 時可超過滿級值（與一般技能同理）。</v>
      </c>
      <c r="G302">
        <f>計算表!G302</f>
        <v>0.6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表-自動機組零件</v>
      </c>
      <c r="D303" t="str">
        <f>計算表!D303</f>
        <v>加速齒輪</v>
      </c>
      <c r="E303" t="str">
        <f>計算表!E303</f>
        <v>效果值 = a + b × (等級-1)</v>
      </c>
      <c r="F303" t="str">
        <f>計算表!F303</f>
        <v>a=基礎值 b=每級增加值；節點為 salvage。分解速度另固定+50個百分點。</v>
      </c>
      <c r="G303">
        <f>計算表!G303</f>
        <v>25</v>
      </c>
      <c r="H303">
        <f>計算表!H303</f>
        <v>25</v>
      </c>
      <c r="I303" t="str">
        <f>計算表!I303</f>
        <v>salvage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表-自動機組零件</v>
      </c>
      <c r="D304" t="str">
        <f>計算表!D304</f>
        <v>碎片熔煉爐</v>
      </c>
      <c r="E304" t="str">
        <f>計算表!E304</f>
        <v>效果值 = a + b × (等級-1)</v>
      </c>
      <c r="F304" t="str">
        <f>計算表!F304</f>
        <v>a=基礎值 b=每級增加值；節點為 salvage。分解碎片產量加成。</v>
      </c>
      <c r="G304">
        <f>計算表!G304</f>
        <v>20</v>
      </c>
      <c r="H304">
        <f>計算表!H304</f>
        <v>20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表-自動機組零件</v>
      </c>
      <c r="D305" t="str">
        <f>計算表!D305</f>
        <v>淘金濾網</v>
      </c>
      <c r="E305" t="str">
        <f>計算表!E305</f>
        <v>效果值 = a + b × (等級-1)</v>
      </c>
      <c r="F305" t="str">
        <f>計算表!F305</f>
        <v>a=基礎值 b=每級增加值；分解時獲得當前關卡敵人金幣的 a%。</v>
      </c>
      <c r="G305">
        <f>計算表!G305</f>
        <v>3</v>
      </c>
      <c r="H305">
        <f>計算表!H305</f>
        <v>1.5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表-自動機組零件</v>
      </c>
      <c r="D306" t="str">
        <f>計算表!D306</f>
        <v>精粹透鏡</v>
      </c>
      <c r="E306" t="str">
        <f>計算表!E306</f>
        <v>效果值 = a + b × (等級-1)</v>
      </c>
      <c r="F306" t="str">
        <f>計算表!F306</f>
        <v>a=基礎值 b=每級增加值；節點為 salvage。附魔精華拆解產出率加成。</v>
      </c>
      <c r="G306">
        <f>計算表!G306</f>
        <v>20</v>
      </c>
      <c r="H306">
        <f>計算表!H306</f>
        <v>20</v>
      </c>
      <c r="I306" t="str">
        <f>計算表!I306</f>
        <v>salvage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表-自動機組零件</v>
      </c>
      <c r="D307" t="str">
        <f>計算表!D307</f>
        <v>知識核心</v>
      </c>
      <c r="E307" t="str">
        <f>計算表!E307</f>
        <v>效果值 = a + b × (等級-1)</v>
      </c>
      <c r="F307" t="str">
        <f>計算表!F307</f>
        <v>a=基礎值 b=每級增加值；分解時獲得當前關卡敵人經驗的 a%。</v>
      </c>
      <c r="G307">
        <f>計算表!G307</f>
        <v>3</v>
      </c>
      <c r="H307">
        <f>計算表!H307</f>
        <v>1.5</v>
      </c>
      <c r="I307" t="str">
        <f>計算表!I307</f>
        <v>salvage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表-自動機組零件</v>
      </c>
      <c r="D308" t="str">
        <f>計算表!D308</f>
        <v>寶石採集器</v>
      </c>
      <c r="E308" t="str">
        <f>計算表!E308</f>
        <v>效果值 = a + b × (等級-1)</v>
      </c>
      <c r="F308" t="str">
        <f>計算表!F308</f>
        <v>a=基礎值 b=每級增加值；分解時有 a% 機率獲得 1 級寶石。</v>
      </c>
      <c r="G308">
        <f>計算表!G308</f>
        <v>3</v>
      </c>
      <c r="H308">
        <f>計算表!H308</f>
        <v>1.5</v>
      </c>
      <c r="I308" t="str">
        <f>計算表!I308</f>
        <v>salvage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表-自動機組零件</v>
      </c>
      <c r="D309" t="str">
        <f>計算表!D309</f>
        <v>幸運之心</v>
      </c>
      <c r="E309" t="str">
        <f>計算表!E309</f>
        <v>效果值 = a + b × (等級-1)</v>
      </c>
      <c r="F309" t="str">
        <f>計算表!F309</f>
        <v>a=基礎值 b=每級增加值；分解時有 a% 機率使所有產物變為 3 倍。</v>
      </c>
      <c r="G309">
        <f>計算表!G309</f>
        <v>3</v>
      </c>
      <c r="H309">
        <f>計算表!H309</f>
        <v>1.5</v>
      </c>
      <c r="I309" t="str">
        <f>計算表!I309</f>
        <v>salvage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表-自動機組零件</v>
      </c>
      <c r="D310" t="str">
        <f>計算表!D310</f>
        <v>太古精華萃取器</v>
      </c>
      <c r="E310" t="str">
        <f>計算表!E310</f>
        <v>效果值 = a + b × (等級-1)</v>
      </c>
      <c r="F310" t="str">
        <f>計算表!F310</f>
        <v>a=基礎值 b=每級增加值；分解太古精華掉落率加成。</v>
      </c>
      <c r="G310">
        <f>計算表!G310</f>
        <v>25</v>
      </c>
      <c r="H310">
        <f>計算表!H310</f>
        <v>25</v>
      </c>
      <c r="I310" t="str">
        <f>計算表!I310</f>
        <v>salvage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表-自動機組零件</v>
      </c>
      <c r="D311" t="str">
        <f>計算表!D311</f>
        <v>熔爐核心</v>
      </c>
      <c r="E311" t="str">
        <f>計算表!E311</f>
        <v>效果值 = a + b × (等級-1)</v>
      </c>
      <c r="F311" t="str">
        <f>計算表!F311</f>
        <v>a=基礎值 b=每級增加值；熔爐上的其他零件效果額外提升 a%，多個核心直接疊加。</v>
      </c>
      <c r="G311">
        <f>計算表!G311</f>
        <v>5</v>
      </c>
      <c r="H311">
        <f>計算表!H311</f>
        <v>2.5</v>
      </c>
      <c r="I311" t="str">
        <f>計算表!I311</f>
        <v>salvage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表-固定參數</v>
      </c>
      <c r="D312" t="str">
        <f>計算表!D312</f>
        <v>出怪間隔</v>
      </c>
      <c r="E312" t="str">
        <f>計算表!E312</f>
        <v>a 秒</v>
      </c>
      <c r="F312" t="str">
        <f>計算表!F312</f>
        <v>RESPAWN_DELAY。</v>
      </c>
      <c r="G312">
        <f>計算表!G312</f>
        <v>2</v>
      </c>
      <c r="H312">
        <f>計算表!H312</f>
        <v>3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表-固定參數</v>
      </c>
      <c r="D313" t="str">
        <f>計算表!D313</f>
        <v>死亡復活時間</v>
      </c>
      <c r="E313" t="str">
        <f>計算表!E313</f>
        <v>a 秒</v>
      </c>
      <c r="F313" t="str">
        <f>計算表!F313</f>
        <v>REVIVE_DELAY。</v>
      </c>
      <c r="G313">
        <f>計算表!G313</f>
        <v>5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表-固定參數</v>
      </c>
      <c r="D314" t="str">
        <f>計算表!D314</f>
        <v>零件階級上限</v>
      </c>
      <c r="E314" t="str">
        <f>計算表!E314</f>
        <v>T a</v>
      </c>
      <c r="F314" t="str">
        <f>計算表!F314</f>
        <v>PART_MAX_TIER。</v>
      </c>
      <c r="G314">
        <f>計算表!G314</f>
        <v>10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表-固定參數</v>
      </c>
      <c r="D315" t="str">
        <f>計算表!D315</f>
        <v>零件庫存保留</v>
      </c>
      <c r="E315" t="str">
        <f>計算表!E315</f>
        <v>每種未安裝最多保留 a 顆</v>
      </c>
      <c r="F315" t="str">
        <f>計算表!F315</f>
        <v>PART_KEEP_PER_KEY，多餘自動分解。</v>
      </c>
      <c r="G315">
        <f>計算表!G315</f>
        <v>10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表-固定參數</v>
      </c>
      <c r="D316" t="str">
        <f>計算表!D316</f>
        <v>合成節點槽位</v>
      </c>
      <c r="E316" t="str">
        <f>計算表!E316</f>
        <v>a 格</v>
      </c>
      <c r="F316" t="str">
        <f>計算表!F316</f>
        <v>分解槽為金幣解鎖 10~20 格。　※合成功能已停用，本列未生效。</v>
      </c>
      <c r="G316">
        <f>計算表!G316</f>
        <v>2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表-固定參數</v>
      </c>
      <c r="D317" t="str">
        <f>計算表!D317</f>
        <v>寶石一般上限 / 神鑄上限</v>
      </c>
      <c r="E317" t="str">
        <f>計算表!E317</f>
        <v>一般 a 階；神鑄可到 b 階</v>
      </c>
      <c r="F317" t="str">
        <f>計算表!F317</f>
        <v>GEM_MAX_LEVEL / GEM_FORGE_MAX_LEVEL。</v>
      </c>
      <c r="G317">
        <f>計算表!G317</f>
        <v>5</v>
      </c>
      <c r="H317">
        <f>計算表!H317</f>
        <v>10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表-固定參數</v>
      </c>
      <c r="D318" t="str">
        <f>計算表!D318</f>
        <v>詞條數硬上限</v>
      </c>
      <c r="E318" t="str">
        <f>計算表!E318</f>
        <v>a 條</v>
      </c>
      <c r="F318" t="str">
        <f>計算表!F318</f>
        <v>MAX_AFFIXES = 單件裝備詞條數的安全硬上限；目前稀有度表最高 10 條。</v>
      </c>
      <c r="G318">
        <f>計算表!G318</f>
        <v>10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表-固定參數</v>
      </c>
      <c r="D319" t="str">
        <f>計算表!D319</f>
        <v>零件升級金錢消耗</v>
      </c>
      <c r="E319" t="str">
        <f>計算表!E319</f>
        <v>a + b × c^升級後等級</v>
      </c>
      <c r="F319" t="str">
        <f>計算表!F319</f>
        <v>零件升級至下一級的金幣消耗；指數中的零件等級是升級後目標等級，例如 T5→T6 代入 6。</v>
      </c>
      <c r="G319">
        <f>計算表!G319</f>
        <v>20000</v>
      </c>
      <c r="H319">
        <f>計算表!H319</f>
        <v>10000</v>
      </c>
      <c r="I319">
        <f>計算表!I319</f>
        <v>6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普通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1</v>
      </c>
      <c r="H320">
        <f>計算表!H320</f>
        <v>1</v>
      </c>
      <c r="I320">
        <f>計算表!I320</f>
        <v>1</v>
      </c>
      <c r="J320">
        <f>計算表!J320</f>
        <v>1</v>
      </c>
      <c r="K320">
        <f>計算表!K320</f>
        <v>0</v>
      </c>
      <c r="L320">
        <f>計算表!L320</f>
        <v>1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表-稀有度</v>
      </c>
      <c r="D321" t="str">
        <f>計算表!D321</f>
        <v>精良</v>
      </c>
      <c r="E321" t="str">
        <f>計算表!E321</f>
        <v>（查表）</v>
      </c>
      <c r="F321" t="str">
        <f>計算表!F321</f>
        <v>a=詞條數值倍率 b=詞條數下限 c=詞條數上限 d=寶石插槽 e=附魔欄位 f=分解係數。</v>
      </c>
      <c r="G321">
        <f>計算表!G321</f>
        <v>1.35</v>
      </c>
      <c r="H321">
        <f>計算表!H321</f>
        <v>2</v>
      </c>
      <c r="I321">
        <f>計算表!I321</f>
        <v>2</v>
      </c>
      <c r="J321">
        <f>計算表!J321</f>
        <v>1</v>
      </c>
      <c r="K321">
        <f>計算表!K321</f>
        <v>1</v>
      </c>
      <c r="L321">
        <f>計算表!L321</f>
        <v>1.7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表-稀有度</v>
      </c>
      <c r="D322" t="str">
        <f>計算表!D322</f>
        <v>稀有</v>
      </c>
      <c r="E322" t="str">
        <f>計算表!E322</f>
        <v>（查表）</v>
      </c>
      <c r="F322" t="str">
        <f>計算表!F322</f>
        <v>a=詞條數值倍率 b=詞條數下限 c=詞條數上限 d=寶石插槽 e=附魔欄位 f=分解係數。</v>
      </c>
      <c r="G322">
        <f>計算表!G322</f>
        <v>1.75</v>
      </c>
      <c r="H322">
        <f>計算表!H322</f>
        <v>2</v>
      </c>
      <c r="I322">
        <f>計算表!I322</f>
        <v>2</v>
      </c>
      <c r="J322">
        <f>計算表!J322</f>
        <v>1</v>
      </c>
      <c r="K322">
        <f>計算表!K322</f>
        <v>1</v>
      </c>
      <c r="L322">
        <f>計算表!L322</f>
        <v>2.8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表-稀有度</v>
      </c>
      <c r="D323" t="str">
        <f>計算表!D323</f>
        <v>獨特</v>
      </c>
      <c r="E323" t="str">
        <f>計算表!E323</f>
        <v>（查表）</v>
      </c>
      <c r="F323" t="str">
        <f>計算表!F323</f>
        <v>a=詞條數值倍率 b=詞條數下限 c=詞條數上限 d=寶石插槽 e=附魔欄位 f=分解係數。</v>
      </c>
      <c r="G323">
        <f>計算表!G323</f>
        <v>2.2999999999999998</v>
      </c>
      <c r="H323">
        <f>計算表!H323</f>
        <v>3</v>
      </c>
      <c r="I323">
        <f>計算表!I323</f>
        <v>3</v>
      </c>
      <c r="J323">
        <f>計算表!J323</f>
        <v>2</v>
      </c>
      <c r="K323">
        <f>計算表!K323</f>
        <v>1</v>
      </c>
      <c r="L323">
        <f>計算表!L323</f>
        <v>4.5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表-稀有度</v>
      </c>
      <c r="D324" t="str">
        <f>計算表!D324</f>
        <v>史詩</v>
      </c>
      <c r="E324" t="str">
        <f>計算表!E324</f>
        <v>（查表）</v>
      </c>
      <c r="F324" t="str">
        <f>計算表!F324</f>
        <v>a=詞條數值倍率 b=詞條數下限 c=詞條數上限 d=寶石插槽 e=附魔欄位 f=分解係數。</v>
      </c>
      <c r="G324">
        <f>計算表!G324</f>
        <v>3</v>
      </c>
      <c r="H324">
        <f>計算表!H324</f>
        <v>4</v>
      </c>
      <c r="I324">
        <f>計算表!I324</f>
        <v>4</v>
      </c>
      <c r="J324">
        <f>計算表!J324</f>
        <v>3</v>
      </c>
      <c r="K324">
        <f>計算表!K324</f>
        <v>2</v>
      </c>
      <c r="L324">
        <f>計算表!L324</f>
        <v>7.5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表-稀有度</v>
      </c>
      <c r="D325" t="str">
        <f>計算表!D325</f>
        <v>傳說</v>
      </c>
      <c r="E325" t="str">
        <f>計算表!E325</f>
        <v>（查表）</v>
      </c>
      <c r="F325" t="str">
        <f>計算表!F325</f>
        <v>a=詞條數值倍率 b=詞條數下限 c=詞條數上限 d=寶石插槽 e=附魔欄位 f=分解係數。</v>
      </c>
      <c r="G325">
        <f>計算表!G325</f>
        <v>4</v>
      </c>
      <c r="H325">
        <f>計算表!H325</f>
        <v>5</v>
      </c>
      <c r="I325">
        <f>計算表!I325</f>
        <v>5</v>
      </c>
      <c r="J325">
        <f>計算表!J325</f>
        <v>4</v>
      </c>
      <c r="K325">
        <f>計算表!K325</f>
        <v>2</v>
      </c>
      <c r="L325">
        <f>計算表!L325</f>
        <v>12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表-稀有度</v>
      </c>
      <c r="D326" t="str">
        <f>計算表!D326</f>
        <v>神話</v>
      </c>
      <c r="E326" t="str">
        <f>計算表!E326</f>
        <v>（查表）</v>
      </c>
      <c r="F326" t="str">
        <f>計算表!F326</f>
        <v>a=詞條數值倍率 b=詞條數下限 c=詞條數上限 d=寶石插槽 e=附魔欄位 f=分解係數。</v>
      </c>
      <c r="G326">
        <f>計算表!G326</f>
        <v>5.2</v>
      </c>
      <c r="H326">
        <f>計算表!H326</f>
        <v>6</v>
      </c>
      <c r="I326">
        <f>計算表!I326</f>
        <v>6</v>
      </c>
      <c r="J326">
        <f>計算表!J326</f>
        <v>5</v>
      </c>
      <c r="K326">
        <f>計算表!K326</f>
        <v>2</v>
      </c>
      <c r="L326">
        <f>計算表!L326</f>
        <v>19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表-稀有度</v>
      </c>
      <c r="D327" t="str">
        <f>計算表!D327</f>
        <v>創世</v>
      </c>
      <c r="E327" t="str">
        <f>計算表!E327</f>
        <v>（查表）</v>
      </c>
      <c r="F327" t="str">
        <f>計算表!F327</f>
        <v>a=詞條數值倍率 b=詞條數下限 c=詞條數上限 d=寶石插槽 e=附魔欄位 f=分解係數。</v>
      </c>
      <c r="G327">
        <f>計算表!G327</f>
        <v>6.8</v>
      </c>
      <c r="H327">
        <f>計算表!H327</f>
        <v>7</v>
      </c>
      <c r="I327">
        <f>計算表!I327</f>
        <v>7</v>
      </c>
      <c r="J327">
        <f>計算表!J327</f>
        <v>6</v>
      </c>
      <c r="K327">
        <f>計算表!K327</f>
        <v>3</v>
      </c>
      <c r="L327">
        <f>計算表!L327</f>
        <v>30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表-稀有度</v>
      </c>
      <c r="D328" t="str">
        <f>計算表!D328</f>
        <v>神鑄創世</v>
      </c>
      <c r="E328" t="str">
        <f>計算表!E328</f>
        <v>（查表）</v>
      </c>
      <c r="F328" t="str">
        <f>計算表!F328</f>
        <v>a=詞條數值倍率 b=詞條數下限 c=詞條數上限 d=寶石插槽 e=附魔欄位 f=分解係數。</v>
      </c>
      <c r="G328">
        <f>計算表!G328</f>
        <v>10.199999999999999</v>
      </c>
      <c r="H328">
        <f>計算表!H328</f>
        <v>8</v>
      </c>
      <c r="I328">
        <f>計算表!I328</f>
        <v>8</v>
      </c>
      <c r="J328">
        <f>計算表!J328</f>
        <v>6</v>
      </c>
      <c r="K328">
        <f>計算表!K328</f>
        <v>3</v>
      </c>
      <c r="L328">
        <f>計算表!L328</f>
        <v>45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表-稀有度</v>
      </c>
      <c r="D329" t="str">
        <f>計算表!D329</f>
        <v>混沌</v>
      </c>
      <c r="E329" t="str">
        <f>計算表!E329</f>
        <v>（查表）</v>
      </c>
      <c r="F329" t="str">
        <f>計算表!F329</f>
        <v>a=詞條數值倍率 b=詞條數下限 c=詞條數上限 d=寶石插槽 e=附魔欄位 f=分解係數；倍率與分解係數為暫定值，可調整。</v>
      </c>
      <c r="G329">
        <f>計算表!G329</f>
        <v>15.3</v>
      </c>
      <c r="H329">
        <f>計算表!H329</f>
        <v>9</v>
      </c>
      <c r="I329">
        <f>計算表!I329</f>
        <v>9</v>
      </c>
      <c r="J329">
        <f>計算表!J329</f>
        <v>6</v>
      </c>
      <c r="K329">
        <f>計算表!K329</f>
        <v>3</v>
      </c>
      <c r="L329">
        <f>計算表!L329</f>
        <v>67.5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表-稀有度</v>
      </c>
      <c r="D330" t="str">
        <f>計算表!D330</f>
        <v>神鑄混沌</v>
      </c>
      <c r="E330" t="str">
        <f>計算表!E330</f>
        <v>（查表）</v>
      </c>
      <c r="F330" t="str">
        <f>計算表!F330</f>
        <v>a=詞條數值倍率 b=詞條數下限 c=詞條數上限 d=寶石插槽 e=附魔欄位 f=分解係數；倍率與分解係數為暫定值，可調整。</v>
      </c>
      <c r="G330">
        <f>計算表!G330</f>
        <v>22.95</v>
      </c>
      <c r="H330">
        <f>計算表!H330</f>
        <v>10</v>
      </c>
      <c r="I330">
        <f>計算表!I330</f>
        <v>10</v>
      </c>
      <c r="J330">
        <f>計算表!J330</f>
        <v>7</v>
      </c>
      <c r="K330">
        <f>計算表!K330</f>
        <v>3</v>
      </c>
      <c r="L330">
        <f>計算表!L330</f>
        <v>101.25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0"/>
  <sheetViews>
    <sheetView topLeftCell="A294" workbookViewId="0">
      <selection activeCell="F313" sqref="F313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974</v>
      </c>
      <c r="D2" t="s">
        <v>975</v>
      </c>
      <c r="E2" t="s">
        <v>976</v>
      </c>
      <c r="F2" t="s">
        <v>977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974</v>
      </c>
      <c r="D3" t="s">
        <v>978</v>
      </c>
      <c r="E3" t="s">
        <v>976</v>
      </c>
      <c r="F3" t="s">
        <v>979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974</v>
      </c>
      <c r="D4" t="s">
        <v>980</v>
      </c>
      <c r="E4" t="s">
        <v>976</v>
      </c>
      <c r="F4" t="s">
        <v>981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867</v>
      </c>
      <c r="D5" t="s">
        <v>868</v>
      </c>
      <c r="E5" t="s">
        <v>869</v>
      </c>
      <c r="F5" t="s">
        <v>870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867</v>
      </c>
      <c r="D6" t="s">
        <v>871</v>
      </c>
      <c r="E6" t="s">
        <v>872</v>
      </c>
      <c r="F6" t="s">
        <v>873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867</v>
      </c>
      <c r="D7" t="s">
        <v>874</v>
      </c>
      <c r="E7" t="s">
        <v>875</v>
      </c>
      <c r="F7" t="s">
        <v>876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867</v>
      </c>
      <c r="D8" t="s">
        <v>877</v>
      </c>
      <c r="E8" t="s">
        <v>878</v>
      </c>
      <c r="F8" t="s">
        <v>879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10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948</v>
      </c>
      <c r="E15" t="s">
        <v>949</v>
      </c>
      <c r="F15" t="s">
        <v>950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951</v>
      </c>
      <c r="E16" t="s">
        <v>952</v>
      </c>
      <c r="F16" t="s">
        <v>953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151</v>
      </c>
      <c r="D38" t="s">
        <v>152</v>
      </c>
      <c r="E38" t="s">
        <v>153</v>
      </c>
      <c r="F38" t="s">
        <v>154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151</v>
      </c>
      <c r="D39" t="s">
        <v>155</v>
      </c>
      <c r="E39" t="s">
        <v>153</v>
      </c>
      <c r="F39" t="s">
        <v>156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151</v>
      </c>
      <c r="D40" t="s">
        <v>157</v>
      </c>
      <c r="E40" t="s">
        <v>153</v>
      </c>
      <c r="F40" t="s">
        <v>158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151</v>
      </c>
      <c r="D41" t="s">
        <v>159</v>
      </c>
      <c r="E41" t="s">
        <v>153</v>
      </c>
      <c r="F41" t="s">
        <v>160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151</v>
      </c>
      <c r="D42" t="s">
        <v>161</v>
      </c>
      <c r="E42" t="s">
        <v>153</v>
      </c>
      <c r="F42" t="s">
        <v>162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151</v>
      </c>
      <c r="D43" t="s">
        <v>163</v>
      </c>
      <c r="E43" t="s">
        <v>153</v>
      </c>
      <c r="F43" t="s">
        <v>164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151</v>
      </c>
      <c r="D44" t="s">
        <v>165</v>
      </c>
      <c r="E44" t="s">
        <v>153</v>
      </c>
      <c r="F44" t="s">
        <v>166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167</v>
      </c>
      <c r="E45" t="s">
        <v>153</v>
      </c>
      <c r="F45" t="s">
        <v>168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169</v>
      </c>
      <c r="E46" t="s">
        <v>153</v>
      </c>
      <c r="F46" t="s">
        <v>170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171</v>
      </c>
      <c r="E47" t="s">
        <v>153</v>
      </c>
      <c r="F47" t="s">
        <v>172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173</v>
      </c>
      <c r="E48" t="s">
        <v>153</v>
      </c>
      <c r="F48" t="s">
        <v>174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175</v>
      </c>
      <c r="E49" t="s">
        <v>153</v>
      </c>
      <c r="F49" t="s">
        <v>176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177</v>
      </c>
      <c r="E50" t="s">
        <v>153</v>
      </c>
      <c r="F50" t="s">
        <v>178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179</v>
      </c>
      <c r="E51" t="s">
        <v>153</v>
      </c>
      <c r="F51" t="s">
        <v>180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181</v>
      </c>
      <c r="E52" t="s">
        <v>153</v>
      </c>
      <c r="F52" t="s">
        <v>182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183</v>
      </c>
      <c r="E53" t="s">
        <v>153</v>
      </c>
      <c r="F53" t="s">
        <v>184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185</v>
      </c>
      <c r="E54" t="s">
        <v>153</v>
      </c>
      <c r="F54" t="s">
        <v>186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187</v>
      </c>
      <c r="E55" t="s">
        <v>188</v>
      </c>
      <c r="F55" t="s">
        <v>189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190</v>
      </c>
      <c r="E56" t="s">
        <v>153</v>
      </c>
      <c r="F56" t="s">
        <v>191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192</v>
      </c>
      <c r="E57" t="s">
        <v>153</v>
      </c>
      <c r="F57" t="s">
        <v>193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5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103</v>
      </c>
      <c r="D68" t="s">
        <v>134</v>
      </c>
      <c r="E68" t="s">
        <v>135</v>
      </c>
      <c r="F68" t="s">
        <v>136</v>
      </c>
      <c r="G68">
        <v>2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137</v>
      </c>
      <c r="E69" t="s">
        <v>138</v>
      </c>
      <c r="F69" t="s">
        <v>139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140</v>
      </c>
      <c r="E70" t="s">
        <v>138</v>
      </c>
      <c r="F70" t="s">
        <v>141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142</v>
      </c>
      <c r="E71" t="s">
        <v>143</v>
      </c>
      <c r="F71" t="s">
        <v>144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145</v>
      </c>
      <c r="E72" t="s">
        <v>146</v>
      </c>
      <c r="F72" t="s">
        <v>147</v>
      </c>
      <c r="G72">
        <v>2</v>
      </c>
      <c r="H72">
        <v>20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148</v>
      </c>
      <c r="E73" t="s">
        <v>149</v>
      </c>
      <c r="F73" t="s">
        <v>150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241</v>
      </c>
      <c r="D74" t="s">
        <v>242</v>
      </c>
      <c r="E74" t="s">
        <v>243</v>
      </c>
      <c r="F74" t="s">
        <v>244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241</v>
      </c>
      <c r="D75" t="s">
        <v>245</v>
      </c>
      <c r="E75" t="s">
        <v>243</v>
      </c>
      <c r="F75" t="s">
        <v>246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241</v>
      </c>
      <c r="D76" t="s">
        <v>247</v>
      </c>
      <c r="E76" t="s">
        <v>243</v>
      </c>
      <c r="F76" t="s">
        <v>248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241</v>
      </c>
      <c r="D77" t="s">
        <v>249</v>
      </c>
      <c r="E77" t="s">
        <v>243</v>
      </c>
      <c r="F77" t="s">
        <v>250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241</v>
      </c>
      <c r="D78" t="s">
        <v>251</v>
      </c>
      <c r="E78" t="s">
        <v>243</v>
      </c>
      <c r="F78" t="s">
        <v>252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194</v>
      </c>
      <c r="D79" t="s">
        <v>195</v>
      </c>
      <c r="E79" t="s">
        <v>196</v>
      </c>
      <c r="F79" t="s">
        <v>197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194</v>
      </c>
      <c r="D80" t="s">
        <v>198</v>
      </c>
      <c r="E80" t="s">
        <v>199</v>
      </c>
      <c r="F80" t="s">
        <v>200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194</v>
      </c>
      <c r="D81" t="s">
        <v>201</v>
      </c>
      <c r="E81" t="s">
        <v>199</v>
      </c>
      <c r="F81" t="s">
        <v>202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194</v>
      </c>
      <c r="D82" t="s">
        <v>203</v>
      </c>
      <c r="E82" t="s">
        <v>199</v>
      </c>
      <c r="F82" t="s">
        <v>202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194</v>
      </c>
      <c r="D83" t="s">
        <v>204</v>
      </c>
      <c r="E83" t="s">
        <v>199</v>
      </c>
      <c r="F83" t="s">
        <v>205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194</v>
      </c>
      <c r="D84" t="s">
        <v>206</v>
      </c>
      <c r="E84" t="s">
        <v>207</v>
      </c>
      <c r="F84" t="s">
        <v>208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194</v>
      </c>
      <c r="D85" t="s">
        <v>209</v>
      </c>
      <c r="E85" t="s">
        <v>210</v>
      </c>
      <c r="F85" t="s">
        <v>211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194</v>
      </c>
      <c r="D86" t="s">
        <v>212</v>
      </c>
      <c r="E86" t="s">
        <v>213</v>
      </c>
      <c r="F86" t="s">
        <v>214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194</v>
      </c>
      <c r="D87" t="s">
        <v>215</v>
      </c>
      <c r="E87" t="s">
        <v>216</v>
      </c>
      <c r="F87" t="s">
        <v>217</v>
      </c>
      <c r="G87">
        <v>1</v>
      </c>
      <c r="H87">
        <v>3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194</v>
      </c>
      <c r="D88" t="s">
        <v>218</v>
      </c>
      <c r="E88" t="s">
        <v>219</v>
      </c>
      <c r="F88" t="s">
        <v>220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194</v>
      </c>
      <c r="D89" t="s">
        <v>221</v>
      </c>
      <c r="E89" t="s">
        <v>222</v>
      </c>
      <c r="F89" t="s">
        <v>223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194</v>
      </c>
      <c r="D90" t="s">
        <v>224</v>
      </c>
      <c r="E90" t="s">
        <v>225</v>
      </c>
      <c r="F90" t="s">
        <v>226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194</v>
      </c>
      <c r="D91" t="s">
        <v>227</v>
      </c>
      <c r="E91" t="s">
        <v>219</v>
      </c>
      <c r="F91" t="s">
        <v>228</v>
      </c>
      <c r="G91">
        <v>10000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194</v>
      </c>
      <c r="D92" t="s">
        <v>229</v>
      </c>
      <c r="E92" t="s">
        <v>230</v>
      </c>
      <c r="F92" t="s">
        <v>231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194</v>
      </c>
      <c r="D93" t="s">
        <v>232</v>
      </c>
      <c r="E93" t="s">
        <v>233</v>
      </c>
      <c r="F93" t="s">
        <v>234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194</v>
      </c>
      <c r="D94" t="s">
        <v>235</v>
      </c>
      <c r="E94" t="s">
        <v>236</v>
      </c>
      <c r="F94" t="s">
        <v>237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194</v>
      </c>
      <c r="D95" t="s">
        <v>238</v>
      </c>
      <c r="E95" t="s">
        <v>239</v>
      </c>
      <c r="F95" t="s">
        <v>240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194</v>
      </c>
      <c r="D96" s="1" t="s">
        <v>982</v>
      </c>
      <c r="E96" s="2" t="s">
        <v>983</v>
      </c>
      <c r="F96" s="2" t="s">
        <v>984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336</v>
      </c>
      <c r="D97" t="s">
        <v>337</v>
      </c>
      <c r="E97" t="s">
        <v>338</v>
      </c>
      <c r="F97" t="s">
        <v>339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336</v>
      </c>
      <c r="D98" t="s">
        <v>340</v>
      </c>
      <c r="E98" t="s">
        <v>341</v>
      </c>
      <c r="F98" t="s">
        <v>342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336</v>
      </c>
      <c r="D99" t="s">
        <v>137</v>
      </c>
      <c r="E99" t="s">
        <v>343</v>
      </c>
      <c r="F99" t="s">
        <v>344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336</v>
      </c>
      <c r="D100" t="s">
        <v>345</v>
      </c>
      <c r="E100" t="s">
        <v>346</v>
      </c>
      <c r="F100" t="s">
        <v>347</v>
      </c>
      <c r="G100" t="s">
        <v>348</v>
      </c>
      <c r="H100" t="s">
        <v>349</v>
      </c>
      <c r="I100" t="s">
        <v>350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336</v>
      </c>
      <c r="D101" t="s">
        <v>254</v>
      </c>
      <c r="E101" t="s">
        <v>351</v>
      </c>
      <c r="F101" t="s">
        <v>352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336</v>
      </c>
      <c r="D102" t="s">
        <v>257</v>
      </c>
      <c r="E102" t="s">
        <v>353</v>
      </c>
      <c r="F102" t="s">
        <v>354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336</v>
      </c>
      <c r="D103" t="s">
        <v>355</v>
      </c>
      <c r="E103" t="s">
        <v>356</v>
      </c>
      <c r="F103" t="s">
        <v>357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336</v>
      </c>
      <c r="D104" t="s">
        <v>358</v>
      </c>
      <c r="E104" t="s">
        <v>359</v>
      </c>
      <c r="F104" t="s">
        <v>360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336</v>
      </c>
      <c r="D105" t="s">
        <v>140</v>
      </c>
      <c r="E105" t="s">
        <v>361</v>
      </c>
      <c r="F105" t="s">
        <v>362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336</v>
      </c>
      <c r="D106" t="s">
        <v>363</v>
      </c>
      <c r="E106" t="s">
        <v>364</v>
      </c>
      <c r="F106" t="s">
        <v>365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336</v>
      </c>
      <c r="D107" t="s">
        <v>260</v>
      </c>
      <c r="E107" t="s">
        <v>366</v>
      </c>
      <c r="F107" t="s">
        <v>367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336</v>
      </c>
      <c r="D108" t="s">
        <v>368</v>
      </c>
      <c r="E108" t="s">
        <v>369</v>
      </c>
      <c r="F108" t="s">
        <v>370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336</v>
      </c>
      <c r="D109" t="s">
        <v>371</v>
      </c>
      <c r="E109" t="s">
        <v>372</v>
      </c>
      <c r="F109" t="s">
        <v>373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336</v>
      </c>
      <c r="D110" t="s">
        <v>374</v>
      </c>
      <c r="E110" t="s">
        <v>372</v>
      </c>
      <c r="F110" t="s">
        <v>375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336</v>
      </c>
      <c r="D111" t="s">
        <v>376</v>
      </c>
      <c r="E111" t="s">
        <v>377</v>
      </c>
      <c r="F111" t="s">
        <v>378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336</v>
      </c>
      <c r="D112" t="s">
        <v>379</v>
      </c>
      <c r="E112" t="s">
        <v>380</v>
      </c>
      <c r="F112" t="s">
        <v>381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336</v>
      </c>
      <c r="D113" t="s">
        <v>382</v>
      </c>
      <c r="E113" t="s">
        <v>383</v>
      </c>
      <c r="F113" t="s">
        <v>384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336</v>
      </c>
      <c r="D114" t="s">
        <v>385</v>
      </c>
      <c r="E114" t="s">
        <v>386</v>
      </c>
      <c r="F114" t="s">
        <v>375</v>
      </c>
      <c r="G114" t="s">
        <v>387</v>
      </c>
      <c r="H114" t="s">
        <v>388</v>
      </c>
      <c r="I114" t="s">
        <v>389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326</v>
      </c>
      <c r="D115" t="s">
        <v>327</v>
      </c>
      <c r="E115" t="s">
        <v>328</v>
      </c>
      <c r="F115" t="s">
        <v>329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326</v>
      </c>
      <c r="D116" t="s">
        <v>330</v>
      </c>
      <c r="E116" t="s">
        <v>331</v>
      </c>
      <c r="F116" t="s">
        <v>332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326</v>
      </c>
      <c r="D117" t="s">
        <v>333</v>
      </c>
      <c r="E117" t="s">
        <v>280</v>
      </c>
      <c r="F117" t="s">
        <v>334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253</v>
      </c>
      <c r="D118" t="s">
        <v>254</v>
      </c>
      <c r="E118" t="s">
        <v>255</v>
      </c>
      <c r="F118" t="s">
        <v>256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253</v>
      </c>
      <c r="D119" t="s">
        <v>257</v>
      </c>
      <c r="E119" t="s">
        <v>255</v>
      </c>
      <c r="F119" t="s">
        <v>256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253</v>
      </c>
      <c r="D120" t="s">
        <v>119</v>
      </c>
      <c r="E120" t="s">
        <v>255</v>
      </c>
      <c r="F120" t="s">
        <v>258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253</v>
      </c>
      <c r="D121" t="s">
        <v>259</v>
      </c>
      <c r="E121" t="s">
        <v>255</v>
      </c>
      <c r="F121" t="s">
        <v>256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253</v>
      </c>
      <c r="D122" t="s">
        <v>260</v>
      </c>
      <c r="E122" t="s">
        <v>255</v>
      </c>
      <c r="F122" t="s">
        <v>256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253</v>
      </c>
      <c r="D123" t="s">
        <v>134</v>
      </c>
      <c r="E123" t="s">
        <v>261</v>
      </c>
      <c r="F123" t="s">
        <v>262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253</v>
      </c>
      <c r="D124" t="s">
        <v>137</v>
      </c>
      <c r="E124" t="s">
        <v>263</v>
      </c>
      <c r="F124" t="s">
        <v>264</v>
      </c>
      <c r="G124">
        <v>100</v>
      </c>
      <c r="H124" t="s">
        <v>265</v>
      </c>
      <c r="I124" t="s">
        <v>266</v>
      </c>
      <c r="J124" t="s">
        <v>267</v>
      </c>
      <c r="K124" t="s">
        <v>268</v>
      </c>
      <c r="L124" t="s">
        <v>269</v>
      </c>
      <c r="M124" t="s">
        <v>270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253</v>
      </c>
      <c r="D125" t="s">
        <v>140</v>
      </c>
      <c r="E125" t="s">
        <v>263</v>
      </c>
      <c r="F125" t="s">
        <v>271</v>
      </c>
      <c r="G125">
        <v>5</v>
      </c>
      <c r="H125" t="s">
        <v>265</v>
      </c>
      <c r="I125" t="s">
        <v>272</v>
      </c>
      <c r="J125" t="s">
        <v>273</v>
      </c>
      <c r="K125" t="s">
        <v>274</v>
      </c>
      <c r="L125" t="s">
        <v>275</v>
      </c>
      <c r="M125" t="s">
        <v>276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253</v>
      </c>
      <c r="D126" t="s">
        <v>277</v>
      </c>
      <c r="E126" t="s">
        <v>278</v>
      </c>
      <c r="F126" t="s">
        <v>279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253</v>
      </c>
      <c r="D127" s="1" t="s">
        <v>1004</v>
      </c>
      <c r="E127" t="s">
        <v>280</v>
      </c>
      <c r="F127" t="s">
        <v>281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282</v>
      </c>
      <c r="D128" s="2" t="s">
        <v>990</v>
      </c>
      <c r="E128" t="s">
        <v>283</v>
      </c>
      <c r="F128" t="s">
        <v>284</v>
      </c>
      <c r="G128" t="s">
        <v>285</v>
      </c>
      <c r="H128" t="s">
        <v>286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282</v>
      </c>
      <c r="D129" t="s">
        <v>985</v>
      </c>
      <c r="E129" t="s">
        <v>283</v>
      </c>
      <c r="F129" t="s">
        <v>284</v>
      </c>
      <c r="G129" t="s">
        <v>287</v>
      </c>
      <c r="H129" t="s">
        <v>288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282</v>
      </c>
      <c r="D130" t="s">
        <v>986</v>
      </c>
      <c r="E130" t="s">
        <v>283</v>
      </c>
      <c r="F130" t="s">
        <v>284</v>
      </c>
      <c r="G130" t="s">
        <v>289</v>
      </c>
      <c r="H130" t="s">
        <v>290</v>
      </c>
      <c r="I130" t="s">
        <v>291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282</v>
      </c>
      <c r="D131" t="s">
        <v>987</v>
      </c>
      <c r="E131" t="s">
        <v>283</v>
      </c>
      <c r="F131" t="s">
        <v>284</v>
      </c>
      <c r="G131" t="s">
        <v>292</v>
      </c>
      <c r="H131" t="s">
        <v>293</v>
      </c>
      <c r="I131" t="s">
        <v>294</v>
      </c>
      <c r="J131" t="s">
        <v>295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282</v>
      </c>
      <c r="D132" t="s">
        <v>988</v>
      </c>
      <c r="E132" t="s">
        <v>283</v>
      </c>
      <c r="F132" t="s">
        <v>284</v>
      </c>
      <c r="G132" t="s">
        <v>296</v>
      </c>
      <c r="H132" t="s">
        <v>297</v>
      </c>
      <c r="I132" t="s">
        <v>298</v>
      </c>
      <c r="J132" t="s">
        <v>299</v>
      </c>
      <c r="K132" t="s">
        <v>300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.75" x14ac:dyDescent="0.25">
      <c r="A133">
        <f t="shared" si="2"/>
        <v>132</v>
      </c>
      <c r="B133">
        <v>0</v>
      </c>
      <c r="C133" t="s">
        <v>282</v>
      </c>
      <c r="D133" s="2" t="s">
        <v>989</v>
      </c>
      <c r="E133" t="s">
        <v>283</v>
      </c>
      <c r="F133" t="s">
        <v>284</v>
      </c>
      <c r="G133" t="s">
        <v>301</v>
      </c>
      <c r="H133" t="s">
        <v>302</v>
      </c>
      <c r="I133" t="s">
        <v>303</v>
      </c>
      <c r="J133" t="s">
        <v>304</v>
      </c>
      <c r="K133" t="s">
        <v>305</v>
      </c>
      <c r="L133" t="s">
        <v>306</v>
      </c>
      <c r="M133" t="s">
        <v>307</v>
      </c>
      <c r="N133" t="s">
        <v>308</v>
      </c>
      <c r="O133" t="s">
        <v>309</v>
      </c>
      <c r="P133" t="s">
        <v>310</v>
      </c>
      <c r="Q133" t="s">
        <v>311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282</v>
      </c>
      <c r="D134" s="2" t="s">
        <v>991</v>
      </c>
      <c r="E134" t="s">
        <v>283</v>
      </c>
      <c r="F134" t="s">
        <v>312</v>
      </c>
      <c r="G134" t="s">
        <v>285</v>
      </c>
      <c r="H134" t="s">
        <v>286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282</v>
      </c>
      <c r="D135" s="2" t="s">
        <v>992</v>
      </c>
      <c r="E135" t="s">
        <v>283</v>
      </c>
      <c r="F135" t="s">
        <v>312</v>
      </c>
      <c r="G135" s="3" t="s">
        <v>997</v>
      </c>
      <c r="H135" s="3" t="s">
        <v>995</v>
      </c>
      <c r="I135" s="3" t="s">
        <v>996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282</v>
      </c>
      <c r="D136" s="2" t="s">
        <v>993</v>
      </c>
      <c r="E136" t="s">
        <v>283</v>
      </c>
      <c r="F136" t="s">
        <v>312</v>
      </c>
      <c r="G136" s="3" t="s">
        <v>998</v>
      </c>
      <c r="H136" s="3" t="s">
        <v>999</v>
      </c>
      <c r="I136" s="3" t="s">
        <v>1000</v>
      </c>
      <c r="J136" s="3" t="s">
        <v>1002</v>
      </c>
      <c r="K136" s="3" t="s">
        <v>1001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282</v>
      </c>
      <c r="D137" s="2" t="s">
        <v>994</v>
      </c>
      <c r="E137" t="s">
        <v>283</v>
      </c>
      <c r="F137" t="s">
        <v>312</v>
      </c>
      <c r="G137" s="3" t="s">
        <v>1013</v>
      </c>
      <c r="H137" s="3" t="s">
        <v>1014</v>
      </c>
      <c r="I137" s="3" t="s">
        <v>1015</v>
      </c>
      <c r="J137" s="3" t="s">
        <v>1016</v>
      </c>
      <c r="K137" s="3" t="s">
        <v>1017</v>
      </c>
      <c r="L137" s="3" t="s">
        <v>1018</v>
      </c>
      <c r="M137" s="3" t="s">
        <v>1019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.75" x14ac:dyDescent="0.25">
      <c r="A138">
        <f t="shared" si="2"/>
        <v>137</v>
      </c>
      <c r="B138">
        <v>0</v>
      </c>
      <c r="C138" t="s">
        <v>282</v>
      </c>
      <c r="D138" s="2" t="s">
        <v>1003</v>
      </c>
      <c r="E138" t="s">
        <v>283</v>
      </c>
      <c r="F138" t="s">
        <v>312</v>
      </c>
      <c r="G138" s="3" t="s">
        <v>1006</v>
      </c>
      <c r="H138" s="3" t="s">
        <v>1007</v>
      </c>
      <c r="I138" s="3" t="s">
        <v>1005</v>
      </c>
      <c r="J138" s="3" t="s">
        <v>1008</v>
      </c>
      <c r="K138" s="3" t="s">
        <v>1009</v>
      </c>
      <c r="L138" s="3" t="s">
        <v>1010</v>
      </c>
      <c r="M138" s="3" t="s">
        <v>1011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282</v>
      </c>
      <c r="D139" t="s">
        <v>313</v>
      </c>
      <c r="E139" t="s">
        <v>283</v>
      </c>
      <c r="F139" t="s">
        <v>314</v>
      </c>
      <c r="G139" t="s">
        <v>315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316</v>
      </c>
      <c r="D140" t="s">
        <v>317</v>
      </c>
      <c r="E140" t="s">
        <v>318</v>
      </c>
      <c r="F140" t="s">
        <v>319</v>
      </c>
      <c r="G140">
        <v>10</v>
      </c>
      <c r="H140">
        <v>10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316</v>
      </c>
      <c r="D141" t="s">
        <v>320</v>
      </c>
      <c r="E141" t="s">
        <v>321</v>
      </c>
      <c r="F141" t="s">
        <v>322</v>
      </c>
      <c r="G141">
        <v>1</v>
      </c>
      <c r="H141">
        <v>1</v>
      </c>
      <c r="I141">
        <v>1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316</v>
      </c>
      <c r="D142" t="s">
        <v>323</v>
      </c>
      <c r="E142" t="s">
        <v>324</v>
      </c>
      <c r="F142" t="s">
        <v>325</v>
      </c>
      <c r="G142">
        <v>2</v>
      </c>
      <c r="H142">
        <v>2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420</v>
      </c>
      <c r="D143" t="s">
        <v>421</v>
      </c>
      <c r="E143" t="s">
        <v>422</v>
      </c>
      <c r="F143" t="s">
        <v>423</v>
      </c>
      <c r="G143">
        <v>100</v>
      </c>
      <c r="H143">
        <v>10</v>
      </c>
      <c r="I143">
        <v>40</v>
      </c>
      <c r="J143">
        <v>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420</v>
      </c>
      <c r="D144" t="s">
        <v>424</v>
      </c>
      <c r="E144" t="s">
        <v>425</v>
      </c>
      <c r="F144" t="s">
        <v>426</v>
      </c>
      <c r="G144">
        <v>92</v>
      </c>
      <c r="H144">
        <v>7.5</v>
      </c>
      <c r="I144">
        <v>0.5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420</v>
      </c>
      <c r="D145" t="s">
        <v>427</v>
      </c>
      <c r="E145" t="s">
        <v>428</v>
      </c>
      <c r="F145" t="s">
        <v>429</v>
      </c>
      <c r="G145">
        <v>78.100000000000009</v>
      </c>
      <c r="H145">
        <v>19.2</v>
      </c>
      <c r="I145">
        <v>2.4</v>
      </c>
      <c r="J145">
        <v>0.3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420</v>
      </c>
      <c r="D146" t="s">
        <v>430</v>
      </c>
      <c r="E146" t="s">
        <v>431</v>
      </c>
      <c r="F146" t="s">
        <v>432</v>
      </c>
      <c r="G146">
        <v>72.113600000000005</v>
      </c>
      <c r="H146">
        <v>22.118399999999998</v>
      </c>
      <c r="I146">
        <v>4.6079999999999997</v>
      </c>
      <c r="J146">
        <v>0.96</v>
      </c>
      <c r="K146">
        <v>0.2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420</v>
      </c>
      <c r="D147" t="s">
        <v>433</v>
      </c>
      <c r="E147" t="s">
        <v>434</v>
      </c>
      <c r="F147" t="s">
        <v>435</v>
      </c>
      <c r="G147">
        <v>53.837361999999999</v>
      </c>
      <c r="H147">
        <v>33.734898000000001</v>
      </c>
      <c r="I147">
        <v>9.11754</v>
      </c>
      <c r="J147">
        <v>2.4641999999999999</v>
      </c>
      <c r="K147">
        <v>0.66600000000000004</v>
      </c>
      <c r="L147">
        <v>0.18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420</v>
      </c>
      <c r="D148" t="s">
        <v>436</v>
      </c>
      <c r="E148" t="s">
        <v>437</v>
      </c>
      <c r="F148" t="s">
        <v>438</v>
      </c>
      <c r="G148">
        <v>49.993825599999994</v>
      </c>
      <c r="H148">
        <v>32.817838399999999</v>
      </c>
      <c r="I148">
        <v>11.316495999999999</v>
      </c>
      <c r="J148">
        <v>3.9022399999999999</v>
      </c>
      <c r="K148">
        <v>1.3455999999999999</v>
      </c>
      <c r="L148">
        <v>0.46400000000000002</v>
      </c>
      <c r="M148">
        <v>0.16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420</v>
      </c>
      <c r="D149" t="s">
        <v>439</v>
      </c>
      <c r="E149" t="s">
        <v>440</v>
      </c>
      <c r="F149" t="s">
        <v>441</v>
      </c>
      <c r="G149">
        <v>36.76497232906253</v>
      </c>
      <c r="H149">
        <v>38.491879564687487</v>
      </c>
      <c r="I149">
        <v>15.094854731249995</v>
      </c>
      <c r="J149">
        <v>5.9195508749999988</v>
      </c>
      <c r="K149">
        <v>2.3213924999999995</v>
      </c>
      <c r="L149">
        <v>0.91034999999999988</v>
      </c>
      <c r="M149">
        <v>0.35699999999999998</v>
      </c>
      <c r="N149">
        <v>0.13999999999999999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420</v>
      </c>
      <c r="D150" t="s">
        <v>442</v>
      </c>
      <c r="E150" t="s">
        <v>443</v>
      </c>
      <c r="F150" t="s">
        <v>444</v>
      </c>
      <c r="G150">
        <v>31.631675870386633</v>
      </c>
      <c r="H150">
        <v>38.434848634168908</v>
      </c>
      <c r="I150">
        <v>16.857389751828471</v>
      </c>
      <c r="J150">
        <v>7.3935919964159975</v>
      </c>
      <c r="K150">
        <v>3.2428035071999992</v>
      </c>
      <c r="L150">
        <v>1.4222822399999997</v>
      </c>
      <c r="M150">
        <v>0.62380799999999992</v>
      </c>
      <c r="N150">
        <v>0.27359999999999995</v>
      </c>
      <c r="O150">
        <v>0.12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420</v>
      </c>
      <c r="D151" t="s">
        <v>445</v>
      </c>
      <c r="E151" t="s">
        <v>446</v>
      </c>
      <c r="F151" t="s">
        <v>447</v>
      </c>
      <c r="G151">
        <v>25.407543428799851</v>
      </c>
      <c r="H151">
        <v>39.287974783901511</v>
      </c>
      <c r="I151">
        <v>18.619893262512562</v>
      </c>
      <c r="J151">
        <v>8.8245939632760972</v>
      </c>
      <c r="K151">
        <v>4.1822720205099984</v>
      </c>
      <c r="L151">
        <v>1.9821194409999996</v>
      </c>
      <c r="M151">
        <v>0.93939309999999998</v>
      </c>
      <c r="N151">
        <v>0.44520999999999994</v>
      </c>
      <c r="O151">
        <v>0.21099999999999999</v>
      </c>
      <c r="P151">
        <v>0.1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420</v>
      </c>
      <c r="D152" t="s">
        <v>448</v>
      </c>
      <c r="E152" t="s">
        <v>449</v>
      </c>
      <c r="F152" t="s">
        <v>450</v>
      </c>
      <c r="G152">
        <v>18.159999999999986</v>
      </c>
      <c r="H152">
        <v>40.96</v>
      </c>
      <c r="I152">
        <v>20.48</v>
      </c>
      <c r="J152">
        <v>10.24</v>
      </c>
      <c r="K152">
        <v>5.12</v>
      </c>
      <c r="L152">
        <v>2.56</v>
      </c>
      <c r="M152">
        <v>1.28</v>
      </c>
      <c r="N152">
        <v>0.64</v>
      </c>
      <c r="O152">
        <v>0.32</v>
      </c>
      <c r="P152">
        <v>0.16</v>
      </c>
      <c r="Q152">
        <v>0.08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420</v>
      </c>
      <c r="D153" t="s">
        <v>451</v>
      </c>
      <c r="E153" t="s">
        <v>452</v>
      </c>
      <c r="F153" t="s">
        <v>453</v>
      </c>
      <c r="G153">
        <v>1.35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420</v>
      </c>
      <c r="D154" t="s">
        <v>454</v>
      </c>
      <c r="E154" t="s">
        <v>455</v>
      </c>
      <c r="F154" t="s">
        <v>456</v>
      </c>
      <c r="G154">
        <v>0.5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420</v>
      </c>
      <c r="D155" t="s">
        <v>457</v>
      </c>
      <c r="E155" t="s">
        <v>458</v>
      </c>
      <c r="F155" t="s">
        <v>459</v>
      </c>
      <c r="G155">
        <v>4000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475</v>
      </c>
      <c r="D156" t="s">
        <v>476</v>
      </c>
      <c r="E156" t="s">
        <v>477</v>
      </c>
      <c r="F156" t="s">
        <v>478</v>
      </c>
      <c r="G156" t="s">
        <v>479</v>
      </c>
      <c r="H156" t="s">
        <v>480</v>
      </c>
      <c r="I156" t="s">
        <v>481</v>
      </c>
      <c r="J156" t="s">
        <v>482</v>
      </c>
      <c r="K156" t="s">
        <v>483</v>
      </c>
      <c r="L156" t="s">
        <v>484</v>
      </c>
      <c r="M156" t="s">
        <v>485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475</v>
      </c>
      <c r="D157" t="s">
        <v>486</v>
      </c>
      <c r="E157" t="s">
        <v>477</v>
      </c>
      <c r="F157" t="s">
        <v>478</v>
      </c>
      <c r="G157" t="s">
        <v>479</v>
      </c>
      <c r="H157" t="s">
        <v>480</v>
      </c>
      <c r="I157" t="s">
        <v>481</v>
      </c>
      <c r="J157" t="s">
        <v>482</v>
      </c>
      <c r="K157" t="s">
        <v>483</v>
      </c>
      <c r="L157" t="s">
        <v>484</v>
      </c>
      <c r="M157" t="s">
        <v>485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475</v>
      </c>
      <c r="D158" t="s">
        <v>487</v>
      </c>
      <c r="E158" t="s">
        <v>477</v>
      </c>
      <c r="F158" t="s">
        <v>478</v>
      </c>
      <c r="G158" t="s">
        <v>488</v>
      </c>
      <c r="H158" t="s">
        <v>489</v>
      </c>
      <c r="I158" t="s">
        <v>481</v>
      </c>
      <c r="J158" t="s">
        <v>482</v>
      </c>
      <c r="K158" t="s">
        <v>483</v>
      </c>
      <c r="L158" t="s">
        <v>484</v>
      </c>
      <c r="M158" t="s">
        <v>485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475</v>
      </c>
      <c r="D159" t="s">
        <v>490</v>
      </c>
      <c r="E159" t="s">
        <v>477</v>
      </c>
      <c r="F159" t="s">
        <v>478</v>
      </c>
      <c r="G159" t="s">
        <v>491</v>
      </c>
      <c r="H159" t="s">
        <v>489</v>
      </c>
      <c r="I159" t="s">
        <v>492</v>
      </c>
      <c r="J159" t="s">
        <v>493</v>
      </c>
      <c r="K159" t="s">
        <v>483</v>
      </c>
      <c r="L159" t="s">
        <v>484</v>
      </c>
      <c r="M159" t="s">
        <v>485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475</v>
      </c>
      <c r="D160" t="s">
        <v>494</v>
      </c>
      <c r="E160" t="s">
        <v>477</v>
      </c>
      <c r="F160" t="s">
        <v>478</v>
      </c>
      <c r="G160" t="s">
        <v>495</v>
      </c>
      <c r="H160" t="s">
        <v>496</v>
      </c>
      <c r="I160" t="s">
        <v>492</v>
      </c>
      <c r="J160" t="s">
        <v>493</v>
      </c>
      <c r="K160" t="s">
        <v>497</v>
      </c>
      <c r="L160" t="s">
        <v>498</v>
      </c>
      <c r="M160" t="s">
        <v>499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475</v>
      </c>
      <c r="D161" t="s">
        <v>500</v>
      </c>
      <c r="E161" t="s">
        <v>477</v>
      </c>
      <c r="F161" t="s">
        <v>478</v>
      </c>
      <c r="G161" t="s">
        <v>501</v>
      </c>
      <c r="H161" t="s">
        <v>502</v>
      </c>
      <c r="I161" t="s">
        <v>503</v>
      </c>
      <c r="J161" t="s">
        <v>504</v>
      </c>
      <c r="K161" t="s">
        <v>505</v>
      </c>
      <c r="L161" t="s">
        <v>506</v>
      </c>
      <c r="M161" t="s">
        <v>507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475</v>
      </c>
      <c r="D162" t="s">
        <v>508</v>
      </c>
      <c r="E162" t="s">
        <v>477</v>
      </c>
      <c r="F162" t="s">
        <v>478</v>
      </c>
      <c r="G162" t="s">
        <v>509</v>
      </c>
      <c r="H162" t="s">
        <v>510</v>
      </c>
      <c r="I162" t="s">
        <v>511</v>
      </c>
      <c r="J162" t="s">
        <v>512</v>
      </c>
      <c r="K162" t="s">
        <v>513</v>
      </c>
      <c r="L162" t="s">
        <v>514</v>
      </c>
      <c r="M162" t="s">
        <v>515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475</v>
      </c>
      <c r="D163" t="s">
        <v>516</v>
      </c>
      <c r="E163" t="s">
        <v>477</v>
      </c>
      <c r="F163" t="s">
        <v>478</v>
      </c>
      <c r="G163" t="s">
        <v>509</v>
      </c>
      <c r="H163" t="s">
        <v>480</v>
      </c>
      <c r="I163" t="s">
        <v>481</v>
      </c>
      <c r="J163" t="s">
        <v>482</v>
      </c>
      <c r="K163" t="s">
        <v>517</v>
      </c>
      <c r="L163" t="s">
        <v>518</v>
      </c>
      <c r="M163" t="s">
        <v>519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460</v>
      </c>
      <c r="D164" t="s">
        <v>461</v>
      </c>
      <c r="E164" t="s">
        <v>462</v>
      </c>
      <c r="F164" t="s">
        <v>463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460</v>
      </c>
      <c r="D165" t="s">
        <v>259</v>
      </c>
      <c r="E165" t="s">
        <v>464</v>
      </c>
      <c r="F165" t="s">
        <v>465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460</v>
      </c>
      <c r="D166" t="s">
        <v>466</v>
      </c>
      <c r="E166" t="s">
        <v>467</v>
      </c>
      <c r="F166" t="s">
        <v>468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460</v>
      </c>
      <c r="D167" t="s">
        <v>469</v>
      </c>
      <c r="E167" t="s">
        <v>470</v>
      </c>
      <c r="F167" t="s">
        <v>471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460</v>
      </c>
      <c r="D168" t="s">
        <v>472</v>
      </c>
      <c r="E168" t="s">
        <v>473</v>
      </c>
      <c r="F168" t="s">
        <v>474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390</v>
      </c>
      <c r="D169" t="s">
        <v>391</v>
      </c>
      <c r="E169" t="s">
        <v>392</v>
      </c>
      <c r="F169" t="s">
        <v>393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390</v>
      </c>
      <c r="D170" t="s">
        <v>394</v>
      </c>
      <c r="E170" t="s">
        <v>395</v>
      </c>
      <c r="F170" t="s">
        <v>396</v>
      </c>
      <c r="G170">
        <v>50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390</v>
      </c>
      <c r="D171" t="s">
        <v>397</v>
      </c>
      <c r="E171" t="s">
        <v>398</v>
      </c>
      <c r="F171" t="s">
        <v>399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400</v>
      </c>
      <c r="D172" t="s">
        <v>401</v>
      </c>
      <c r="E172" t="s">
        <v>402</v>
      </c>
      <c r="F172" t="s">
        <v>403</v>
      </c>
      <c r="G172">
        <v>200</v>
      </c>
      <c r="H172">
        <v>6.0000000000000001E-3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400</v>
      </c>
      <c r="D173" t="s">
        <v>404</v>
      </c>
      <c r="E173" t="s">
        <v>405</v>
      </c>
      <c r="F173" t="s">
        <v>406</v>
      </c>
      <c r="G173">
        <v>55</v>
      </c>
      <c r="H173" t="s">
        <v>407</v>
      </c>
      <c r="I173" t="s">
        <v>408</v>
      </c>
      <c r="J173" t="s">
        <v>335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400</v>
      </c>
      <c r="D174" t="s">
        <v>409</v>
      </c>
      <c r="E174" t="s">
        <v>405</v>
      </c>
      <c r="F174" t="s">
        <v>406</v>
      </c>
      <c r="G174">
        <v>25</v>
      </c>
      <c r="H174" t="s">
        <v>407</v>
      </c>
      <c r="I174">
        <v>2</v>
      </c>
      <c r="J174" t="s">
        <v>335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400</v>
      </c>
      <c r="D175" t="s">
        <v>410</v>
      </c>
      <c r="E175" t="s">
        <v>405</v>
      </c>
      <c r="F175" t="s">
        <v>406</v>
      </c>
      <c r="G175">
        <v>12</v>
      </c>
      <c r="H175" t="s">
        <v>407</v>
      </c>
      <c r="I175">
        <v>2.5</v>
      </c>
      <c r="J175" t="s">
        <v>335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400</v>
      </c>
      <c r="D176" t="s">
        <v>411</v>
      </c>
      <c r="E176" t="s">
        <v>405</v>
      </c>
      <c r="F176" t="s">
        <v>406</v>
      </c>
      <c r="G176">
        <v>5.5</v>
      </c>
      <c r="H176" t="s">
        <v>407</v>
      </c>
      <c r="I176">
        <v>3</v>
      </c>
      <c r="J176" t="s">
        <v>335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400</v>
      </c>
      <c r="D177" t="s">
        <v>412</v>
      </c>
      <c r="E177" t="s">
        <v>405</v>
      </c>
      <c r="F177" t="s">
        <v>406</v>
      </c>
      <c r="G177">
        <v>1.8</v>
      </c>
      <c r="H177" t="s">
        <v>407</v>
      </c>
      <c r="I177">
        <v>3.5</v>
      </c>
      <c r="J177" t="s">
        <v>413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400</v>
      </c>
      <c r="D178" t="s">
        <v>414</v>
      </c>
      <c r="E178" t="s">
        <v>405</v>
      </c>
      <c r="F178" t="s">
        <v>406</v>
      </c>
      <c r="G178">
        <v>0.35</v>
      </c>
      <c r="H178" t="s">
        <v>407</v>
      </c>
      <c r="I178">
        <v>4</v>
      </c>
      <c r="J178" t="s">
        <v>415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400</v>
      </c>
      <c r="D179" t="s">
        <v>416</v>
      </c>
      <c r="E179" t="s">
        <v>405</v>
      </c>
      <c r="F179" t="s">
        <v>406</v>
      </c>
      <c r="G179">
        <v>0.08</v>
      </c>
      <c r="H179" t="s">
        <v>407</v>
      </c>
      <c r="I179">
        <v>4.5</v>
      </c>
      <c r="J179" t="s">
        <v>417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400</v>
      </c>
      <c r="D180" t="s">
        <v>418</v>
      </c>
      <c r="E180" t="s">
        <v>405</v>
      </c>
      <c r="F180" t="s">
        <v>406</v>
      </c>
      <c r="G180">
        <v>1.4999999999999999E-2</v>
      </c>
      <c r="H180" t="s">
        <v>407</v>
      </c>
      <c r="I180">
        <v>5</v>
      </c>
      <c r="J180" t="s">
        <v>419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554</v>
      </c>
      <c r="D181" t="s">
        <v>555</v>
      </c>
      <c r="E181" t="s">
        <v>556</v>
      </c>
      <c r="F181" t="s">
        <v>557</v>
      </c>
      <c r="G181">
        <v>5</v>
      </c>
      <c r="H181">
        <v>7.5</v>
      </c>
      <c r="I181">
        <v>10</v>
      </c>
      <c r="J181">
        <v>15</v>
      </c>
      <c r="K181">
        <v>20</v>
      </c>
      <c r="L181">
        <v>25</v>
      </c>
      <c r="M181">
        <v>30</v>
      </c>
      <c r="N181">
        <v>100</v>
      </c>
      <c r="O181">
        <v>100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554</v>
      </c>
      <c r="D182" t="s">
        <v>558</v>
      </c>
      <c r="E182" t="s">
        <v>559</v>
      </c>
      <c r="F182" t="s">
        <v>560</v>
      </c>
      <c r="G182">
        <v>0</v>
      </c>
      <c r="H182">
        <v>0</v>
      </c>
      <c r="I182">
        <v>0</v>
      </c>
      <c r="J182">
        <v>0.1</v>
      </c>
      <c r="K182">
        <v>0.5</v>
      </c>
      <c r="L182">
        <v>1</v>
      </c>
      <c r="M182">
        <v>10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554</v>
      </c>
      <c r="D183" t="s">
        <v>971</v>
      </c>
      <c r="E183" t="s">
        <v>972</v>
      </c>
      <c r="F183" t="s">
        <v>973</v>
      </c>
      <c r="G183">
        <v>0.1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561</v>
      </c>
      <c r="D184" t="s">
        <v>562</v>
      </c>
      <c r="E184" t="s">
        <v>563</v>
      </c>
      <c r="F184" t="s">
        <v>564</v>
      </c>
      <c r="G184">
        <v>5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561</v>
      </c>
      <c r="D185" t="s">
        <v>565</v>
      </c>
      <c r="E185" t="s">
        <v>566</v>
      </c>
      <c r="F185" t="s">
        <v>567</v>
      </c>
      <c r="G185">
        <v>55</v>
      </c>
      <c r="H185">
        <v>40</v>
      </c>
      <c r="I185">
        <v>25</v>
      </c>
      <c r="J185">
        <v>20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561</v>
      </c>
      <c r="D186" t="s">
        <v>568</v>
      </c>
      <c r="E186" t="s">
        <v>569</v>
      </c>
      <c r="F186" t="s">
        <v>570</v>
      </c>
      <c r="G186">
        <v>5000000</v>
      </c>
      <c r="H186">
        <v>20000000</v>
      </c>
      <c r="I186">
        <v>100000000</v>
      </c>
      <c r="J186">
        <v>500000000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561</v>
      </c>
      <c r="D187" t="s">
        <v>571</v>
      </c>
      <c r="E187" t="s">
        <v>569</v>
      </c>
      <c r="F187">
        <v>0</v>
      </c>
      <c r="G187">
        <v>3</v>
      </c>
      <c r="H187">
        <v>5</v>
      </c>
      <c r="I187">
        <v>8</v>
      </c>
      <c r="J187">
        <v>13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561</v>
      </c>
      <c r="D188" t="s">
        <v>572</v>
      </c>
      <c r="E188" t="s">
        <v>573</v>
      </c>
      <c r="F188" t="s">
        <v>574</v>
      </c>
      <c r="G188">
        <v>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561</v>
      </c>
      <c r="D189" t="s">
        <v>581</v>
      </c>
      <c r="E189" t="s">
        <v>563</v>
      </c>
      <c r="F189" t="s">
        <v>582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561</v>
      </c>
      <c r="D190" t="s">
        <v>583</v>
      </c>
      <c r="E190" t="s">
        <v>584</v>
      </c>
      <c r="F190" t="s">
        <v>585</v>
      </c>
      <c r="G190">
        <v>50</v>
      </c>
      <c r="H190">
        <v>40</v>
      </c>
      <c r="I190">
        <v>35</v>
      </c>
      <c r="J190">
        <v>25</v>
      </c>
      <c r="K190">
        <v>15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561</v>
      </c>
      <c r="D191" t="s">
        <v>586</v>
      </c>
      <c r="E191" t="s">
        <v>587</v>
      </c>
      <c r="F191" t="s">
        <v>588</v>
      </c>
      <c r="G191">
        <v>1000000</v>
      </c>
      <c r="H191">
        <v>5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561</v>
      </c>
      <c r="D192" t="s">
        <v>589</v>
      </c>
      <c r="E192" t="s">
        <v>590</v>
      </c>
      <c r="F192">
        <v>0</v>
      </c>
      <c r="G192">
        <v>1</v>
      </c>
      <c r="H192">
        <v>2</v>
      </c>
      <c r="I192">
        <v>3</v>
      </c>
      <c r="J192">
        <v>4</v>
      </c>
      <c r="K192">
        <v>6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561</v>
      </c>
      <c r="D193" t="s">
        <v>591</v>
      </c>
      <c r="E193" t="s">
        <v>592</v>
      </c>
      <c r="F193" t="s">
        <v>593</v>
      </c>
      <c r="G193">
        <v>3</v>
      </c>
      <c r="H193">
        <v>3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561</v>
      </c>
      <c r="D194" t="s">
        <v>594</v>
      </c>
      <c r="E194" t="s">
        <v>595</v>
      </c>
      <c r="F194" t="s">
        <v>596</v>
      </c>
      <c r="G194">
        <v>6</v>
      </c>
      <c r="H194">
        <v>6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561</v>
      </c>
      <c r="D195" t="s">
        <v>939</v>
      </c>
      <c r="E195" t="s">
        <v>940</v>
      </c>
      <c r="F195" t="s">
        <v>941</v>
      </c>
      <c r="G195">
        <v>20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561</v>
      </c>
      <c r="D196" t="s">
        <v>942</v>
      </c>
      <c r="E196" t="s">
        <v>943</v>
      </c>
      <c r="F196" t="s">
        <v>944</v>
      </c>
      <c r="G196">
        <v>500000000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561</v>
      </c>
      <c r="D197" t="s">
        <v>945</v>
      </c>
      <c r="E197" t="s">
        <v>946</v>
      </c>
      <c r="F197" t="s">
        <v>947</v>
      </c>
      <c r="G197">
        <v>13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520</v>
      </c>
      <c r="D198" t="s">
        <v>521</v>
      </c>
      <c r="E198" t="s">
        <v>522</v>
      </c>
      <c r="F198" t="s">
        <v>523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520</v>
      </c>
      <c r="D199" t="s">
        <v>524</v>
      </c>
      <c r="E199" t="s">
        <v>525</v>
      </c>
      <c r="F199" t="s">
        <v>526</v>
      </c>
      <c r="G199">
        <v>1.35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520</v>
      </c>
      <c r="D200" t="s">
        <v>527</v>
      </c>
      <c r="E200" t="s">
        <v>528</v>
      </c>
      <c r="F200" t="s">
        <v>529</v>
      </c>
      <c r="G200">
        <v>0.05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520</v>
      </c>
      <c r="D201" t="s">
        <v>530</v>
      </c>
      <c r="E201" t="s">
        <v>531</v>
      </c>
      <c r="F201" t="s">
        <v>532</v>
      </c>
      <c r="G201">
        <v>2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520</v>
      </c>
      <c r="D202" t="s">
        <v>533</v>
      </c>
      <c r="E202" t="s">
        <v>534</v>
      </c>
      <c r="F202" t="s">
        <v>535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520</v>
      </c>
      <c r="D203" t="s">
        <v>536</v>
      </c>
      <c r="E203" t="s">
        <v>537</v>
      </c>
      <c r="F203" t="s">
        <v>538</v>
      </c>
      <c r="G203">
        <v>5</v>
      </c>
      <c r="H203">
        <v>1.2</v>
      </c>
      <c r="I203">
        <v>0.15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520</v>
      </c>
      <c r="D204" t="s">
        <v>539</v>
      </c>
      <c r="E204" t="s">
        <v>540</v>
      </c>
      <c r="F204" t="s">
        <v>541</v>
      </c>
      <c r="G204">
        <v>8</v>
      </c>
      <c r="H204">
        <v>4</v>
      </c>
      <c r="I204">
        <v>3</v>
      </c>
      <c r="J204">
        <v>60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520</v>
      </c>
      <c r="D205" t="s">
        <v>542</v>
      </c>
      <c r="E205" t="s">
        <v>543</v>
      </c>
      <c r="F205" t="s">
        <v>544</v>
      </c>
      <c r="G205">
        <v>1</v>
      </c>
      <c r="H205">
        <v>1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520</v>
      </c>
      <c r="D206" t="s">
        <v>545</v>
      </c>
      <c r="E206" t="s">
        <v>546</v>
      </c>
      <c r="F206" t="s">
        <v>547</v>
      </c>
      <c r="G206">
        <v>0.15</v>
      </c>
      <c r="H206">
        <v>0.06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520</v>
      </c>
      <c r="D207" t="s">
        <v>548</v>
      </c>
      <c r="E207" t="s">
        <v>549</v>
      </c>
      <c r="F207" t="s">
        <v>550</v>
      </c>
      <c r="G207">
        <v>2</v>
      </c>
      <c r="H207">
        <v>0.6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520</v>
      </c>
      <c r="D208" t="s">
        <v>551</v>
      </c>
      <c r="E208" t="s">
        <v>552</v>
      </c>
      <c r="F208" t="s">
        <v>553</v>
      </c>
      <c r="G208">
        <v>3</v>
      </c>
      <c r="H208">
        <v>10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626</v>
      </c>
      <c r="D209" t="s">
        <v>627</v>
      </c>
      <c r="E209" t="s">
        <v>628</v>
      </c>
      <c r="F209" t="s">
        <v>629</v>
      </c>
      <c r="G209">
        <v>2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v>10000</v>
      </c>
      <c r="V209">
        <v>2</v>
      </c>
      <c r="W209">
        <v>10000</v>
      </c>
      <c r="X209">
        <v>3</v>
      </c>
    </row>
    <row r="210" spans="1:28" x14ac:dyDescent="0.25">
      <c r="A210">
        <f t="shared" si="3"/>
        <v>209</v>
      </c>
      <c r="B210">
        <v>0</v>
      </c>
      <c r="C210" t="s">
        <v>630</v>
      </c>
      <c r="D210" t="s">
        <v>631</v>
      </c>
      <c r="E210" s="3" t="s">
        <v>1012</v>
      </c>
      <c r="F210" t="s">
        <v>632</v>
      </c>
      <c r="G210">
        <v>10000</v>
      </c>
      <c r="H210">
        <v>10000</v>
      </c>
      <c r="I210">
        <v>2</v>
      </c>
      <c r="J210">
        <v>3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</v>
      </c>
      <c r="V210">
        <v>2</v>
      </c>
      <c r="W210">
        <v>3</v>
      </c>
      <c r="X210">
        <v>4</v>
      </c>
      <c r="Y210">
        <v>5</v>
      </c>
      <c r="Z210">
        <v>6</v>
      </c>
      <c r="AA210">
        <v>7</v>
      </c>
      <c r="AB210">
        <v>8</v>
      </c>
    </row>
    <row r="211" spans="1:28" x14ac:dyDescent="0.25">
      <c r="A211">
        <f t="shared" si="3"/>
        <v>210</v>
      </c>
      <c r="B211">
        <v>0</v>
      </c>
      <c r="C211" t="s">
        <v>614</v>
      </c>
      <c r="D211" t="s">
        <v>615</v>
      </c>
      <c r="E211" t="s">
        <v>616</v>
      </c>
      <c r="F211" t="s">
        <v>617</v>
      </c>
      <c r="G211">
        <v>5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T211">
        <v>1</v>
      </c>
      <c r="U211" s="4">
        <f t="shared" ref="U211:U230" si="4">($U$209+(U$210-1)^$V$209*$W$209)*$T211^$X$209</f>
        <v>10000</v>
      </c>
      <c r="V211" s="4">
        <f t="shared" ref="V211:AB211" si="5">($U$209+(V$210-1)^$V$209*$W$209)*$T211^$X$209</f>
        <v>20000</v>
      </c>
      <c r="W211" s="4">
        <f t="shared" si="5"/>
        <v>50000</v>
      </c>
      <c r="X211" s="4">
        <f t="shared" si="5"/>
        <v>100000</v>
      </c>
      <c r="Y211" s="4">
        <f t="shared" si="5"/>
        <v>170000</v>
      </c>
      <c r="Z211" s="4">
        <f t="shared" si="5"/>
        <v>260000</v>
      </c>
      <c r="AA211" s="4">
        <f t="shared" si="5"/>
        <v>370000</v>
      </c>
      <c r="AB211" s="4">
        <f t="shared" si="5"/>
        <v>500000</v>
      </c>
    </row>
    <row r="212" spans="1:28" x14ac:dyDescent="0.25">
      <c r="A212">
        <f t="shared" si="3"/>
        <v>211</v>
      </c>
      <c r="B212">
        <v>0</v>
      </c>
      <c r="C212" t="s">
        <v>614</v>
      </c>
      <c r="D212" t="s">
        <v>618</v>
      </c>
      <c r="E212" t="s">
        <v>619</v>
      </c>
      <c r="F212" t="s">
        <v>620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2</v>
      </c>
      <c r="U212" s="4">
        <f t="shared" si="4"/>
        <v>80000</v>
      </c>
      <c r="V212" s="4">
        <f t="shared" ref="V212:AB221" si="6">($U$209+(V$210-1)^$V$209*$W$209)*$T212^$X$209</f>
        <v>160000</v>
      </c>
      <c r="W212" s="4">
        <f t="shared" si="6"/>
        <v>400000</v>
      </c>
      <c r="X212" s="4">
        <f t="shared" si="6"/>
        <v>800000</v>
      </c>
      <c r="Y212" s="4">
        <f t="shared" si="6"/>
        <v>1360000</v>
      </c>
      <c r="Z212" s="4">
        <f t="shared" si="6"/>
        <v>2080000</v>
      </c>
      <c r="AA212" s="4">
        <f t="shared" si="6"/>
        <v>2960000</v>
      </c>
      <c r="AB212" s="4">
        <f t="shared" si="6"/>
        <v>4000000</v>
      </c>
    </row>
    <row r="213" spans="1:28" x14ac:dyDescent="0.25">
      <c r="A213">
        <f t="shared" si="3"/>
        <v>212</v>
      </c>
      <c r="B213">
        <v>0</v>
      </c>
      <c r="C213" t="s">
        <v>614</v>
      </c>
      <c r="D213" t="s">
        <v>621</v>
      </c>
      <c r="E213" t="s">
        <v>622</v>
      </c>
      <c r="F213" t="s">
        <v>623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3</v>
      </c>
      <c r="U213" s="4">
        <f t="shared" si="4"/>
        <v>270000</v>
      </c>
      <c r="V213" s="4">
        <f t="shared" si="6"/>
        <v>540000</v>
      </c>
      <c r="W213" s="4">
        <f t="shared" si="6"/>
        <v>1350000</v>
      </c>
      <c r="X213" s="4">
        <f t="shared" si="6"/>
        <v>2700000</v>
      </c>
      <c r="Y213" s="4">
        <f t="shared" si="6"/>
        <v>4590000</v>
      </c>
      <c r="Z213" s="4">
        <f t="shared" si="6"/>
        <v>7020000</v>
      </c>
      <c r="AA213" s="4">
        <f t="shared" si="6"/>
        <v>9990000</v>
      </c>
      <c r="AB213" s="4">
        <f t="shared" si="6"/>
        <v>13500000</v>
      </c>
    </row>
    <row r="214" spans="1:28" x14ac:dyDescent="0.25">
      <c r="A214">
        <f t="shared" si="3"/>
        <v>213</v>
      </c>
      <c r="B214">
        <v>0</v>
      </c>
      <c r="C214" t="s">
        <v>614</v>
      </c>
      <c r="D214" t="s">
        <v>624</v>
      </c>
      <c r="E214" t="s">
        <v>625</v>
      </c>
      <c r="F214" t="s">
        <v>623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4</v>
      </c>
      <c r="U214" s="4">
        <f t="shared" si="4"/>
        <v>640000</v>
      </c>
      <c r="V214" s="4">
        <f t="shared" si="6"/>
        <v>1280000</v>
      </c>
      <c r="W214" s="4">
        <f t="shared" si="6"/>
        <v>3200000</v>
      </c>
      <c r="X214" s="4">
        <f t="shared" si="6"/>
        <v>6400000</v>
      </c>
      <c r="Y214" s="4">
        <f t="shared" si="6"/>
        <v>10880000</v>
      </c>
      <c r="Z214" s="4">
        <f t="shared" si="6"/>
        <v>16640000</v>
      </c>
      <c r="AA214" s="4">
        <f t="shared" si="6"/>
        <v>23680000</v>
      </c>
      <c r="AB214" s="4">
        <f t="shared" si="6"/>
        <v>32000000</v>
      </c>
    </row>
    <row r="215" spans="1:28" x14ac:dyDescent="0.25">
      <c r="A215">
        <f t="shared" si="3"/>
        <v>214</v>
      </c>
      <c r="B215">
        <v>0</v>
      </c>
      <c r="C215" t="s">
        <v>575</v>
      </c>
      <c r="D215" t="s">
        <v>576</v>
      </c>
      <c r="E215" t="s">
        <v>577</v>
      </c>
      <c r="F215" t="s">
        <v>578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5</v>
      </c>
      <c r="U215" s="4">
        <f t="shared" si="4"/>
        <v>1250000</v>
      </c>
      <c r="V215" s="4">
        <f t="shared" si="6"/>
        <v>2500000</v>
      </c>
      <c r="W215" s="4">
        <f t="shared" si="6"/>
        <v>6250000</v>
      </c>
      <c r="X215" s="4">
        <f t="shared" si="6"/>
        <v>12500000</v>
      </c>
      <c r="Y215" s="4">
        <f t="shared" si="6"/>
        <v>21250000</v>
      </c>
      <c r="Z215" s="4">
        <f t="shared" si="6"/>
        <v>32500000</v>
      </c>
      <c r="AA215" s="4">
        <f t="shared" si="6"/>
        <v>46250000</v>
      </c>
      <c r="AB215" s="4">
        <f t="shared" si="6"/>
        <v>62500000</v>
      </c>
    </row>
    <row r="216" spans="1:28" x14ac:dyDescent="0.25">
      <c r="A216">
        <f t="shared" si="3"/>
        <v>215</v>
      </c>
      <c r="B216">
        <v>0</v>
      </c>
      <c r="C216" t="s">
        <v>575</v>
      </c>
      <c r="D216" t="s">
        <v>579</v>
      </c>
      <c r="E216" t="s">
        <v>580</v>
      </c>
      <c r="F216" t="s">
        <v>578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6</v>
      </c>
      <c r="U216" s="4">
        <f t="shared" si="4"/>
        <v>2160000</v>
      </c>
      <c r="V216" s="4">
        <f t="shared" si="6"/>
        <v>4320000</v>
      </c>
      <c r="W216" s="4">
        <f t="shared" si="6"/>
        <v>10800000</v>
      </c>
      <c r="X216" s="4">
        <f t="shared" si="6"/>
        <v>21600000</v>
      </c>
      <c r="Y216" s="4">
        <f t="shared" si="6"/>
        <v>36720000</v>
      </c>
      <c r="Z216" s="4">
        <f t="shared" si="6"/>
        <v>56160000</v>
      </c>
      <c r="AA216" s="4">
        <f t="shared" si="6"/>
        <v>79920000</v>
      </c>
      <c r="AB216" s="4">
        <f t="shared" si="6"/>
        <v>108000000</v>
      </c>
    </row>
    <row r="217" spans="1:28" x14ac:dyDescent="0.25">
      <c r="A217">
        <f t="shared" si="3"/>
        <v>216</v>
      </c>
      <c r="B217">
        <v>0</v>
      </c>
      <c r="C217" t="s">
        <v>575</v>
      </c>
      <c r="D217" t="s">
        <v>601</v>
      </c>
      <c r="E217" t="s">
        <v>607</v>
      </c>
      <c r="F217">
        <v>0</v>
      </c>
      <c r="G217">
        <v>40</v>
      </c>
      <c r="H217">
        <v>1.7</v>
      </c>
      <c r="I217">
        <v>0.15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7</v>
      </c>
      <c r="U217" s="4">
        <f t="shared" si="4"/>
        <v>3430000</v>
      </c>
      <c r="V217" s="4">
        <f t="shared" si="6"/>
        <v>6860000</v>
      </c>
      <c r="W217" s="4">
        <f t="shared" si="6"/>
        <v>17150000</v>
      </c>
      <c r="X217" s="4">
        <f t="shared" si="6"/>
        <v>34300000</v>
      </c>
      <c r="Y217" s="4">
        <f t="shared" si="6"/>
        <v>58310000</v>
      </c>
      <c r="Z217" s="4">
        <f t="shared" si="6"/>
        <v>89180000</v>
      </c>
      <c r="AA217" s="4">
        <f t="shared" si="6"/>
        <v>126910000</v>
      </c>
      <c r="AB217" s="4">
        <f t="shared" si="6"/>
        <v>171500000</v>
      </c>
    </row>
    <row r="218" spans="1:28" x14ac:dyDescent="0.25">
      <c r="A218">
        <f t="shared" si="3"/>
        <v>217</v>
      </c>
      <c r="B218">
        <v>0</v>
      </c>
      <c r="C218" t="s">
        <v>575</v>
      </c>
      <c r="D218" t="s">
        <v>608</v>
      </c>
      <c r="E218" t="s">
        <v>609</v>
      </c>
      <c r="F218" t="s">
        <v>610</v>
      </c>
      <c r="G218">
        <v>9</v>
      </c>
      <c r="H218">
        <v>14</v>
      </c>
      <c r="I218">
        <v>20</v>
      </c>
      <c r="J218">
        <v>50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8</v>
      </c>
      <c r="U218" s="4">
        <f t="shared" si="4"/>
        <v>5120000</v>
      </c>
      <c r="V218" s="4">
        <f t="shared" si="6"/>
        <v>10240000</v>
      </c>
      <c r="W218" s="4">
        <f t="shared" si="6"/>
        <v>25600000</v>
      </c>
      <c r="X218" s="4">
        <f t="shared" si="6"/>
        <v>51200000</v>
      </c>
      <c r="Y218" s="4">
        <f t="shared" si="6"/>
        <v>87040000</v>
      </c>
      <c r="Z218" s="4">
        <f t="shared" si="6"/>
        <v>133120000</v>
      </c>
      <c r="AA218" s="4">
        <f t="shared" si="6"/>
        <v>189440000</v>
      </c>
      <c r="AB218" s="4">
        <f t="shared" si="6"/>
        <v>256000000</v>
      </c>
    </row>
    <row r="219" spans="1:28" x14ac:dyDescent="0.25">
      <c r="A219">
        <f t="shared" si="3"/>
        <v>218</v>
      </c>
      <c r="B219">
        <v>0</v>
      </c>
      <c r="C219" t="s">
        <v>575</v>
      </c>
      <c r="D219" t="s">
        <v>611</v>
      </c>
      <c r="E219" t="s">
        <v>612</v>
      </c>
      <c r="F219" t="s">
        <v>613</v>
      </c>
      <c r="G219">
        <v>1</v>
      </c>
      <c r="H219">
        <v>1</v>
      </c>
      <c r="I219">
        <v>0.33329999999999999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9</v>
      </c>
      <c r="U219" s="4">
        <f t="shared" si="4"/>
        <v>7290000</v>
      </c>
      <c r="V219" s="4">
        <f t="shared" si="6"/>
        <v>14580000</v>
      </c>
      <c r="W219" s="4">
        <f t="shared" si="6"/>
        <v>36450000</v>
      </c>
      <c r="X219" s="4">
        <f t="shared" si="6"/>
        <v>72900000</v>
      </c>
      <c r="Y219" s="4">
        <f t="shared" si="6"/>
        <v>123930000</v>
      </c>
      <c r="Z219" s="4">
        <f t="shared" si="6"/>
        <v>189540000</v>
      </c>
      <c r="AA219" s="4">
        <f t="shared" si="6"/>
        <v>269730000</v>
      </c>
      <c r="AB219" s="4">
        <f t="shared" si="6"/>
        <v>364500000</v>
      </c>
    </row>
    <row r="220" spans="1:28" x14ac:dyDescent="0.25">
      <c r="A220">
        <f t="shared" si="3"/>
        <v>219</v>
      </c>
      <c r="B220">
        <v>0</v>
      </c>
      <c r="C220" t="s">
        <v>633</v>
      </c>
      <c r="D220" t="s">
        <v>634</v>
      </c>
      <c r="E220" t="s">
        <v>635</v>
      </c>
      <c r="F220" t="s">
        <v>636</v>
      </c>
      <c r="G220">
        <v>20000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10</v>
      </c>
      <c r="U220" s="4">
        <f t="shared" si="4"/>
        <v>10000000</v>
      </c>
      <c r="V220" s="4">
        <f t="shared" si="6"/>
        <v>20000000</v>
      </c>
      <c r="W220" s="4">
        <f t="shared" si="6"/>
        <v>50000000</v>
      </c>
      <c r="X220" s="4">
        <f t="shared" si="6"/>
        <v>100000000</v>
      </c>
      <c r="Y220" s="4">
        <f t="shared" si="6"/>
        <v>170000000</v>
      </c>
      <c r="Z220" s="4">
        <f t="shared" si="6"/>
        <v>260000000</v>
      </c>
      <c r="AA220" s="4">
        <f t="shared" si="6"/>
        <v>370000000</v>
      </c>
      <c r="AB220" s="4">
        <f t="shared" si="6"/>
        <v>500000000</v>
      </c>
    </row>
    <row r="221" spans="1:28" x14ac:dyDescent="0.25">
      <c r="A221">
        <f t="shared" si="3"/>
        <v>220</v>
      </c>
      <c r="B221">
        <v>0</v>
      </c>
      <c r="C221" t="s">
        <v>633</v>
      </c>
      <c r="D221" t="s">
        <v>637</v>
      </c>
      <c r="E221" t="s">
        <v>638</v>
      </c>
      <c r="F221">
        <v>0</v>
      </c>
      <c r="G221">
        <v>30</v>
      </c>
      <c r="H221">
        <v>2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11</v>
      </c>
      <c r="U221" s="4">
        <f t="shared" si="4"/>
        <v>13310000</v>
      </c>
      <c r="V221" s="4">
        <f t="shared" si="6"/>
        <v>26620000</v>
      </c>
      <c r="W221" s="4">
        <f t="shared" si="6"/>
        <v>66550000</v>
      </c>
      <c r="X221" s="4">
        <f t="shared" si="6"/>
        <v>133100000</v>
      </c>
      <c r="Y221" s="4">
        <f t="shared" si="6"/>
        <v>226270000</v>
      </c>
      <c r="Z221" s="4">
        <f t="shared" si="6"/>
        <v>346060000</v>
      </c>
      <c r="AA221" s="4">
        <f t="shared" si="6"/>
        <v>492470000</v>
      </c>
      <c r="AB221" s="4">
        <f t="shared" si="6"/>
        <v>665500000</v>
      </c>
    </row>
    <row r="222" spans="1:28" x14ac:dyDescent="0.25">
      <c r="A222">
        <f t="shared" si="3"/>
        <v>221</v>
      </c>
      <c r="B222">
        <v>0</v>
      </c>
      <c r="C222" t="s">
        <v>633</v>
      </c>
      <c r="D222" t="s">
        <v>639</v>
      </c>
      <c r="E222" t="s">
        <v>640</v>
      </c>
      <c r="F222" t="s">
        <v>641</v>
      </c>
      <c r="G222">
        <v>100</v>
      </c>
      <c r="H222">
        <v>1000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12</v>
      </c>
      <c r="U222" s="4">
        <f t="shared" si="4"/>
        <v>17280000</v>
      </c>
      <c r="V222" s="4">
        <f t="shared" ref="V222:AB230" si="7">($U$209+(V$210-1)^$V$209*$W$209)*$T222^$X$209</f>
        <v>34560000</v>
      </c>
      <c r="W222" s="4">
        <f t="shared" si="7"/>
        <v>86400000</v>
      </c>
      <c r="X222" s="4">
        <f t="shared" si="7"/>
        <v>172800000</v>
      </c>
      <c r="Y222" s="4">
        <f t="shared" si="7"/>
        <v>293760000</v>
      </c>
      <c r="Z222" s="4">
        <f t="shared" si="7"/>
        <v>449280000</v>
      </c>
      <c r="AA222" s="4">
        <f t="shared" si="7"/>
        <v>639360000</v>
      </c>
      <c r="AB222" s="4">
        <f t="shared" si="7"/>
        <v>864000000</v>
      </c>
    </row>
    <row r="223" spans="1:28" x14ac:dyDescent="0.25">
      <c r="A223">
        <f t="shared" si="3"/>
        <v>222</v>
      </c>
      <c r="B223">
        <v>0</v>
      </c>
      <c r="C223" t="s">
        <v>633</v>
      </c>
      <c r="D223" t="s">
        <v>642</v>
      </c>
      <c r="E223" t="s">
        <v>643</v>
      </c>
      <c r="F223" t="s">
        <v>644</v>
      </c>
      <c r="G223">
        <v>10000</v>
      </c>
      <c r="H223">
        <v>10000</v>
      </c>
      <c r="I223">
        <v>1.02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13</v>
      </c>
      <c r="U223" s="4">
        <f t="shared" si="4"/>
        <v>21970000</v>
      </c>
      <c r="V223" s="4">
        <f t="shared" si="7"/>
        <v>43940000</v>
      </c>
      <c r="W223" s="4">
        <f t="shared" si="7"/>
        <v>109850000</v>
      </c>
      <c r="X223" s="4">
        <f t="shared" si="7"/>
        <v>219700000</v>
      </c>
      <c r="Y223" s="4">
        <f t="shared" si="7"/>
        <v>373490000</v>
      </c>
      <c r="Z223" s="4">
        <f t="shared" si="7"/>
        <v>571220000</v>
      </c>
      <c r="AA223" s="4">
        <f t="shared" si="7"/>
        <v>812890000</v>
      </c>
      <c r="AB223" s="4">
        <f t="shared" si="7"/>
        <v>1098500000</v>
      </c>
    </row>
    <row r="224" spans="1:28" x14ac:dyDescent="0.25">
      <c r="A224">
        <f t="shared" si="3"/>
        <v>223</v>
      </c>
      <c r="B224">
        <v>0</v>
      </c>
      <c r="C224" t="s">
        <v>633</v>
      </c>
      <c r="D224" t="s">
        <v>645</v>
      </c>
      <c r="E224" t="s">
        <v>646</v>
      </c>
      <c r="F224">
        <v>0</v>
      </c>
      <c r="G224">
        <v>2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14</v>
      </c>
      <c r="U224" s="4">
        <f t="shared" si="4"/>
        <v>27440000</v>
      </c>
      <c r="V224" s="4">
        <f t="shared" si="7"/>
        <v>54880000</v>
      </c>
      <c r="W224" s="4">
        <f t="shared" si="7"/>
        <v>137200000</v>
      </c>
      <c r="X224" s="4">
        <f t="shared" si="7"/>
        <v>274400000</v>
      </c>
      <c r="Y224" s="4">
        <f t="shared" si="7"/>
        <v>466480000</v>
      </c>
      <c r="Z224" s="4">
        <f t="shared" si="7"/>
        <v>713440000</v>
      </c>
      <c r="AA224" s="4">
        <f t="shared" si="7"/>
        <v>1015280000</v>
      </c>
      <c r="AB224" s="4">
        <f t="shared" si="7"/>
        <v>1372000000</v>
      </c>
    </row>
    <row r="225" spans="1:28" x14ac:dyDescent="0.25">
      <c r="A225">
        <f t="shared" si="3"/>
        <v>224</v>
      </c>
      <c r="B225">
        <v>0</v>
      </c>
      <c r="C225" t="s">
        <v>597</v>
      </c>
      <c r="D225" t="s">
        <v>598</v>
      </c>
      <c r="E225" t="s">
        <v>599</v>
      </c>
      <c r="F225" t="s">
        <v>600</v>
      </c>
      <c r="G225">
        <v>30</v>
      </c>
      <c r="H225">
        <v>6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15</v>
      </c>
      <c r="U225" s="4">
        <f t="shared" si="4"/>
        <v>33750000</v>
      </c>
      <c r="V225" s="4">
        <f t="shared" si="7"/>
        <v>67500000</v>
      </c>
      <c r="W225" s="4">
        <f t="shared" si="7"/>
        <v>168750000</v>
      </c>
      <c r="X225" s="4">
        <f t="shared" si="7"/>
        <v>337500000</v>
      </c>
      <c r="Y225" s="4">
        <f t="shared" si="7"/>
        <v>573750000</v>
      </c>
      <c r="Z225" s="4">
        <f t="shared" si="7"/>
        <v>877500000</v>
      </c>
      <c r="AA225" s="4">
        <f t="shared" si="7"/>
        <v>1248750000</v>
      </c>
      <c r="AB225" s="4">
        <f t="shared" si="7"/>
        <v>1687500000</v>
      </c>
    </row>
    <row r="226" spans="1:28" x14ac:dyDescent="0.25">
      <c r="A226">
        <f t="shared" si="3"/>
        <v>225</v>
      </c>
      <c r="B226">
        <v>0</v>
      </c>
      <c r="C226" t="s">
        <v>597</v>
      </c>
      <c r="D226" t="s">
        <v>601</v>
      </c>
      <c r="E226" t="s">
        <v>602</v>
      </c>
      <c r="F226">
        <v>0</v>
      </c>
      <c r="G226">
        <v>25</v>
      </c>
      <c r="H226">
        <v>1.3</v>
      </c>
      <c r="I226">
        <v>0.2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16</v>
      </c>
      <c r="U226" s="4">
        <f t="shared" si="4"/>
        <v>40960000</v>
      </c>
      <c r="V226" s="4">
        <f t="shared" si="7"/>
        <v>81920000</v>
      </c>
      <c r="W226" s="4">
        <f t="shared" si="7"/>
        <v>204800000</v>
      </c>
      <c r="X226" s="4">
        <f t="shared" si="7"/>
        <v>409600000</v>
      </c>
      <c r="Y226" s="4">
        <f t="shared" si="7"/>
        <v>696320000</v>
      </c>
      <c r="Z226" s="4">
        <f t="shared" si="7"/>
        <v>1064960000</v>
      </c>
      <c r="AA226" s="4">
        <f t="shared" si="7"/>
        <v>1515520000</v>
      </c>
      <c r="AB226" s="4">
        <f t="shared" si="7"/>
        <v>2048000000</v>
      </c>
    </row>
    <row r="227" spans="1:28" x14ac:dyDescent="0.25">
      <c r="A227">
        <f t="shared" si="3"/>
        <v>226</v>
      </c>
      <c r="B227">
        <v>0</v>
      </c>
      <c r="C227" t="s">
        <v>597</v>
      </c>
      <c r="D227" t="s">
        <v>603</v>
      </c>
      <c r="E227" t="s">
        <v>602</v>
      </c>
      <c r="F227">
        <v>0</v>
      </c>
      <c r="G227">
        <v>8</v>
      </c>
      <c r="H227">
        <v>1.35</v>
      </c>
      <c r="I227">
        <v>0.04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17</v>
      </c>
      <c r="U227" s="4">
        <f t="shared" si="4"/>
        <v>49130000</v>
      </c>
      <c r="V227" s="4">
        <f t="shared" si="7"/>
        <v>98260000</v>
      </c>
      <c r="W227" s="4">
        <f t="shared" si="7"/>
        <v>245650000</v>
      </c>
      <c r="X227" s="4">
        <f t="shared" si="7"/>
        <v>491300000</v>
      </c>
      <c r="Y227" s="4">
        <f t="shared" si="7"/>
        <v>835210000</v>
      </c>
      <c r="Z227" s="4">
        <f t="shared" si="7"/>
        <v>1277380000</v>
      </c>
      <c r="AA227" s="4">
        <f t="shared" si="7"/>
        <v>1817810000</v>
      </c>
      <c r="AB227" s="4">
        <f t="shared" si="7"/>
        <v>2456500000</v>
      </c>
    </row>
    <row r="228" spans="1:28" x14ac:dyDescent="0.25">
      <c r="A228">
        <f t="shared" si="3"/>
        <v>227</v>
      </c>
      <c r="B228">
        <v>0</v>
      </c>
      <c r="C228" t="s">
        <v>597</v>
      </c>
      <c r="D228" t="s">
        <v>604</v>
      </c>
      <c r="E228" t="s">
        <v>605</v>
      </c>
      <c r="F228" t="s">
        <v>606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18</v>
      </c>
      <c r="U228" s="4">
        <f t="shared" si="4"/>
        <v>58320000</v>
      </c>
      <c r="V228" s="4">
        <f t="shared" si="7"/>
        <v>116640000</v>
      </c>
      <c r="W228" s="4">
        <f t="shared" si="7"/>
        <v>291600000</v>
      </c>
      <c r="X228" s="4">
        <f t="shared" si="7"/>
        <v>583200000</v>
      </c>
      <c r="Y228" s="4">
        <f t="shared" si="7"/>
        <v>991440000</v>
      </c>
      <c r="Z228" s="4">
        <f t="shared" si="7"/>
        <v>1516320000</v>
      </c>
      <c r="AA228" s="4">
        <f t="shared" si="7"/>
        <v>2157840000</v>
      </c>
      <c r="AB228" s="4">
        <f t="shared" si="7"/>
        <v>2916000000</v>
      </c>
    </row>
    <row r="229" spans="1:28" x14ac:dyDescent="0.25">
      <c r="A229">
        <f t="shared" si="3"/>
        <v>228</v>
      </c>
      <c r="B229">
        <v>0</v>
      </c>
      <c r="C229" t="s">
        <v>647</v>
      </c>
      <c r="D229" t="s">
        <v>648</v>
      </c>
      <c r="E229" t="s">
        <v>649</v>
      </c>
      <c r="F229" t="s">
        <v>650</v>
      </c>
      <c r="G229">
        <v>0.2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19</v>
      </c>
      <c r="U229" s="4">
        <f t="shared" si="4"/>
        <v>68590000</v>
      </c>
      <c r="V229" s="4">
        <f t="shared" si="7"/>
        <v>137180000</v>
      </c>
      <c r="W229" s="4">
        <f t="shared" si="7"/>
        <v>342950000</v>
      </c>
      <c r="X229" s="4">
        <f t="shared" si="7"/>
        <v>685900000</v>
      </c>
      <c r="Y229" s="4">
        <f t="shared" si="7"/>
        <v>1166030000</v>
      </c>
      <c r="Z229" s="4">
        <f t="shared" si="7"/>
        <v>1783340000</v>
      </c>
      <c r="AA229" s="4">
        <f t="shared" si="7"/>
        <v>2537830000</v>
      </c>
      <c r="AB229" s="4">
        <f t="shared" si="7"/>
        <v>3429500000</v>
      </c>
    </row>
    <row r="230" spans="1:28" x14ac:dyDescent="0.25">
      <c r="A230">
        <f t="shared" si="3"/>
        <v>229</v>
      </c>
      <c r="B230">
        <v>0</v>
      </c>
      <c r="C230" t="s">
        <v>647</v>
      </c>
      <c r="D230" t="s">
        <v>651</v>
      </c>
      <c r="E230" t="s">
        <v>652</v>
      </c>
      <c r="F230" t="s">
        <v>653</v>
      </c>
      <c r="G230">
        <v>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20</v>
      </c>
      <c r="U230" s="4">
        <f t="shared" si="4"/>
        <v>80000000</v>
      </c>
      <c r="V230" s="4">
        <f t="shared" si="7"/>
        <v>160000000</v>
      </c>
      <c r="W230" s="4">
        <f t="shared" si="7"/>
        <v>400000000</v>
      </c>
      <c r="X230" s="4">
        <f t="shared" si="7"/>
        <v>800000000</v>
      </c>
      <c r="Y230" s="4">
        <f t="shared" si="7"/>
        <v>1360000000</v>
      </c>
      <c r="Z230" s="4">
        <f t="shared" si="7"/>
        <v>2080000000</v>
      </c>
      <c r="AA230" s="4">
        <f t="shared" si="7"/>
        <v>2960000000</v>
      </c>
      <c r="AB230" s="4">
        <f t="shared" si="7"/>
        <v>4000000000</v>
      </c>
    </row>
    <row r="231" spans="1:28" x14ac:dyDescent="0.25">
      <c r="A231">
        <f t="shared" si="3"/>
        <v>230</v>
      </c>
      <c r="B231">
        <v>0</v>
      </c>
      <c r="C231" t="s">
        <v>647</v>
      </c>
      <c r="D231" t="s">
        <v>654</v>
      </c>
      <c r="E231" t="s">
        <v>655</v>
      </c>
      <c r="F231" t="s">
        <v>656</v>
      </c>
      <c r="G231">
        <v>3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U231" s="4">
        <f>SUM(U211:AB230)</f>
        <v>65268000000</v>
      </c>
    </row>
    <row r="232" spans="1:28" x14ac:dyDescent="0.25">
      <c r="A232">
        <f t="shared" si="3"/>
        <v>231</v>
      </c>
      <c r="B232">
        <v>0</v>
      </c>
      <c r="C232" t="s">
        <v>647</v>
      </c>
      <c r="D232" t="s">
        <v>657</v>
      </c>
      <c r="E232" t="s">
        <v>658</v>
      </c>
      <c r="F232" t="s">
        <v>659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28" x14ac:dyDescent="0.25">
      <c r="A233">
        <f t="shared" si="3"/>
        <v>232</v>
      </c>
      <c r="B233">
        <v>0</v>
      </c>
      <c r="C233" t="s">
        <v>647</v>
      </c>
      <c r="D233" t="s">
        <v>660</v>
      </c>
      <c r="E233" t="s">
        <v>661</v>
      </c>
      <c r="F233" t="s">
        <v>662</v>
      </c>
      <c r="G233">
        <v>100</v>
      </c>
      <c r="H233">
        <v>300</v>
      </c>
      <c r="I233">
        <v>900</v>
      </c>
      <c r="J233">
        <v>2700</v>
      </c>
      <c r="K233">
        <v>8100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647</v>
      </c>
      <c r="D234" t="s">
        <v>663</v>
      </c>
      <c r="E234" t="s">
        <v>664</v>
      </c>
      <c r="F234" t="s">
        <v>665</v>
      </c>
      <c r="G234">
        <v>9</v>
      </c>
      <c r="H234">
        <v>1000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647</v>
      </c>
      <c r="D235" t="s">
        <v>666</v>
      </c>
      <c r="E235" t="s">
        <v>667</v>
      </c>
      <c r="F235" t="s">
        <v>668</v>
      </c>
      <c r="G235">
        <v>0.7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647</v>
      </c>
      <c r="D236" t="s">
        <v>669</v>
      </c>
      <c r="E236" t="s">
        <v>670</v>
      </c>
      <c r="F236" t="s">
        <v>671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647</v>
      </c>
      <c r="D237" t="s">
        <v>672</v>
      </c>
      <c r="E237" t="s">
        <v>673</v>
      </c>
      <c r="F237" t="s">
        <v>674</v>
      </c>
      <c r="G237">
        <v>10</v>
      </c>
      <c r="H237">
        <v>60</v>
      </c>
      <c r="I237">
        <v>10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647</v>
      </c>
      <c r="D238" t="s">
        <v>675</v>
      </c>
      <c r="E238" t="s">
        <v>676</v>
      </c>
      <c r="F238" t="s">
        <v>677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678</v>
      </c>
      <c r="D239" t="s">
        <v>679</v>
      </c>
      <c r="E239" t="s">
        <v>680</v>
      </c>
      <c r="F239" t="s">
        <v>681</v>
      </c>
      <c r="G239">
        <v>100000</v>
      </c>
      <c r="H239">
        <v>3.5</v>
      </c>
      <c r="I239">
        <v>4000000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678</v>
      </c>
      <c r="D240" t="s">
        <v>682</v>
      </c>
      <c r="E240" t="s">
        <v>683</v>
      </c>
      <c r="F240" t="s">
        <v>684</v>
      </c>
      <c r="G240">
        <v>5000</v>
      </c>
      <c r="H240">
        <v>2.5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678</v>
      </c>
      <c r="D241" t="s">
        <v>685</v>
      </c>
      <c r="E241" t="s">
        <v>686</v>
      </c>
      <c r="F241">
        <v>0</v>
      </c>
      <c r="G241">
        <v>8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678</v>
      </c>
      <c r="D242" t="s">
        <v>687</v>
      </c>
      <c r="E242" t="s">
        <v>688</v>
      </c>
      <c r="F242" t="s">
        <v>689</v>
      </c>
      <c r="G242">
        <v>10000</v>
      </c>
      <c r="H242">
        <v>100000</v>
      </c>
      <c r="I242">
        <v>500000</v>
      </c>
      <c r="J242">
        <v>2000000</v>
      </c>
      <c r="K242">
        <v>10000000</v>
      </c>
      <c r="L242">
        <v>50000000</v>
      </c>
      <c r="M242">
        <v>200000000</v>
      </c>
      <c r="N242">
        <v>1000000000</v>
      </c>
      <c r="O242">
        <v>10000000000</v>
      </c>
      <c r="P242">
        <v>1000000000000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761</v>
      </c>
      <c r="D243" t="s">
        <v>691</v>
      </c>
      <c r="E243" t="s">
        <v>762</v>
      </c>
      <c r="F243" t="s">
        <v>763</v>
      </c>
      <c r="G243" t="s">
        <v>764</v>
      </c>
      <c r="H243" t="s">
        <v>765</v>
      </c>
      <c r="I243" t="s">
        <v>766</v>
      </c>
      <c r="J243" t="s">
        <v>767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761</v>
      </c>
      <c r="D244" t="s">
        <v>696</v>
      </c>
      <c r="E244" t="s">
        <v>762</v>
      </c>
      <c r="F244" t="s">
        <v>763</v>
      </c>
      <c r="G244" t="s">
        <v>768</v>
      </c>
      <c r="H244" t="s">
        <v>765</v>
      </c>
      <c r="I244" t="s">
        <v>769</v>
      </c>
      <c r="J244" t="s">
        <v>770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761</v>
      </c>
      <c r="D245" t="s">
        <v>699</v>
      </c>
      <c r="E245" t="s">
        <v>762</v>
      </c>
      <c r="F245" t="s">
        <v>763</v>
      </c>
      <c r="G245" t="s">
        <v>771</v>
      </c>
      <c r="H245" t="s">
        <v>765</v>
      </c>
      <c r="I245" t="s">
        <v>772</v>
      </c>
      <c r="J245" t="s">
        <v>773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761</v>
      </c>
      <c r="D246" t="s">
        <v>702</v>
      </c>
      <c r="E246" t="s">
        <v>762</v>
      </c>
      <c r="F246" t="s">
        <v>763</v>
      </c>
      <c r="G246" t="s">
        <v>774</v>
      </c>
      <c r="H246" t="s">
        <v>765</v>
      </c>
      <c r="I246" t="s">
        <v>772</v>
      </c>
      <c r="J246" t="s">
        <v>773</v>
      </c>
      <c r="K246" t="s">
        <v>775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761</v>
      </c>
      <c r="D247" t="s">
        <v>705</v>
      </c>
      <c r="E247" t="s">
        <v>762</v>
      </c>
      <c r="F247" t="s">
        <v>763</v>
      </c>
      <c r="G247" t="s">
        <v>776</v>
      </c>
      <c r="H247" t="s">
        <v>765</v>
      </c>
      <c r="I247" t="s">
        <v>772</v>
      </c>
      <c r="J247" t="s">
        <v>777</v>
      </c>
      <c r="K247" t="s">
        <v>778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761</v>
      </c>
      <c r="D248" t="s">
        <v>708</v>
      </c>
      <c r="E248" t="s">
        <v>762</v>
      </c>
      <c r="F248" t="s">
        <v>763</v>
      </c>
      <c r="G248" t="s">
        <v>779</v>
      </c>
      <c r="H248" t="s">
        <v>765</v>
      </c>
      <c r="I248" t="s">
        <v>772</v>
      </c>
      <c r="J248" t="s">
        <v>780</v>
      </c>
      <c r="K248" t="s">
        <v>781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761</v>
      </c>
      <c r="D249" t="s">
        <v>711</v>
      </c>
      <c r="E249" t="s">
        <v>762</v>
      </c>
      <c r="F249" t="s">
        <v>763</v>
      </c>
      <c r="G249" t="s">
        <v>782</v>
      </c>
      <c r="H249" t="s">
        <v>765</v>
      </c>
      <c r="I249" t="s">
        <v>783</v>
      </c>
      <c r="J249" t="s">
        <v>784</v>
      </c>
      <c r="K249" t="s">
        <v>785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761</v>
      </c>
      <c r="D250" t="s">
        <v>716</v>
      </c>
      <c r="E250" t="s">
        <v>762</v>
      </c>
      <c r="F250" t="s">
        <v>763</v>
      </c>
      <c r="G250" t="s">
        <v>786</v>
      </c>
      <c r="H250" t="s">
        <v>765</v>
      </c>
      <c r="I250" t="s">
        <v>787</v>
      </c>
      <c r="J250" t="s">
        <v>788</v>
      </c>
      <c r="K250" t="s">
        <v>789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761</v>
      </c>
      <c r="D251" t="s">
        <v>718</v>
      </c>
      <c r="E251" t="s">
        <v>762</v>
      </c>
      <c r="F251" t="s">
        <v>763</v>
      </c>
      <c r="G251" t="s">
        <v>790</v>
      </c>
      <c r="H251" t="s">
        <v>765</v>
      </c>
      <c r="I251" t="s">
        <v>791</v>
      </c>
      <c r="J251" t="s">
        <v>792</v>
      </c>
      <c r="K251" t="s">
        <v>793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761</v>
      </c>
      <c r="D252" t="s">
        <v>722</v>
      </c>
      <c r="E252" t="s">
        <v>762</v>
      </c>
      <c r="F252" t="s">
        <v>763</v>
      </c>
      <c r="G252" t="s">
        <v>794</v>
      </c>
      <c r="H252" t="s">
        <v>765</v>
      </c>
      <c r="I252" t="s">
        <v>791</v>
      </c>
      <c r="J252" t="s">
        <v>792</v>
      </c>
      <c r="K252" t="s">
        <v>795</v>
      </c>
      <c r="L252" t="s">
        <v>796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761</v>
      </c>
      <c r="D253" t="s">
        <v>726</v>
      </c>
      <c r="E253" t="s">
        <v>762</v>
      </c>
      <c r="F253" t="s">
        <v>763</v>
      </c>
      <c r="G253" t="s">
        <v>797</v>
      </c>
      <c r="H253" t="s">
        <v>765</v>
      </c>
      <c r="I253" t="s">
        <v>791</v>
      </c>
      <c r="J253" t="s">
        <v>792</v>
      </c>
      <c r="K253" t="s">
        <v>798</v>
      </c>
      <c r="L253" t="s">
        <v>799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761</v>
      </c>
      <c r="D254" t="s">
        <v>730</v>
      </c>
      <c r="E254" t="s">
        <v>762</v>
      </c>
      <c r="F254" t="s">
        <v>763</v>
      </c>
      <c r="G254" t="s">
        <v>800</v>
      </c>
      <c r="H254" t="s">
        <v>765</v>
      </c>
      <c r="I254" t="s">
        <v>801</v>
      </c>
      <c r="J254" t="s">
        <v>802</v>
      </c>
      <c r="K254" t="s">
        <v>803</v>
      </c>
      <c r="L254" t="s">
        <v>804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761</v>
      </c>
      <c r="D255" t="s">
        <v>734</v>
      </c>
      <c r="E255" t="s">
        <v>762</v>
      </c>
      <c r="F255" t="s">
        <v>763</v>
      </c>
      <c r="G255" t="s">
        <v>805</v>
      </c>
      <c r="H255" t="s">
        <v>765</v>
      </c>
      <c r="I255" t="s">
        <v>801</v>
      </c>
      <c r="J255" t="s">
        <v>802</v>
      </c>
      <c r="K255" t="s">
        <v>803</v>
      </c>
      <c r="L255" t="s">
        <v>806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761</v>
      </c>
      <c r="D256" t="s">
        <v>738</v>
      </c>
      <c r="E256" t="s">
        <v>762</v>
      </c>
      <c r="F256" t="s">
        <v>763</v>
      </c>
      <c r="G256" t="s">
        <v>807</v>
      </c>
      <c r="H256" t="s">
        <v>765</v>
      </c>
      <c r="I256" t="s">
        <v>801</v>
      </c>
      <c r="J256" t="s">
        <v>802</v>
      </c>
      <c r="K256" t="s">
        <v>803</v>
      </c>
      <c r="L256" t="s">
        <v>808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761</v>
      </c>
      <c r="D257" t="s">
        <v>742</v>
      </c>
      <c r="E257" t="s">
        <v>762</v>
      </c>
      <c r="F257" t="s">
        <v>763</v>
      </c>
      <c r="G257" t="s">
        <v>809</v>
      </c>
      <c r="H257" t="s">
        <v>765</v>
      </c>
      <c r="I257" t="s">
        <v>801</v>
      </c>
      <c r="J257" t="s">
        <v>810</v>
      </c>
      <c r="K257" t="s">
        <v>811</v>
      </c>
      <c r="L257" t="s">
        <v>804</v>
      </c>
      <c r="M257" t="s">
        <v>812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761</v>
      </c>
      <c r="D258" t="s">
        <v>746</v>
      </c>
      <c r="E258" t="s">
        <v>762</v>
      </c>
      <c r="F258" t="s">
        <v>763</v>
      </c>
      <c r="G258" t="s">
        <v>813</v>
      </c>
      <c r="H258" t="s">
        <v>765</v>
      </c>
      <c r="I258" t="s">
        <v>801</v>
      </c>
      <c r="J258" t="s">
        <v>810</v>
      </c>
      <c r="K258" t="s">
        <v>811</v>
      </c>
      <c r="L258" t="s">
        <v>806</v>
      </c>
      <c r="M258" t="s">
        <v>814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761</v>
      </c>
      <c r="D259" t="s">
        <v>750</v>
      </c>
      <c r="E259" t="s">
        <v>762</v>
      </c>
      <c r="F259" t="s">
        <v>763</v>
      </c>
      <c r="G259" t="s">
        <v>815</v>
      </c>
      <c r="H259" t="s">
        <v>765</v>
      </c>
      <c r="I259" t="s">
        <v>801</v>
      </c>
      <c r="J259" t="s">
        <v>810</v>
      </c>
      <c r="K259" t="s">
        <v>811</v>
      </c>
      <c r="L259" t="s">
        <v>806</v>
      </c>
      <c r="M259" t="s">
        <v>816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8">A259+1</f>
        <v>259</v>
      </c>
      <c r="B260">
        <v>0</v>
      </c>
      <c r="C260" t="s">
        <v>761</v>
      </c>
      <c r="D260" t="s">
        <v>754</v>
      </c>
      <c r="E260" t="s">
        <v>762</v>
      </c>
      <c r="F260" t="s">
        <v>763</v>
      </c>
      <c r="G260" t="s">
        <v>817</v>
      </c>
      <c r="H260" t="s">
        <v>765</v>
      </c>
      <c r="I260" t="s">
        <v>801</v>
      </c>
      <c r="J260" t="s">
        <v>810</v>
      </c>
      <c r="K260" t="s">
        <v>811</v>
      </c>
      <c r="L260" t="s">
        <v>806</v>
      </c>
      <c r="M260" t="s">
        <v>816</v>
      </c>
      <c r="N260" t="s">
        <v>818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8"/>
        <v>260</v>
      </c>
      <c r="B261">
        <v>0</v>
      </c>
      <c r="C261" t="s">
        <v>761</v>
      </c>
      <c r="D261" t="s">
        <v>759</v>
      </c>
      <c r="E261" t="s">
        <v>762</v>
      </c>
      <c r="F261" t="s">
        <v>763</v>
      </c>
      <c r="G261" t="s">
        <v>819</v>
      </c>
      <c r="H261" t="s">
        <v>765</v>
      </c>
      <c r="I261" t="s">
        <v>801</v>
      </c>
      <c r="J261" t="s">
        <v>810</v>
      </c>
      <c r="K261" t="s">
        <v>811</v>
      </c>
      <c r="L261" t="s">
        <v>806</v>
      </c>
      <c r="M261" t="s">
        <v>816</v>
      </c>
      <c r="N261" t="s">
        <v>820</v>
      </c>
      <c r="O261" t="s">
        <v>821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761</v>
      </c>
      <c r="D262" t="s">
        <v>760</v>
      </c>
      <c r="E262" t="s">
        <v>762</v>
      </c>
      <c r="F262" t="s">
        <v>763</v>
      </c>
      <c r="G262" t="s">
        <v>822</v>
      </c>
      <c r="H262" t="s">
        <v>765</v>
      </c>
      <c r="I262" t="s">
        <v>801</v>
      </c>
      <c r="J262" t="s">
        <v>810</v>
      </c>
      <c r="K262" t="s">
        <v>811</v>
      </c>
      <c r="L262" t="s">
        <v>806</v>
      </c>
      <c r="M262" t="s">
        <v>816</v>
      </c>
      <c r="N262" t="s">
        <v>823</v>
      </c>
      <c r="O262" t="s">
        <v>824</v>
      </c>
      <c r="P262" t="s">
        <v>825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690</v>
      </c>
      <c r="D263" t="s">
        <v>691</v>
      </c>
      <c r="E263" t="s">
        <v>692</v>
      </c>
      <c r="F263" t="s">
        <v>693</v>
      </c>
      <c r="G263" t="s">
        <v>694</v>
      </c>
      <c r="H263" t="s">
        <v>695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690</v>
      </c>
      <c r="D264" t="s">
        <v>696</v>
      </c>
      <c r="E264" t="s">
        <v>692</v>
      </c>
      <c r="F264" t="s">
        <v>693</v>
      </c>
      <c r="G264" t="s">
        <v>694</v>
      </c>
      <c r="H264" t="s">
        <v>697</v>
      </c>
      <c r="I264" t="s">
        <v>698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690</v>
      </c>
      <c r="D265" t="s">
        <v>699</v>
      </c>
      <c r="E265" t="s">
        <v>692</v>
      </c>
      <c r="F265" t="s">
        <v>693</v>
      </c>
      <c r="G265" t="s">
        <v>694</v>
      </c>
      <c r="H265" t="s">
        <v>700</v>
      </c>
      <c r="I265" t="s">
        <v>698</v>
      </c>
      <c r="J265" t="s">
        <v>701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690</v>
      </c>
      <c r="D266" t="s">
        <v>702</v>
      </c>
      <c r="E266" t="s">
        <v>692</v>
      </c>
      <c r="F266" t="s">
        <v>693</v>
      </c>
      <c r="G266" t="s">
        <v>703</v>
      </c>
      <c r="H266" t="s">
        <v>700</v>
      </c>
      <c r="I266" t="s">
        <v>704</v>
      </c>
      <c r="J266" t="s">
        <v>701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690</v>
      </c>
      <c r="D267" t="s">
        <v>705</v>
      </c>
      <c r="E267" t="s">
        <v>692</v>
      </c>
      <c r="F267" t="s">
        <v>693</v>
      </c>
      <c r="G267" t="s">
        <v>706</v>
      </c>
      <c r="H267" t="s">
        <v>700</v>
      </c>
      <c r="I267" t="s">
        <v>704</v>
      </c>
      <c r="J267" t="s">
        <v>707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690</v>
      </c>
      <c r="D268" t="s">
        <v>708</v>
      </c>
      <c r="E268" t="s">
        <v>692</v>
      </c>
      <c r="F268" t="s">
        <v>693</v>
      </c>
      <c r="G268" t="s">
        <v>709</v>
      </c>
      <c r="H268" t="s">
        <v>700</v>
      </c>
      <c r="I268" t="s">
        <v>704</v>
      </c>
      <c r="J268" t="s">
        <v>707</v>
      </c>
      <c r="K268" t="s">
        <v>710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690</v>
      </c>
      <c r="D269" t="s">
        <v>711</v>
      </c>
      <c r="E269" t="s">
        <v>692</v>
      </c>
      <c r="F269" t="s">
        <v>693</v>
      </c>
      <c r="G269" t="s">
        <v>712</v>
      </c>
      <c r="H269" t="s">
        <v>713</v>
      </c>
      <c r="I269" t="s">
        <v>707</v>
      </c>
      <c r="J269" t="s">
        <v>714</v>
      </c>
      <c r="K269" t="s">
        <v>715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690</v>
      </c>
      <c r="D270" t="s">
        <v>716</v>
      </c>
      <c r="E270" t="s">
        <v>692</v>
      </c>
      <c r="F270" t="s">
        <v>693</v>
      </c>
      <c r="G270" t="s">
        <v>700</v>
      </c>
      <c r="H270" t="s">
        <v>713</v>
      </c>
      <c r="I270" t="s">
        <v>707</v>
      </c>
      <c r="J270" t="s">
        <v>714</v>
      </c>
      <c r="K270" t="s">
        <v>717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690</v>
      </c>
      <c r="D271" t="s">
        <v>718</v>
      </c>
      <c r="E271" t="s">
        <v>692</v>
      </c>
      <c r="F271" t="s">
        <v>693</v>
      </c>
      <c r="G271" t="s">
        <v>713</v>
      </c>
      <c r="H271" t="s">
        <v>719</v>
      </c>
      <c r="I271" t="s">
        <v>714</v>
      </c>
      <c r="J271" t="s">
        <v>720</v>
      </c>
      <c r="K271" t="s">
        <v>721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690</v>
      </c>
      <c r="D272" t="s">
        <v>722</v>
      </c>
      <c r="E272" t="s">
        <v>692</v>
      </c>
      <c r="F272" t="s">
        <v>693</v>
      </c>
      <c r="G272" t="s">
        <v>719</v>
      </c>
      <c r="H272" t="s">
        <v>723</v>
      </c>
      <c r="I272" t="s">
        <v>720</v>
      </c>
      <c r="J272" t="s">
        <v>724</v>
      </c>
      <c r="K272" t="s">
        <v>725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690</v>
      </c>
      <c r="D273" t="s">
        <v>726</v>
      </c>
      <c r="E273" t="s">
        <v>692</v>
      </c>
      <c r="F273" t="s">
        <v>693</v>
      </c>
      <c r="G273" t="s">
        <v>723</v>
      </c>
      <c r="H273" t="s">
        <v>727</v>
      </c>
      <c r="I273" t="s">
        <v>724</v>
      </c>
      <c r="J273" t="s">
        <v>728</v>
      </c>
      <c r="K273" t="s">
        <v>729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690</v>
      </c>
      <c r="D274" t="s">
        <v>730</v>
      </c>
      <c r="E274" t="s">
        <v>692</v>
      </c>
      <c r="F274" t="s">
        <v>693</v>
      </c>
      <c r="G274" t="s">
        <v>727</v>
      </c>
      <c r="H274" t="s">
        <v>731</v>
      </c>
      <c r="I274" t="s">
        <v>728</v>
      </c>
      <c r="J274" t="s">
        <v>732</v>
      </c>
      <c r="K274" t="s">
        <v>733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690</v>
      </c>
      <c r="D275" t="s">
        <v>734</v>
      </c>
      <c r="E275" t="s">
        <v>692</v>
      </c>
      <c r="F275" t="s">
        <v>693</v>
      </c>
      <c r="G275" t="s">
        <v>731</v>
      </c>
      <c r="H275" t="s">
        <v>735</v>
      </c>
      <c r="I275" t="s">
        <v>732</v>
      </c>
      <c r="J275" t="s">
        <v>736</v>
      </c>
      <c r="K275" t="s">
        <v>737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690</v>
      </c>
      <c r="D276" t="s">
        <v>738</v>
      </c>
      <c r="E276" t="s">
        <v>692</v>
      </c>
      <c r="F276" t="s">
        <v>693</v>
      </c>
      <c r="G276" t="s">
        <v>735</v>
      </c>
      <c r="H276" t="s">
        <v>739</v>
      </c>
      <c r="I276" t="s">
        <v>736</v>
      </c>
      <c r="J276" t="s">
        <v>740</v>
      </c>
      <c r="K276" t="s">
        <v>741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690</v>
      </c>
      <c r="D277" t="s">
        <v>742</v>
      </c>
      <c r="E277" t="s">
        <v>692</v>
      </c>
      <c r="F277" t="s">
        <v>693</v>
      </c>
      <c r="G277" t="s">
        <v>739</v>
      </c>
      <c r="H277" t="s">
        <v>743</v>
      </c>
      <c r="I277" t="s">
        <v>740</v>
      </c>
      <c r="J277" t="s">
        <v>744</v>
      </c>
      <c r="K277" t="s">
        <v>745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690</v>
      </c>
      <c r="D278" t="s">
        <v>746</v>
      </c>
      <c r="E278" t="s">
        <v>692</v>
      </c>
      <c r="F278" t="s">
        <v>693</v>
      </c>
      <c r="G278" t="s">
        <v>743</v>
      </c>
      <c r="H278" t="s">
        <v>747</v>
      </c>
      <c r="I278" t="s">
        <v>744</v>
      </c>
      <c r="J278" t="s">
        <v>748</v>
      </c>
      <c r="K278" t="s">
        <v>749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690</v>
      </c>
      <c r="D279" t="s">
        <v>750</v>
      </c>
      <c r="E279" t="s">
        <v>692</v>
      </c>
      <c r="F279" t="s">
        <v>693</v>
      </c>
      <c r="G279" t="s">
        <v>747</v>
      </c>
      <c r="H279" t="s">
        <v>751</v>
      </c>
      <c r="I279" t="s">
        <v>748</v>
      </c>
      <c r="J279" t="s">
        <v>752</v>
      </c>
      <c r="K279" t="s">
        <v>753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690</v>
      </c>
      <c r="D280" t="s">
        <v>754</v>
      </c>
      <c r="E280" t="s">
        <v>692</v>
      </c>
      <c r="F280" t="s">
        <v>693</v>
      </c>
      <c r="G280" t="s">
        <v>737</v>
      </c>
      <c r="H280" t="s">
        <v>755</v>
      </c>
      <c r="I280" t="s">
        <v>756</v>
      </c>
      <c r="J280" t="s">
        <v>752</v>
      </c>
      <c r="K280" t="s">
        <v>757</v>
      </c>
      <c r="L280" t="s">
        <v>758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690</v>
      </c>
      <c r="D281" t="s">
        <v>759</v>
      </c>
      <c r="E281" t="s">
        <v>692</v>
      </c>
      <c r="F281" t="s">
        <v>693</v>
      </c>
      <c r="G281" t="s">
        <v>737</v>
      </c>
      <c r="H281" t="s">
        <v>755</v>
      </c>
      <c r="I281" t="s">
        <v>756</v>
      </c>
      <c r="J281" t="s">
        <v>752</v>
      </c>
      <c r="K281" t="s">
        <v>757</v>
      </c>
      <c r="L281" t="s">
        <v>758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690</v>
      </c>
      <c r="D282" t="s">
        <v>760</v>
      </c>
      <c r="E282" t="s">
        <v>692</v>
      </c>
      <c r="F282" t="s">
        <v>693</v>
      </c>
      <c r="G282" t="s">
        <v>737</v>
      </c>
      <c r="H282" t="s">
        <v>755</v>
      </c>
      <c r="I282" t="s">
        <v>756</v>
      </c>
      <c r="J282" t="s">
        <v>752</v>
      </c>
      <c r="K282" t="s">
        <v>757</v>
      </c>
      <c r="L282" t="s">
        <v>758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826</v>
      </c>
      <c r="D283" t="s">
        <v>827</v>
      </c>
      <c r="E283" t="s">
        <v>828</v>
      </c>
      <c r="F283" t="s">
        <v>829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826</v>
      </c>
      <c r="D284" t="s">
        <v>830</v>
      </c>
      <c r="E284" t="s">
        <v>831</v>
      </c>
      <c r="F284" t="s">
        <v>832</v>
      </c>
      <c r="G284">
        <v>0.1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826</v>
      </c>
      <c r="D285" t="s">
        <v>833</v>
      </c>
      <c r="E285" t="s">
        <v>834</v>
      </c>
      <c r="F285" t="s">
        <v>835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826</v>
      </c>
      <c r="D286" t="s">
        <v>836</v>
      </c>
      <c r="E286" t="s">
        <v>837</v>
      </c>
      <c r="F286" t="s">
        <v>838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826</v>
      </c>
      <c r="D287" t="s">
        <v>839</v>
      </c>
      <c r="E287" t="s">
        <v>840</v>
      </c>
      <c r="F287" t="s">
        <v>841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826</v>
      </c>
      <c r="D288" t="s">
        <v>842</v>
      </c>
      <c r="E288" t="s">
        <v>843</v>
      </c>
      <c r="F288" t="s">
        <v>844</v>
      </c>
      <c r="G288">
        <v>0.4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826</v>
      </c>
      <c r="D289" t="s">
        <v>679</v>
      </c>
      <c r="E289" t="s">
        <v>845</v>
      </c>
      <c r="F289" t="s">
        <v>846</v>
      </c>
      <c r="G289">
        <v>1000</v>
      </c>
      <c r="H289">
        <v>20</v>
      </c>
      <c r="I289">
        <v>10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826</v>
      </c>
      <c r="D290" t="s">
        <v>847</v>
      </c>
      <c r="E290" t="s">
        <v>848</v>
      </c>
      <c r="F290" t="s">
        <v>849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826</v>
      </c>
      <c r="D291" t="s">
        <v>850</v>
      </c>
      <c r="E291" t="s">
        <v>851</v>
      </c>
      <c r="F291" t="s">
        <v>852</v>
      </c>
      <c r="G291">
        <v>30</v>
      </c>
      <c r="H291">
        <v>10</v>
      </c>
      <c r="I291">
        <v>0.8</v>
      </c>
      <c r="J291">
        <v>1.5</v>
      </c>
      <c r="K291">
        <v>0.3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853</v>
      </c>
      <c r="D292" t="s">
        <v>854</v>
      </c>
      <c r="E292" t="s">
        <v>855</v>
      </c>
      <c r="F292" t="s">
        <v>856</v>
      </c>
      <c r="G292">
        <v>0.75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853</v>
      </c>
      <c r="D293" t="s">
        <v>857</v>
      </c>
      <c r="E293" t="s">
        <v>858</v>
      </c>
      <c r="F293">
        <v>0</v>
      </c>
      <c r="G293">
        <v>1.25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853</v>
      </c>
      <c r="D294" t="s">
        <v>859</v>
      </c>
      <c r="E294" t="s">
        <v>616</v>
      </c>
      <c r="F294" t="s">
        <v>860</v>
      </c>
      <c r="G294">
        <v>45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853</v>
      </c>
      <c r="D295" t="s">
        <v>861</v>
      </c>
      <c r="E295" t="s">
        <v>862</v>
      </c>
      <c r="F295" t="s">
        <v>863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853</v>
      </c>
      <c r="D296" t="s">
        <v>864</v>
      </c>
      <c r="E296" t="s">
        <v>865</v>
      </c>
      <c r="F296" t="s">
        <v>866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853</v>
      </c>
      <c r="D297" t="s">
        <v>954</v>
      </c>
      <c r="E297" t="s">
        <v>955</v>
      </c>
      <c r="F297" t="s">
        <v>956</v>
      </c>
      <c r="G297">
        <v>50000</v>
      </c>
      <c r="H297">
        <v>5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853</v>
      </c>
      <c r="D298" t="s">
        <v>957</v>
      </c>
      <c r="E298" t="s">
        <v>958</v>
      </c>
      <c r="F298" t="s">
        <v>959</v>
      </c>
      <c r="G298">
        <v>10</v>
      </c>
      <c r="H298">
        <v>0.65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853</v>
      </c>
      <c r="D299" t="s">
        <v>960</v>
      </c>
      <c r="E299" t="s">
        <v>961</v>
      </c>
      <c r="F299" t="s">
        <v>962</v>
      </c>
      <c r="G299">
        <v>75</v>
      </c>
      <c r="H299">
        <v>100</v>
      </c>
      <c r="I299">
        <v>125</v>
      </c>
      <c r="J299">
        <v>150</v>
      </c>
      <c r="K299">
        <v>20</v>
      </c>
      <c r="L299">
        <v>30</v>
      </c>
      <c r="M299">
        <v>30</v>
      </c>
      <c r="N299">
        <v>20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853</v>
      </c>
      <c r="D300" t="s">
        <v>963</v>
      </c>
      <c r="E300" t="s">
        <v>964</v>
      </c>
      <c r="F300" t="s">
        <v>965</v>
      </c>
      <c r="G300">
        <v>25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853</v>
      </c>
      <c r="D301" t="s">
        <v>966</v>
      </c>
      <c r="E301" t="s">
        <v>616</v>
      </c>
      <c r="F301" t="s">
        <v>967</v>
      </c>
      <c r="G301">
        <v>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853</v>
      </c>
      <c r="D302" t="s">
        <v>968</v>
      </c>
      <c r="E302" t="s">
        <v>969</v>
      </c>
      <c r="F302" t="s">
        <v>970</v>
      </c>
      <c r="G302">
        <v>0.6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891</v>
      </c>
      <c r="D303" t="s">
        <v>892</v>
      </c>
      <c r="E303" t="s">
        <v>893</v>
      </c>
      <c r="F303" t="s">
        <v>894</v>
      </c>
      <c r="G303">
        <v>25</v>
      </c>
      <c r="H303">
        <v>25</v>
      </c>
      <c r="I303" t="s">
        <v>895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891</v>
      </c>
      <c r="D304" t="s">
        <v>896</v>
      </c>
      <c r="E304" t="s">
        <v>893</v>
      </c>
      <c r="F304" t="s">
        <v>897</v>
      </c>
      <c r="G304">
        <v>20</v>
      </c>
      <c r="H304">
        <v>20</v>
      </c>
      <c r="I304" t="s">
        <v>895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891</v>
      </c>
      <c r="D305" t="s">
        <v>898</v>
      </c>
      <c r="E305" t="s">
        <v>893</v>
      </c>
      <c r="F305" t="s">
        <v>899</v>
      </c>
      <c r="G305">
        <v>3</v>
      </c>
      <c r="H305">
        <v>1.5</v>
      </c>
      <c r="I305" t="s">
        <v>895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891</v>
      </c>
      <c r="D306" t="s">
        <v>900</v>
      </c>
      <c r="E306" t="s">
        <v>893</v>
      </c>
      <c r="F306" t="s">
        <v>901</v>
      </c>
      <c r="G306">
        <v>20</v>
      </c>
      <c r="H306">
        <v>20</v>
      </c>
      <c r="I306" t="s">
        <v>895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891</v>
      </c>
      <c r="D307" t="s">
        <v>902</v>
      </c>
      <c r="E307" t="s">
        <v>893</v>
      </c>
      <c r="F307" t="s">
        <v>903</v>
      </c>
      <c r="G307">
        <v>3</v>
      </c>
      <c r="H307">
        <v>1.5</v>
      </c>
      <c r="I307" t="s">
        <v>895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891</v>
      </c>
      <c r="D308" t="s">
        <v>904</v>
      </c>
      <c r="E308" t="s">
        <v>893</v>
      </c>
      <c r="F308" t="s">
        <v>905</v>
      </c>
      <c r="G308">
        <v>3</v>
      </c>
      <c r="H308">
        <v>1.5</v>
      </c>
      <c r="I308" t="s">
        <v>895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891</v>
      </c>
      <c r="D309" t="s">
        <v>906</v>
      </c>
      <c r="E309" t="s">
        <v>893</v>
      </c>
      <c r="F309" t="s">
        <v>907</v>
      </c>
      <c r="G309">
        <v>3</v>
      </c>
      <c r="H309">
        <v>1.5</v>
      </c>
      <c r="I309" t="s">
        <v>895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891</v>
      </c>
      <c r="D310" t="s">
        <v>908</v>
      </c>
      <c r="E310" t="s">
        <v>893</v>
      </c>
      <c r="F310" t="s">
        <v>909</v>
      </c>
      <c r="G310">
        <v>25</v>
      </c>
      <c r="H310">
        <v>25</v>
      </c>
      <c r="I310" t="s">
        <v>895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891</v>
      </c>
      <c r="D311" t="s">
        <v>910</v>
      </c>
      <c r="E311" t="s">
        <v>893</v>
      </c>
      <c r="F311" t="s">
        <v>911</v>
      </c>
      <c r="G311">
        <v>5</v>
      </c>
      <c r="H311">
        <v>2.5</v>
      </c>
      <c r="I311" t="s">
        <v>895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912</v>
      </c>
      <c r="D312" t="s">
        <v>913</v>
      </c>
      <c r="E312" s="3" t="s">
        <v>1020</v>
      </c>
      <c r="F312" t="s">
        <v>914</v>
      </c>
      <c r="G312">
        <v>2</v>
      </c>
      <c r="H312">
        <v>3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912</v>
      </c>
      <c r="D313" t="s">
        <v>915</v>
      </c>
      <c r="E313" t="s">
        <v>916</v>
      </c>
      <c r="F313" t="s">
        <v>917</v>
      </c>
      <c r="G313">
        <v>5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912</v>
      </c>
      <c r="D314" t="s">
        <v>918</v>
      </c>
      <c r="E314" t="s">
        <v>919</v>
      </c>
      <c r="F314" t="s">
        <v>920</v>
      </c>
      <c r="G314">
        <v>10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912</v>
      </c>
      <c r="D315" t="s">
        <v>921</v>
      </c>
      <c r="E315" t="s">
        <v>922</v>
      </c>
      <c r="F315" t="s">
        <v>923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912</v>
      </c>
      <c r="D316" t="s">
        <v>924</v>
      </c>
      <c r="E316" t="s">
        <v>925</v>
      </c>
      <c r="F316" t="s">
        <v>926</v>
      </c>
      <c r="G316">
        <v>2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912</v>
      </c>
      <c r="D317" t="s">
        <v>927</v>
      </c>
      <c r="E317" t="s">
        <v>928</v>
      </c>
      <c r="F317" t="s">
        <v>929</v>
      </c>
      <c r="G317">
        <v>5</v>
      </c>
      <c r="H317">
        <v>10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912</v>
      </c>
      <c r="D318" t="s">
        <v>930</v>
      </c>
      <c r="E318" t="s">
        <v>931</v>
      </c>
      <c r="F318" t="s">
        <v>932</v>
      </c>
      <c r="G318">
        <v>10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912</v>
      </c>
      <c r="D319" t="s">
        <v>933</v>
      </c>
      <c r="E319" t="s">
        <v>934</v>
      </c>
      <c r="F319" t="s">
        <v>935</v>
      </c>
      <c r="G319">
        <v>20000</v>
      </c>
      <c r="H319">
        <v>10000</v>
      </c>
      <c r="I319">
        <v>6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880</v>
      </c>
      <c r="D320" t="s">
        <v>881</v>
      </c>
      <c r="E320" t="s">
        <v>39</v>
      </c>
      <c r="F320" t="s">
        <v>882</v>
      </c>
      <c r="G320">
        <v>1</v>
      </c>
      <c r="H320">
        <v>1</v>
      </c>
      <c r="I320">
        <v>1</v>
      </c>
      <c r="J320">
        <v>1</v>
      </c>
      <c r="K320">
        <v>0</v>
      </c>
      <c r="L320">
        <v>1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8"/>
        <v>320</v>
      </c>
      <c r="B321">
        <v>0</v>
      </c>
      <c r="C321" t="s">
        <v>880</v>
      </c>
      <c r="D321" t="s">
        <v>883</v>
      </c>
      <c r="E321" t="s">
        <v>39</v>
      </c>
      <c r="F321" t="s">
        <v>882</v>
      </c>
      <c r="G321">
        <v>1.35</v>
      </c>
      <c r="H321">
        <v>2</v>
      </c>
      <c r="I321">
        <v>2</v>
      </c>
      <c r="J321">
        <v>1</v>
      </c>
      <c r="K321">
        <v>1</v>
      </c>
      <c r="L321">
        <v>1.7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880</v>
      </c>
      <c r="D322" t="s">
        <v>884</v>
      </c>
      <c r="E322" t="s">
        <v>39</v>
      </c>
      <c r="F322" t="s">
        <v>882</v>
      </c>
      <c r="G322">
        <v>1.75</v>
      </c>
      <c r="H322">
        <v>2</v>
      </c>
      <c r="I322">
        <v>2</v>
      </c>
      <c r="J322">
        <v>1</v>
      </c>
      <c r="K322">
        <v>1</v>
      </c>
      <c r="L322">
        <v>2.8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880</v>
      </c>
      <c r="D323" t="s">
        <v>885</v>
      </c>
      <c r="E323" t="s">
        <v>39</v>
      </c>
      <c r="F323" t="s">
        <v>882</v>
      </c>
      <c r="G323">
        <v>2.2999999999999998</v>
      </c>
      <c r="H323">
        <v>3</v>
      </c>
      <c r="I323">
        <v>3</v>
      </c>
      <c r="J323">
        <v>2</v>
      </c>
      <c r="K323">
        <v>1</v>
      </c>
      <c r="L323">
        <v>4.5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30" si="9">A323+1</f>
        <v>323</v>
      </c>
      <c r="B324">
        <v>0</v>
      </c>
      <c r="C324" t="s">
        <v>880</v>
      </c>
      <c r="D324" t="s">
        <v>886</v>
      </c>
      <c r="E324" t="s">
        <v>39</v>
      </c>
      <c r="F324" t="s">
        <v>882</v>
      </c>
      <c r="G324">
        <v>3</v>
      </c>
      <c r="H324">
        <v>4</v>
      </c>
      <c r="I324">
        <v>4</v>
      </c>
      <c r="J324">
        <v>3</v>
      </c>
      <c r="K324">
        <v>2</v>
      </c>
      <c r="L324">
        <v>7.5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9"/>
        <v>324</v>
      </c>
      <c r="B325">
        <v>0</v>
      </c>
      <c r="C325" t="s">
        <v>880</v>
      </c>
      <c r="D325" t="s">
        <v>887</v>
      </c>
      <c r="E325" t="s">
        <v>39</v>
      </c>
      <c r="F325" t="s">
        <v>882</v>
      </c>
      <c r="G325">
        <v>4</v>
      </c>
      <c r="H325">
        <v>5</v>
      </c>
      <c r="I325">
        <v>5</v>
      </c>
      <c r="J325">
        <v>4</v>
      </c>
      <c r="K325">
        <v>2</v>
      </c>
      <c r="L325">
        <v>12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880</v>
      </c>
      <c r="D326" t="s">
        <v>888</v>
      </c>
      <c r="E326" t="s">
        <v>39</v>
      </c>
      <c r="F326" t="s">
        <v>882</v>
      </c>
      <c r="G326">
        <v>5.2</v>
      </c>
      <c r="H326">
        <v>6</v>
      </c>
      <c r="I326">
        <v>6</v>
      </c>
      <c r="J326">
        <v>5</v>
      </c>
      <c r="K326">
        <v>2</v>
      </c>
      <c r="L326">
        <v>19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880</v>
      </c>
      <c r="D327" t="s">
        <v>889</v>
      </c>
      <c r="E327" t="s">
        <v>39</v>
      </c>
      <c r="F327" t="s">
        <v>882</v>
      </c>
      <c r="G327">
        <v>6.8</v>
      </c>
      <c r="H327">
        <v>7</v>
      </c>
      <c r="I327">
        <v>7</v>
      </c>
      <c r="J327">
        <v>6</v>
      </c>
      <c r="K327">
        <v>3</v>
      </c>
      <c r="L327">
        <v>30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880</v>
      </c>
      <c r="D328" t="s">
        <v>890</v>
      </c>
      <c r="E328" t="s">
        <v>39</v>
      </c>
      <c r="F328" t="s">
        <v>882</v>
      </c>
      <c r="G328">
        <v>10.199999999999999</v>
      </c>
      <c r="H328">
        <v>8</v>
      </c>
      <c r="I328">
        <v>8</v>
      </c>
      <c r="J328">
        <v>6</v>
      </c>
      <c r="K328">
        <v>3</v>
      </c>
      <c r="L328">
        <v>45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880</v>
      </c>
      <c r="D329" t="s">
        <v>936</v>
      </c>
      <c r="E329" t="s">
        <v>39</v>
      </c>
      <c r="F329" t="s">
        <v>937</v>
      </c>
      <c r="G329">
        <v>15.3</v>
      </c>
      <c r="H329">
        <v>9</v>
      </c>
      <c r="I329">
        <v>9</v>
      </c>
      <c r="J329">
        <v>6</v>
      </c>
      <c r="K329">
        <v>3</v>
      </c>
      <c r="L329">
        <v>67.5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880</v>
      </c>
      <c r="D330" t="s">
        <v>938</v>
      </c>
      <c r="E330" t="s">
        <v>39</v>
      </c>
      <c r="F330" t="s">
        <v>937</v>
      </c>
      <c r="G330">
        <v>22.95</v>
      </c>
      <c r="H330">
        <v>10</v>
      </c>
      <c r="I330">
        <v>10</v>
      </c>
      <c r="J330">
        <v>7</v>
      </c>
      <c r="K330">
        <v>3</v>
      </c>
      <c r="L330">
        <v>101.25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</sheetData>
  <sortState xmlns:xlrd2="http://schemas.microsoft.com/office/spreadsheetml/2017/richdata2" ref="A2:R330">
    <sortCondition ref="C2:C330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2026-08-13T04:05:31Z</dcterms:modified>
</cp:coreProperties>
</file>
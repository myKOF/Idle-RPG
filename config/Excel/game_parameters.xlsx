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Game\Idle-RPG\codex\config\Excel\"/>
    </mc:Choice>
  </mc:AlternateContent>
  <xr:revisionPtr revIDLastSave="0" documentId="13_ncr:1_{CD91BFFD-D12A-4431-A465-54ACA05480B6}" xr6:coauthVersionLast="47" xr6:coauthVersionMax="47" xr10:uidLastSave="{00000000-0000-0000-0000-000000000000}"/>
  <bookViews>
    <workbookView xWindow="3090" yWindow="2310" windowWidth="21600" windowHeight="11295" activeTab="1" xr2:uid="{00000000-000D-0000-FFFF-FFFF00000000}"/>
  </bookViews>
  <sheets>
    <sheet name="game_parameters" sheetId="1" r:id="rId1"/>
    <sheet name="計算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41" i="1" l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54" i="2"/>
  <c r="A355" i="2" s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B11" i="1"/>
  <c r="C11" i="1"/>
  <c r="D11" i="1"/>
  <c r="E11" i="1"/>
  <c r="G11" i="1"/>
  <c r="H11" i="1"/>
  <c r="I11" i="1"/>
  <c r="J11" i="1"/>
  <c r="K11" i="1"/>
  <c r="L11" i="1"/>
  <c r="M11" i="1"/>
  <c r="N11" i="1"/>
  <c r="O11" i="1"/>
  <c r="P11" i="1"/>
  <c r="Q11" i="1"/>
  <c r="R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B17" i="1"/>
  <c r="C17" i="1"/>
  <c r="D17" i="1"/>
  <c r="E17" i="1"/>
  <c r="G17" i="1"/>
  <c r="H17" i="1"/>
  <c r="I17" i="1"/>
  <c r="J17" i="1"/>
  <c r="K17" i="1"/>
  <c r="L17" i="1"/>
  <c r="M17" i="1"/>
  <c r="N17" i="1"/>
  <c r="O17" i="1"/>
  <c r="P17" i="1"/>
  <c r="Q17" i="1"/>
  <c r="R17" i="1"/>
  <c r="B18" i="1"/>
  <c r="C18" i="1"/>
  <c r="D18" i="1"/>
  <c r="E18" i="1"/>
  <c r="G18" i="1"/>
  <c r="H18" i="1"/>
  <c r="I18" i="1"/>
  <c r="J18" i="1"/>
  <c r="K18" i="1"/>
  <c r="L18" i="1"/>
  <c r="M18" i="1"/>
  <c r="N18" i="1"/>
  <c r="O18" i="1"/>
  <c r="P18" i="1"/>
  <c r="Q18" i="1"/>
  <c r="R18" i="1"/>
  <c r="B19" i="1"/>
  <c r="C19" i="1"/>
  <c r="D19" i="1"/>
  <c r="E19" i="1"/>
  <c r="G19" i="1"/>
  <c r="H19" i="1"/>
  <c r="I19" i="1"/>
  <c r="J19" i="1"/>
  <c r="K19" i="1"/>
  <c r="L19" i="1"/>
  <c r="M19" i="1"/>
  <c r="N19" i="1"/>
  <c r="O19" i="1"/>
  <c r="P19" i="1"/>
  <c r="Q19" i="1"/>
  <c r="R19" i="1"/>
  <c r="B20" i="1"/>
  <c r="C20" i="1"/>
  <c r="D20" i="1"/>
  <c r="E20" i="1"/>
  <c r="G20" i="1"/>
  <c r="H20" i="1"/>
  <c r="I20" i="1"/>
  <c r="J20" i="1"/>
  <c r="K20" i="1"/>
  <c r="L20" i="1"/>
  <c r="M20" i="1"/>
  <c r="N20" i="1"/>
  <c r="O20" i="1"/>
  <c r="P20" i="1"/>
  <c r="Q20" i="1"/>
  <c r="R20" i="1"/>
  <c r="B21" i="1"/>
  <c r="C21" i="1"/>
  <c r="D21" i="1"/>
  <c r="E21" i="1"/>
  <c r="G21" i="1"/>
  <c r="H21" i="1"/>
  <c r="I21" i="1"/>
  <c r="J21" i="1"/>
  <c r="K21" i="1"/>
  <c r="L21" i="1"/>
  <c r="M21" i="1"/>
  <c r="N21" i="1"/>
  <c r="O21" i="1"/>
  <c r="P21" i="1"/>
  <c r="Q21" i="1"/>
  <c r="R21" i="1"/>
  <c r="B22" i="1"/>
  <c r="C22" i="1"/>
  <c r="D22" i="1"/>
  <c r="E22" i="1"/>
  <c r="G22" i="1"/>
  <c r="H22" i="1"/>
  <c r="I22" i="1"/>
  <c r="J22" i="1"/>
  <c r="K22" i="1"/>
  <c r="L22" i="1"/>
  <c r="M22" i="1"/>
  <c r="N22" i="1"/>
  <c r="O22" i="1"/>
  <c r="P22" i="1"/>
  <c r="Q22" i="1"/>
  <c r="R22" i="1"/>
  <c r="B23" i="1"/>
  <c r="C23" i="1"/>
  <c r="D23" i="1"/>
  <c r="E23" i="1"/>
  <c r="G23" i="1"/>
  <c r="H23" i="1"/>
  <c r="I23" i="1"/>
  <c r="J23" i="1"/>
  <c r="K23" i="1"/>
  <c r="L23" i="1"/>
  <c r="M23" i="1"/>
  <c r="N23" i="1"/>
  <c r="O23" i="1"/>
  <c r="P23" i="1"/>
  <c r="Q23" i="1"/>
  <c r="R23" i="1"/>
  <c r="B24" i="1"/>
  <c r="C24" i="1"/>
  <c r="D24" i="1"/>
  <c r="E24" i="1"/>
  <c r="G24" i="1"/>
  <c r="H24" i="1"/>
  <c r="I24" i="1"/>
  <c r="J24" i="1"/>
  <c r="K24" i="1"/>
  <c r="L24" i="1"/>
  <c r="M24" i="1"/>
  <c r="N24" i="1"/>
  <c r="O24" i="1"/>
  <c r="P24" i="1"/>
  <c r="Q24" i="1"/>
  <c r="R24" i="1"/>
  <c r="B25" i="1"/>
  <c r="C25" i="1"/>
  <c r="D25" i="1"/>
  <c r="E25" i="1"/>
  <c r="G25" i="1"/>
  <c r="H25" i="1"/>
  <c r="I25" i="1"/>
  <c r="J25" i="1"/>
  <c r="K25" i="1"/>
  <c r="L25" i="1"/>
  <c r="M25" i="1"/>
  <c r="N25" i="1"/>
  <c r="O25" i="1"/>
  <c r="P25" i="1"/>
  <c r="Q25" i="1"/>
  <c r="R25" i="1"/>
  <c r="B26" i="1"/>
  <c r="C26" i="1"/>
  <c r="D26" i="1"/>
  <c r="E26" i="1"/>
  <c r="G26" i="1"/>
  <c r="H26" i="1"/>
  <c r="I26" i="1"/>
  <c r="J26" i="1"/>
  <c r="K26" i="1"/>
  <c r="L26" i="1"/>
  <c r="M26" i="1"/>
  <c r="N26" i="1"/>
  <c r="O26" i="1"/>
  <c r="P26" i="1"/>
  <c r="Q26" i="1"/>
  <c r="R26" i="1"/>
  <c r="B27" i="1"/>
  <c r="C27" i="1"/>
  <c r="D27" i="1"/>
  <c r="E27" i="1"/>
  <c r="G27" i="1"/>
  <c r="H27" i="1"/>
  <c r="I27" i="1"/>
  <c r="J27" i="1"/>
  <c r="K27" i="1"/>
  <c r="L27" i="1"/>
  <c r="M27" i="1"/>
  <c r="N27" i="1"/>
  <c r="O27" i="1"/>
  <c r="P27" i="1"/>
  <c r="Q27" i="1"/>
  <c r="R27" i="1"/>
  <c r="B28" i="1"/>
  <c r="C28" i="1"/>
  <c r="D28" i="1"/>
  <c r="E28" i="1"/>
  <c r="G28" i="1"/>
  <c r="H28" i="1"/>
  <c r="I28" i="1"/>
  <c r="J28" i="1"/>
  <c r="K28" i="1"/>
  <c r="L28" i="1"/>
  <c r="M28" i="1"/>
  <c r="N28" i="1"/>
  <c r="O28" i="1"/>
  <c r="P28" i="1"/>
  <c r="Q28" i="1"/>
  <c r="R28" i="1"/>
  <c r="B29" i="1"/>
  <c r="C29" i="1"/>
  <c r="D29" i="1"/>
  <c r="E29" i="1"/>
  <c r="G29" i="1"/>
  <c r="H29" i="1"/>
  <c r="I29" i="1"/>
  <c r="J29" i="1"/>
  <c r="K29" i="1"/>
  <c r="L29" i="1"/>
  <c r="M29" i="1"/>
  <c r="N29" i="1"/>
  <c r="O29" i="1"/>
  <c r="P29" i="1"/>
  <c r="Q29" i="1"/>
  <c r="R29" i="1"/>
  <c r="B30" i="1"/>
  <c r="C30" i="1"/>
  <c r="D30" i="1"/>
  <c r="E30" i="1"/>
  <c r="G30" i="1"/>
  <c r="H30" i="1"/>
  <c r="I30" i="1"/>
  <c r="J30" i="1"/>
  <c r="K30" i="1"/>
  <c r="L30" i="1"/>
  <c r="M30" i="1"/>
  <c r="N30" i="1"/>
  <c r="O30" i="1"/>
  <c r="P30" i="1"/>
  <c r="Q30" i="1"/>
  <c r="R30" i="1"/>
  <c r="B31" i="1"/>
  <c r="C31" i="1"/>
  <c r="D31" i="1"/>
  <c r="E31" i="1"/>
  <c r="G31" i="1"/>
  <c r="H31" i="1"/>
  <c r="I31" i="1"/>
  <c r="J31" i="1"/>
  <c r="K31" i="1"/>
  <c r="L31" i="1"/>
  <c r="M31" i="1"/>
  <c r="N31" i="1"/>
  <c r="O31" i="1"/>
  <c r="P31" i="1"/>
  <c r="Q31" i="1"/>
  <c r="R31" i="1"/>
  <c r="B32" i="1"/>
  <c r="C32" i="1"/>
  <c r="D32" i="1"/>
  <c r="E32" i="1"/>
  <c r="G32" i="1"/>
  <c r="H32" i="1"/>
  <c r="I32" i="1"/>
  <c r="J32" i="1"/>
  <c r="K32" i="1"/>
  <c r="L32" i="1"/>
  <c r="M32" i="1"/>
  <c r="N32" i="1"/>
  <c r="O32" i="1"/>
  <c r="P32" i="1"/>
  <c r="Q32" i="1"/>
  <c r="R32" i="1"/>
  <c r="B33" i="1"/>
  <c r="C33" i="1"/>
  <c r="D33" i="1"/>
  <c r="E33" i="1"/>
  <c r="G33" i="1"/>
  <c r="H33" i="1"/>
  <c r="I33" i="1"/>
  <c r="J33" i="1"/>
  <c r="K33" i="1"/>
  <c r="L33" i="1"/>
  <c r="M33" i="1"/>
  <c r="N33" i="1"/>
  <c r="O33" i="1"/>
  <c r="P33" i="1"/>
  <c r="Q33" i="1"/>
  <c r="R33" i="1"/>
  <c r="B34" i="1"/>
  <c r="C34" i="1"/>
  <c r="D34" i="1"/>
  <c r="E34" i="1"/>
  <c r="G34" i="1"/>
  <c r="H34" i="1"/>
  <c r="I34" i="1"/>
  <c r="J34" i="1"/>
  <c r="K34" i="1"/>
  <c r="L34" i="1"/>
  <c r="M34" i="1"/>
  <c r="N34" i="1"/>
  <c r="O34" i="1"/>
  <c r="P34" i="1"/>
  <c r="Q34" i="1"/>
  <c r="R34" i="1"/>
  <c r="B35" i="1"/>
  <c r="C35" i="1"/>
  <c r="D35" i="1"/>
  <c r="E35" i="1"/>
  <c r="G35" i="1"/>
  <c r="H35" i="1"/>
  <c r="I35" i="1"/>
  <c r="J35" i="1"/>
  <c r="K35" i="1"/>
  <c r="L35" i="1"/>
  <c r="M35" i="1"/>
  <c r="N35" i="1"/>
  <c r="O35" i="1"/>
  <c r="P35" i="1"/>
  <c r="Q35" i="1"/>
  <c r="R35" i="1"/>
  <c r="B36" i="1"/>
  <c r="C36" i="1"/>
  <c r="D36" i="1"/>
  <c r="E36" i="1"/>
  <c r="G36" i="1"/>
  <c r="H36" i="1"/>
  <c r="I36" i="1"/>
  <c r="J36" i="1"/>
  <c r="K36" i="1"/>
  <c r="L36" i="1"/>
  <c r="M36" i="1"/>
  <c r="N36" i="1"/>
  <c r="O36" i="1"/>
  <c r="P36" i="1"/>
  <c r="Q36" i="1"/>
  <c r="R36" i="1"/>
  <c r="B37" i="1"/>
  <c r="C37" i="1"/>
  <c r="D37" i="1"/>
  <c r="E37" i="1"/>
  <c r="G37" i="1"/>
  <c r="H37" i="1"/>
  <c r="I37" i="1"/>
  <c r="J37" i="1"/>
  <c r="K37" i="1"/>
  <c r="L37" i="1"/>
  <c r="M37" i="1"/>
  <c r="N37" i="1"/>
  <c r="O37" i="1"/>
  <c r="P37" i="1"/>
  <c r="Q37" i="1"/>
  <c r="R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B58" i="1"/>
  <c r="C58" i="1"/>
  <c r="D58" i="1"/>
  <c r="G58" i="1"/>
  <c r="H58" i="1"/>
  <c r="I58" i="1"/>
  <c r="J58" i="1"/>
  <c r="K58" i="1"/>
  <c r="L58" i="1"/>
  <c r="M58" i="1"/>
  <c r="N58" i="1"/>
  <c r="O58" i="1"/>
  <c r="P58" i="1"/>
  <c r="Q58" i="1"/>
  <c r="R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B60" i="1"/>
  <c r="C60" i="1"/>
  <c r="D60" i="1"/>
  <c r="G60" i="1"/>
  <c r="J60" i="1"/>
  <c r="K60" i="1"/>
  <c r="L60" i="1"/>
  <c r="M60" i="1"/>
  <c r="N60" i="1"/>
  <c r="O60" i="1"/>
  <c r="P60" i="1"/>
  <c r="Q60" i="1"/>
  <c r="R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B63" i="1"/>
  <c r="C63" i="1"/>
  <c r="D63" i="1"/>
  <c r="G63" i="1"/>
  <c r="H63" i="1"/>
  <c r="I63" i="1"/>
  <c r="L63" i="1"/>
  <c r="M63" i="1"/>
  <c r="N63" i="1"/>
  <c r="O63" i="1"/>
  <c r="P63" i="1"/>
  <c r="Q63" i="1"/>
  <c r="R63" i="1"/>
  <c r="B64" i="1"/>
  <c r="C64" i="1"/>
  <c r="D64" i="1"/>
  <c r="G64" i="1"/>
  <c r="H64" i="1"/>
  <c r="I64" i="1"/>
  <c r="L64" i="1"/>
  <c r="M64" i="1"/>
  <c r="N64" i="1"/>
  <c r="O64" i="1"/>
  <c r="P64" i="1"/>
  <c r="Q64" i="1"/>
  <c r="R64" i="1"/>
  <c r="B65" i="1"/>
  <c r="C65" i="1"/>
  <c r="D65" i="1"/>
  <c r="E65" i="1"/>
  <c r="F65" i="1"/>
  <c r="G65" i="1"/>
  <c r="I65" i="1"/>
  <c r="J65" i="1"/>
  <c r="K65" i="1"/>
  <c r="L65" i="1"/>
  <c r="M65" i="1"/>
  <c r="N65" i="1"/>
  <c r="O65" i="1"/>
  <c r="P65" i="1"/>
  <c r="Q65" i="1"/>
  <c r="R65" i="1"/>
  <c r="B66" i="1"/>
  <c r="C66" i="1"/>
  <c r="D66" i="1"/>
  <c r="K66" i="1"/>
  <c r="L66" i="1"/>
  <c r="M66" i="1"/>
  <c r="N66" i="1"/>
  <c r="O66" i="1"/>
  <c r="P66" i="1"/>
  <c r="Q66" i="1"/>
  <c r="R66" i="1"/>
  <c r="B67" i="1"/>
  <c r="C67" i="1"/>
  <c r="D67" i="1"/>
  <c r="G67" i="1"/>
  <c r="I67" i="1"/>
  <c r="J67" i="1"/>
  <c r="K67" i="1"/>
  <c r="L67" i="1"/>
  <c r="M67" i="1"/>
  <c r="N67" i="1"/>
  <c r="O67" i="1"/>
  <c r="P67" i="1"/>
  <c r="Q67" i="1"/>
  <c r="R67" i="1"/>
  <c r="B68" i="1"/>
  <c r="C68" i="1"/>
  <c r="D68" i="1"/>
  <c r="E68" i="1"/>
  <c r="F68" i="1"/>
  <c r="G68" i="1"/>
  <c r="I68" i="1"/>
  <c r="J68" i="1"/>
  <c r="K68" i="1"/>
  <c r="L68" i="1"/>
  <c r="M68" i="1"/>
  <c r="N68" i="1"/>
  <c r="O68" i="1"/>
  <c r="P68" i="1"/>
  <c r="Q68" i="1"/>
  <c r="R68" i="1"/>
  <c r="B69" i="1"/>
  <c r="C69" i="1"/>
  <c r="D69" i="1"/>
  <c r="E69" i="1"/>
  <c r="F69" i="1"/>
  <c r="H69" i="1"/>
  <c r="I69" i="1"/>
  <c r="J69" i="1"/>
  <c r="K69" i="1"/>
  <c r="L69" i="1"/>
  <c r="M69" i="1"/>
  <c r="N69" i="1"/>
  <c r="O69" i="1"/>
  <c r="P69" i="1"/>
  <c r="Q69" i="1"/>
  <c r="R69" i="1"/>
  <c r="B70" i="1"/>
  <c r="C70" i="1"/>
  <c r="D70" i="1"/>
  <c r="E70" i="1"/>
  <c r="F70" i="1"/>
  <c r="H70" i="1"/>
  <c r="I70" i="1"/>
  <c r="J70" i="1"/>
  <c r="K70" i="1"/>
  <c r="L70" i="1"/>
  <c r="M70" i="1"/>
  <c r="N70" i="1"/>
  <c r="O70" i="1"/>
  <c r="P70" i="1"/>
  <c r="Q70" i="1"/>
  <c r="R70" i="1"/>
  <c r="B71" i="1"/>
  <c r="C71" i="1"/>
  <c r="I71" i="1"/>
  <c r="J71" i="1"/>
  <c r="K71" i="1"/>
  <c r="L71" i="1"/>
  <c r="M71" i="1"/>
  <c r="N71" i="1"/>
  <c r="O71" i="1"/>
  <c r="P71" i="1"/>
  <c r="Q71" i="1"/>
  <c r="R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B96" i="1"/>
  <c r="C96" i="1"/>
  <c r="D96" i="1"/>
  <c r="E96" i="1"/>
  <c r="G96" i="1"/>
  <c r="H96" i="1"/>
  <c r="I96" i="1"/>
  <c r="J96" i="1"/>
  <c r="K96" i="1"/>
  <c r="L96" i="1"/>
  <c r="M96" i="1"/>
  <c r="N96" i="1"/>
  <c r="O96" i="1"/>
  <c r="P96" i="1"/>
  <c r="Q96" i="1"/>
  <c r="R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B120" i="1"/>
  <c r="C120" i="1"/>
  <c r="D120" i="1"/>
  <c r="E120" i="1"/>
  <c r="F120" i="1"/>
  <c r="G120" i="1"/>
  <c r="H120" i="1"/>
  <c r="J120" i="1"/>
  <c r="K120" i="1"/>
  <c r="L120" i="1"/>
  <c r="M120" i="1"/>
  <c r="N120" i="1"/>
  <c r="O120" i="1"/>
  <c r="P120" i="1"/>
  <c r="Q120" i="1"/>
  <c r="R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B146" i="1"/>
  <c r="C146" i="1"/>
  <c r="D146" i="1"/>
  <c r="E146" i="1"/>
  <c r="F146" i="1"/>
  <c r="H146" i="1"/>
  <c r="I146" i="1"/>
  <c r="J146" i="1"/>
  <c r="K146" i="1"/>
  <c r="L146" i="1"/>
  <c r="M146" i="1"/>
  <c r="N146" i="1"/>
  <c r="O146" i="1"/>
  <c r="P146" i="1"/>
  <c r="Q146" i="1"/>
  <c r="R146" i="1"/>
  <c r="B147" i="1"/>
  <c r="C147" i="1"/>
  <c r="D147" i="1"/>
  <c r="E147" i="1"/>
  <c r="F147" i="1"/>
  <c r="J147" i="1"/>
  <c r="K147" i="1"/>
  <c r="L147" i="1"/>
  <c r="M147" i="1"/>
  <c r="N147" i="1"/>
  <c r="O147" i="1"/>
  <c r="P147" i="1"/>
  <c r="Q147" i="1"/>
  <c r="R147" i="1"/>
  <c r="B148" i="1"/>
  <c r="C148" i="1"/>
  <c r="D148" i="1"/>
  <c r="E148" i="1"/>
  <c r="F148" i="1"/>
  <c r="I148" i="1"/>
  <c r="L148" i="1"/>
  <c r="M148" i="1"/>
  <c r="N148" i="1"/>
  <c r="O148" i="1"/>
  <c r="P148" i="1"/>
  <c r="Q148" i="1"/>
  <c r="R148" i="1"/>
  <c r="B149" i="1"/>
  <c r="C149" i="1"/>
  <c r="D149" i="1"/>
  <c r="E149" i="1"/>
  <c r="F149" i="1"/>
  <c r="M149" i="1"/>
  <c r="N149" i="1"/>
  <c r="O149" i="1"/>
  <c r="P149" i="1"/>
  <c r="Q149" i="1"/>
  <c r="R149" i="1"/>
  <c r="B150" i="1"/>
  <c r="C150" i="1"/>
  <c r="D150" i="1"/>
  <c r="E150" i="1"/>
  <c r="F150" i="1"/>
  <c r="O150" i="1"/>
  <c r="P150" i="1"/>
  <c r="Q150" i="1"/>
  <c r="R150" i="1"/>
  <c r="B151" i="1"/>
  <c r="C151" i="1"/>
  <c r="D151" i="1"/>
  <c r="E151" i="1"/>
  <c r="F151" i="1"/>
  <c r="O151" i="1"/>
  <c r="P151" i="1"/>
  <c r="Q151" i="1"/>
  <c r="R151" i="1"/>
  <c r="B152" i="1"/>
  <c r="C152" i="1"/>
  <c r="D152" i="1"/>
  <c r="E152" i="1"/>
  <c r="F152" i="1"/>
  <c r="P152" i="1"/>
  <c r="Q152" i="1"/>
  <c r="R152" i="1"/>
  <c r="B153" i="1"/>
  <c r="C153" i="1"/>
  <c r="D153" i="1"/>
  <c r="E153" i="1"/>
  <c r="F153" i="1"/>
  <c r="H153" i="1"/>
  <c r="I153" i="1"/>
  <c r="J153" i="1"/>
  <c r="K153" i="1"/>
  <c r="L153" i="1"/>
  <c r="M153" i="1"/>
  <c r="N153" i="1"/>
  <c r="O153" i="1"/>
  <c r="P153" i="1"/>
  <c r="Q153" i="1"/>
  <c r="R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B173" i="1"/>
  <c r="C173" i="1"/>
  <c r="D173" i="1"/>
  <c r="E173" i="1"/>
  <c r="F173" i="1"/>
  <c r="G173" i="1"/>
  <c r="I173" i="1"/>
  <c r="J173" i="1"/>
  <c r="K173" i="1"/>
  <c r="L173" i="1"/>
  <c r="M173" i="1"/>
  <c r="N173" i="1"/>
  <c r="O173" i="1"/>
  <c r="P173" i="1"/>
  <c r="Q173" i="1"/>
  <c r="R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B181" i="1"/>
  <c r="C181" i="1"/>
  <c r="D181" i="1"/>
  <c r="E181" i="1"/>
  <c r="F181" i="1"/>
  <c r="H181" i="1"/>
  <c r="I181" i="1"/>
  <c r="J181" i="1"/>
  <c r="K181" i="1"/>
  <c r="L181" i="1"/>
  <c r="M181" i="1"/>
  <c r="N181" i="1"/>
  <c r="O181" i="1"/>
  <c r="P181" i="1"/>
  <c r="Q181" i="1"/>
  <c r="R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B219" i="1"/>
  <c r="C219" i="1"/>
  <c r="D219" i="1"/>
  <c r="E219" i="1"/>
  <c r="F219" i="1"/>
  <c r="G219" i="1"/>
  <c r="H219" i="1"/>
  <c r="J219" i="1"/>
  <c r="K219" i="1"/>
  <c r="L219" i="1"/>
  <c r="M219" i="1"/>
  <c r="N219" i="1"/>
  <c r="O219" i="1"/>
  <c r="P219" i="1"/>
  <c r="Q219" i="1"/>
  <c r="R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B221" i="1"/>
  <c r="C221" i="1"/>
  <c r="D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B287" i="1"/>
  <c r="C287" i="1"/>
  <c r="D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B309" i="1"/>
  <c r="C309" i="1"/>
  <c r="D309" i="1"/>
  <c r="E309" i="1"/>
  <c r="F309" i="1"/>
  <c r="H309" i="1"/>
  <c r="I309" i="1"/>
  <c r="J309" i="1"/>
  <c r="K309" i="1"/>
  <c r="L309" i="1"/>
  <c r="M309" i="1"/>
  <c r="N309" i="1"/>
  <c r="O309" i="1"/>
  <c r="P309" i="1"/>
  <c r="Q309" i="1"/>
  <c r="R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B314" i="1"/>
  <c r="C314" i="1"/>
  <c r="D314" i="1"/>
  <c r="E314" i="1"/>
  <c r="F314" i="1"/>
  <c r="H314" i="1"/>
  <c r="I314" i="1"/>
  <c r="J314" i="1"/>
  <c r="K314" i="1"/>
  <c r="L314" i="1"/>
  <c r="M314" i="1"/>
  <c r="N314" i="1"/>
  <c r="O314" i="1"/>
  <c r="P314" i="1"/>
  <c r="Q314" i="1"/>
  <c r="R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  <c r="A3" i="2"/>
  <c r="A3" i="1" s="1"/>
  <c r="U213" i="2"/>
  <c r="V213" i="2"/>
  <c r="W213" i="2"/>
  <c r="X213" i="2"/>
  <c r="Y213" i="2"/>
  <c r="Z213" i="2"/>
  <c r="AA213" i="2"/>
  <c r="AB213" i="2"/>
  <c r="U214" i="2"/>
  <c r="V214" i="2"/>
  <c r="W214" i="2"/>
  <c r="X214" i="2"/>
  <c r="Y214" i="2"/>
  <c r="Z214" i="2"/>
  <c r="AA214" i="2"/>
  <c r="AB214" i="2"/>
  <c r="U215" i="2"/>
  <c r="V215" i="2"/>
  <c r="W215" i="2"/>
  <c r="X215" i="2"/>
  <c r="Y215" i="2"/>
  <c r="Z215" i="2"/>
  <c r="AA215" i="2"/>
  <c r="AB215" i="2"/>
  <c r="U216" i="2"/>
  <c r="V216" i="2"/>
  <c r="W216" i="2"/>
  <c r="X216" i="2"/>
  <c r="Y216" i="2"/>
  <c r="Z216" i="2"/>
  <c r="AA216" i="2"/>
  <c r="AB216" i="2"/>
  <c r="U217" i="2"/>
  <c r="V217" i="2"/>
  <c r="W217" i="2"/>
  <c r="X217" i="2"/>
  <c r="Y217" i="2"/>
  <c r="Z217" i="2"/>
  <c r="AA217" i="2"/>
  <c r="AB217" i="2"/>
  <c r="U218" i="2"/>
  <c r="V218" i="2"/>
  <c r="W218" i="2"/>
  <c r="X218" i="2"/>
  <c r="Y218" i="2"/>
  <c r="Z218" i="2"/>
  <c r="AA218" i="2"/>
  <c r="AB218" i="2"/>
  <c r="U219" i="2"/>
  <c r="V219" i="2"/>
  <c r="W219" i="2"/>
  <c r="X219" i="2"/>
  <c r="Y219" i="2"/>
  <c r="Z219" i="2"/>
  <c r="AA219" i="2"/>
  <c r="AB219" i="2"/>
  <c r="U220" i="2"/>
  <c r="V220" i="2"/>
  <c r="W220" i="2"/>
  <c r="X220" i="2"/>
  <c r="Y220" i="2"/>
  <c r="Z220" i="2"/>
  <c r="AA220" i="2"/>
  <c r="AB220" i="2"/>
  <c r="U221" i="2"/>
  <c r="V221" i="2"/>
  <c r="W221" i="2"/>
  <c r="X221" i="2"/>
  <c r="Y221" i="2"/>
  <c r="Z221" i="2"/>
  <c r="AA221" i="2"/>
  <c r="AB221" i="2"/>
  <c r="U222" i="2"/>
  <c r="V222" i="2"/>
  <c r="W222" i="2"/>
  <c r="X222" i="2"/>
  <c r="Y222" i="2"/>
  <c r="Z222" i="2"/>
  <c r="AA222" i="2"/>
  <c r="AB222" i="2"/>
  <c r="U223" i="2"/>
  <c r="V223" i="2"/>
  <c r="W223" i="2"/>
  <c r="X223" i="2"/>
  <c r="Y223" i="2"/>
  <c r="Z223" i="2"/>
  <c r="AA223" i="2"/>
  <c r="AB223" i="2"/>
  <c r="U224" i="2"/>
  <c r="V224" i="2"/>
  <c r="W224" i="2"/>
  <c r="X224" i="2"/>
  <c r="Y224" i="2"/>
  <c r="Z224" i="2"/>
  <c r="AA224" i="2"/>
  <c r="AB224" i="2"/>
  <c r="U225" i="2"/>
  <c r="V225" i="2"/>
  <c r="W225" i="2"/>
  <c r="X225" i="2"/>
  <c r="Y225" i="2"/>
  <c r="Z225" i="2"/>
  <c r="AA225" i="2"/>
  <c r="AB225" i="2"/>
  <c r="U226" i="2"/>
  <c r="V226" i="2"/>
  <c r="W226" i="2"/>
  <c r="X226" i="2"/>
  <c r="Y226" i="2"/>
  <c r="Z226" i="2"/>
  <c r="AA226" i="2"/>
  <c r="AB226" i="2"/>
  <c r="U227" i="2"/>
  <c r="V227" i="2"/>
  <c r="W227" i="2"/>
  <c r="X227" i="2"/>
  <c r="Y227" i="2"/>
  <c r="Z227" i="2"/>
  <c r="AA227" i="2"/>
  <c r="AB227" i="2"/>
  <c r="U228" i="2"/>
  <c r="V228" i="2"/>
  <c r="W228" i="2"/>
  <c r="X228" i="2"/>
  <c r="Y228" i="2"/>
  <c r="Z228" i="2"/>
  <c r="AA228" i="2"/>
  <c r="AB228" i="2"/>
  <c r="U229" i="2"/>
  <c r="V229" i="2"/>
  <c r="W229" i="2"/>
  <c r="X229" i="2"/>
  <c r="Y229" i="2"/>
  <c r="Z229" i="2"/>
  <c r="AA229" i="2"/>
  <c r="AB229" i="2"/>
  <c r="U230" i="2"/>
  <c r="V230" i="2"/>
  <c r="W230" i="2"/>
  <c r="X230" i="2"/>
  <c r="Y230" i="2"/>
  <c r="Z230" i="2"/>
  <c r="AA230" i="2"/>
  <c r="AB230" i="2"/>
  <c r="U231" i="2"/>
  <c r="V231" i="2"/>
  <c r="W231" i="2"/>
  <c r="X231" i="2"/>
  <c r="Y231" i="2"/>
  <c r="Z231" i="2"/>
  <c r="AA231" i="2"/>
  <c r="AB231" i="2"/>
  <c r="V212" i="2"/>
  <c r="W212" i="2"/>
  <c r="X212" i="2"/>
  <c r="Y212" i="2"/>
  <c r="Z212" i="2"/>
  <c r="AA212" i="2"/>
  <c r="AB212" i="2"/>
  <c r="U212" i="2"/>
  <c r="A338" i="1" l="1"/>
  <c r="A356" i="2"/>
  <c r="A339" i="1"/>
  <c r="A4" i="2"/>
  <c r="A4" i="1" s="1"/>
  <c r="U232" i="2"/>
  <c r="A357" i="2" l="1"/>
  <c r="A341" i="1" s="1"/>
  <c r="A340" i="1"/>
  <c r="A5" i="2"/>
  <c r="A5" i="1" s="1"/>
  <c r="A6" i="2" l="1"/>
  <c r="A6" i="1" s="1"/>
  <c r="A7" i="2"/>
  <c r="A7" i="1" s="1"/>
  <c r="A8" i="2" l="1"/>
  <c r="A8" i="1" s="1"/>
  <c r="A9" i="2" l="1"/>
  <c r="A9" i="1" s="1"/>
  <c r="A10" i="2" l="1"/>
  <c r="A10" i="1" s="1"/>
  <c r="A11" i="2" l="1"/>
  <c r="A11" i="1" s="1"/>
  <c r="A12" i="2" l="1"/>
  <c r="A12" i="1" s="1"/>
  <c r="A13" i="2" l="1"/>
  <c r="A13" i="1" s="1"/>
  <c r="A14" i="2" l="1"/>
  <c r="A14" i="1" s="1"/>
  <c r="A15" i="2" l="1"/>
  <c r="A15" i="1" s="1"/>
  <c r="A16" i="2" l="1"/>
  <c r="A16" i="1" s="1"/>
  <c r="A17" i="2" l="1"/>
  <c r="A17" i="1" s="1"/>
  <c r="A18" i="2" l="1"/>
  <c r="A18" i="1" s="1"/>
  <c r="A19" i="2" l="1"/>
  <c r="A19" i="1" s="1"/>
  <c r="A20" i="2" l="1"/>
  <c r="A20" i="1" s="1"/>
  <c r="A21" i="2" l="1"/>
  <c r="A21" i="1" s="1"/>
  <c r="A22" i="2" l="1"/>
  <c r="A22" i="1" s="1"/>
  <c r="A23" i="2" l="1"/>
  <c r="A23" i="1" s="1"/>
  <c r="A24" i="2" l="1"/>
  <c r="A24" i="1" s="1"/>
  <c r="A25" i="2" l="1"/>
  <c r="A25" i="1" s="1"/>
  <c r="A26" i="2" l="1"/>
  <c r="A26" i="1" s="1"/>
  <c r="A27" i="2" l="1"/>
  <c r="A27" i="1" s="1"/>
  <c r="A28" i="2" l="1"/>
  <c r="A28" i="1" s="1"/>
  <c r="A29" i="2" l="1"/>
  <c r="A29" i="1" s="1"/>
  <c r="A30" i="2" l="1"/>
  <c r="A30" i="1" s="1"/>
  <c r="A31" i="2" l="1"/>
  <c r="A31" i="1" s="1"/>
  <c r="A32" i="2" l="1"/>
  <c r="A32" i="1" s="1"/>
  <c r="A33" i="2" l="1"/>
  <c r="A33" i="1" s="1"/>
  <c r="A34" i="2" l="1"/>
  <c r="A34" i="1" s="1"/>
  <c r="A35" i="2" l="1"/>
  <c r="A35" i="1" s="1"/>
  <c r="A36" i="2" l="1"/>
  <c r="A36" i="1" s="1"/>
  <c r="A37" i="2" l="1"/>
  <c r="A37" i="1" s="1"/>
  <c r="A38" i="2" l="1"/>
  <c r="A38" i="1" s="1"/>
  <c r="A39" i="2" l="1"/>
  <c r="A39" i="1" s="1"/>
  <c r="A40" i="2" l="1"/>
  <c r="A40" i="1" s="1"/>
  <c r="A41" i="2" l="1"/>
  <c r="A41" i="1" s="1"/>
  <c r="A42" i="2" l="1"/>
  <c r="A42" i="1" s="1"/>
  <c r="A43" i="2" l="1"/>
  <c r="A43" i="1" s="1"/>
  <c r="A44" i="2" l="1"/>
  <c r="A44" i="1" s="1"/>
  <c r="A45" i="2" l="1"/>
  <c r="A45" i="1" s="1"/>
  <c r="A46" i="2" l="1"/>
  <c r="A46" i="1" s="1"/>
  <c r="A47" i="2" l="1"/>
  <c r="A47" i="1" s="1"/>
  <c r="A48" i="2" l="1"/>
  <c r="A48" i="1" s="1"/>
  <c r="A49" i="2" l="1"/>
  <c r="A49" i="1" s="1"/>
  <c r="A50" i="2" l="1"/>
  <c r="A50" i="1" s="1"/>
  <c r="A51" i="2" l="1"/>
  <c r="A51" i="1" s="1"/>
  <c r="A52" i="2" l="1"/>
  <c r="A52" i="1" s="1"/>
  <c r="A53" i="2" l="1"/>
  <c r="A53" i="1" s="1"/>
  <c r="A54" i="2" l="1"/>
  <c r="A54" i="1" s="1"/>
  <c r="A55" i="2" l="1"/>
  <c r="A55" i="1" s="1"/>
  <c r="A56" i="2" l="1"/>
  <c r="A56" i="1" s="1"/>
  <c r="A57" i="2" l="1"/>
  <c r="A57" i="1" s="1"/>
  <c r="A58" i="2" l="1"/>
  <c r="A58" i="1" s="1"/>
  <c r="A59" i="2" l="1"/>
  <c r="A59" i="1" s="1"/>
  <c r="A60" i="2" l="1"/>
  <c r="A60" i="1" s="1"/>
  <c r="A61" i="2" l="1"/>
  <c r="A61" i="1" s="1"/>
  <c r="A62" i="2" l="1"/>
  <c r="A62" i="1" s="1"/>
  <c r="A63" i="2" l="1"/>
  <c r="A63" i="1" s="1"/>
  <c r="A64" i="2" l="1"/>
  <c r="A64" i="1" s="1"/>
  <c r="A65" i="2" l="1"/>
  <c r="A65" i="1" s="1"/>
  <c r="A66" i="2" l="1"/>
  <c r="A66" i="1" s="1"/>
  <c r="A67" i="2" l="1"/>
  <c r="A67" i="1" s="1"/>
  <c r="A68" i="2" l="1"/>
  <c r="A68" i="1" s="1"/>
  <c r="A69" i="2" l="1"/>
  <c r="A69" i="1" s="1"/>
  <c r="A70" i="2" l="1"/>
  <c r="A70" i="1" s="1"/>
  <c r="A71" i="2" l="1"/>
  <c r="A71" i="1" s="1"/>
  <c r="A72" i="2" l="1"/>
  <c r="A72" i="1" s="1"/>
  <c r="A73" i="2" l="1"/>
  <c r="A73" i="1" s="1"/>
  <c r="A74" i="2" l="1"/>
  <c r="A74" i="1" s="1"/>
  <c r="A75" i="2" l="1"/>
  <c r="A75" i="1" s="1"/>
  <c r="A76" i="2" l="1"/>
  <c r="A76" i="1" s="1"/>
  <c r="A77" i="2" l="1"/>
  <c r="A77" i="1" s="1"/>
  <c r="A78" i="2" l="1"/>
  <c r="A78" i="1" s="1"/>
  <c r="A79" i="2" l="1"/>
  <c r="A79" i="1" s="1"/>
  <c r="A80" i="2" l="1"/>
  <c r="A80" i="1" s="1"/>
  <c r="A81" i="2" l="1"/>
  <c r="A81" i="1" s="1"/>
  <c r="A82" i="2" l="1"/>
  <c r="A82" i="1" s="1"/>
  <c r="A83" i="2" l="1"/>
  <c r="A83" i="1" s="1"/>
  <c r="A84" i="2" l="1"/>
  <c r="A84" i="1" s="1"/>
  <c r="A85" i="2" l="1"/>
  <c r="A85" i="1" s="1"/>
  <c r="A86" i="2" l="1"/>
  <c r="A86" i="1" s="1"/>
  <c r="A87" i="2" l="1"/>
  <c r="A87" i="1" s="1"/>
  <c r="A88" i="2" l="1"/>
  <c r="A88" i="1" s="1"/>
  <c r="A89" i="2" l="1"/>
  <c r="A89" i="1" s="1"/>
  <c r="A90" i="2" l="1"/>
  <c r="A90" i="1" s="1"/>
  <c r="A91" i="2" l="1"/>
  <c r="A91" i="1" s="1"/>
  <c r="A92" i="2" l="1"/>
  <c r="A92" i="1" s="1"/>
  <c r="A93" i="2" l="1"/>
  <c r="A93" i="1" s="1"/>
  <c r="A94" i="2" l="1"/>
  <c r="A94" i="1" s="1"/>
  <c r="A95" i="2" l="1"/>
  <c r="A95" i="1" s="1"/>
  <c r="A96" i="2" l="1"/>
  <c r="A96" i="1" s="1"/>
  <c r="A97" i="2" l="1"/>
  <c r="A97" i="1" s="1"/>
  <c r="A98" i="2" l="1"/>
  <c r="A98" i="1" s="1"/>
  <c r="A99" i="2" l="1"/>
  <c r="A99" i="1" s="1"/>
  <c r="A100" i="2" l="1"/>
  <c r="A100" i="1" s="1"/>
  <c r="A101" i="2" l="1"/>
  <c r="A101" i="1" s="1"/>
  <c r="A102" i="2" l="1"/>
  <c r="A102" i="1" s="1"/>
  <c r="A103" i="2" l="1"/>
  <c r="A103" i="1" s="1"/>
  <c r="A104" i="2" l="1"/>
  <c r="A104" i="1" s="1"/>
  <c r="A105" i="2" l="1"/>
  <c r="A105" i="1" s="1"/>
  <c r="A106" i="2" l="1"/>
  <c r="A106" i="1" s="1"/>
  <c r="A107" i="2" l="1"/>
  <c r="A107" i="1" s="1"/>
  <c r="A108" i="2" l="1"/>
  <c r="A108" i="1" s="1"/>
  <c r="A109" i="2" l="1"/>
  <c r="A109" i="1" s="1"/>
  <c r="A110" i="2" l="1"/>
  <c r="A110" i="1" s="1"/>
  <c r="A111" i="2" l="1"/>
  <c r="A111" i="1" s="1"/>
  <c r="A112" i="2" l="1"/>
  <c r="A112" i="1" s="1"/>
  <c r="A113" i="2" l="1"/>
  <c r="A113" i="1" s="1"/>
  <c r="A114" i="2" l="1"/>
  <c r="A114" i="1" s="1"/>
  <c r="A115" i="2" l="1"/>
  <c r="A115" i="1" s="1"/>
  <c r="A116" i="2" l="1"/>
  <c r="A116" i="1" s="1"/>
  <c r="A117" i="2" l="1"/>
  <c r="A117" i="1" s="1"/>
  <c r="A118" i="2" l="1"/>
  <c r="A118" i="1" s="1"/>
  <c r="A119" i="2" l="1"/>
  <c r="A119" i="1" s="1"/>
  <c r="A120" i="2" l="1"/>
  <c r="A120" i="1" s="1"/>
  <c r="A121" i="2" l="1"/>
  <c r="A121" i="1" s="1"/>
  <c r="A122" i="2" l="1"/>
  <c r="A122" i="1" s="1"/>
  <c r="A123" i="2" l="1"/>
  <c r="A123" i="1" s="1"/>
  <c r="A124" i="2" l="1"/>
  <c r="A124" i="1" s="1"/>
  <c r="A125" i="2" l="1"/>
  <c r="A125" i="1" s="1"/>
  <c r="A126" i="2" l="1"/>
  <c r="A126" i="1" s="1"/>
  <c r="A127" i="2" l="1"/>
  <c r="A127" i="1" s="1"/>
  <c r="A128" i="2" l="1"/>
  <c r="A128" i="1" s="1"/>
  <c r="A129" i="2" l="1"/>
  <c r="A129" i="1" s="1"/>
  <c r="A130" i="2" l="1"/>
  <c r="A130" i="1" s="1"/>
  <c r="A131" i="2" l="1"/>
  <c r="A131" i="1" s="1"/>
  <c r="A132" i="2" l="1"/>
  <c r="A132" i="1" l="1"/>
  <c r="A133" i="2"/>
  <c r="A133" i="1" l="1"/>
  <c r="A134" i="2"/>
  <c r="A135" i="2" l="1"/>
  <c r="A134" i="1"/>
  <c r="A136" i="2" l="1"/>
  <c r="A135" i="1"/>
  <c r="A137" i="2" l="1"/>
  <c r="A136" i="1"/>
  <c r="A138" i="2" l="1"/>
  <c r="A137" i="1"/>
  <c r="A139" i="2" l="1"/>
  <c r="A138" i="1"/>
  <c r="A140" i="2" l="1"/>
  <c r="A139" i="1"/>
  <c r="A141" i="2" l="1"/>
  <c r="A140" i="1"/>
  <c r="A142" i="2" l="1"/>
  <c r="A141" i="1"/>
  <c r="A143" i="2" l="1"/>
  <c r="A142" i="1"/>
  <c r="A144" i="2" l="1"/>
  <c r="A143" i="1"/>
  <c r="A145" i="2" l="1"/>
  <c r="A144" i="1"/>
  <c r="A146" i="2" l="1"/>
  <c r="A145" i="1"/>
  <c r="A147" i="2" l="1"/>
  <c r="A146" i="1"/>
  <c r="A148" i="2" l="1"/>
  <c r="A147" i="1"/>
  <c r="A149" i="2" l="1"/>
  <c r="A148" i="1"/>
  <c r="A150" i="2" l="1"/>
  <c r="A149" i="1"/>
  <c r="A151" i="2" l="1"/>
  <c r="A150" i="1"/>
  <c r="A152" i="2" l="1"/>
  <c r="A151" i="1"/>
  <c r="A153" i="2" l="1"/>
  <c r="A152" i="1"/>
  <c r="A154" i="2" l="1"/>
  <c r="A153" i="1"/>
  <c r="A155" i="2" l="1"/>
  <c r="A154" i="1"/>
  <c r="A156" i="2" l="1"/>
  <c r="A155" i="1"/>
  <c r="A157" i="2" l="1"/>
  <c r="A156" i="1"/>
  <c r="A158" i="2" l="1"/>
  <c r="A157" i="1"/>
  <c r="A159" i="2" l="1"/>
  <c r="A158" i="1"/>
  <c r="A160" i="2" l="1"/>
  <c r="A159" i="1"/>
  <c r="A161" i="2" l="1"/>
  <c r="A160" i="1"/>
  <c r="A162" i="2" l="1"/>
  <c r="A161" i="1"/>
  <c r="A163" i="2" l="1"/>
  <c r="A162" i="1"/>
  <c r="A164" i="2" l="1"/>
  <c r="A163" i="1"/>
  <c r="A165" i="2" l="1"/>
  <c r="A164" i="1"/>
  <c r="A166" i="2" l="1"/>
  <c r="A165" i="1"/>
  <c r="A167" i="2" l="1"/>
  <c r="A166" i="1"/>
  <c r="A168" i="2" l="1"/>
  <c r="A167" i="1"/>
  <c r="A169" i="2" l="1"/>
  <c r="A168" i="1"/>
  <c r="A170" i="2" l="1"/>
  <c r="A169" i="1"/>
  <c r="A171" i="2" l="1"/>
  <c r="A170" i="1"/>
  <c r="A172" i="2" l="1"/>
  <c r="A171" i="1"/>
  <c r="A173" i="2" l="1"/>
  <c r="A172" i="1"/>
  <c r="A174" i="2" l="1"/>
  <c r="A173" i="1"/>
  <c r="A175" i="2" l="1"/>
  <c r="A174" i="1"/>
  <c r="A176" i="2" l="1"/>
  <c r="A175" i="1"/>
  <c r="A177" i="2" l="1"/>
  <c r="A176" i="1"/>
  <c r="A178" i="2" l="1"/>
  <c r="A177" i="1"/>
  <c r="A179" i="2" l="1"/>
  <c r="A178" i="1"/>
  <c r="A180" i="2" l="1"/>
  <c r="A179" i="1"/>
  <c r="A181" i="2" l="1"/>
  <c r="A180" i="1"/>
  <c r="A182" i="2" l="1"/>
  <c r="A181" i="1"/>
  <c r="A183" i="2" l="1"/>
  <c r="A182" i="1"/>
  <c r="A184" i="2" l="1"/>
  <c r="A185" i="2" s="1"/>
  <c r="A183" i="1"/>
  <c r="A186" i="2" l="1"/>
  <c r="A184" i="1"/>
  <c r="A187" i="2" l="1"/>
  <c r="A185" i="1"/>
  <c r="A188" i="2" l="1"/>
  <c r="A186" i="1"/>
  <c r="A189" i="2" l="1"/>
  <c r="A187" i="1"/>
  <c r="A190" i="2" l="1"/>
  <c r="A188" i="1"/>
  <c r="A191" i="2" l="1"/>
  <c r="A189" i="1"/>
  <c r="A192" i="2" l="1"/>
  <c r="A190" i="1"/>
  <c r="A193" i="2" l="1"/>
  <c r="A191" i="1"/>
  <c r="A194" i="2" l="1"/>
  <c r="A192" i="1"/>
  <c r="A195" i="2" l="1"/>
  <c r="A193" i="1"/>
  <c r="A196" i="2" l="1"/>
  <c r="A194" i="1"/>
  <c r="A197" i="2" l="1"/>
  <c r="A195" i="1"/>
  <c r="A198" i="2" l="1"/>
  <c r="A196" i="1"/>
  <c r="A199" i="2" l="1"/>
  <c r="A197" i="1"/>
  <c r="A200" i="2" l="1"/>
  <c r="A198" i="1"/>
  <c r="A201" i="2" l="1"/>
  <c r="A199" i="1"/>
  <c r="A202" i="2" l="1"/>
  <c r="A200" i="1"/>
  <c r="A203" i="2" l="1"/>
  <c r="A201" i="1"/>
  <c r="A204" i="2" l="1"/>
  <c r="A202" i="1"/>
  <c r="A205" i="2" l="1"/>
  <c r="A203" i="1"/>
  <c r="A206" i="2" l="1"/>
  <c r="A204" i="1"/>
  <c r="A207" i="2" l="1"/>
  <c r="A205" i="1"/>
  <c r="A208" i="2" l="1"/>
  <c r="A206" i="1"/>
  <c r="A209" i="2" l="1"/>
  <c r="A207" i="1"/>
  <c r="A210" i="2" l="1"/>
  <c r="A208" i="1"/>
  <c r="A211" i="2" l="1"/>
  <c r="A209" i="1"/>
  <c r="A212" i="2" l="1"/>
  <c r="A210" i="1"/>
  <c r="A213" i="2" l="1"/>
  <c r="A211" i="1"/>
  <c r="A214" i="2" l="1"/>
  <c r="A212" i="1"/>
  <c r="A215" i="2" l="1"/>
  <c r="A213" i="1"/>
  <c r="A216" i="2" l="1"/>
  <c r="A214" i="1"/>
  <c r="A217" i="2" l="1"/>
  <c r="A215" i="1"/>
  <c r="A218" i="2" l="1"/>
  <c r="A216" i="1"/>
  <c r="A219" i="2" l="1"/>
  <c r="A217" i="1"/>
  <c r="A220" i="2" l="1"/>
  <c r="A218" i="1"/>
  <c r="A221" i="2" l="1"/>
  <c r="A219" i="1"/>
  <c r="A222" i="2" l="1"/>
  <c r="A220" i="1"/>
  <c r="A223" i="2" l="1"/>
  <c r="A221" i="1"/>
  <c r="A224" i="2" l="1"/>
  <c r="A222" i="1"/>
  <c r="A225" i="2" l="1"/>
  <c r="A223" i="1"/>
  <c r="A226" i="2" l="1"/>
  <c r="A224" i="1"/>
  <c r="A227" i="2" l="1"/>
  <c r="A225" i="1"/>
  <c r="A228" i="2" l="1"/>
  <c r="A226" i="1"/>
  <c r="A229" i="2" l="1"/>
  <c r="A227" i="1"/>
  <c r="A230" i="2" l="1"/>
  <c r="A228" i="1"/>
  <c r="A231" i="2" l="1"/>
  <c r="A229" i="1"/>
  <c r="A232" i="2" l="1"/>
  <c r="A230" i="1"/>
  <c r="A233" i="2" l="1"/>
  <c r="A231" i="1"/>
  <c r="A234" i="2" l="1"/>
  <c r="A232" i="1"/>
  <c r="A235" i="2" l="1"/>
  <c r="A233" i="1"/>
  <c r="A236" i="2" l="1"/>
  <c r="A234" i="1"/>
  <c r="A237" i="2" l="1"/>
  <c r="A235" i="1"/>
  <c r="A238" i="2" l="1"/>
  <c r="A236" i="1"/>
  <c r="A239" i="2" l="1"/>
  <c r="A237" i="1"/>
  <c r="A240" i="2" l="1"/>
  <c r="A238" i="1"/>
  <c r="A241" i="2" l="1"/>
  <c r="A239" i="1"/>
  <c r="A242" i="2" l="1"/>
  <c r="A240" i="1"/>
  <c r="A243" i="2" l="1"/>
  <c r="A241" i="1"/>
  <c r="A244" i="2" l="1"/>
  <c r="A242" i="1"/>
  <c r="A245" i="2" l="1"/>
  <c r="A243" i="1"/>
  <c r="A246" i="2" l="1"/>
  <c r="A244" i="1"/>
  <c r="A247" i="2" l="1"/>
  <c r="A245" i="1"/>
  <c r="A248" i="2" l="1"/>
  <c r="A246" i="1"/>
  <c r="A249" i="2" l="1"/>
  <c r="A247" i="1"/>
  <c r="A250" i="2" l="1"/>
  <c r="A248" i="1"/>
  <c r="A251" i="2" l="1"/>
  <c r="A249" i="1"/>
  <c r="A252" i="2" l="1"/>
  <c r="A250" i="1"/>
  <c r="A253" i="2" l="1"/>
  <c r="A251" i="1"/>
  <c r="A254" i="2" l="1"/>
  <c r="A252" i="1"/>
  <c r="A255" i="2" l="1"/>
  <c r="A253" i="1"/>
  <c r="A256" i="2" l="1"/>
  <c r="A254" i="1"/>
  <c r="A257" i="2" l="1"/>
  <c r="A255" i="1"/>
  <c r="A258" i="2" l="1"/>
  <c r="A256" i="1"/>
  <c r="A259" i="2" l="1"/>
  <c r="A257" i="1"/>
  <c r="A260" i="2" l="1"/>
  <c r="A258" i="1"/>
  <c r="A261" i="2" l="1"/>
  <c r="A259" i="1"/>
  <c r="A262" i="2" l="1"/>
  <c r="A260" i="1"/>
  <c r="A263" i="2" l="1"/>
  <c r="A261" i="1"/>
  <c r="A264" i="2" l="1"/>
  <c r="A262" i="1"/>
  <c r="A265" i="2" l="1"/>
  <c r="A263" i="1"/>
  <c r="A266" i="2" l="1"/>
  <c r="A264" i="1"/>
  <c r="A267" i="2" l="1"/>
  <c r="A265" i="1"/>
  <c r="A268" i="2" l="1"/>
  <c r="A266" i="1"/>
  <c r="A269" i="2" l="1"/>
  <c r="A267" i="1"/>
  <c r="A270" i="2" l="1"/>
  <c r="A268" i="1"/>
  <c r="A271" i="2" l="1"/>
  <c r="A269" i="1"/>
  <c r="A272" i="2" l="1"/>
  <c r="A270" i="1"/>
  <c r="A273" i="2" l="1"/>
  <c r="A271" i="1"/>
  <c r="A274" i="2" l="1"/>
  <c r="A272" i="1"/>
  <c r="A275" i="2" l="1"/>
  <c r="A273" i="1"/>
  <c r="A276" i="2" l="1"/>
  <c r="A274" i="1"/>
  <c r="A277" i="2" l="1"/>
  <c r="A275" i="1"/>
  <c r="A278" i="2" l="1"/>
  <c r="A276" i="1"/>
  <c r="A279" i="2" l="1"/>
  <c r="A277" i="1"/>
  <c r="A280" i="2" l="1"/>
  <c r="A278" i="1"/>
  <c r="A281" i="2" l="1"/>
  <c r="A279" i="1"/>
  <c r="A282" i="2" l="1"/>
  <c r="A280" i="1"/>
  <c r="A283" i="2" l="1"/>
  <c r="A281" i="1"/>
  <c r="A284" i="2" l="1"/>
  <c r="A285" i="2" s="1"/>
  <c r="A286" i="2" s="1"/>
  <c r="A287" i="2" s="1"/>
  <c r="A282" i="1"/>
  <c r="A288" i="2" l="1"/>
  <c r="A283" i="1"/>
  <c r="A289" i="2" l="1"/>
  <c r="A284" i="1"/>
  <c r="A290" i="2" l="1"/>
  <c r="A285" i="1"/>
  <c r="A291" i="2" l="1"/>
  <c r="A286" i="1"/>
  <c r="A292" i="2" l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287" i="1"/>
  <c r="A305" i="2" l="1"/>
  <c r="A288" i="1"/>
  <c r="A306" i="2" l="1"/>
  <c r="A289" i="1"/>
  <c r="A307" i="2" l="1"/>
  <c r="A290" i="1"/>
  <c r="A308" i="2" l="1"/>
  <c r="A291" i="1"/>
  <c r="A309" i="2" l="1"/>
  <c r="A292" i="1"/>
  <c r="A310" i="2" l="1"/>
  <c r="A293" i="1"/>
  <c r="A311" i="2" l="1"/>
  <c r="A294" i="1"/>
  <c r="A312" i="2" l="1"/>
  <c r="A295" i="1"/>
  <c r="A313" i="2" l="1"/>
  <c r="A296" i="1"/>
  <c r="A314" i="2" l="1"/>
  <c r="A297" i="1"/>
  <c r="A315" i="2" l="1"/>
  <c r="A298" i="1"/>
  <c r="A316" i="2" l="1"/>
  <c r="A299" i="1"/>
  <c r="A317" i="2" l="1"/>
  <c r="A300" i="1"/>
  <c r="A318" i="2" l="1"/>
  <c r="A301" i="1"/>
  <c r="A319" i="2" l="1"/>
  <c r="A302" i="1"/>
  <c r="A320" i="2" l="1"/>
  <c r="A303" i="1"/>
  <c r="A321" i="2" l="1"/>
  <c r="A304" i="1"/>
  <c r="A322" i="2" l="1"/>
  <c r="A305" i="1"/>
  <c r="A323" i="2" l="1"/>
  <c r="A306" i="1"/>
  <c r="A324" i="2" l="1"/>
  <c r="A307" i="1"/>
  <c r="A325" i="2" l="1"/>
  <c r="A308" i="1"/>
  <c r="A326" i="2" l="1"/>
  <c r="A309" i="1"/>
  <c r="A327" i="2" l="1"/>
  <c r="A310" i="1"/>
  <c r="A328" i="2" l="1"/>
  <c r="A311" i="1"/>
  <c r="A329" i="2" l="1"/>
  <c r="A312" i="1"/>
  <c r="A330" i="2" l="1"/>
  <c r="A313" i="1"/>
  <c r="A331" i="2" l="1"/>
  <c r="A314" i="1"/>
  <c r="A332" i="2" l="1"/>
  <c r="A315" i="1"/>
  <c r="A316" i="1" l="1"/>
  <c r="A333" i="2"/>
  <c r="A334" i="2" l="1"/>
  <c r="A317" i="1"/>
  <c r="A335" i="2" l="1"/>
  <c r="A318" i="1"/>
  <c r="A336" i="2" l="1"/>
  <c r="A319" i="1"/>
  <c r="A337" i="2" l="1"/>
  <c r="A320" i="1"/>
  <c r="A338" i="2" l="1"/>
  <c r="A321" i="1"/>
  <c r="A339" i="2" l="1"/>
  <c r="A322" i="1"/>
  <c r="A340" i="2" l="1"/>
  <c r="A323" i="1"/>
  <c r="A341" i="2" l="1"/>
  <c r="A324" i="1"/>
  <c r="A342" i="2" l="1"/>
  <c r="A325" i="1"/>
  <c r="A343" i="2" l="1"/>
  <c r="A326" i="1"/>
  <c r="A344" i="2" l="1"/>
  <c r="A327" i="1"/>
  <c r="A345" i="2" l="1"/>
  <c r="A328" i="1"/>
  <c r="A346" i="2" l="1"/>
  <c r="A329" i="1"/>
  <c r="A347" i="2" l="1"/>
  <c r="A330" i="1"/>
  <c r="A348" i="2" l="1"/>
  <c r="A331" i="1"/>
  <c r="A349" i="2" l="1"/>
  <c r="A332" i="1"/>
  <c r="A350" i="2" l="1"/>
  <c r="A333" i="1"/>
  <c r="A351" i="2" l="1"/>
  <c r="A334" i="1"/>
  <c r="A352" i="2" l="1"/>
  <c r="A336" i="1" s="1"/>
  <c r="A335" i="1"/>
</calcChain>
</file>

<file path=xl/sharedStrings.xml><?xml version="1.0" encoding="utf-8"?>
<sst xmlns="http://schemas.openxmlformats.org/spreadsheetml/2006/main" count="2062" uniqueCount="1225">
  <si>
    <t>編號</t>
  </si>
  <si>
    <t>變動</t>
  </si>
  <si>
    <t>系統分類</t>
  </si>
  <si>
    <t>名稱</t>
  </si>
  <si>
    <t>參數化公式</t>
  </si>
  <si>
    <t>中文說明</t>
  </si>
  <si>
    <t>參數a</t>
  </si>
  <si>
    <t>參數b</t>
  </si>
  <si>
    <t>參數c</t>
  </si>
  <si>
    <t>參數d</t>
  </si>
  <si>
    <t>參數e</t>
  </si>
  <si>
    <t>參數f</t>
  </si>
  <si>
    <t>參數g</t>
  </si>
  <si>
    <t>參數h</t>
  </si>
  <si>
    <t>參數i</t>
  </si>
  <si>
    <t>參數j</t>
  </si>
  <si>
    <t>參數k</t>
  </si>
  <si>
    <t>參數l</t>
  </si>
  <si>
    <t>1-成長經驗</t>
  </si>
  <si>
    <t>升級所需經驗</t>
  </si>
  <si>
    <t>(a×等級^b+c)×轉生經驗倍率+轉生經驗基礎增加值</t>
  </si>
  <si>
    <t>升到下一級所需經驗；a=係數 b=次方 c=常數 d=等級上限。轉生經驗倍率見「轉生對照表」</t>
  </si>
  <si>
    <t>等級基礎四維</t>
  </si>
  <si>
    <t>a+(等級-1)×b</t>
  </si>
  <si>
    <t>力/敏/智/耐四項相同，每升 1 級各 +b。a=初始值 b=每級成長。</t>
  </si>
  <si>
    <t>技能點總預算</t>
  </si>
  <si>
    <t>基礎a + 技能熟練度等級 + 潛力天賦加成</t>
  </si>
  <si>
    <t>2026-07-30 改制：技能點不再隨角色升級發放，改由技能熟練度提供（每級 1 點）。a=基礎點數（開局兩個 1 級技能）；b 停用；c=舊制上限常數（保留相容）。</t>
  </si>
  <si>
    <t>技能裝載欄</t>
  </si>
  <si>
    <t>clamp(⌊等級/a⌋, b, c)</t>
  </si>
  <si>
    <t>每 a 級 +1 格，最少 b、最多 c。</t>
  </si>
  <si>
    <t>可轉生等級 / 最高轉生</t>
  </si>
  <si>
    <t>達到a級可轉生；最高b轉</t>
  </si>
  <si>
    <t>a=可轉生等級 b=最高轉生次數。</t>
  </si>
  <si>
    <t>神鑄系統解鎖等級</t>
  </si>
  <si>
    <t>b 轉達到a級開放</t>
  </si>
  <si>
    <t>解鎖後永久保留，轉生不關閉。a=解鎖等級 b=解鎖轉生等級，必需兩個條件都滿足才解鎖</t>
  </si>
  <si>
    <t>1-轉生對照表</t>
  </si>
  <si>
    <t>轉生 0 次</t>
  </si>
  <si>
    <t>（查表）</t>
  </si>
  <si>
    <t>a=生命與四維最終倍率 b=升級經驗倍率  c=升級經驗基礎增加值 d=階級名稱 e=全部技能等級上限（2026-07-30 改制：未轉生 10、轉生後 15；含被動/融合/潛力） f=融合技增加上限（改制後歸零，融合技與一般技能共用上限）。</t>
  </si>
  <si>
    <t>10^0</t>
  </si>
  <si>
    <t>冒險者</t>
  </si>
  <si>
    <t>轉生 1 次</t>
  </si>
  <si>
    <t>10^1</t>
  </si>
  <si>
    <t>勇者</t>
  </si>
  <si>
    <t>轉生 2 次</t>
  </si>
  <si>
    <t>10^2</t>
  </si>
  <si>
    <t>大劍師</t>
  </si>
  <si>
    <t>轉生 3 次</t>
  </si>
  <si>
    <t>10^3</t>
  </si>
  <si>
    <t>破世者</t>
  </si>
  <si>
    <t>轉生 4 次</t>
  </si>
  <si>
    <t>10^4</t>
  </si>
  <si>
    <t>不朽者</t>
  </si>
  <si>
    <t>轉生 5 次</t>
  </si>
  <si>
    <t>10^5</t>
  </si>
  <si>
    <t>王者</t>
  </si>
  <si>
    <t>轉生 6 次</t>
  </si>
  <si>
    <t>10^6</t>
  </si>
  <si>
    <t>大主宰</t>
  </si>
  <si>
    <t>轉生 7 次</t>
  </si>
  <si>
    <t>10^7</t>
  </si>
  <si>
    <t>神聖尊者</t>
  </si>
  <si>
    <t>轉生 8 次</t>
  </si>
  <si>
    <t>10^8</t>
  </si>
  <si>
    <t>大聖王</t>
  </si>
  <si>
    <t>轉生 9 次</t>
  </si>
  <si>
    <t>10^9</t>
  </si>
  <si>
    <t>至高主宰</t>
  </si>
  <si>
    <t>轉生 10 次</t>
  </si>
  <si>
    <t>10^11</t>
  </si>
  <si>
    <t>位面創世神</t>
  </si>
  <si>
    <t>轉生 11 次</t>
  </si>
  <si>
    <t>10^13</t>
  </si>
  <si>
    <t>神位1階</t>
  </si>
  <si>
    <t>轉生 12 次</t>
  </si>
  <si>
    <t>10^15</t>
  </si>
  <si>
    <t>神位2階</t>
  </si>
  <si>
    <t>轉生 13 次</t>
  </si>
  <si>
    <t>10^17</t>
  </si>
  <si>
    <t>神位3階</t>
  </si>
  <si>
    <t>轉生 14 次</t>
  </si>
  <si>
    <t>10^19</t>
  </si>
  <si>
    <t>神位4階</t>
  </si>
  <si>
    <t>轉生 15 次</t>
  </si>
  <si>
    <t>10^21</t>
  </si>
  <si>
    <t>神位5階</t>
  </si>
  <si>
    <t>轉生 16 次</t>
  </si>
  <si>
    <t>10^23</t>
  </si>
  <si>
    <t>神位6階</t>
  </si>
  <si>
    <t>轉生 17 次</t>
  </si>
  <si>
    <t>10^25</t>
  </si>
  <si>
    <t>神位7階</t>
  </si>
  <si>
    <t>轉生 18 次</t>
  </si>
  <si>
    <t>10^27</t>
  </si>
  <si>
    <t>神位8階</t>
  </si>
  <si>
    <t>轉生 19 次</t>
  </si>
  <si>
    <t>10^29</t>
  </si>
  <si>
    <t>神位9階</t>
  </si>
  <si>
    <t>轉生 20 次</t>
  </si>
  <si>
    <t>10^33</t>
  </si>
  <si>
    <t>神位終階</t>
  </si>
  <si>
    <t>2-屬性派生</t>
  </si>
  <si>
    <t>生命上限</t>
  </si>
  <si>
    <t>(a+(等級-1)×b+耐力×c+生命定值)×(1+生命%)</t>
  </si>
  <si>
    <t>a=基礎 b=每級 c=每點耐力。再乘轉生倍率。</t>
  </si>
  <si>
    <t>法力上限</t>
  </si>
  <si>
    <t>(a+智力×b+法力定值)</t>
  </si>
  <si>
    <t>a=基礎 b=每點智力。再乘轉生倍率。</t>
  </si>
  <si>
    <t>法力恢復/秒</t>
  </si>
  <si>
    <t>a+智力×b+加成</t>
  </si>
  <si>
    <t>a=基礎 b=每點智力。</t>
  </si>
  <si>
    <t>物理攻擊</t>
  </si>
  <si>
    <t>(a+物攻定值+b×物攻定值*c^轉生次數+力量×d)×(1+物攻%)</t>
  </si>
  <si>
    <t>a=基礎 b=定值加成 c=轉生加成指數底 d=每點力量。</t>
  </si>
  <si>
    <t>魔法攻擊</t>
  </si>
  <si>
    <t>(a+魔攻定值+b×魔攻定值*c^轉生次數+智力×d)×(1+魔攻%)</t>
  </si>
  <si>
    <t>a=基礎 b=定值加成 c=轉生加成指數底 d=每點智力。</t>
  </si>
  <si>
    <t>物理防禦</t>
  </si>
  <si>
    <t>(a+物防定值+b×物防定值*c^轉生次數+力量×d+耐力*e)×(1+物防%)</t>
  </si>
  <si>
    <t>a=基礎 b=定值加成 c=轉生加成指數底 d=每點力量 e=每點耐力。</t>
  </si>
  <si>
    <t>魔法防禦</t>
  </si>
  <si>
    <t>(a+魔防定值+b×魔防定值*c^轉生次數+智力×d+耐力*e)×(1+魔防%)</t>
  </si>
  <si>
    <t>a=基礎 b=定值加成 c=轉生加成指數底 d=每點智力 e=每點耐力。</t>
  </si>
  <si>
    <t>暴擊率</t>
  </si>
  <si>
    <t>a+敏捷×b+加成</t>
  </si>
  <si>
    <t>a=基礎% b=每點敏捷。上限 100%。</t>
  </si>
  <si>
    <t>連擊數</t>
  </si>
  <si>
    <t>a* LN(暴擊率%) + b * 暴擊率% + c</t>
  </si>
  <si>
    <t>a=自然對數乘數 b=爆擊乘數 c=常數 。</t>
  </si>
  <si>
    <t>暴擊傷害</t>
  </si>
  <si>
    <t>a+加成</t>
  </si>
  <si>
    <t>a=基礎%（無上限）。</t>
  </si>
  <si>
    <t>攻擊速度</t>
  </si>
  <si>
    <t>命中率</t>
  </si>
  <si>
    <t>敏捷×a+加成</t>
  </si>
  <si>
    <t>a=每點敏捷%（減去敵方閃避後最低 5%）。</t>
  </si>
  <si>
    <t>閃避率</t>
  </si>
  <si>
    <t>a=每點敏捷%。</t>
  </si>
  <si>
    <t>負重上限</t>
  </si>
  <si>
    <t>力量×a+詞條</t>
  </si>
  <si>
    <t>a=每點力量。</t>
  </si>
  <si>
    <t>野外基礎生命恢復</t>
  </si>
  <si>
    <t>全局減傷</t>
  </si>
  <si>
    <t>min(a%, 總合/(總合+b))</t>
  </si>
  <si>
    <t>a=減傷上限% b=分母常數。無此詞綴時倍率為 1。</t>
  </si>
  <si>
    <t>2-屬性上限</t>
  </si>
  <si>
    <t>暴擊率 上限</t>
  </si>
  <si>
    <t>上限 = a</t>
  </si>
  <si>
    <t>a=暴擊率上限（%）。攻擊時造成額外暴擊傷害的機率。</t>
  </si>
  <si>
    <t>物理穿透 上限</t>
  </si>
  <si>
    <t>a=物理穿透上限（%）；0＝無上限。2026-07-30 改版：穿透不再擋上限，實際忽略防禦%改由「3-戰鬥核心/穿透忽略防禦」的遞減曲線換算。</t>
  </si>
  <si>
    <t>魔法穿透 上限</t>
  </si>
  <si>
    <t>a=魔法穿透上限（%）；0＝無上限。2026-07-30 改版：穿透不再擋上限，實際忽略防禦%改由「3-戰鬥核心/穿透忽略防禦」的遞減曲線換算。</t>
  </si>
  <si>
    <t>冷卻縮減 上限</t>
  </si>
  <si>
    <t>a=冷卻縮減上限（%）。減少技能所需的冷卻時間。</t>
  </si>
  <si>
    <t>施法速度 上限</t>
  </si>
  <si>
    <t>a=施法速度上限（%）。縮短技能的施放延遲或詠唱時間。</t>
  </si>
  <si>
    <t>吸血 上限</t>
  </si>
  <si>
    <t>吸魔 上限</t>
  </si>
  <si>
    <t>格擋率 上限</t>
  </si>
  <si>
    <t>a=格擋率上限（%）。受到攻擊時觸發格擋以減輕傷害的機率。</t>
  </si>
  <si>
    <t>格擋減傷(詞條部分) 上限</t>
  </si>
  <si>
    <t>a=格擋減傷「詞條部分」上限（%）。實際格擋減傷 = 30%基礎 + 詞條(≤a)，合計上限 80%。</t>
  </si>
  <si>
    <t>閃避率 上限</t>
  </si>
  <si>
    <t>a=閃避率上限（%）。完全避開敵人攻擊的機率（受敵方命中率影響）。</t>
  </si>
  <si>
    <t>韌性 上限</t>
  </si>
  <si>
    <t>a=韌性上限（%）。2026-07-30 改版：上限 80%，且同時降低「被控場機率」、縮短「被控場持續時間」、降低「被敵人爆擊機率」（敵方爆擊率×(1-韌性%)）。</t>
  </si>
  <si>
    <t>控制抵抗 上限</t>
  </si>
  <si>
    <t>a=控制抵抗上限（%）。全面降低所有負面異常狀態的命中率。</t>
  </si>
  <si>
    <t>控制時間縮減 上限</t>
  </si>
  <si>
    <t>a=控制時間縮減上限（%）。減少被暈眩、減速等控制狀態的持續時間。</t>
  </si>
  <si>
    <t>移動速度 上限</t>
  </si>
  <si>
    <t>a=移動速度上限（%）。提高探索地圖、遇敵或到達終點的速度。</t>
  </si>
  <si>
    <t>幸運值 上限</t>
  </si>
  <si>
    <t>a=幸運值上限（數值，非%）。幸運值越高，裝備產出時太古詞條越容易出現。</t>
  </si>
  <si>
    <t>合成變異率 上限</t>
  </si>
  <si>
    <t>a=合成變異率上限（%）。合成時發生特殊異變（如詞條升級）的機率。</t>
  </si>
  <si>
    <t>狂暴閾值 上限</t>
  </si>
  <si>
    <t>a=狂暴閾值上限（%）。影響怪物進入狂暴狀態的時間點或血量條件。</t>
  </si>
  <si>
    <t>詞條上限率 上限</t>
  </si>
  <si>
    <t>上限 = a（0=無上限）</t>
  </si>
  <si>
    <t>a=詞條上限率上限（%）。影響裝備洗煉時更高數值的出現機率；0 代表無上限。</t>
  </si>
  <si>
    <t>被動-連擊 上限</t>
  </si>
  <si>
    <t>a=連擊被動觸發率上限（%）。</t>
  </si>
  <si>
    <t>被動-暈眩 上限</t>
  </si>
  <si>
    <t>a=暈眩被動觸發率上限（%）。</t>
  </si>
  <si>
    <t>3-戰鬥核心</t>
  </si>
  <si>
    <t>防禦減傷率</t>
  </si>
  <si>
    <t>防禦/(防禦+a+b×攻擊者等級)</t>
  </si>
  <si>
    <t>a=常數 b=每級係數。有效防禦≤0 時視為 0% 減傷。</t>
  </si>
  <si>
    <t>敵種傷害抗性</t>
  </si>
  <si>
    <t>1 -  a / (1+( 抗性值 / b)^c)</t>
  </si>
  <si>
    <t>a=常數 b=每級係數。普通敵人/菁英/BOSS傷害抗性三屬性共用曲線；依攻擊者敵種選用對應抗性總合，於全局減傷之後、最低傷害之前的最末端套用；抗性值≤0 時不減傷。詞條放出量見「表-詞條池」。</t>
  </si>
  <si>
    <t>物理抗性減傷</t>
  </si>
  <si>
    <t>a=抗性次方 b=分母常數 c=敵人等級係數。抗性≤0 時不減傷。</t>
  </si>
  <si>
    <t>魔法抗性減傷</t>
  </si>
  <si>
    <t>六系元素抗性減傷</t>
  </si>
  <si>
    <t>a=抗性次方 b=分母常數 c=敵人等級係數。六系元素共用此曲線；抗性≤0 時不減傷。</t>
  </si>
  <si>
    <t>傷害浮動</t>
  </si>
  <si>
    <t>×rnd(a, b)</t>
  </si>
  <si>
    <t>每次傷害的隨機浮動區間。</t>
  </si>
  <si>
    <t>最低傷害下限</t>
  </si>
  <si>
    <t>max(a, 傷害)</t>
  </si>
  <si>
    <t>所有減傷/抗性/格擋結算後、護盾吸收前，每次命中至少造成 a 點傷害。</t>
  </si>
  <si>
    <t>減速狀態攻速</t>
  </si>
  <si>
    <t>攻速×a</t>
  </si>
  <si>
    <t>a=減速時攻擊冷卻累積倍率（-30%）。</t>
  </si>
  <si>
    <t>控場遞減</t>
  </si>
  <si>
    <t>過關回復</t>
  </si>
  <si>
    <t>最大生命×a%</t>
  </si>
  <si>
    <t>野外整波敵人清空時回復一次（吸魂被動仍為擊殺時觸發）。高塔沒有此回復。</t>
  </si>
  <si>
    <t>溢出治療轉護盾</t>
  </si>
  <si>
    <t>溢出×a%</t>
  </si>
  <si>
    <t>a=溢出治療轉為護盾的比例。</t>
  </si>
  <si>
    <t>護盾上限(治療轉化)</t>
  </si>
  <si>
    <t>最大生命×a%×(1+護盾效率%)</t>
  </si>
  <si>
    <t>a=治療轉護盾的上限比例。</t>
  </si>
  <si>
    <t>護盾上限(技能給予)</t>
  </si>
  <si>
    <t>a=技能護盾上限比例；量本身再×(1+護盾效率%)。</t>
  </si>
  <si>
    <t>聖佑(神鑄)減傷上限</t>
  </si>
  <si>
    <t>受傷×(1-min(值,a%))</t>
  </si>
  <si>
    <t>a=聖佑特效減傷上限。</t>
  </si>
  <si>
    <t>不朽(神鑄)回復</t>
  </si>
  <si>
    <t>致命時保 1 血並回復 a%，b 秒限一次</t>
  </si>
  <si>
    <t>a=回復最大生命% b=冷卻秒數。</t>
  </si>
  <si>
    <t>怪物固定戰鬥值</t>
  </si>
  <si>
    <t>命中a% 攻速b</t>
  </si>
  <si>
    <t>怪物固定值；初次出手延遲 = 1/攻速 + 0.4 秒。※2026-07-30 改版：暴擊率與爆擊傷害已移至「敵人爆擊」列（依敵種區分）。</t>
  </si>
  <si>
    <t>敵人爆擊</t>
  </si>
  <si>
    <t>爆擊率：普通a% 菁英b% BOSSc%；爆擊傷害 = 傷害×d%</t>
  </si>
  <si>
    <t>敵人攻擊玩家時同樣會爆擊。a/b/c=各敵種爆擊率 d=共用爆擊傷害倍率%。玩家韌性會折減被爆擊機率：實際爆擊率 = 敵種爆擊率×(1-韌性%)。</t>
  </si>
  <si>
    <t>3-元素特效</t>
  </si>
  <si>
    <t>冰霜 特效</t>
  </si>
  <si>
    <t>每次命中 a% 機率觸發</t>
  </si>
  <si>
    <t>敵人減速 2 秒（受控制時間縮減影響、可被控制抵抗擋下）</t>
  </si>
  <si>
    <t>雷電 特效</t>
  </si>
  <si>
    <t>追加該次元素傷害 80% 的連鎖電擊</t>
  </si>
  <si>
    <t>劇毒 特效</t>
  </si>
  <si>
    <t>中毒：每秒受元素傷害 50% 的跳傷，持續 4 秒（無視防禦）</t>
  </si>
  <si>
    <t>聖光 特效</t>
  </si>
  <si>
    <t>淨化攻擊者自身全部負面狀態</t>
  </si>
  <si>
    <t>暗影 特效</t>
  </si>
  <si>
    <t>汲取元素傷害的 25% 回復生命　※寫死：100%觸發、汲取元素傷害25%回復生命，無獨立可調參數。</t>
  </si>
  <si>
    <t>4-野外怪物</t>
  </si>
  <si>
    <t>生命</t>
  </si>
  <si>
    <t>(a+階段×b)×c^(階段-1)</t>
  </si>
  <si>
    <t>a=常數 b=每階 c=指數底。</t>
  </si>
  <si>
    <t>攻擊</t>
  </si>
  <si>
    <t>魔法防禦 = 物理防禦×0.75。</t>
  </si>
  <si>
    <t>金幣</t>
  </si>
  <si>
    <t>經驗</t>
  </si>
  <si>
    <t>a 次/秒</t>
  </si>
  <si>
    <t>a=普通怪攻速。</t>
  </si>
  <si>
    <t>a%+敵人等級×b%</t>
  </si>
  <si>
    <t>敵人等級=階段。實際命中率沿用戰鬥核心：clamp(命中-玩家閃避, 5, 100)。</t>
  </si>
  <si>
    <t>{1~49=0.5}</t>
  </si>
  <si>
    <t>{50~99=0.7}</t>
  </si>
  <si>
    <t>{100~149=1}</t>
  </si>
  <si>
    <t>{150~199=1.4}</t>
  </si>
  <si>
    <t>{200~299=1.8}</t>
  </si>
  <si>
    <t>{300+=2}</t>
  </si>
  <si>
    <t>敵人等級=階段。實際命中率沿用戰鬥核心：clamp(閃避-玩家命中, 5, 100)。</t>
  </si>
  <si>
    <t>{50~99=0.65}</t>
  </si>
  <si>
    <t>{100~149=0.8}</t>
  </si>
  <si>
    <t>{150~199=1}</t>
  </si>
  <si>
    <t>{200~299=1.2}</t>
  </si>
  <si>
    <t>{300+=1.5}</t>
  </si>
  <si>
    <t>菁英倍率</t>
  </si>
  <si>
    <t>生命×a 攻擊×b 金幣經驗×c 閃避d 攻速e</t>
  </si>
  <si>
    <t>所有掉落 ×a</t>
  </si>
  <si>
    <t>菁英敵人裝備/材料/寶石掉落率統一乘 a（程式實際值）。</t>
  </si>
  <si>
    <t>4-敵人數量</t>
  </si>
  <si>
    <t>權重表：{數量,權重} 或 {下限~上限,權重}</t>
  </si>
  <si>
    <t>每波獨立擲骰。權重只看相對大小，總和不必湊 100；填 0 或留空＝不會被抽中。數量上限為棋盤總格數（見 4-戰場站位/棋盤格數）。</t>
  </si>
  <si>
    <t>{1~2,95}</t>
  </si>
  <si>
    <t>{3,5}</t>
  </si>
  <si>
    <t>{1~2,90}</t>
  </si>
  <si>
    <t>{3,10}</t>
  </si>
  <si>
    <t>{1~2,85}</t>
  </si>
  <si>
    <t>{3,14}</t>
  </si>
  <si>
    <t>{4,1}</t>
  </si>
  <si>
    <t>{1~3,80}</t>
  </si>
  <si>
    <t>{4,12}</t>
  </si>
  <si>
    <t>{5,6}</t>
  </si>
  <si>
    <t>{6,2}</t>
  </si>
  <si>
    <t>{4,20}</t>
  </si>
  <si>
    <t>{5,10}</t>
  </si>
  <si>
    <t>BOSS 數量權重</t>
  </si>
  <si>
    <t>BOSS 與小怪分開擲骰。BOSS 佔 2×2 格，出太多棋盤放不下（放不下會自動退回 1×1 佔格）。每波獨立擲骰。權重只看相對大小，總和不必湊 100；填 0 或留空＝不會被抽中。數量上限為棋盤總格數（見 4-戰場站位/棋盤格數）。</t>
  </si>
  <si>
    <t>{1,100}</t>
  </si>
  <si>
    <t>4-戰場站位</t>
  </si>
  <si>
    <t>棋盤格數</t>
  </si>
  <si>
    <t>敵方 a 行 × b 列</t>
  </si>
  <si>
    <t>a=行數（由左至右；越右離我方越遠）b=列數。我方視為棋盤左側的單一單位。</t>
  </si>
  <si>
    <t>距離規則</t>
  </si>
  <si>
    <t>距離 = a×(行-1) + (中央列 ? b : c)</t>
  </si>
  <si>
    <t>數字越小越近。普攻與技能都以此挑最近目標；同距離隨機挑一個；鎖定後直到目標死亡才換。</t>
  </si>
  <si>
    <t>BOSS 佔格</t>
  </si>
  <si>
    <t>a 行 × b 列</t>
  </si>
  <si>
    <t>BOSS 佔多格；受範圍傷害仍只算命中 1 次。棋盤放不下時自動退回 1×1。</t>
  </si>
  <si>
    <t>4-野外BOSS</t>
  </si>
  <si>
    <t>出現階段</t>
  </si>
  <si>
    <t>每 a 階出現一次</t>
  </si>
  <si>
    <t>野外 BOSS 出現於階段為 a 的倍數；與菁英階段重疊時 BOSS 優先。固定單一敵人。</t>
  </si>
  <si>
    <t>數值倍率</t>
  </si>
  <si>
    <t>生命×a 攻擊×b 防禦×c 金幣經驗×d 閃避+e 攻速f</t>
  </si>
  <si>
    <t>相對於同階段普通怪。e=閃避加成（百分點）f=攻速絕對值（次/秒）。BOSS 免疫控場遞減。</t>
  </si>
  <si>
    <t>掉落倍率</t>
  </si>
  <si>
    <t>BOSS 的裝備/材料/寶石掉落率統一乘 a（比照野外菁英掉落倍率）。</t>
  </si>
  <si>
    <t>—</t>
  </si>
  <si>
    <t>4-高塔BOSS</t>
  </si>
  <si>
    <t>對應野外階段</t>
  </si>
  <si>
    <t>a+樓層×b（試煉a、b｜地獄c、d｜煉獄e、f）</t>
  </si>
  <si>
    <t>各塔獨立：試煉用a、b，地獄用c、d，煉獄用e、f。以此階段的野外怪為基準。</t>
  </si>
  <si>
    <t>BOSS 等級</t>
  </si>
  <si>
    <t>對應階段+a（試煉a｜地獄b｜煉獄c）</t>
  </si>
  <si>
    <t>各塔獨立等級加值：a=試煉 b=地獄 c=煉獄。</t>
  </si>
  <si>
    <t>a%+樓層×b%（試煉a、b｜地獄c、d｜煉獄e、f）</t>
  </si>
  <si>
    <t>各塔獨立：試煉用a、b，地獄用c、d，煉獄用e、f。實際命中率沿用戰鬥核心：clamp(命中-玩家閃避, 5, 100)。</t>
  </si>
  <si>
    <t>挑戰金幣消耗</t>
  </si>
  <si>
    <t>round(a×樓層^b)</t>
  </si>
  <si>
    <t>開始挑戰前扣除，失敗或撤退不退回。</t>
  </si>
  <si>
    <t>{1~50,a=10000,b=1.8}</t>
  </si>
  <si>
    <t>{51~100,a=50000,b=2}</t>
  </si>
  <si>
    <t>{101~150,a=100000,b=2.2}</t>
  </si>
  <si>
    <t>基準生命×a（試煉a｜地獄b｜煉獄c）</t>
  </si>
  <si>
    <t>各塔獨立總倍率（直接乘基準生命、不再鏈乘）：a=試煉 b=地獄 c=煉獄。</t>
  </si>
  <si>
    <t>基準攻擊×a（試煉a｜地獄b｜煉獄c）</t>
  </si>
  <si>
    <t>各塔獨立總倍率（直接乘基準攻擊、不再鏈乘）：a=試煉 b=地獄 c=煉獄。</t>
  </si>
  <si>
    <t>物/魔防</t>
  </si>
  <si>
    <t>基準物/魔防×a（試煉a｜地獄b｜煉獄c）</t>
  </si>
  <si>
    <t>各塔獨立防禦倍率：a=試煉 b=地獄 c=煉獄。</t>
  </si>
  <si>
    <t>攻速 / 控制抵抗</t>
  </si>
  <si>
    <t>攻速a 次/秒；控制抵抗b%（試煉a、b｜地獄c、d｜煉獄e、f）</t>
  </si>
  <si>
    <t>各塔獨立：試煉用a、b，地獄用c、d，煉獄用e、f。</t>
  </si>
  <si>
    <t>min(a+樓層*c, b)%（試煉a~c｜地獄d~f｜煉獄g~i）</t>
  </si>
  <si>
    <t>各塔獨立：a/d/g=基礎 b/e/h=上限 c/f/i=加乘值。</t>
  </si>
  <si>
    <t>元素附傷(元素 BOSS)</t>
  </si>
  <si>
    <t>總魔攻×a（試煉a｜地獄b｜煉獄c）</t>
  </si>
  <si>
    <t>各塔獨立係數：a=試煉 b=地獄 c=煉獄。以魔法攻擊結算。</t>
  </si>
  <si>
    <t>建議野外階段普通怪經驗×a（試煉a｜地獄b｜煉獄c）</t>
  </si>
  <si>
    <t>各塔獨立倍率：a=試煉 b=地獄 c=煉獄。再套用玩家經驗加成。</t>
  </si>
  <si>
    <t>戰鬥規則</t>
  </si>
  <si>
    <t>限時a秒；b秒檢查狂暴（血量&gt;50%+狂暴閾值→傷害×c）；每d秒蓄力重擊×2.2（試煉a~d｜地獄e~h｜煉獄i~l）</t>
  </si>
  <si>
    <t>各塔獨立：試煉a~d、地獄e~h、煉獄i~l；每組依序＝限時、狂暴檢查、狂暴傷害倍率、蓄力周期。</t>
  </si>
  <si>
    <t>地獄之塔範圍</t>
  </si>
  <si>
    <t>第a~b層</t>
  </si>
  <si>
    <t>a=起始層 b=結束層（100 層後未開放）。生命×5、攻擊×2。</t>
  </si>
  <si>
    <t>試煉之塔範圍</t>
  </si>
  <si>
    <t>a=起始層 b=結束層。</t>
  </si>
  <si>
    <t>魔魂本源(地獄之塔)</t>
  </si>
  <si>
    <t>min(100, a% + (樓層-51)×b%)</t>
  </si>
  <si>
    <t>僅地獄之塔；獨立判定 1 顆。</t>
  </si>
  <si>
    <t>魔種(煉獄之塔)</t>
  </si>
  <si>
    <t>min(a%, b% + (BOSS層數-101)×c%)</t>
  </si>
  <si>
    <t>煉獄之塔 101~150 層 BOSS 額外掉落魔種；每場獨立判定。</t>
  </si>
  <si>
    <t>高塔 BOSS 魔塵</t>
  </si>
  <si>
    <t>min(a%, b% + 樓層×c%)</t>
  </si>
  <si>
    <t>a=上限 b=基礎 c=每層。</t>
  </si>
  <si>
    <t>試練之塔範圍</t>
  </si>
  <si>
    <t>{試煉之塔：第a~b層}{地獄之塔：第a~b層}{煉獄之塔：第a~b層}</t>
  </si>
  <si>
    <t>{1~50}</t>
  </si>
  <si>
    <t>{51~100}</t>
  </si>
  <si>
    <t>{101~150}</t>
  </si>
  <si>
    <t>5-掉落通則</t>
  </si>
  <si>
    <t>掉寶率效果折半</t>
  </si>
  <si>
    <t>有效掉寶率 = 來源合計×a</t>
  </si>
  <si>
    <t>裝備詞條/附魔/神鑄貪婪/技能尋寶/相關分解零件的掉寶率效果統一×a。</t>
  </si>
  <si>
    <t>加速齒輪固定加成</t>
  </si>
  <si>
    <t>實際加成 = 每階×階級 + a</t>
  </si>
  <si>
    <t>a=分解速度固定加成（個百分點）。</t>
  </si>
  <si>
    <t>掉落件數規則(&gt;100%)</t>
  </si>
  <si>
    <t>⌊機率/100⌋ + (餘數% 再 1 件)</t>
  </si>
  <si>
    <t>每品質獨立擲骰；實際機率 = 表值×(1+有效掉寶率%)，野外菁英再×1.5。　※規則寫死：機率整數部分必掉，餘數再擲一次。</t>
  </si>
  <si>
    <t>5-稀有度擲骰</t>
  </si>
  <si>
    <t>權重加成 b</t>
  </si>
  <si>
    <t>b = 1 + 有效掉寶加成/a + 階段×c</t>
  </si>
  <si>
    <t>a=掉寶除數 c=每階加成。</t>
  </si>
  <si>
    <t>普通 權重</t>
  </si>
  <si>
    <t>權重 = a×min(b, c)</t>
  </si>
  <si>
    <t>a=基礎權重 b=權重加成 c=加成上限 d=出現門檻。普通無加成。神鑄創世不參與此擲骰。(裝備合成才有作用，目前功能關閉中)</t>
  </si>
  <si>
    <t>b</t>
  </si>
  <si>
    <t>-</t>
  </si>
  <si>
    <t>精良 權重</t>
  </si>
  <si>
    <t>稀有 權重</t>
  </si>
  <si>
    <t>獨特 權重</t>
  </si>
  <si>
    <t>史詩 權重</t>
  </si>
  <si>
    <t>階段 8+</t>
  </si>
  <si>
    <t>傳說 權重</t>
  </si>
  <si>
    <t>階段 15+</t>
  </si>
  <si>
    <t>神話 權重</t>
  </si>
  <si>
    <t>階段 25+</t>
  </si>
  <si>
    <t>創世 權重</t>
  </si>
  <si>
    <t>階段 40+</t>
  </si>
  <si>
    <t>5-太古詞條</t>
  </si>
  <si>
    <t>高塔太古精華機率</t>
  </si>
  <si>
    <t>min(a%, b% + (樓層-c)×d%)</t>
  </si>
  <si>
    <t>以樓層計算；每場獨立判定 1 顆。</t>
  </si>
  <si>
    <t>太古詞條產生率(2詞條)</t>
  </si>
  <si>
    <t>權重擲骰：a~c = 0~2條太古的權重%</t>
  </si>
  <si>
    <t>裝備產出時依詞條數量決定太古條數與隨機位置（位置永久固定，洗煉不變）。a=0條 b=1條 c=2條。</t>
  </si>
  <si>
    <t>太古詞條產生率(3詞條)</t>
  </si>
  <si>
    <t>權重擲骰：a~d = 0~3條太古的權重%</t>
  </si>
  <si>
    <t>裝備產出時依詞條數量決定太古條數與隨機位置（位置永久固定，洗煉不變）。a=0條 b=1條 c=2條 d=3條。</t>
  </si>
  <si>
    <t>太古詞條產生率(4詞條)</t>
  </si>
  <si>
    <t>權重擲骰：a~e = 0~4條太古的權重%</t>
  </si>
  <si>
    <t>裝備產出時依詞條數量決定太古條數與隨機位置（位置永久固定，洗煉不變）。a=0條 b=1條 c=2條 d=3條 e=4條。</t>
  </si>
  <si>
    <t>太古詞條產生率(5詞條)</t>
  </si>
  <si>
    <t>權重擲骰：a~f = 0~5條太古的權重%</t>
  </si>
  <si>
    <t>裝備產出時依詞條數量決定太古條數與隨機位置（位置永久固定，洗煉不變）。a=0條 b=1條 c=2條 d=3條 e=4條 f=5條。</t>
  </si>
  <si>
    <t>太古詞條產生率(6詞條)</t>
  </si>
  <si>
    <t>權重擲骰：a~g = 0~6條太古的權重%</t>
  </si>
  <si>
    <t>裝備產出時依詞條數量決定太古條數與隨機位置（位置永久固定，洗煉不變）。a=0條 b=1條 c=2條 d=3條 e=4條 f=5條 g=6條。</t>
  </si>
  <si>
    <t>太古詞條產生率(7詞條)</t>
  </si>
  <si>
    <t>權重擲骰：a~h = 0~7條太古的權重%</t>
  </si>
  <si>
    <t>裝備產出時依詞條數量決定太古條數與隨機位置（位置永久固定，洗煉不變）。a=0條 b=1條 c=2條 d=3條 e=4條 f=5條 g=6條 h=7條。</t>
  </si>
  <si>
    <t>太古詞條產生率(8詞條)</t>
  </si>
  <si>
    <t>權重擲骰：a~i = 0~8條太古的權重%</t>
  </si>
  <si>
    <t>裝備產出時依詞條數量決定太古條數與隨機位置（位置永久固定，洗煉不變）。a=0條 b=1條 c=2條 d=3條 e=4條 f=5條 g=6條 h=7條 i=8條。</t>
  </si>
  <si>
    <t>太古詞條產生率(9詞條)</t>
  </si>
  <si>
    <t>權重擲骰：a~j = 0~9條太古的權重%</t>
  </si>
  <si>
    <t>裝備產出時依詞條數量決定太古條數與隨機位置（位置永久固定，洗煉不變）。a=0條 b=1條 c=2條 d=3條 e=4條 f=5條 g=6條 h=7條 i=8條 j=9條。</t>
  </si>
  <si>
    <t>太古詞條產生率(10詞條)</t>
  </si>
  <si>
    <t>權重擲骰：a~k = 0~10條太古的權重%</t>
  </si>
  <si>
    <t>裝備產出時依詞條數量決定太古條數與隨機位置（位置永久固定，洗煉不變）。a=0條 b=1條 c=2條 d=3條 e=4條 f=5條 g=6條 h=7條 i=8條 j=9條 k=10條。</t>
  </si>
  <si>
    <t>太古詞條數值倍率</t>
  </si>
  <si>
    <t>原詞條上限 × a</t>
  </si>
  <si>
    <t>a=太古詞條強度倍率（上限已含×1.2，再×a）。</t>
  </si>
  <si>
    <t>太古幸運權重倍率</t>
  </si>
  <si>
    <t>m = a × 幸運值總合 / (幸運值總合 + 太古幸運權重分母)</t>
  </si>
  <si>
    <t>a=幸運值影響倍率；m 用於提高太古詞條數的高條數權重。</t>
  </si>
  <si>
    <t>太古幸運權重分母</t>
  </si>
  <si>
    <t>m = 太古幸運權重倍率 × 幸運值總合 / (幸運值總合 + a)</t>
  </si>
  <si>
    <t>a=幸運值飽和分母；幸運值越高，m 越接近太古幸運權重倍率。</t>
  </si>
  <si>
    <t>5-高塔獎勵</t>
  </si>
  <si>
    <t>零件階級</t>
  </si>
  <si>
    <t>clamp(1+⌊(樓層-1)/a⌋, 1, 7)</t>
  </si>
  <si>
    <t>首通必得、重複通關 30%。</t>
  </si>
  <si>
    <t>a×樓層（首通×2）</t>
  </si>
  <si>
    <t>a=每層金幣。</t>
  </si>
  <si>
    <t>寶石</t>
  </si>
  <si>
    <t>clamp(1+⌊樓層/a⌋, 1, 5)，隨機種類×2 顆</t>
  </si>
  <si>
    <t>a=樓層除數。</t>
  </si>
  <si>
    <t>附魔精華</t>
  </si>
  <si>
    <t>a+樓層</t>
  </si>
  <si>
    <t>a=常數（另附魔書×2）。</t>
  </si>
  <si>
    <t>裝備戰利品等級</t>
  </si>
  <si>
    <t>a+樓層×b</t>
  </si>
  <si>
    <t>依 BOSS 掉落表擲骰。</t>
  </si>
  <si>
    <t>5-高塔裝備掉落</t>
  </si>
  <si>
    <t>普通裝備</t>
  </si>
  <si>
    <t>各樓層區間掉落率%（{樓層下限~上限=機率}）</t>
  </si>
  <si>
    <t>每品質獨立擲骰，&gt;100% 依必掉+餘數規則；實際機率 ×(1+有效掉寶率%)。</t>
  </si>
  <si>
    <t>{1~10=0}</t>
  </si>
  <si>
    <t>{11~20=0}</t>
  </si>
  <si>
    <t>{21~30=0}</t>
  </si>
  <si>
    <t>{31~40=0}</t>
  </si>
  <si>
    <t>{41~50=0}</t>
  </si>
  <si>
    <t>{51~75=0}</t>
  </si>
  <si>
    <t>{76+=0}</t>
  </si>
  <si>
    <t>精良裝備</t>
  </si>
  <si>
    <t>稀有裝備</t>
  </si>
  <si>
    <t>{1~10=100}</t>
  </si>
  <si>
    <t>{11~20=100}</t>
  </si>
  <si>
    <t>獨特裝備</t>
  </si>
  <si>
    <t>{1~10=50}</t>
  </si>
  <si>
    <t>{21~30=100}</t>
  </si>
  <si>
    <t>{31~40=150}</t>
  </si>
  <si>
    <t>史詩裝備</t>
  </si>
  <si>
    <t>{1~10=10}</t>
  </si>
  <si>
    <t>{11~20=20}</t>
  </si>
  <si>
    <t>{41~50=200}</t>
  </si>
  <si>
    <t>{51~75=350}</t>
  </si>
  <si>
    <t>{76+=400}</t>
  </si>
  <si>
    <t>傳說裝備</t>
  </si>
  <si>
    <t>{1~10=5}</t>
  </si>
  <si>
    <t>{11~20=10}</t>
  </si>
  <si>
    <t>{21~30=50}</t>
  </si>
  <si>
    <t>{31~40=100}</t>
  </si>
  <si>
    <t>{41~50=150}</t>
  </si>
  <si>
    <t>{51~75=200}</t>
  </si>
  <si>
    <t>{76+=250}</t>
  </si>
  <si>
    <t>神話裝備</t>
  </si>
  <si>
    <t>{1~5=0}</t>
  </si>
  <si>
    <t>{11~20=2}</t>
  </si>
  <si>
    <t>{21~30=5}</t>
  </si>
  <si>
    <t>{31~40=10}</t>
  </si>
  <si>
    <t>{41~50=25}</t>
  </si>
  <si>
    <t>{51~75=50}</t>
  </si>
  <si>
    <t>{76+=100}</t>
  </si>
  <si>
    <t>創世裝備</t>
  </si>
  <si>
    <t>{41~50=1}</t>
  </si>
  <si>
    <t>{51~75=5}</t>
  </si>
  <si>
    <t>{76+=10}</t>
  </si>
  <si>
    <t>6-裝備</t>
  </si>
  <si>
    <t>詞條數值</t>
  </si>
  <si>
    <t>(base+base×lv係數×(裝備等級-1))×稀有度倍率×rnd(0.8,1.2)</t>
  </si>
  <si>
    <t>base/lv係數見「詞條池」；稀有度倍率見「稀有度表」。　※指標列：base/lv 見「表-詞條池」，稀有度倍率見「表-稀有度」。</t>
  </si>
  <si>
    <t>太古詞條數值</t>
  </si>
  <si>
    <t>基準值×1.2×a</t>
  </si>
  <si>
    <t>a=太古倍率（=原上限的 135%）。　※實際由「5-太古詞條/太古詞條數值倍率」控制，本列不生效。</t>
  </si>
  <si>
    <t>強化倍率</t>
  </si>
  <si>
    <t>1 + a×強化等級</t>
  </si>
  <si>
    <t>裝備每 +1，全詞條數值 +5%。</t>
  </si>
  <si>
    <t>特殊被動數值</t>
  </si>
  <si>
    <t>base + perR×(稀有度-a)</t>
  </si>
  <si>
    <t>a=稀有級索引（稀有=基準）。base/perR 見「特殊被動表」。　※指標列：base/perR 見「表-特殊被動」。</t>
  </si>
  <si>
    <t>神鑄特效數值</t>
  </si>
  <si>
    <t>base × rnd(0.8, 1.2)</t>
  </si>
  <si>
    <t>base 見「神鑄特效表」。神力為額外乘區、彼此相乘。　※指標列：base 見「表-神鑄特效」。</t>
  </si>
  <si>
    <t>附魔-攻擊類</t>
  </si>
  <si>
    <t>(a+裝備等級×b)×稀有度倍率×(1+c×寶石等級)</t>
  </si>
  <si>
    <t>火焰附魔再×1.25。寶石等級只在混合合成帶入。</t>
  </si>
  <si>
    <t>附魔-防禦/功能類</t>
  </si>
  <si>
    <t>min(a + 稀有度×b + 寶石等級×c, d)</t>
  </si>
  <si>
    <t>a=基礎 b=每階 c=每寶石等級 d=上限%。</t>
  </si>
  <si>
    <t>手動附魔費用</t>
  </si>
  <si>
    <t>a 本附魔書 + b 附魔精華</t>
  </si>
  <si>
    <t>取下返還書、不退精華。</t>
  </si>
  <si>
    <t>戰力評分</t>
  </si>
  <si>
    <t>Σ(詞條×權重×強化)+Σ(寶石×權重) →被動×1.15 →神鑄特效×(1+a×件數) →+Σ(附魔×1.2攻/×2防) →×(1+稀有度×b)</t>
  </si>
  <si>
    <t>詞條/寶石權重見 Equipment_Affix 表各詞條列的「戰力權重」欄。a=每條神鑄特效加成 b=稀有度加成。自動換裝門檻：新評分&gt;舊×1.02。</t>
  </si>
  <si>
    <t>分解-碎片</t>
  </si>
  <si>
    <t>max(1, (a+裝備等級×b)×分解係數×rnd(0.85,1.15))</t>
  </si>
  <si>
    <t>分解係數見「稀有度表」salv 欄。</t>
  </si>
  <si>
    <t>分解-金幣</t>
  </si>
  <si>
    <t>round((a+裝備等級) × 品質分解係數 × b)</t>
  </si>
  <si>
    <t>a=基礎金幣；b=分解金幣倍率。淘金濾網金幣為額外來源，不影響本公式。</t>
  </si>
  <si>
    <t>6-分解精華機率</t>
  </si>
  <si>
    <t>附魔精華拆解機率</t>
  </si>
  <si>
    <t>稀有度基礎機率 × (1+精粹透鏡加成/100)</t>
  </si>
  <si>
    <t>一列列出各稀有度基礎機率%。&gt;100% 採必得+餘數。</t>
  </si>
  <si>
    <t>太古精華拆解機率(依稀有度)</t>
  </si>
  <si>
    <t>基礎機率×太古萃取器倍率；另每條太古詞條 50% 判定</t>
  </si>
  <si>
    <t>史詩0.5 傳說1 神話10 創世100 神鑄100（普通~獨特不掉）。</t>
  </si>
  <si>
    <t>6-神鑄</t>
  </si>
  <si>
    <t>裝備神鑄成功率</t>
  </si>
  <si>
    <t>clamp(基礎 + 魔塵數×a, 0, 100)</t>
  </si>
  <si>
    <t>傳統品質每魔塵 a%；混沌品質另由「裝備神鑄混沌魔塵加成」控制。</t>
  </si>
  <si>
    <t>裝備神鑄基礎成功率</t>
  </si>
  <si>
    <t>傳說a 神話b 創世c 混沌d（%）</t>
  </si>
  <si>
    <t>依素材品質。</t>
  </si>
  <si>
    <t>裝備神鑄金幣</t>
  </si>
  <si>
    <t>傳說a 神話b 創世c 混沌d</t>
  </si>
  <si>
    <t>單次金幣消耗；混沌暫定 5 億。</t>
  </si>
  <si>
    <t>裝備神鑄時間(秒)</t>
  </si>
  <si>
    <t>裝備神鑄混沌魔塵加成</t>
  </si>
  <si>
    <t>混沌品質每個魔塵增加 a% 成功率</t>
  </si>
  <si>
    <t>僅適用 6 件混沌裝備神鑄為神鑄混沌。</t>
  </si>
  <si>
    <t>7-洗煉</t>
  </si>
  <si>
    <t>混沌精華費用</t>
  </si>
  <si>
    <t>混沌品質洗煉精華消耗 a</t>
  </si>
  <si>
    <t>可自行調整。</t>
  </si>
  <si>
    <t>神鑄混沌精華費用</t>
  </si>
  <si>
    <t>神鑄混沌品質洗煉精華消耗 a</t>
  </si>
  <si>
    <t>寶石神鑄成功率</t>
  </si>
  <si>
    <t>基礎：5階45 6階35 7階25 8階15 9階5。a=每魔塵加成%。</t>
  </si>
  <si>
    <t>寶石神鑄基礎成功率</t>
  </si>
  <si>
    <t>5階a 6階b 7階c 8階d 9階e（%）</t>
  </si>
  <si>
    <t>依素材階級。</t>
  </si>
  <si>
    <t>寶石神鑄金幣</t>
  </si>
  <si>
    <t>a + (素材階級-b)×a</t>
  </si>
  <si>
    <t>a=基礎 b=起始階級。</t>
  </si>
  <si>
    <t>寶石神鑄時間(秒)</t>
  </si>
  <si>
    <t>5階a 6階b 7階c 8階d 9階e</t>
  </si>
  <si>
    <t>神鑄失敗</t>
  </si>
  <si>
    <t>裝備消耗a件退b件；寶石消耗a顆退b顆；每次失敗得魔塵1</t>
  </si>
  <si>
    <t>a=消耗 b=退回。</t>
  </si>
  <si>
    <t>神鑄槽位 / 魔塵上限</t>
  </si>
  <si>
    <t>法陣a格；魔塵最多b個</t>
  </si>
  <si>
    <t>a=槽位 b=魔塵上限。</t>
  </si>
  <si>
    <t>7-強化</t>
  </si>
  <si>
    <t>基礎成功率</t>
  </si>
  <si>
    <t>+5 以內 100%；之後 max(a%, 100% - (目標等級-5)×b%)</t>
  </si>
  <si>
    <t>a=下限 b=每級遞減。實際=基礎+強化成功率屬性。</t>
  </si>
  <si>
    <t>金幣費用</t>
  </si>
  <si>
    <t>a × b^目前強化等級 × (1+裝備等級×c)</t>
  </si>
  <si>
    <t>碎片費用</t>
  </si>
  <si>
    <t>失敗懲罰</t>
  </si>
  <si>
    <t>消耗半數費用，強化等級不變</t>
  </si>
  <si>
    <t>寫死：失敗消耗半數費用。</t>
  </si>
  <si>
    <t>a × b^稀有度 × (1+裝備等級×c)</t>
  </si>
  <si>
    <t>精華費用</t>
  </si>
  <si>
    <t>普通~傳說 1+稀有度；神話a 創世b 神鑄c</t>
  </si>
  <si>
    <t>a/b/c=神話/創世/神鑄創世固定值。</t>
  </si>
  <si>
    <t>數值洗煉分段權重</t>
  </si>
  <si>
    <t>先平分洗煉數值範圍，再以權重選擇低／高段：A=a；B=b＋（詞條上限率/100）^c</t>
  </si>
  <si>
    <t>先隨機選 A（低半段）或 B（高半段），再於選定半段內均勻隨機。a=低段權重；b=高段基礎權重；c=詞條上限率指數。詞條上限率以百分點儲存（100 代表 100%），0% 時兩段等機率。</t>
  </si>
  <si>
    <t>7-合成</t>
  </si>
  <si>
    <t>大成功率</t>
  </si>
  <si>
    <t>a%</t>
  </si>
  <si>
    <t>合成功能停用；保留基礎參數供舊資料相容。</t>
  </si>
  <si>
    <t>品質合成</t>
  </si>
  <si>
    <t>3 件同稀有度 → 1 件高一階（等級=平均）；大成功再+1 階</t>
  </si>
  <si>
    <t>合成功能已停用(SYNTHESIS_ENABLED=false)，本列未生效。</t>
  </si>
  <si>
    <t>混合合成</t>
  </si>
  <si>
    <t>1 裝備+1 寶石+1 附魔書 → 附魔（威力吃寶石等級）；大成功稀有度+1</t>
  </si>
  <si>
    <t>合成功能已停用，本列未生效。</t>
  </si>
  <si>
    <t>合成變異</t>
  </si>
  <si>
    <t>機率=合成變異率屬性（上限60%）；附魔威力×1.5 並追加 1 條詞條</t>
  </si>
  <si>
    <t>7-分解速度</t>
  </si>
  <si>
    <t>分解處理速度</t>
  </si>
  <si>
    <t>間隔 = a 秒 ÷ (1+加速加成)</t>
  </si>
  <si>
    <t>加速齒輪每階+25%，另固定+50 個百分點。　※＝生產線處理間隔，由「7-容量/生產線處理間隔」控制，本列不生效。</t>
  </si>
  <si>
    <t>7-分解槽</t>
  </si>
  <si>
    <t>分解槽解鎖費用</t>
  </si>
  <si>
    <t>初始 10 格、上限 20 格。</t>
  </si>
  <si>
    <t>7-容量</t>
  </si>
  <si>
    <t>輸送帶容量</t>
  </si>
  <si>
    <t>a（固定上限）</t>
  </si>
  <si>
    <t>程式實際為固定 20000；超出的新裝備直接丟棄。</t>
  </si>
  <si>
    <t>合成暫存區</t>
  </si>
  <si>
    <t>a + ⌊負重上限/b⌋</t>
  </si>
  <si>
    <t>背包容量</t>
  </si>
  <si>
    <t>a + 背包擴充上限次數b</t>
  </si>
  <si>
    <t>a=初始格數 b為上限值；滿了自動分解新進裝備。</t>
  </si>
  <si>
    <t>背包擴充費用</t>
  </si>
  <si>
    <t>a + b × c^購買次數</t>
  </si>
  <si>
    <t>a=基值值 b=擴充倍數 c=指數底；達上限後不可再擴充。</t>
  </si>
  <si>
    <t>生產線處理間隔</t>
  </si>
  <si>
    <t>a 秒/件</t>
  </si>
  <si>
    <t>8-寶石</t>
  </si>
  <si>
    <t>能力數值(1~5階)</t>
  </si>
  <si>
    <t>base × 等級 × (1 + a×(等級-1))</t>
  </si>
  <si>
    <t>base 見「寶石種類表」。Lv1×1 Lv2×2.4 Lv3×4.2 Lv4×6.4 Lv5×9。</t>
  </si>
  <si>
    <t>能力數值(6~10階神鑄)</t>
  </si>
  <si>
    <t>五階數值 × a^(階級-5)</t>
  </si>
  <si>
    <t>每高 1 階能力×a。</t>
  </si>
  <si>
    <t>寶石升階(工廠自動)</t>
  </si>
  <si>
    <t>c 顆同種同級 → 1 顆同種高一級</t>
  </si>
  <si>
    <t>免費、自動（熔爐合成節點開關）。　※合成功能已停用，本列未生效。</t>
  </si>
  <si>
    <t>寶石合成(手動)</t>
  </si>
  <si>
    <t>寶石合成金幣</t>
  </si>
  <si>
    <t>寶石轉換(九宮格)</t>
  </si>
  <si>
    <t>寶石拆解(一般)</t>
  </si>
  <si>
    <t>寶石拆解(融合)</t>
  </si>
  <si>
    <t>⌊81×leaves × a⌋ 顆 1 級（依屬性均分）</t>
  </si>
  <si>
    <t>leaves=素材 5 階總數（融合時雙方相加）。　※與「寶石拆解(一般)」共用保留率，本列不生效。</t>
  </si>
  <si>
    <t>寶石融合成功率</t>
  </si>
  <si>
    <t>max(a%, b% - c%×雙方融合次數和)</t>
  </si>
  <si>
    <t>僅 5 階；產出雙屬性。</t>
  </si>
  <si>
    <t>寶石融合數值</t>
  </si>
  <si>
    <t>同屬性 rnd(較小值,較大值×2)；異屬性 原值×rnd(0.5,1.5)</t>
  </si>
  <si>
    <t>失敗：較弱一方降解為 50% 機率 4~8 顆 Lv1 / 50% 機率 2~4 顆 Lv2。　※結構寫死：同屬性 rnd(小,大×2)、異屬性 原值×rnd(0.5,1.5)。</t>
  </si>
  <si>
    <t>8-寶石商店</t>
  </si>
  <si>
    <t>升級費用</t>
  </si>
  <si>
    <t>a + 商店等級^b × c</t>
  </si>
  <si>
    <t>Lv.1~20；Lv.20 滿級。</t>
  </si>
  <si>
    <t>手動刷新費用</t>
  </si>
  <si>
    <t>a × (下一次重置序號^b)</t>
  </si>
  <si>
    <t>第一次刷新序號為 1。</t>
  </si>
  <si>
    <t>刷新週期</t>
  </si>
  <si>
    <t>a 小時重置刷新次數</t>
  </si>
  <si>
    <t>寶石標價(Lv1~10)</t>
  </si>
  <si>
    <t>各階價格</t>
  </si>
  <si>
    <t>a=Lv1 … j=Lv10。</t>
  </si>
  <si>
    <t>8-寶店刷出數量</t>
  </si>
  <si>
    <t>商店 Lv.1</t>
  </si>
  <si>
    <t>刷出數量=機率%（每格獨立）</t>
  </si>
  <si>
    <t>格式「刷出數量=機率%」，機率總和 100。</t>
  </si>
  <si>
    <t>5=50</t>
  </si>
  <si>
    <t>6=50</t>
  </si>
  <si>
    <t>商店 Lv.2</t>
  </si>
  <si>
    <t>6=40</t>
  </si>
  <si>
    <t>7=10</t>
  </si>
  <si>
    <t>商店 Lv.3</t>
  </si>
  <si>
    <t>6=30</t>
  </si>
  <si>
    <t>8=10</t>
  </si>
  <si>
    <t>商店 Lv.4</t>
  </si>
  <si>
    <t>5=45</t>
  </si>
  <si>
    <t>7=15</t>
  </si>
  <si>
    <t>商店 Lv.5</t>
  </si>
  <si>
    <t>5=40</t>
  </si>
  <si>
    <t>8=15</t>
  </si>
  <si>
    <t>商店 Lv.6</t>
  </si>
  <si>
    <t>5=35</t>
  </si>
  <si>
    <t>9=5</t>
  </si>
  <si>
    <t>商店 Lv.7</t>
  </si>
  <si>
    <t>6=35</t>
  </si>
  <si>
    <t>7=30</t>
  </si>
  <si>
    <t>9=15</t>
  </si>
  <si>
    <t>10=5</t>
  </si>
  <si>
    <t>商店 Lv.8</t>
  </si>
  <si>
    <t>10=10</t>
  </si>
  <si>
    <t>商店 Lv.9</t>
  </si>
  <si>
    <t>8=30</t>
  </si>
  <si>
    <t>10=15</t>
  </si>
  <si>
    <t>11=10</t>
  </si>
  <si>
    <t>商店 Lv.10</t>
  </si>
  <si>
    <t>9=30</t>
  </si>
  <si>
    <t>11=15</t>
  </si>
  <si>
    <t>12=10</t>
  </si>
  <si>
    <t>商店 Lv.11</t>
  </si>
  <si>
    <t>10=30</t>
  </si>
  <si>
    <t>12=15</t>
  </si>
  <si>
    <t>13=10</t>
  </si>
  <si>
    <t>商店 Lv.12</t>
  </si>
  <si>
    <t>11=30</t>
  </si>
  <si>
    <t>13=15</t>
  </si>
  <si>
    <t>14=10</t>
  </si>
  <si>
    <t>商店 Lv.13</t>
  </si>
  <si>
    <t>12=30</t>
  </si>
  <si>
    <t>14=15</t>
  </si>
  <si>
    <t>15=10</t>
  </si>
  <si>
    <t>商店 Lv.14</t>
  </si>
  <si>
    <t>13=30</t>
  </si>
  <si>
    <t>15=15</t>
  </si>
  <si>
    <t>16=10</t>
  </si>
  <si>
    <t>商店 Lv.15</t>
  </si>
  <si>
    <t>14=30</t>
  </si>
  <si>
    <t>16=15</t>
  </si>
  <si>
    <t>17=10</t>
  </si>
  <si>
    <t>商店 Lv.16</t>
  </si>
  <si>
    <t>15=30</t>
  </si>
  <si>
    <t>17=15</t>
  </si>
  <si>
    <t>18=10</t>
  </si>
  <si>
    <t>商店 Lv.17</t>
  </si>
  <si>
    <t>16=30</t>
  </si>
  <si>
    <t>18=15</t>
  </si>
  <si>
    <t>19=10</t>
  </si>
  <si>
    <t>商店 Lv.18</t>
  </si>
  <si>
    <t>16=20</t>
  </si>
  <si>
    <t>17=30</t>
  </si>
  <si>
    <t>19=15</t>
  </si>
  <si>
    <t>20=10</t>
  </si>
  <si>
    <t>商店 Lv.19</t>
  </si>
  <si>
    <t>商店 Lv.20</t>
  </si>
  <si>
    <t>8-寶店刷出階級</t>
  </si>
  <si>
    <t>寶石階級=機率%（每顆獨立）</t>
  </si>
  <si>
    <t>格式「階級=機率%」，機率總和 100。</t>
  </si>
  <si>
    <t>1=75</t>
  </si>
  <si>
    <t>2=20</t>
  </si>
  <si>
    <t>3=4</t>
  </si>
  <si>
    <t>4=1</t>
  </si>
  <si>
    <t>1=73</t>
  </si>
  <si>
    <t>3=5</t>
  </si>
  <si>
    <t>4=2</t>
  </si>
  <si>
    <t>1=71</t>
  </si>
  <si>
    <t>3=6</t>
  </si>
  <si>
    <t>4=3</t>
  </si>
  <si>
    <t>1=70.5</t>
  </si>
  <si>
    <t>5=0.5</t>
  </si>
  <si>
    <t>1=69</t>
  </si>
  <si>
    <t>4=4</t>
  </si>
  <si>
    <t>5=1</t>
  </si>
  <si>
    <t>1=67.5</t>
  </si>
  <si>
    <t>4=5</t>
  </si>
  <si>
    <t>5=1.5</t>
  </si>
  <si>
    <t>1=64</t>
  </si>
  <si>
    <t>3=8</t>
  </si>
  <si>
    <t>4=6</t>
  </si>
  <si>
    <t>5=2</t>
  </si>
  <si>
    <t>1=61.5</t>
  </si>
  <si>
    <t>3=9</t>
  </si>
  <si>
    <t>4=7</t>
  </si>
  <si>
    <t>5=2.5</t>
  </si>
  <si>
    <t>1=59</t>
  </si>
  <si>
    <t>3=10</t>
  </si>
  <si>
    <t>4=8</t>
  </si>
  <si>
    <t>5=3</t>
  </si>
  <si>
    <t>1=58</t>
  </si>
  <si>
    <t>5=3.5</t>
  </si>
  <si>
    <t>6=0.5</t>
  </si>
  <si>
    <t>1=57.25</t>
  </si>
  <si>
    <t>5=4</t>
  </si>
  <si>
    <t>6=0.75</t>
  </si>
  <si>
    <t>1=53.5</t>
  </si>
  <si>
    <t>3=12</t>
  </si>
  <si>
    <t>4=9</t>
  </si>
  <si>
    <t>5=4.5</t>
  </si>
  <si>
    <t>6=1</t>
  </si>
  <si>
    <t>1=53.25</t>
  </si>
  <si>
    <t>6=1.25</t>
  </si>
  <si>
    <t>1=53</t>
  </si>
  <si>
    <t>6=1.5</t>
  </si>
  <si>
    <t>1=51.5</t>
  </si>
  <si>
    <t>4=10</t>
  </si>
  <si>
    <t>5=5</t>
  </si>
  <si>
    <t>7=0.5</t>
  </si>
  <si>
    <t>1=50.75</t>
  </si>
  <si>
    <t>7=1</t>
  </si>
  <si>
    <t>1=50.5</t>
  </si>
  <si>
    <t>7=1.25</t>
  </si>
  <si>
    <t>1=50</t>
  </si>
  <si>
    <t>8=0.5</t>
  </si>
  <si>
    <t>1=49.65</t>
  </si>
  <si>
    <t>8=0.75</t>
  </si>
  <si>
    <t>9=0.1</t>
  </si>
  <si>
    <t>1=48.9</t>
  </si>
  <si>
    <t>8=1</t>
  </si>
  <si>
    <t>9=0.5</t>
  </si>
  <si>
    <t>10=0.1</t>
  </si>
  <si>
    <t>9-技能</t>
  </si>
  <si>
    <t>技能原始傷害</t>
  </si>
  <si>
    <t>(base + per×(等級-1))% × 攻擊力</t>
  </si>
  <si>
    <t>各技能 base/per 見 skills.js 的 SKILLS 表（未納入本表）。</t>
  </si>
  <si>
    <t>一般技能法力消耗</t>
  </si>
  <si>
    <t>round(原始消耗 × (1 + a×(技能等級-1)))</t>
  </si>
  <si>
    <t>非複利。a=每級增幅。</t>
  </si>
  <si>
    <t>多敵人技能傷害</t>
  </si>
  <si>
    <t>原始傷害 × (1+範圍傷害%) ÷ 目標數</t>
  </si>
  <si>
    <t>單一目標不套用範圍傷害、也不除以目標數。　※規則寫死：原始傷害×(1+範圍傷害%)÷目標數。</t>
  </si>
  <si>
    <t>實際冷卻</t>
  </si>
  <si>
    <t>技能冷卻 × (1 - 冷卻縮減%)</t>
  </si>
  <si>
    <t>規則寫死：技能CD×(1-冷卻縮減%)。</t>
  </si>
  <si>
    <t>施放硬直</t>
  </si>
  <si>
    <t>0 秒</t>
  </si>
  <si>
    <t>普攻與技能並行；技能施放間隔由技能共用冷卻（GCD）控制。</t>
  </si>
  <si>
    <t>技能最短施放間隔；普攻擊殺後換目標也沿用此間隔。</t>
  </si>
  <si>
    <t>a×當前等級 + b^(1 + 當前等級/c)</t>
  </si>
  <si>
    <t>上限 5,000,000；降級全額退還。</t>
  </si>
  <si>
    <t>等級上限</t>
  </si>
  <si>
    <t>全部技能（含被動/融合/潛力）10；轉生後 15</t>
  </si>
  <si>
    <t>2026-07-30 改制：上限走「轉生對照表」param e；4/8 級里程碑效果移除門檻、自 Lv.1 全附加。</t>
  </si>
  <si>
    <t>奧術衝擊(基礎技能)</t>
  </si>
  <si>
    <t>MP a／冷卻 b 秒／施法 c 秒／魔攻×d＋物攻×e</t>
  </si>
  <si>
    <t>固定自動施放技能常數。</t>
  </si>
  <si>
    <t>9-融合</t>
  </si>
  <si>
    <t>素材繼承比例</t>
  </si>
  <si>
    <t>各素材 base/per × a 後加總</t>
  </si>
  <si>
    <t>2026-07-30 種子演算法後不再使用（FUSE_FACTOR 僅保留相容）；新演算法見「攻擊力四檔」等新列。</t>
  </si>
  <si>
    <t>融合冷卻</t>
  </si>
  <si>
    <t>素材最長冷卻 × a</t>
  </si>
  <si>
    <t>變異觸發率</t>
  </si>
  <si>
    <t>8 種變異，至多 1 種。b 不再使用。</t>
  </si>
  <si>
    <t>DoT/控場/增益合併</t>
  </si>
  <si>
    <t>（種子演算法）buff/debuff 依鐘形權重取 1~N 個；數值於上限一半~上限均分 4 檔隨機</t>
  </si>
  <si>
    <t>2026-07-30 改制：舊合併規則廢止。增益/減益池=素材滿級效果同 key 取高；特效整包取 1 個素材（見「效果融合機率」）。</t>
  </si>
  <si>
    <t>融合技能法力消耗</t>
  </si>
  <si>
    <t>round(素材原始消耗總和 × (1 + a×(融合技等級-1)))</t>
  </si>
  <si>
    <t>與「9-技能/一般技能法力消耗」共用公式，本列不生效。融合技法力=素材原始消耗總和。</t>
  </si>
  <si>
    <t>10-離線</t>
  </si>
  <si>
    <t>有效離線時間</t>
  </si>
  <si>
    <t>min(實際離線秒數, a 小時)</t>
  </si>
  <si>
    <t>1 分鐘內不計。</t>
  </si>
  <si>
    <t>計算等級</t>
  </si>
  <si>
    <t>捨去((目前地圖最高階段 × c - a) ÷ b) × b（下限 1）</t>
  </si>
  <si>
    <t>a=等級扣減；b=取整單位；c=關卡比例；以此等級的當前場景菁英怪計算離線收益。</t>
  </si>
  <si>
    <t>擊殺速率</t>
  </si>
  <si>
    <t>每 a 秒擊殺 1 隻菁英怪</t>
  </si>
  <si>
    <t>a=擊殺間隔秒數；擊殺數 = ⌊有效離線秒數 ÷ a⌋，每隻菁英怪及其掉落單獨擲骰。</t>
  </si>
  <si>
    <t>怪物種類</t>
  </si>
  <si>
    <t>a＝1 時使用菁英怪；a＝0 時使用普通怪</t>
  </si>
  <si>
    <t>離線收益的怪物種類；菁英怪會套用菁英經驗與掉落倍率。</t>
  </si>
  <si>
    <t>表-稀有度</t>
  </si>
  <si>
    <t>普通</t>
  </si>
  <si>
    <t>精良</t>
  </si>
  <si>
    <t>稀有</t>
  </si>
  <si>
    <t>獨特</t>
  </si>
  <si>
    <t>史詩</t>
  </si>
  <si>
    <t>傳說</t>
  </si>
  <si>
    <t>神話</t>
  </si>
  <si>
    <t>創世</t>
  </si>
  <si>
    <t>神鑄創世</t>
  </si>
  <si>
    <t>表-自動機組零件</t>
  </si>
  <si>
    <t>加速齒輪</t>
  </si>
  <si>
    <t>效果值 = a + b × (等級-1)</t>
  </si>
  <si>
    <t>a=基礎值 b=每級增加值；節點為 salvage。分解速度另固定+50個百分點。</t>
  </si>
  <si>
    <t>salvage</t>
  </si>
  <si>
    <t>碎片熔煉爐</t>
  </si>
  <si>
    <t>a=基礎值 b=每級增加值；節點為 salvage。分解碎片產量加成。</t>
  </si>
  <si>
    <t>淘金濾網</t>
  </si>
  <si>
    <t>a=基礎值 b=每級增加值；分解時獲得當前關卡敵人金幣的 a%。</t>
  </si>
  <si>
    <t>精粹透鏡</t>
  </si>
  <si>
    <t>a=基礎值 b=每級增加值；節點為 salvage。附魔精華拆解產出率加成。</t>
  </si>
  <si>
    <t>知識核心</t>
  </si>
  <si>
    <t>a=基礎值 b=每級增加值；分解時獲得當前關卡敵人經驗的 a%。</t>
  </si>
  <si>
    <t>寶石採集器</t>
  </si>
  <si>
    <t>a=基礎值 b=每級增加值；分解時有 a% 機率獲得 1 級寶石。</t>
  </si>
  <si>
    <t>幸運之心</t>
  </si>
  <si>
    <t>a=基礎值 b=每級增加值；分解時有 a% 機率使所有產物變為 3 倍。</t>
  </si>
  <si>
    <t>太古精華萃取器</t>
  </si>
  <si>
    <t>a=基礎值 b=每級增加值；分解太古精華掉落率加成。</t>
  </si>
  <si>
    <t>熔爐核心</t>
  </si>
  <si>
    <t>a=基礎值 b=每級增加值；熔爐上的其他零件效果額外提升 a%，多個核心直接疊加。</t>
  </si>
  <si>
    <t>表-固定參數</t>
  </si>
  <si>
    <t>出怪間隔</t>
  </si>
  <si>
    <t>RESPAWN_DELAY。</t>
  </si>
  <si>
    <t>死亡復活時間</t>
  </si>
  <si>
    <t>a 秒</t>
  </si>
  <si>
    <t>REVIVE_DELAY。</t>
  </si>
  <si>
    <t>零件階級上限</t>
  </si>
  <si>
    <t>T a</t>
  </si>
  <si>
    <t>PART_MAX_TIER。</t>
  </si>
  <si>
    <t>零件庫存保留</t>
  </si>
  <si>
    <t>每種未安裝最多保留 a 顆</t>
  </si>
  <si>
    <t>PART_KEEP_PER_KEY，多餘自動分解。</t>
  </si>
  <si>
    <t>合成節點槽位</t>
  </si>
  <si>
    <t>a 格</t>
  </si>
  <si>
    <t>分解槽為金幣解鎖 10~20 格。　※合成功能已停用，本列未生效。</t>
  </si>
  <si>
    <t>寶石一般上限 / 神鑄上限</t>
  </si>
  <si>
    <t>一般 a 階；神鑄可到 b 階</t>
  </si>
  <si>
    <t>GEM_MAX_LEVEL / GEM_FORGE_MAX_LEVEL。</t>
  </si>
  <si>
    <t>詞條數硬上限</t>
  </si>
  <si>
    <t>a 條</t>
  </si>
  <si>
    <t>MAX_AFFIXES = 單件裝備詞條數的安全硬上限；目前稀有度表最高 10 條。</t>
  </si>
  <si>
    <t>零件升級金錢消耗</t>
  </si>
  <si>
    <t>a + b × c^升級後等級</t>
  </si>
  <si>
    <t>零件升級至下一級的金幣消耗；指數中的零件等級是升級後目標等級，例如 T5→T6 代入 6。</t>
  </si>
  <si>
    <t>混沌</t>
  </si>
  <si>
    <t>神鑄混沌</t>
  </si>
  <si>
    <t>裝備神鑄混沌基礎成功率</t>
  </si>
  <si>
    <t>混沌品質基礎成功率 a%</t>
  </si>
  <si>
    <t>6 件混沌裝備神鑄為神鑄混沌的基礎成功率。</t>
  </si>
  <si>
    <t>裝備神鑄混沌金幣</t>
  </si>
  <si>
    <t>混沌品質單次金幣消耗 a</t>
  </si>
  <si>
    <t>暫定 5 億，可自行調整。</t>
  </si>
  <si>
    <t>裝備神鑄混沌時間(秒)</t>
  </si>
  <si>
    <t>混沌品質神鑄時間 a 秒</t>
  </si>
  <si>
    <t>暫定 13 秒，可自行調整。</t>
  </si>
  <si>
    <t>技能熟練度經驗需求</t>
  </si>
  <si>
    <t>a×熟練度等級^b + c</t>
  </si>
  <si>
    <t>技能熟練度升 1 級所需經驗（沿用玩家升級公式未轉生版；L=目前熟練度等級）。</t>
  </si>
  <si>
    <t>技能熟練度</t>
  </si>
  <si>
    <t>上限 a 級；擊殺技能經驗 = 怪物經驗 × b%</t>
  </si>
  <si>
    <t>打怪（野外/高塔/離線）獲得技能經驗；每升 1 級 +1 技能點。初始 0 級。</t>
  </si>
  <si>
    <t>融合花費</t>
  </si>
  <si>
    <t>金幣 a × 素材數；魔法卷軸 b 張 × 素材數</t>
  </si>
  <si>
    <t>執行技能融合的花費。</t>
  </si>
  <si>
    <t>物魔判定</t>
  </si>
  <si>
    <t>混合素材：物/魔依素材數比例分掉 (100-a)%，物+魔佔 a%；雙屬性每段攻擊係數 b</t>
  </si>
  <si>
    <t>2 物 2 魔時即 45/45/10。純物理/純魔法素材不擲骰；任一真傷素材→真傷。</t>
  </si>
  <si>
    <t>攻擊力四檔</t>
  </si>
  <si>
    <t>素材滿級傷害% 平均 → ×a/b/c/d%，機率 e/f/g/h%</t>
  </si>
  <si>
    <t>融合技攻擊力四檔位與機率。</t>
  </si>
  <si>
    <t>同屬性加成</t>
  </si>
  <si>
    <t>素材中同屬性每多 1 個，該屬性最終傷害 +a%</t>
  </si>
  <si>
    <t>等價折入 elems 權重與總傷害值（戰鬥端零改動）。物理視為一種屬性、每個物理素材佔 2 份。</t>
  </si>
  <si>
    <t>效果融合機率</t>
  </si>
  <si>
    <t>特效正常取 1 個素材的特效包；a% 機率再併入第 2 個素材的特效包（最多 2 個）。</t>
  </si>
  <si>
    <t>成長曲線</t>
  </si>
  <si>
    <t>Lv.1 = 滿級值 × a，線性成長至滿級（10 級基準）</t>
  </si>
  <si>
    <t>融合技所有隨機結果值為滿級值；轉生上限 15 時可超過滿級值（與一般技能同理）。</t>
  </si>
  <si>
    <t>魔法卷軸換算</t>
  </si>
  <si>
    <t>魔法卷軸 = 附魔精華實得量 × a（機率式進位）</t>
  </si>
  <si>
    <t>拆解裝備與高塔通關皆適用；期望值 = 精華量 × a。</t>
  </si>
  <si>
    <t>0-遊戲預設</t>
  </si>
  <si>
    <t>開場金幣</t>
  </si>
  <si>
    <t>a</t>
  </si>
  <si>
    <t>新遊戲與重新開局時給予的金幣數量。</t>
  </si>
  <si>
    <t>開場裝備碎片</t>
  </si>
  <si>
    <t>新遊戲與重新開局時給予的裝備碎片數量。</t>
  </si>
  <si>
    <t>開場附魔精華</t>
  </si>
  <si>
    <t>新遊戲與重新開局時給予的附魔精華數量。</t>
  </si>
  <si>
    <t>穿透忽略防禦</t>
    <phoneticPr fontId="1" type="noConversion"/>
  </si>
  <si>
    <r>
      <rPr>
        <sz val="11"/>
        <rFont val="微軟正黑體"/>
        <family val="2"/>
        <charset val="136"/>
      </rPr>
      <t>忽略敵人防禦</t>
    </r>
    <r>
      <rPr>
        <sz val="11"/>
        <rFont val="Calibri"/>
        <family val="2"/>
      </rPr>
      <t xml:space="preserve">% = </t>
    </r>
    <r>
      <rPr>
        <sz val="11"/>
        <rFont val="細明體"/>
        <family val="2"/>
        <charset val="136"/>
      </rPr>
      <t>穿透%/(穿透%+</t>
    </r>
    <r>
      <rPr>
        <sz val="11"/>
        <rFont val="Calibri"/>
        <family val="2"/>
      </rPr>
      <t>a)</t>
    </r>
    <phoneticPr fontId="1" type="noConversion"/>
  </si>
  <si>
    <r>
      <rPr>
        <sz val="11"/>
        <rFont val="微軟正黑體"/>
        <family val="2"/>
        <charset val="136"/>
      </rPr>
      <t>物理穿透與魔法穿透各自換算（不設上限）</t>
    </r>
    <r>
      <rPr>
        <sz val="11"/>
        <rFont val="細明體"/>
        <family val="2"/>
        <charset val="136"/>
      </rPr>
      <t>，用百分比計算</t>
    </r>
    <r>
      <rPr>
        <sz val="11"/>
        <rFont val="微軟正黑體"/>
        <family val="2"/>
        <charset val="136"/>
      </rPr>
      <t>。</t>
    </r>
    <r>
      <rPr>
        <sz val="11"/>
        <rFont val="Calibri"/>
        <family val="2"/>
      </rPr>
      <t>a=</t>
    </r>
    <r>
      <rPr>
        <sz val="11"/>
        <rFont val="微軟正黑體"/>
        <family val="2"/>
        <charset val="136"/>
      </rPr>
      <t>係數</t>
    </r>
    <r>
      <rPr>
        <sz val="11"/>
        <rFont val="Calibri"/>
        <family val="2"/>
      </rPr>
      <t xml:space="preserve"> </t>
    </r>
    <phoneticPr fontId="1" type="noConversion"/>
  </si>
  <si>
    <t>小怪 數量權重(荒漠21~40關)</t>
  </si>
  <si>
    <t>小怪 數量權重(荒漠41~60關)</t>
  </si>
  <si>
    <t>小怪 數量權重(荒漠61~80關)</t>
  </si>
  <si>
    <t>小怪 數量權重(荒漠81~100關)</t>
  </si>
  <si>
    <r>
      <rPr>
        <sz val="11"/>
        <rFont val="微軟正黑體"/>
        <family val="2"/>
        <charset val="136"/>
      </rPr>
      <t>小怪</t>
    </r>
    <r>
      <rPr>
        <sz val="11"/>
        <rFont val="Calibri"/>
        <family val="2"/>
      </rPr>
      <t xml:space="preserve"> </t>
    </r>
    <r>
      <rPr>
        <sz val="11"/>
        <rFont val="微軟正黑體"/>
        <family val="2"/>
        <charset val="136"/>
      </rPr>
      <t>數量權重</t>
    </r>
    <r>
      <rPr>
        <sz val="11"/>
        <rFont val="Calibri"/>
        <family val="2"/>
      </rPr>
      <t>(</t>
    </r>
    <r>
      <rPr>
        <sz val="11"/>
        <rFont val="微軟正黑體"/>
        <family val="2"/>
        <charset val="136"/>
      </rPr>
      <t>荒漠</t>
    </r>
    <r>
      <rPr>
        <sz val="11"/>
        <rFont val="Calibri"/>
        <family val="2"/>
      </rPr>
      <t>1~20</t>
    </r>
    <r>
      <rPr>
        <sz val="11"/>
        <rFont val="微軟正黑體"/>
        <family val="2"/>
        <charset val="136"/>
      </rPr>
      <t>關</t>
    </r>
    <r>
      <rPr>
        <sz val="11"/>
        <rFont val="Calibri"/>
        <family val="2"/>
      </rPr>
      <t>)</t>
    </r>
    <phoneticPr fontId="1" type="noConversion"/>
  </si>
  <si>
    <r>
      <rPr>
        <sz val="11"/>
        <rFont val="微軟正黑體"/>
        <family val="2"/>
        <charset val="136"/>
      </rPr>
      <t>菁英</t>
    </r>
    <r>
      <rPr>
        <sz val="11"/>
        <rFont val="Calibri"/>
        <family val="2"/>
      </rPr>
      <t xml:space="preserve"> </t>
    </r>
    <r>
      <rPr>
        <sz val="11"/>
        <rFont val="微軟正黑體"/>
        <family val="2"/>
        <charset val="136"/>
      </rPr>
      <t>數量權重</t>
    </r>
    <r>
      <rPr>
        <sz val="11"/>
        <rFont val="Calibri"/>
        <family val="2"/>
        <charset val="136"/>
      </rPr>
      <t>(</t>
    </r>
    <r>
      <rPr>
        <sz val="11"/>
        <rFont val="微軟正黑體"/>
        <family val="2"/>
        <charset val="136"/>
      </rPr>
      <t>荒漠</t>
    </r>
    <r>
      <rPr>
        <sz val="11"/>
        <rFont val="Calibri"/>
        <family val="2"/>
        <charset val="136"/>
      </rPr>
      <t>1~200</t>
    </r>
    <r>
      <rPr>
        <sz val="11"/>
        <rFont val="微軟正黑體"/>
        <family val="2"/>
        <charset val="136"/>
      </rPr>
      <t>關</t>
    </r>
    <r>
      <rPr>
        <sz val="11"/>
        <rFont val="Calibri"/>
        <family val="2"/>
        <charset val="136"/>
      </rPr>
      <t>)</t>
    </r>
    <phoneticPr fontId="1" type="noConversion"/>
  </si>
  <si>
    <r>
      <rPr>
        <sz val="11"/>
        <rFont val="微軟正黑體"/>
        <family val="2"/>
        <charset val="136"/>
      </rPr>
      <t>菁英</t>
    </r>
    <r>
      <rPr>
        <sz val="11"/>
        <rFont val="Calibri"/>
        <family val="2"/>
      </rPr>
      <t xml:space="preserve"> </t>
    </r>
    <r>
      <rPr>
        <sz val="11"/>
        <rFont val="微軟正黑體"/>
        <family val="2"/>
        <charset val="136"/>
      </rPr>
      <t>數量權重</t>
    </r>
    <r>
      <rPr>
        <sz val="11"/>
        <rFont val="Calibri"/>
        <family val="2"/>
        <charset val="136"/>
      </rPr>
      <t>(</t>
    </r>
    <r>
      <rPr>
        <sz val="11"/>
        <rFont val="微軟正黑體"/>
        <family val="2"/>
        <charset val="136"/>
      </rPr>
      <t>冰原</t>
    </r>
    <r>
      <rPr>
        <sz val="11"/>
        <rFont val="Calibri"/>
        <family val="2"/>
        <charset val="136"/>
      </rPr>
      <t>1~300</t>
    </r>
    <r>
      <rPr>
        <sz val="11"/>
        <rFont val="微軟正黑體"/>
        <family val="2"/>
        <charset val="136"/>
      </rPr>
      <t>關</t>
    </r>
    <r>
      <rPr>
        <sz val="11"/>
        <rFont val="Calibri"/>
        <family val="2"/>
        <charset val="136"/>
      </rPr>
      <t>)</t>
    </r>
    <phoneticPr fontId="1" type="noConversion"/>
  </si>
  <si>
    <r>
      <rPr>
        <sz val="11"/>
        <rFont val="微軟正黑體"/>
        <family val="2"/>
        <charset val="136"/>
      </rPr>
      <t>菁英</t>
    </r>
    <r>
      <rPr>
        <sz val="11"/>
        <rFont val="Calibri"/>
        <family val="2"/>
      </rPr>
      <t xml:space="preserve"> </t>
    </r>
    <r>
      <rPr>
        <sz val="11"/>
        <rFont val="微軟正黑體"/>
        <family val="2"/>
        <charset val="136"/>
      </rPr>
      <t>數量權重</t>
    </r>
    <r>
      <rPr>
        <sz val="11"/>
        <rFont val="Calibri"/>
        <family val="2"/>
        <charset val="136"/>
      </rPr>
      <t>(</t>
    </r>
    <r>
      <rPr>
        <sz val="11"/>
        <rFont val="微軟正黑體"/>
        <family val="2"/>
        <charset val="136"/>
      </rPr>
      <t>沼澤</t>
    </r>
    <r>
      <rPr>
        <sz val="11"/>
        <rFont val="Calibri"/>
        <family val="2"/>
        <charset val="136"/>
      </rPr>
      <t>1~400</t>
    </r>
    <r>
      <rPr>
        <sz val="11"/>
        <rFont val="微軟正黑體"/>
        <family val="2"/>
        <charset val="136"/>
      </rPr>
      <t>關</t>
    </r>
    <r>
      <rPr>
        <sz val="11"/>
        <rFont val="Calibri"/>
        <family val="2"/>
        <charset val="136"/>
      </rPr>
      <t>)</t>
    </r>
    <phoneticPr fontId="1" type="noConversion"/>
  </si>
  <si>
    <r>
      <rPr>
        <sz val="11"/>
        <rFont val="微軟正黑體"/>
        <family val="2"/>
        <charset val="136"/>
      </rPr>
      <t>菁英</t>
    </r>
    <r>
      <rPr>
        <sz val="11"/>
        <rFont val="Calibri"/>
        <family val="2"/>
      </rPr>
      <t xml:space="preserve"> </t>
    </r>
    <r>
      <rPr>
        <sz val="11"/>
        <rFont val="微軟正黑體"/>
        <family val="2"/>
        <charset val="136"/>
      </rPr>
      <t>數量權重</t>
    </r>
    <r>
      <rPr>
        <sz val="11"/>
        <rFont val="Calibri"/>
        <family val="2"/>
        <charset val="136"/>
      </rPr>
      <t>(</t>
    </r>
    <r>
      <rPr>
        <sz val="11"/>
        <rFont val="微軟正黑體"/>
        <family val="2"/>
        <charset val="136"/>
      </rPr>
      <t>亡靈山脈</t>
    </r>
    <r>
      <rPr>
        <sz val="11"/>
        <rFont val="Calibri"/>
        <family val="2"/>
        <charset val="136"/>
      </rPr>
      <t>1~500</t>
    </r>
    <r>
      <rPr>
        <sz val="11"/>
        <rFont val="微軟正黑體"/>
        <family val="2"/>
        <charset val="136"/>
      </rPr>
      <t>關</t>
    </r>
    <r>
      <rPr>
        <sz val="11"/>
        <rFont val="Calibri"/>
        <family val="2"/>
        <charset val="136"/>
      </rPr>
      <t>)</t>
    </r>
    <phoneticPr fontId="1" type="noConversion"/>
  </si>
  <si>
    <t>{3,20}</t>
    <phoneticPr fontId="1" type="noConversion"/>
  </si>
  <si>
    <t>{4,5}</t>
    <phoneticPr fontId="1" type="noConversion"/>
  </si>
  <si>
    <t>{1~2,75}</t>
    <phoneticPr fontId="1" type="noConversion"/>
  </si>
  <si>
    <t>{1~2,50}</t>
    <phoneticPr fontId="1" type="noConversion"/>
  </si>
  <si>
    <t>{3,10}</t>
    <phoneticPr fontId="1" type="noConversion"/>
  </si>
  <si>
    <t>{4,10}</t>
    <phoneticPr fontId="1" type="noConversion"/>
  </si>
  <si>
    <t>{6,2}</t>
    <phoneticPr fontId="1" type="noConversion"/>
  </si>
  <si>
    <t>{5,6}</t>
    <phoneticPr fontId="1" type="noConversion"/>
  </si>
  <si>
    <r>
      <rPr>
        <sz val="11"/>
        <rFont val="微軟正黑體"/>
        <family val="2"/>
        <charset val="136"/>
      </rPr>
      <t>菁英</t>
    </r>
    <r>
      <rPr>
        <sz val="11"/>
        <rFont val="Calibri"/>
        <family val="2"/>
      </rPr>
      <t xml:space="preserve"> </t>
    </r>
    <r>
      <rPr>
        <sz val="11"/>
        <rFont val="微軟正黑體"/>
        <family val="2"/>
        <charset val="136"/>
      </rPr>
      <t>數量權重</t>
    </r>
    <r>
      <rPr>
        <sz val="11"/>
        <rFont val="Calibri"/>
        <family val="2"/>
      </rPr>
      <t>500</t>
    </r>
    <r>
      <rPr>
        <sz val="11"/>
        <rFont val="細明體"/>
        <family val="3"/>
        <charset val="136"/>
      </rPr>
      <t>關之後</t>
    </r>
    <phoneticPr fontId="1" type="noConversion"/>
  </si>
  <si>
    <t>野外菁英掉落倍率</t>
    <phoneticPr fontId="1" type="noConversion"/>
  </si>
  <si>
    <t>{4~5,30}</t>
    <phoneticPr fontId="1" type="noConversion"/>
  </si>
  <si>
    <t>{1~2,2}</t>
    <phoneticPr fontId="1" type="noConversion"/>
  </si>
  <si>
    <t>{3,8}</t>
    <phoneticPr fontId="1" type="noConversion"/>
  </si>
  <si>
    <t>{6~7,15}</t>
    <phoneticPr fontId="1" type="noConversion"/>
  </si>
  <si>
    <t>{8~9,8}</t>
    <phoneticPr fontId="1" type="noConversion"/>
  </si>
  <si>
    <t>{10,3}</t>
    <phoneticPr fontId="1" type="noConversion"/>
  </si>
  <si>
    <t>{11,1.5}</t>
    <phoneticPr fontId="1" type="noConversion"/>
  </si>
  <si>
    <r>
      <t>a × b^(</t>
    </r>
    <r>
      <rPr>
        <sz val="11"/>
        <rFont val="微軟正黑體"/>
        <family val="2"/>
        <charset val="136"/>
      </rPr>
      <t>目標格數</t>
    </r>
    <r>
      <rPr>
        <sz val="11"/>
        <rFont val="Calibri"/>
        <family val="2"/>
      </rPr>
      <t>-1)</t>
    </r>
    <phoneticPr fontId="1" type="noConversion"/>
  </si>
  <si>
    <t>{1~2,1}</t>
    <phoneticPr fontId="1" type="noConversion"/>
  </si>
  <si>
    <t>{3,3}</t>
    <phoneticPr fontId="1" type="noConversion"/>
  </si>
  <si>
    <t>{4~5,5}</t>
    <phoneticPr fontId="1" type="noConversion"/>
  </si>
  <si>
    <t>{6~10,30}</t>
    <phoneticPr fontId="1" type="noConversion"/>
  </si>
  <si>
    <t>{11~16,30}</t>
    <phoneticPr fontId="1" type="noConversion"/>
  </si>
  <si>
    <t>{17~20,10}</t>
    <phoneticPr fontId="1" type="noConversion"/>
  </si>
  <si>
    <t>{21~30,5}</t>
    <phoneticPr fontId="1" type="noConversion"/>
  </si>
  <si>
    <r>
      <t xml:space="preserve">a </t>
    </r>
    <r>
      <rPr>
        <sz val="11"/>
        <rFont val="微軟正黑體"/>
        <family val="2"/>
        <charset val="136"/>
      </rPr>
      <t>秒</t>
    </r>
    <phoneticPr fontId="1" type="noConversion"/>
  </si>
  <si>
    <t>換目標間隔</t>
  </si>
  <si>
    <t>公式 a 秒</t>
  </si>
  <si>
    <t>轉頭打下一隻敵人的間隔時間</t>
    <phoneticPr fontId="1" type="noConversion"/>
  </si>
  <si>
    <t>{0.75,1,1.5,1.75,2,2,2,3,3,3,4,5}</t>
    <phoneticPr fontId="1" type="noConversion"/>
  </si>
  <si>
    <t>{10~11,1}</t>
    <phoneticPr fontId="1" type="noConversion"/>
  </si>
  <si>
    <t>{12,0.5}</t>
    <phoneticPr fontId="1" type="noConversion"/>
  </si>
  <si>
    <t>{1~3,3}</t>
    <phoneticPr fontId="1" type="noConversion"/>
  </si>
  <si>
    <r>
      <rPr>
        <sz val="11"/>
        <rFont val="微軟正黑體"/>
        <family val="2"/>
        <charset val="136"/>
      </rPr>
      <t>小怪</t>
    </r>
    <r>
      <rPr>
        <sz val="11"/>
        <rFont val="Calibri"/>
        <family val="2"/>
      </rPr>
      <t xml:space="preserve"> </t>
    </r>
    <r>
      <rPr>
        <sz val="11"/>
        <rFont val="微軟正黑體"/>
        <family val="2"/>
        <charset val="136"/>
      </rPr>
      <t>數量權重</t>
    </r>
    <r>
      <rPr>
        <sz val="11"/>
        <rFont val="Calibri"/>
        <family val="2"/>
      </rPr>
      <t>(</t>
    </r>
    <r>
      <rPr>
        <sz val="11"/>
        <rFont val="微軟正黑體"/>
        <family val="2"/>
        <charset val="136"/>
      </rPr>
      <t>荒漠</t>
    </r>
    <r>
      <rPr>
        <sz val="11"/>
        <rFont val="Calibri"/>
        <family val="2"/>
      </rPr>
      <t>101~150</t>
    </r>
    <r>
      <rPr>
        <sz val="11"/>
        <rFont val="微軟正黑體"/>
        <family val="2"/>
        <charset val="136"/>
      </rPr>
      <t>關</t>
    </r>
    <r>
      <rPr>
        <sz val="11"/>
        <rFont val="Calibri"/>
        <family val="2"/>
      </rPr>
      <t>)</t>
    </r>
    <phoneticPr fontId="1" type="noConversion"/>
  </si>
  <si>
    <t>{6,3}</t>
    <phoneticPr fontId="1" type="noConversion"/>
  </si>
  <si>
    <t>{5,15}</t>
    <phoneticPr fontId="1" type="noConversion"/>
  </si>
  <si>
    <t>{1~3,15}</t>
    <phoneticPr fontId="1" type="noConversion"/>
  </si>
  <si>
    <t>{4,50}</t>
    <phoneticPr fontId="1" type="noConversion"/>
  </si>
  <si>
    <t>{6,5}</t>
    <phoneticPr fontId="1" type="noConversion"/>
  </si>
  <si>
    <t>{7~8,1}</t>
    <phoneticPr fontId="1" type="noConversion"/>
  </si>
  <si>
    <t>{1~3,60}</t>
    <phoneticPr fontId="1" type="noConversion"/>
  </si>
  <si>
    <r>
      <rPr>
        <sz val="11"/>
        <rFont val="微軟正黑體"/>
        <family val="2"/>
        <charset val="136"/>
      </rPr>
      <t>小怪</t>
    </r>
    <r>
      <rPr>
        <sz val="11"/>
        <rFont val="Calibri"/>
        <family val="2"/>
      </rPr>
      <t xml:space="preserve"> </t>
    </r>
    <r>
      <rPr>
        <sz val="11"/>
        <rFont val="微軟正黑體"/>
        <family val="2"/>
        <charset val="136"/>
      </rPr>
      <t>數量權重</t>
    </r>
    <r>
      <rPr>
        <sz val="11"/>
        <rFont val="Calibri"/>
        <family val="2"/>
      </rPr>
      <t>151</t>
    </r>
    <r>
      <rPr>
        <sz val="11"/>
        <rFont val="細明體"/>
        <family val="3"/>
        <charset val="136"/>
      </rPr>
      <t>關之後</t>
    </r>
    <phoneticPr fontId="1" type="noConversion"/>
  </si>
  <si>
    <t>{5~6,40}</t>
    <phoneticPr fontId="1" type="noConversion"/>
  </si>
  <si>
    <t>{7~9,5}</t>
    <phoneticPr fontId="1" type="noConversion"/>
  </si>
  <si>
    <t>技能施放最短間隔</t>
    <phoneticPr fontId="1" type="noConversion"/>
  </si>
  <si>
    <r>
      <t xml:space="preserve">a </t>
    </r>
    <r>
      <rPr>
        <sz val="11"/>
        <rFont val="微軟正黑體"/>
        <family val="2"/>
        <charset val="136"/>
      </rPr>
      <t>秒（固定，不受冷卻縮減影響）</t>
    </r>
    <phoneticPr fontId="1" type="noConversion"/>
  </si>
  <si>
    <r>
      <rPr>
        <sz val="11"/>
        <rFont val="新細明體"/>
        <family val="1"/>
        <charset val="136"/>
      </rPr>
      <t>攻速遞減計算：實際攻速</t>
    </r>
    <r>
      <rPr>
        <sz val="11"/>
        <rFont val="Calibri"/>
        <family val="2"/>
      </rPr>
      <t xml:space="preserve"> = 1 + a * (</t>
    </r>
    <r>
      <rPr>
        <sz val="11"/>
        <rFont val="新細明體"/>
        <family val="1"/>
        <charset val="136"/>
      </rPr>
      <t>攻速總加成</t>
    </r>
    <r>
      <rPr>
        <sz val="11"/>
        <rFont val="Calibri"/>
        <family val="2"/>
      </rPr>
      <t>) - b * (</t>
    </r>
    <r>
      <rPr>
        <sz val="11"/>
        <rFont val="新細明體"/>
        <family val="1"/>
        <charset val="136"/>
      </rPr>
      <t>攻速總加成</t>
    </r>
    <r>
      <rPr>
        <sz val="11"/>
        <rFont val="Calibri"/>
        <family val="2"/>
      </rPr>
      <t>)^c</t>
    </r>
    <phoneticPr fontId="1" type="noConversion"/>
  </si>
  <si>
    <r>
      <t xml:space="preserve">a,b = </t>
    </r>
    <r>
      <rPr>
        <sz val="11"/>
        <rFont val="細明體"/>
        <family val="3"/>
        <charset val="136"/>
      </rPr>
      <t xml:space="preserve">系數 </t>
    </r>
    <r>
      <rPr>
        <sz val="11"/>
        <rFont val="Calibri"/>
        <family val="2"/>
      </rPr>
      <t>c=</t>
    </r>
    <r>
      <rPr>
        <sz val="11"/>
        <rFont val="細明體"/>
        <family val="3"/>
        <charset val="136"/>
      </rPr>
      <t>乘方值</t>
    </r>
    <phoneticPr fontId="1" type="noConversion"/>
  </si>
  <si>
    <t>2026-07-30 改制：技能點不再隨角色升級發放，改由技能熟練度提供（每級 1 點）；目前只用於潛力技能。a=基礎點數；b 停用；c=舊制上限常數（保留相容）。</t>
  </si>
  <si>
    <t>a=生命與四維最終倍率 b=升級經驗倍率  c=升級經驗基礎增加值 d=階級名稱 e=潛力技能等級上限（查表）。 f=已停用（舊融合技上限增加值，2026-09-29 移除）。</t>
  </si>
  <si>
    <t/>
  </si>
  <si>
    <t>1.0449999999999999</t>
  </si>
  <si>
    <t>78.100000000000009</t>
  </si>
  <si>
    <t>72.113600000000005</t>
  </si>
  <si>
    <t>22.118399999999998</t>
  </si>
  <si>
    <t>4.6079999999999997</t>
  </si>
  <si>
    <t>53.837361999999999</t>
  </si>
  <si>
    <t>33.734898000000001</t>
  </si>
  <si>
    <t>2.4641999999999999</t>
  </si>
  <si>
    <t>0.66600000000000004</t>
  </si>
  <si>
    <t>49.993825599999994</t>
  </si>
  <si>
    <t>32.817838399999999</t>
  </si>
  <si>
    <t>11.316495999999999</t>
  </si>
  <si>
    <t>3.9022399999999999</t>
  </si>
  <si>
    <t>1.3455999999999999</t>
  </si>
  <si>
    <t>0.46400000000000002</t>
  </si>
  <si>
    <t>36.76497232906253</t>
  </si>
  <si>
    <t>38.491879564687487</t>
  </si>
  <si>
    <t>15.094854731249995</t>
  </si>
  <si>
    <t>5.9195508749999988</t>
  </si>
  <si>
    <t>2.3213924999999995</t>
  </si>
  <si>
    <t>0.91034999999999988</t>
  </si>
  <si>
    <t>0.35699999999999998</t>
  </si>
  <si>
    <t>0.13999999999999999</t>
  </si>
  <si>
    <t>31.631675870386633</t>
  </si>
  <si>
    <t>38.434848634168908</t>
  </si>
  <si>
    <t>16.857389751828471</t>
  </si>
  <si>
    <t>7.3935919964159975</t>
  </si>
  <si>
    <t>3.2428035071999992</t>
  </si>
  <si>
    <t>1.4222822399999997</t>
  </si>
  <si>
    <t>0.62380799999999992</t>
  </si>
  <si>
    <t>0.27359999999999995</t>
  </si>
  <si>
    <t>25.407543428799851</t>
  </si>
  <si>
    <t>39.287974783901511</t>
  </si>
  <si>
    <t>18.619893262512562</t>
  </si>
  <si>
    <t>8.8245939632760972</t>
  </si>
  <si>
    <t>4.1822720205099984</t>
  </si>
  <si>
    <t>1.9821194409999996</t>
  </si>
  <si>
    <t>0.93939309999999998</t>
  </si>
  <si>
    <t>0.44520999999999994</t>
  </si>
  <si>
    <t>0.21099999999999999</t>
  </si>
  <si>
    <t>18.159999999999986</t>
  </si>
  <si>
    <t>6.0000000000000001E-3</t>
  </si>
  <si>
    <t>1.4999999999999999E-2</t>
  </si>
  <si>
    <t>0.33329999999999999</t>
  </si>
  <si>
    <t>潛力技能 10；轉生後 15</t>
  </si>
  <si>
    <t>2026-09-29 舊版技能移除後只剩潛力技能：等級上限走「轉生對照表」param e（未轉生 10、轉生後見表）。</t>
  </si>
  <si>
    <t>2.2999999999999998</t>
  </si>
  <si>
    <t>10.199999999999999</t>
  </si>
  <si>
    <t>a=吸血上限（定值）；0＝無上限。吸血是定值：每次對敵人造成傷害固定回復的生命（舊版百分比以 1%＝1 轉換），單獨計算，與每秒生命回復、造成的傷害皆無關。</t>
    <phoneticPr fontId="1" type="noConversion"/>
  </si>
  <si>
    <t>a=吸魔上限（定值）；0＝無上限。吸魔是定值：每次對敵人造成傷害固定回復的法力（舊版百分比以 1%＝1 轉換），單獨計算，與每秒法力恢復、造成的傷害皆無關。</t>
    <phoneticPr fontId="1" type="noConversion"/>
  </si>
  <si>
    <t>(a + 加成)/秒</t>
    <phoneticPr fontId="1" type="noConversion"/>
  </si>
  <si>
    <t>a=基礎生命回復定值。</t>
    <phoneticPr fontId="1" type="noConversion"/>
  </si>
  <si>
    <t>6-裝備</t>
    <phoneticPr fontId="1" type="noConversion"/>
  </si>
  <si>
    <t>等級前不出現的屬性</t>
    <phoneticPr fontId="1" type="noConversion"/>
  </si>
  <si>
    <t>裝備等級（或角色等級）≤ 等級 時，陣列內的詞條不出現</t>
    <phoneticPr fontId="1" type="noConversion"/>
  </si>
  <si>
    <t>屬性解鎖門檻（2026-10-05）。成對填寫：a＝等級、b＝該等級（含）以前不出現的詞條陣列；c／d＝第二組、e／f＝第三組…（最多六組，不用的組留空或填 0）。判斷基準：裝備掉落的詞條隨機、洗煉、詞條池提示看「裝備等級」；角色屬性面板看「角色等級」，≤ 等級就不顯示該列。已經在裝備上的詞條不受影響、照常生效。陣列寫法 {詞條鍵,詞條鍵…}，鍵見 Equipment_Affix 表「詞條池」的 id 欄：elemDmgFire／Ice／Lightning／Poison／Light／Dark／Earth／Wind＝火冰雷毒聖暗地風屬性傷害提升；resFire／Ice／Lightning／Poison／Light／Dark／Earth／Wind＝各屬性抗性；resAll＝全屬性抗性。同一個鍵出現在多組時取最高的等級；打錯鍵套用參數會中止並指出是哪一個。</t>
    <phoneticPr fontId="1" type="noConversion"/>
  </si>
  <si>
    <t>控制持續時間 × max(0, 1 − 該類已被控次數 × 每次遞減%)</t>
    <phoneticPr fontId="1" type="noConversion"/>
  </si>
  <si>
    <t>2026-10-05 改為依「被控場次數」遞減（取代舊的存活秒數遞減）。控場分三類各自獨立計次與遞減：無法行動（暈眩、凍結、石化等無法普攻／施放技能／行動）、攻速降低、移動速度降低。a=無法行動類每被控 1 次，之後同類控場持續時間遞減 a%；b=攻速降低類每次遞減 b%；c=移動速度降低類每次遞減 c%；d=無法行動類的合併秒數（此秒數內重複施加視為同一次，多段命中不會連扣）。例：a=5，冰凍 2 秒 → 第 1 次 2 秒、第 2 次 1.9 秒、…、第 20 次起完全免疫。遞減只作用在獨立記錄的「控場效果」，狀態本身的數值與持續時間不變（遞減到 0 只是沒有控場效果，狀態仍照常掛上，依賴狀態的判定照常觸發）。攻速／移速類：同類控場還在生效中時不重複計次（場域緩速每 0.5 秒重塗，只算進入場域的那一次）。參數填 0＝該類不遞減。BOSS 對攻擊頻率類控場另有完全免疫，不受本列影響。</t>
    <phoneticPr fontId="1" type="noConversion"/>
  </si>
  <si>
    <t>{elemDmgFire,elemDmgIce,elemDmgLightning,elemDmgPoison,elemDmgLight,elemDmgDark,elemDmgEarth,elemDmgWind,resFire,resIce,resLightning,resPoison,resLight,resDark,resEarth,resWind,resAll}</t>
    <phoneticPr fontId="1" type="noConversion"/>
  </si>
  <si>
    <t>a=詞條數值倍率 b=詞條數下限 c=詞條數上限 d=寶石插槽 e=附魔欄位 f=分解係數 g=符文孔數（0＝沒有符文孔；上限與雙手武器加成見 Runes 表）。</t>
    <phoneticPr fontId="1" type="noConversion"/>
  </si>
  <si>
    <t>a=詞條數值倍率 b=詞條數下限 c=詞條數上限 d=寶石插槽 e=附魔欄位 f=分解係數 g=符文孔數（0＝沒有符文孔；上限與雙手武器加成見 Runes 表）；倍率與分解係數為暫定值，可調整。</t>
    <phoneticPr fontId="1" type="noConversion"/>
  </si>
  <si>
    <t>4-菁英群組</t>
  </si>
  <si>
    <t>普通關菁英機率(荒漠)</t>
  </si>
  <si>
    <t>每波有 x% 機率改出菁英群</t>
  </si>
  <si>
    <t>普通關（階段不是 10 的倍數）每一波補怪時，改出一群菁英的機率（%）。寫法 {最低關~最高關,機率%}。每一格寫一個關卡區間；同一關落在多格時取最前面那一格；留空或 0 的格子略過，關卡沒被任何區間涵蓋就視為 0。「其他地圖」是神界三圖（沒有專屬一列的地圖）共用的一列。菁英關（10 的倍數）每一波都是菁英群，不看這一列。</t>
  </si>
  <si>
    <t>{1~10,1}</t>
  </si>
  <si>
    <t>{11~50,3}</t>
  </si>
  <si>
    <t>{51~100,5}</t>
  </si>
  <si>
    <t>{101~9999,7}</t>
  </si>
  <si>
    <t>普通關菁英機率(冰原)</t>
  </si>
  <si>
    <t>{1~100,6}</t>
  </si>
  <si>
    <t>{101~9999,9}</t>
  </si>
  <si>
    <t>普通關菁英機率(沼澤)</t>
  </si>
  <si>
    <t>{1~100,8}</t>
  </si>
  <si>
    <t>{101~9999,11}</t>
  </si>
  <si>
    <t>普通關菁英機率(亡靈山脈)</t>
  </si>
  <si>
    <t>{1~200,10}</t>
  </si>
  <si>
    <t>{201~9999,13}</t>
  </si>
  <si>
    <t>普通關菁英機率(其他地圖)</t>
  </si>
  <si>
    <t>{1~9999,12}</t>
  </si>
  <si>
    <t>群組成員數權重(荒漠)</t>
  </si>
  <si>
    <t>權重表：{關卡下限~上限,隻數,權重}</t>
  </si>
  <si>
    <t>一個菁英群有幾隻。寫法 {最低關~最高關,隻數,權重}：同一個關卡區間可以寫多格（2 隻、3 隻、4 隻各一格），權重只看相對大小、總和不必湊 100。每一格寫一個關卡區間；同一關落在多格時取最前面那一格；留空或 0 的格子略過，關卡沒被任何區間涵蓋就視為 0。「其他地圖」是神界三圖（沒有專屬一列的地圖）共用的一列。</t>
  </si>
  <si>
    <t>{1~100,2,60}</t>
  </si>
  <si>
    <t>{1~100,3,30}</t>
  </si>
  <si>
    <t>{1~100,4,10}</t>
  </si>
  <si>
    <t>{101~9999,2,40}</t>
  </si>
  <si>
    <t>{101~9999,3,40}</t>
  </si>
  <si>
    <t>{101~9999,4,20}</t>
  </si>
  <si>
    <t>群組成員數權重(冰原)</t>
  </si>
  <si>
    <t>{1~9999,2,50}</t>
  </si>
  <si>
    <t>{1~9999,3,35}</t>
  </si>
  <si>
    <t>{1~9999,4,15}</t>
  </si>
  <si>
    <t>群組成員數權重(沼澤)</t>
  </si>
  <si>
    <t>{1~9999,2,40}</t>
  </si>
  <si>
    <t>{1~9999,3,40}</t>
  </si>
  <si>
    <t>{1~9999,4,20}</t>
  </si>
  <si>
    <t>群組成員數權重(亡靈山脈)</t>
  </si>
  <si>
    <t>{1~9999,2,30}</t>
  </si>
  <si>
    <t>{1~9999,4,30}</t>
  </si>
  <si>
    <t>群組成員數權重(其他地圖)</t>
  </si>
  <si>
    <t>{1~9999,2,25}</t>
  </si>
  <si>
    <t>{1~9999,4,35}</t>
  </si>
  <si>
    <t>純菁英群機率(荒漠)</t>
  </si>
  <si>
    <t>全員菁英的機率 x%，其餘為菁英帶小兵</t>
  </si>
  <si>
    <t>一個菁英群是「全員菁英」的機率（%）；沒中的就是「菁英帶小兵」——帶隊的菁英數見「混合群與小兵」。寫法 {最低關~最高關,機率%}。每一格寫一個關卡區間；同一關落在多格時取最前面那一格；留空或 0 的格子略過，關卡沒被任何區間涵蓋就視為 0。「其他地圖」是神界三圖（沒有專屬一列的地圖）共用的一列。</t>
  </si>
  <si>
    <t>{1~100,15}</t>
  </si>
  <si>
    <t>{101~9999,30}</t>
  </si>
  <si>
    <t>純菁英群機率(冰原)</t>
  </si>
  <si>
    <t>{1~100,25}</t>
  </si>
  <si>
    <t>{101~9999,35}</t>
  </si>
  <si>
    <t>純菁英群機率(沼澤)</t>
  </si>
  <si>
    <t>{1~9999,35}</t>
  </si>
  <si>
    <t>純菁英群機率(亡靈山脈)</t>
  </si>
  <si>
    <t>{1~9999,45}</t>
  </si>
  <si>
    <t>純菁英群機率(其他地圖)</t>
  </si>
  <si>
    <t>{1~9999,55}</t>
  </si>
  <si>
    <t>普通關菁英群數量權重</t>
  </si>
  <si>
    <t>權重表：{群數,權重}</t>
  </si>
  <si>
    <t>普通關遇到菁英時一次出幾「群」。菁英關（10 的倍數）的群數則沿用「4-敵人數量」的各張「菁英 數量權重」列（那幾列現在的意思是群數，不再是隻數）。寫法 {群數,權重} 或 {下限~上限,權重}；權重只看相對大小；填 0 或留空＝不會被抽中。</t>
  </si>
  <si>
    <t>{1,75}</t>
  </si>
  <si>
    <t>{2,22}</t>
  </si>
  <si>
    <t>{3,3}</t>
  </si>
  <si>
    <t>菁英技能數量權重</t>
  </si>
  <si>
    <t>權重表：{關卡下限~上限,1個,2個,3個}</t>
  </si>
  <si>
    <t>{1~100,70,28,2}</t>
  </si>
  <si>
    <t>{101~300,45,45,10}</t>
  </si>
  <si>
    <t>{301~9999,25,50,25}</t>
  </si>
  <si>
    <t>混合群與小兵</t>
  </si>
  <si>
    <t>帶隊菁英 a 隻；小兵生命×b 攻擊×c 金幣經驗×d</t>
  </si>
  <si>
    <t>「菁英帶小兵」的群：a＝帶隊的菁英隻數（群內其餘都是小兵，數量不夠時全員菁英）；小兵是普通怪，b／c＝生命與攻擊相對普通怪的倍率，d＝金幣與經驗倍率。</t>
  </si>
  <si>
    <t>菁英技能全域設定</t>
  </si>
  <si>
    <t>傷害×a% 冷卻×b%；首次施放≤c 秒；場域上限 d；召喚上限 e；鏈結連線 f</t>
  </si>
  <si>
    <t>菁英與小怪分開擲骰——菁英一次出太多根本打不動，預設集中在 1~2 隻。每波獨立擲骰。權重只看相對大小，總和不必湊 100；填 0 或留空＝不會被抽中。數量上限為棋盤總格數（見 4-戰場站位/棋盤格數）。〔菁英群組改版：菁英現在成「群」出現，這一列的數量代表「群數」；每群幾隻、全員菁英或帶小兵、技能數量見「4-菁英群組」各列。〕</t>
    <phoneticPr fontId="1" type="noConversion"/>
  </si>
  <si>
    <t>菁英出現於階段為 10 的倍數，敵人數量與普通怪一致。〔菁英現在成群出現（可能帶小兵），普通關也會遇到；群的設定見「4-菁英群組」。小兵不吃這一列的倍率。〕</t>
    <phoneticPr fontId="1" type="noConversion"/>
  </si>
  <si>
    <t>8-戰鬥畫面</t>
    <phoneticPr fontId="1" type="noConversion"/>
  </si>
  <si>
    <t>戰鬥鏡頭距離</t>
    <phoneticPr fontId="1" type="noConversion"/>
  </si>
  <si>
    <t>鏡頭距離=a%；畫面縮放=100÷a</t>
    <phoneticPr fontId="1" type="noConversion"/>
  </si>
  <si>
    <t>a＝相對原鏡頭距離（%）。100＝原距離；125＝拉遠25%；數值越大視野越廣。套用後重載遊戲，影響野外與BOSS畫面。</t>
    <phoneticPr fontId="1" type="noConversion"/>
  </si>
  <si>
    <t>高級菁英機率</t>
  </si>
  <si>
    <t>每隻菁英有 a% 機率升級成高級菁英（普通關）；菁英關 b%</t>
  </si>
  <si>
    <t>每一隻要出場的菁英，先擲一次骰決定要不要升級成「高級菁英」（體型 2.2 倍、黃色光暈、3 個隨機技能，數值倍率見「高級菁英倍率」）。a＝普通關的機率（%），b＝菁英關（階段為 10 的倍數）的機率（%）。0＝不會出現高級菁英。同一群內每一隻各自擲骰，所以一群裡可能同時有菁英與高級菁英。</t>
  </si>
  <si>
    <t>高級菁英倍率</t>
  </si>
  <si>
    <t>生命×a 攻擊×b 金幣經驗×c（相對同階段普通怪）</t>
  </si>
  <si>
    <t>高級菁英的數值倍率，基準是「同階段普通怪」，與「4-野外怪物/菁英倍率」同一個算法（那一列是一般菁英：生命×4 攻擊×2）。a＝生命倍率，b＝攻擊倍率，c＝金幣與經驗倍率；防禦、閃避、攻速沿用一般菁英。</t>
  </si>
  <si>
    <t>敵人體型倍率</t>
  </si>
  <si>
    <t>菁英×a 高級菁英×b 野外BOSS×c 封魔塔BOSS d~e（相對普通敵人）</t>
  </si>
  <si>
    <t>畫面上各種高級敵人相對普通敵人的大小：a＝菁英（泛淡藍色光暈）、b＝高級菁英（黃色光暈）、c＝野外 BOSS（光暈顏色隨屬性）、d~e＝封魔塔 BOSS（依 BOSS 順序從 d 線性長到 e）。體型同時影響碰撞半徑（大隻的邊緣先碰到你），不影響技能傷害範圍。</t>
  </si>
  <si>
    <t>跑位設定</t>
  </si>
  <si>
    <t>菁英、高級菁英、野外 BOSS、封魔塔 BOSS 每 a~b 秒換一次位置</t>
  </si>
  <si>
    <t>a＝所有敵人技能傷害的總倍率（%）；b＝所有敵人技能冷卻的總倍率（%，數字越大施放越慢）；c＝進場後第一次施放技能最久等幾秒；d＝場上同時存在的敵人場域（毒窪、火徑、毒十字、冰球…）上限；e＝每隻怪物一生最多能召喚幾隻小兵；f＝是否畫「生命鏈結」的連線（1＝畫、0＝不畫）。每個技能自己的冷卻、半徑、傷害倍率寫在 Skills2 表（類別＝enemy）；每種敵人帶哪些技能寫在 NPC 表。</t>
    <phoneticPr fontId="1" type="noConversion"/>
  </si>
  <si>
    <t>【已停用】敵人的技能數量改由 NPC 表決定（專屬技能＋隨機技能數量上下限，依敵人類型：菁英、高級菁英、野外BOSS、封魔塔BOSS 各一列）；這一列的數值不再被讀取，保留僅供對照舊設定。</t>
    <phoneticPr fontId="1" type="noConversion"/>
  </si>
  <si>
    <t>(a+(等級-1)×b+體質×c+生命定值)×(1+生命%)</t>
  </si>
  <si>
    <t>a=基礎 b=每級 c=每點體質。再乘轉生倍率。</t>
  </si>
  <si>
    <t>a+智力×b+體質×c+加成</t>
  </si>
  <si>
    <t>a=基礎 b=每點智力 c=每點體質。</t>
  </si>
  <si>
    <t>0.01</t>
    <phoneticPr fontId="1" type="noConversion"/>
  </si>
  <si>
    <t>0.02</t>
  </si>
  <si>
    <t>(a+物防定值+b×物防定值*c^轉生次數+力量×d+體質*e)×(1+物防%)</t>
  </si>
  <si>
    <t>a=基礎 b=定值加成 c=轉生加成指數底 d=每點力量 e=每點體質。</t>
  </si>
  <si>
    <t>0.5</t>
  </si>
  <si>
    <t>1</t>
  </si>
  <si>
    <t>(a+魔防定值+b×魔防定值*c^轉生次數+智力×d+體質*e)×(1+魔防%)</t>
  </si>
  <si>
    <t>a=基礎 b=定值加成 c=轉生加成指數底 d=每點智力 e=每點體質。</t>
  </si>
  <si>
    <t>0</t>
  </si>
  <si>
    <t>0</t>
    <phoneticPr fontId="1" type="noConversion"/>
  </si>
  <si>
    <t>a=基礎%（無上限）b=每點敏捷%。</t>
  </si>
  <si>
    <t>0.02</t>
    <phoneticPr fontId="1" type="noConversion"/>
  </si>
  <si>
    <t>生命恢復/秒</t>
  </si>
  <si>
    <t>力量×a+體質×b+詞條</t>
  </si>
  <si>
    <t>a=每點力量 b=每點體質。</t>
  </si>
  <si>
    <t>0.03</t>
  </si>
  <si>
    <t>0.06</t>
  </si>
  <si>
    <t>不再受負重影響。</t>
  </si>
  <si>
    <t>25</t>
  </si>
  <si>
    <t>0.5</t>
    <phoneticPr fontId="1" type="noConversion"/>
  </si>
  <si>
    <t>0.65</t>
  </si>
  <si>
    <t>0.8</t>
  </si>
  <si>
    <t>每次攻擊命中有 a% 機率追加「連擊數」次攻擊；連擊數 = b×LN(暴擊溢出%) + c×LN(攻速溢出%) + d×LN(冷卻縮減溢出%)</t>
    <phoneticPr fontId="1" type="noConversion"/>
  </si>
  <si>
    <t>a=命中時觸發連擊的機率% b=暴擊乘數 c=攻速乘數 d=冷卻縮減乘數。溢出% = 超出門檻的部分（暴擊門檻 100%：暴擊率 250% → 溢出 150% → LN(1.5)；攻速用攻速加成%（裝備詞條上的值，未夾上限），門檻 = 攻速剛好到 5 次/秒所需的加成%（約 481.4%）：溢出% = 攻速加成% − 門檻；冷卻縮減門檻 = 冷卻縮減上限 60%：溢出% = 冷卻縮減−60，用未夾上限的原始值）。溢出% 不超過 100%（LN ≤ 0）時該項為 0。門檻本身不在此表（暴擊 100% 為程式常數，攻速／冷卻縮減跟著各自上限）。</t>
    <phoneticPr fontId="1" type="noConversion"/>
  </si>
  <si>
    <t>這四種高級敵人不再從頭到尾站在原地：每隔 a~b 秒（隨機）會跑到新的位置，目標點以「跑位結束後仍可直接攻擊到玩家」為主（近戰貼在你身邊繞一個角度，遠程在射程內換一個方位）。跑位期間仍會攻擊。c＝跑位時的移動速度倍率（乘上該敵人的跑速；預設 1.6：玩家一直在動，敵人要跑得比平常快才追得上目標點，不會跑到一半被甩開而放棄）。個別技能（火鏈、瘟疫、秘法加持…）有自己的跑位節奏，寫在 Skills2 敵人技能的效果參數裡。</t>
    <phoneticPr fontId="1" type="noConversion"/>
  </si>
  <si>
    <t>357</t>
  </si>
  <si>
    <t>封魔塔BOSS玩家技能</t>
  </si>
  <si>
    <t>傷害×a% 跳動×b% 範圍×c% 增益×d% 控場×e% 護盾×f% 復活生命×g%；被動最短間隔 h 秒</t>
  </si>
  <si>
    <t>封魔塔 BOSS 施放的玩家超神進化技能（Skills2 超神列的封魔塔層級＝該層 BOSS 固定使用；規則與對照表見 docs/BOSS_PLAYER_SKILLS.md）的整體強度。a＝技能傷害倍率（%）：技能 pct% 乘 a% 就是 BOSS 攻擊力的倍數；b＝持續場域與領域每次跳動的再折扣（%）；c＝範圍半徑倍率（%，玩家技能的範圍是為打一群怪設計的）；d＝玩家式增益（攻擊提高％、疊層）轉成 BOSS 增益的強度（%）；e＝控場（暈眩、緩速）秒數倍率（%）；f＝護盾量倍率（%）；g＝復活類技能復活後的生命倍率（%）；h＝被動反應技能（神聖之體、天穹崩裂）兩次觸發的最短間隔（秒）。單一技能要個別調整時，在 Skills2 該列的效果參數(JSON) 補 bossMul（傷害倍率）、bossCd 與 bossCdMax（冷卻秒數）。</t>
  </si>
  <si>
    <t>20</t>
  </si>
  <si>
    <t>60</t>
  </si>
  <si>
    <t>50</t>
  </si>
  <si>
    <t>15</t>
  </si>
  <si>
    <t>40</t>
  </si>
  <si>
    <t>4</t>
  </si>
  <si>
    <t>358</t>
  </si>
  <si>
    <t>4-遠方怪群</t>
  </si>
  <si>
    <t>預先生成</t>
  </si>
  <si>
    <t>100</t>
  </si>
  <si>
    <t>160</t>
  </si>
  <si>
    <t>70</t>
  </si>
  <si>
    <t>359</t>
  </si>
  <si>
    <t>未警戒遊走</t>
  </si>
  <si>
    <t>出生點半徑a米內；跑速×b；到點停留c~d秒</t>
  </si>
  <si>
    <t>8</t>
  </si>
  <si>
    <t>0.25</t>
  </si>
  <si>
    <t>2.5</t>
  </si>
  <si>
    <t>格點間距a米；預載b米內／c米外；隨機f～d群，每群最多e隻</t>
    <phoneticPr fontId="1" type="noConversion"/>
  </si>
  <si>
    <t>初次隨機抽定群數，整群死亡後在遠方隨機空位補回。存活群保留，部分死亡不補單隻；與近身波次獨立，共用戰場總容量。</t>
    <phoneticPr fontId="1" type="noConversion"/>
  </si>
  <si>
    <t>8</t>
    <phoneticPr fontId="1" type="noConversion"/>
  </si>
  <si>
    <t>4</t>
    <phoneticPr fontId="1" type="noConversion"/>
  </si>
  <si>
    <t>僅遠方預置怪群未發現玩家時生效。以各隻出生世界座標為固定中心隨機走停；玩家進入NPC視野或怪物受擊後停止遊走並追擊。</t>
    <phoneticPr fontId="1" type="noConversion"/>
  </si>
  <si>
    <t>依成品階級消耗 a/b/c 顆同種同級寶石</t>
    <phoneticPr fontId="1" type="noConversion"/>
  </si>
  <si>
    <t>成品2～5級用a顆、6～9級用b顆、10級用c顆前一階寶石；金幣另見「寶石合成金幣」。</t>
    <phoneticPr fontId="1" type="noConversion"/>
  </si>
  <si>
    <t>依素材等級 a/b/c/d/e/f/g/h/i</t>
    <phoneticPr fontId="1" type="noConversion"/>
  </si>
  <si>
    <t>1級→2級用a、2級→3級用b、依序至9級→10級用i；高階沿既有逐階遞增趨勢延伸。</t>
    <phoneticPr fontId="1" type="noConversion"/>
  </si>
  <si>
    <t>⌊逐階合成成本連乘 × a⌋ 顆同種 1 級</t>
    <phoneticPr fontId="1" type="noConversion"/>
  </si>
  <si>
    <t>a=保留比例；合成素材數見「寶石合成(手動)」，拆解依新合成成本換算。</t>
    <phoneticPr fontId="1" type="noConversion"/>
  </si>
  <si>
    <t>a 格；每格上限 b 顆；同階任意2顆換1顆指定寶石</t>
    <phoneticPr fontId="1" type="noConversion"/>
  </si>
  <si>
    <t>融合寶石無法轉換；各階分開湊組；奇數餘1顆保留庫存；不收金幣。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</si>
</sst>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10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  <font>
      <sz val="11"/>
      <name val="微軟正黑體"/>
      <family val="2"/>
      <charset val="136"/>
    </font>
    <font>
      <sz val="11"/>
      <name val="細明體"/>
      <family val="2"/>
      <charset val="136"/>
    </font>
    <font>
      <sz val="11"/>
      <name val="Calibri"/>
      <family val="2"/>
      <charset val="136"/>
    </font>
    <font>
      <sz val="11"/>
      <name val="細明體"/>
      <family val="3"/>
      <charset val="136"/>
    </font>
    <font>
      <sz val="11"/>
      <name val="Calibri"/>
      <family val="2"/>
    </font>
    <font>
      <sz val="11"/>
      <name val="新細明體"/>
      <family val="1"/>
      <charset val="136"/>
    </font>
    <font>
      <sz val="11"/>
      <name val="Calibri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176" fontId="0" fillId="0" borderId="0" xfId="1" applyNumberFormat="1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49" fontId="0" fillId="0" borderId="0" xfId="0" applyNumberFormat="1">
      <alignment vertic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4"/>
  <sheetViews>
    <sheetView topLeftCell="A319" workbookViewId="0">
      <selection activeCell="A341" sqref="A341:XFD341"/>
    </sheetView>
  </sheetViews>
  <sheetFormatPr defaultRowHeight="15" x14ac:dyDescent="0.25"/>
  <cols>
    <col min="3" max="3" width="22.71093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f>計算表!A2</f>
        <v>1</v>
      </c>
      <c r="B2">
        <f>計算表!B2</f>
        <v>0</v>
      </c>
      <c r="C2" t="str">
        <f>計算表!C2</f>
        <v>0-遊戲預設</v>
      </c>
      <c r="D2" t="str">
        <f>計算表!D2</f>
        <v>開場金幣</v>
      </c>
      <c r="E2" t="str">
        <f>計算表!E2</f>
        <v>a</v>
      </c>
      <c r="F2" t="str">
        <f>計算表!F2</f>
        <v>新遊戲與重新開局時給予的金幣數量。</v>
      </c>
      <c r="G2">
        <f>計算表!G2</f>
        <v>50000</v>
      </c>
      <c r="H2">
        <f>計算表!H2</f>
        <v>0</v>
      </c>
      <c r="I2">
        <f>計算表!I2</f>
        <v>0</v>
      </c>
      <c r="J2">
        <f>計算表!J2</f>
        <v>0</v>
      </c>
      <c r="K2">
        <f>計算表!K2</f>
        <v>0</v>
      </c>
      <c r="L2">
        <f>計算表!L2</f>
        <v>0</v>
      </c>
      <c r="M2">
        <f>計算表!M2</f>
        <v>0</v>
      </c>
      <c r="N2">
        <f>計算表!N2</f>
        <v>0</v>
      </c>
      <c r="O2">
        <f>計算表!O2</f>
        <v>0</v>
      </c>
      <c r="P2">
        <f>計算表!P2</f>
        <v>0</v>
      </c>
      <c r="Q2">
        <f>計算表!Q2</f>
        <v>0</v>
      </c>
      <c r="R2">
        <f>計算表!R2</f>
        <v>0</v>
      </c>
    </row>
    <row r="3" spans="1:18" x14ac:dyDescent="0.25">
      <c r="A3">
        <f>計算表!A3</f>
        <v>2</v>
      </c>
      <c r="B3">
        <f>計算表!B3</f>
        <v>0</v>
      </c>
      <c r="C3" t="str">
        <f>計算表!C3</f>
        <v>0-遊戲預設</v>
      </c>
      <c r="D3" t="str">
        <f>計算表!D3</f>
        <v>開場裝備碎片</v>
      </c>
      <c r="E3" t="str">
        <f>計算表!E3</f>
        <v>a</v>
      </c>
      <c r="F3" t="str">
        <f>計算表!F3</f>
        <v>新遊戲與重新開局時給予的裝備碎片數量。</v>
      </c>
      <c r="G3">
        <f>計算表!G3</f>
        <v>500</v>
      </c>
      <c r="H3">
        <f>計算表!H3</f>
        <v>0</v>
      </c>
      <c r="I3">
        <f>計算表!I3</f>
        <v>0</v>
      </c>
      <c r="J3">
        <f>計算表!J3</f>
        <v>0</v>
      </c>
      <c r="K3">
        <f>計算表!K3</f>
        <v>0</v>
      </c>
      <c r="L3">
        <f>計算表!L3</f>
        <v>0</v>
      </c>
      <c r="M3">
        <f>計算表!M3</f>
        <v>0</v>
      </c>
      <c r="N3">
        <f>計算表!N3</f>
        <v>0</v>
      </c>
      <c r="O3">
        <f>計算表!O3</f>
        <v>0</v>
      </c>
      <c r="P3">
        <f>計算表!P3</f>
        <v>0</v>
      </c>
      <c r="Q3">
        <f>計算表!Q3</f>
        <v>0</v>
      </c>
      <c r="R3">
        <f>計算表!R3</f>
        <v>0</v>
      </c>
    </row>
    <row r="4" spans="1:18" x14ac:dyDescent="0.25">
      <c r="A4">
        <f>計算表!A4</f>
        <v>3</v>
      </c>
      <c r="B4">
        <f>計算表!B4</f>
        <v>0</v>
      </c>
      <c r="C4" t="str">
        <f>計算表!C4</f>
        <v>0-遊戲預設</v>
      </c>
      <c r="D4" t="str">
        <f>計算表!D4</f>
        <v>開場附魔精華</v>
      </c>
      <c r="E4" t="str">
        <f>計算表!E4</f>
        <v>a</v>
      </c>
      <c r="F4" t="str">
        <f>計算表!F4</f>
        <v>新遊戲與重新開局時給予的附魔精華數量。</v>
      </c>
      <c r="G4">
        <f>計算表!G4</f>
        <v>100</v>
      </c>
      <c r="H4">
        <f>計算表!H4</f>
        <v>0</v>
      </c>
      <c r="I4">
        <f>計算表!I4</f>
        <v>0</v>
      </c>
      <c r="J4">
        <f>計算表!J4</f>
        <v>0</v>
      </c>
      <c r="K4">
        <f>計算表!K4</f>
        <v>0</v>
      </c>
      <c r="L4">
        <f>計算表!L4</f>
        <v>0</v>
      </c>
      <c r="M4">
        <f>計算表!M4</f>
        <v>0</v>
      </c>
      <c r="N4">
        <f>計算表!N4</f>
        <v>0</v>
      </c>
      <c r="O4">
        <f>計算表!O4</f>
        <v>0</v>
      </c>
      <c r="P4">
        <f>計算表!P4</f>
        <v>0</v>
      </c>
      <c r="Q4">
        <f>計算表!Q4</f>
        <v>0</v>
      </c>
      <c r="R4">
        <f>計算表!R4</f>
        <v>0</v>
      </c>
    </row>
    <row r="5" spans="1:18" x14ac:dyDescent="0.25">
      <c r="A5">
        <f>計算表!A5</f>
        <v>4</v>
      </c>
      <c r="B5">
        <f>計算表!B5</f>
        <v>0</v>
      </c>
      <c r="C5" t="str">
        <f>計算表!C5</f>
        <v>10-離線</v>
      </c>
      <c r="D5" t="str">
        <f>計算表!D5</f>
        <v>有效離線時間</v>
      </c>
      <c r="E5" t="str">
        <f>計算表!E5</f>
        <v>min(實際離線秒數, a 小時)</v>
      </c>
      <c r="F5" t="str">
        <f>計算表!F5</f>
        <v>1 分鐘內不計。</v>
      </c>
      <c r="G5">
        <f>計算表!G5</f>
        <v>24</v>
      </c>
      <c r="H5">
        <f>計算表!H5</f>
        <v>0</v>
      </c>
      <c r="I5">
        <f>計算表!I5</f>
        <v>0</v>
      </c>
      <c r="J5">
        <f>計算表!J5</f>
        <v>0</v>
      </c>
      <c r="K5">
        <f>計算表!K5</f>
        <v>0</v>
      </c>
      <c r="L5">
        <f>計算表!L5</f>
        <v>0</v>
      </c>
      <c r="M5">
        <f>計算表!M5</f>
        <v>0</v>
      </c>
      <c r="N5">
        <f>計算表!N5</f>
        <v>0</v>
      </c>
      <c r="O5">
        <f>計算表!O5</f>
        <v>0</v>
      </c>
      <c r="P5">
        <f>計算表!P5</f>
        <v>0</v>
      </c>
      <c r="Q5">
        <f>計算表!Q5</f>
        <v>0</v>
      </c>
      <c r="R5">
        <f>計算表!R5</f>
        <v>0</v>
      </c>
    </row>
    <row r="6" spans="1:18" x14ac:dyDescent="0.25">
      <c r="A6">
        <f>計算表!A6</f>
        <v>5</v>
      </c>
      <c r="B6">
        <f>計算表!B6</f>
        <v>0</v>
      </c>
      <c r="C6" t="str">
        <f>計算表!C6</f>
        <v>10-離線</v>
      </c>
      <c r="D6" t="str">
        <f>計算表!D6</f>
        <v>計算等級</v>
      </c>
      <c r="E6" t="str">
        <f>計算表!E6</f>
        <v>捨去((目前地圖最高階段 × c - a) ÷ b) × b（下限 1）</v>
      </c>
      <c r="F6" t="str">
        <f>計算表!F6</f>
        <v>a=等級扣減；b=取整單位；c=關卡比例；以此等級的當前場景菁英怪計算離線收益。</v>
      </c>
      <c r="G6">
        <f>計算表!G6</f>
        <v>10</v>
      </c>
      <c r="H6">
        <f>計算表!H6</f>
        <v>10</v>
      </c>
      <c r="I6">
        <f>計算表!I6</f>
        <v>1</v>
      </c>
      <c r="J6">
        <f>計算表!J6</f>
        <v>0</v>
      </c>
      <c r="K6">
        <f>計算表!K6</f>
        <v>0</v>
      </c>
      <c r="L6">
        <f>計算表!L6</f>
        <v>0</v>
      </c>
      <c r="M6">
        <f>計算表!M6</f>
        <v>0</v>
      </c>
      <c r="N6">
        <f>計算表!N6</f>
        <v>0</v>
      </c>
      <c r="O6">
        <f>計算表!O6</f>
        <v>0</v>
      </c>
      <c r="P6">
        <f>計算表!P6</f>
        <v>0</v>
      </c>
      <c r="Q6">
        <f>計算表!Q6</f>
        <v>0</v>
      </c>
      <c r="R6">
        <f>計算表!R6</f>
        <v>0</v>
      </c>
    </row>
    <row r="7" spans="1:18" x14ac:dyDescent="0.25">
      <c r="A7">
        <f>計算表!A7</f>
        <v>6</v>
      </c>
      <c r="B7">
        <f>計算表!B7</f>
        <v>0</v>
      </c>
      <c r="C7" t="str">
        <f>計算表!C7</f>
        <v>10-離線</v>
      </c>
      <c r="D7" t="str">
        <f>計算表!D7</f>
        <v>擊殺速率</v>
      </c>
      <c r="E7" t="str">
        <f>計算表!E7</f>
        <v>每 a 秒擊殺 1 隻菁英怪</v>
      </c>
      <c r="F7" t="str">
        <f>計算表!F7</f>
        <v>a=擊殺間隔秒數；擊殺數 = ⌊有效離線秒數 ÷ a⌋，每隻菁英怪及其掉落單獨擲骰。</v>
      </c>
      <c r="G7">
        <f>計算表!G7</f>
        <v>10</v>
      </c>
      <c r="H7">
        <f>計算表!H7</f>
        <v>0</v>
      </c>
      <c r="I7">
        <f>計算表!I7</f>
        <v>0</v>
      </c>
      <c r="J7">
        <f>計算表!J7</f>
        <v>0</v>
      </c>
      <c r="K7">
        <f>計算表!K7</f>
        <v>0</v>
      </c>
      <c r="L7">
        <f>計算表!L7</f>
        <v>0</v>
      </c>
      <c r="M7">
        <f>計算表!M7</f>
        <v>0</v>
      </c>
      <c r="N7">
        <f>計算表!N7</f>
        <v>0</v>
      </c>
      <c r="O7">
        <f>計算表!O7</f>
        <v>0</v>
      </c>
      <c r="P7">
        <f>計算表!P7</f>
        <v>0</v>
      </c>
      <c r="Q7">
        <f>計算表!Q7</f>
        <v>0</v>
      </c>
      <c r="R7">
        <f>計算表!R7</f>
        <v>0</v>
      </c>
    </row>
    <row r="8" spans="1:18" x14ac:dyDescent="0.25">
      <c r="A8">
        <f>計算表!A8</f>
        <v>7</v>
      </c>
      <c r="B8">
        <f>計算表!B8</f>
        <v>0</v>
      </c>
      <c r="C8" t="str">
        <f>計算表!C8</f>
        <v>10-離線</v>
      </c>
      <c r="D8" t="str">
        <f>計算表!D8</f>
        <v>怪物種類</v>
      </c>
      <c r="E8" t="str">
        <f>計算表!E8</f>
        <v>a＝1 時使用菁英怪；a＝0 時使用普通怪</v>
      </c>
      <c r="F8" t="str">
        <f>計算表!F8</f>
        <v>離線收益的怪物種類；菁英怪會套用菁英經驗與掉落倍率。</v>
      </c>
      <c r="G8">
        <f>計算表!G8</f>
        <v>1</v>
      </c>
      <c r="H8">
        <f>計算表!H8</f>
        <v>0</v>
      </c>
      <c r="I8">
        <f>計算表!I8</f>
        <v>0</v>
      </c>
      <c r="J8">
        <f>計算表!J8</f>
        <v>0</v>
      </c>
      <c r="K8">
        <f>計算表!K8</f>
        <v>0</v>
      </c>
      <c r="L8">
        <f>計算表!L8</f>
        <v>0</v>
      </c>
      <c r="M8">
        <f>計算表!M8</f>
        <v>0</v>
      </c>
      <c r="N8">
        <f>計算表!N8</f>
        <v>0</v>
      </c>
      <c r="O8">
        <f>計算表!O8</f>
        <v>0</v>
      </c>
      <c r="P8">
        <f>計算表!P8</f>
        <v>0</v>
      </c>
      <c r="Q8">
        <f>計算表!Q8</f>
        <v>0</v>
      </c>
      <c r="R8">
        <f>計算表!R8</f>
        <v>0</v>
      </c>
    </row>
    <row r="9" spans="1:18" x14ac:dyDescent="0.25">
      <c r="A9">
        <f>計算表!A9</f>
        <v>8</v>
      </c>
      <c r="B9">
        <f>計算表!B9</f>
        <v>0</v>
      </c>
      <c r="C9" t="str">
        <f>計算表!C9</f>
        <v>1-成長經驗</v>
      </c>
      <c r="D9" t="str">
        <f>計算表!D9</f>
        <v>升級所需經驗</v>
      </c>
      <c r="E9" t="str">
        <f>計算表!E9</f>
        <v>(a×等級^b+c)×轉生經驗倍率+轉生經驗基礎增加值</v>
      </c>
      <c r="F9" t="str">
        <f>計算表!F9</f>
        <v>升到下一級所需經驗；a=係數 b=次方 c=常數 d=等級上限。轉生經驗倍率見「轉生對照表」</v>
      </c>
      <c r="G9">
        <f>計算表!G9</f>
        <v>20</v>
      </c>
      <c r="H9">
        <f>計算表!H9</f>
        <v>3</v>
      </c>
      <c r="I9">
        <f>計算表!I9</f>
        <v>40</v>
      </c>
      <c r="J9">
        <f>計算表!J9</f>
        <v>1000</v>
      </c>
      <c r="K9">
        <f>計算表!K9</f>
        <v>0</v>
      </c>
      <c r="L9">
        <f>計算表!L9</f>
        <v>0</v>
      </c>
      <c r="M9">
        <f>計算表!M9</f>
        <v>0</v>
      </c>
      <c r="N9">
        <f>計算表!N9</f>
        <v>0</v>
      </c>
      <c r="O9">
        <f>計算表!O9</f>
        <v>0</v>
      </c>
      <c r="P9">
        <f>計算表!P9</f>
        <v>0</v>
      </c>
      <c r="Q9">
        <f>計算表!Q9</f>
        <v>0</v>
      </c>
      <c r="R9">
        <f>計算表!R9</f>
        <v>0</v>
      </c>
    </row>
    <row r="10" spans="1:18" x14ac:dyDescent="0.25">
      <c r="A10">
        <f>計算表!A10</f>
        <v>9</v>
      </c>
      <c r="B10">
        <f>計算表!B10</f>
        <v>0</v>
      </c>
      <c r="C10" t="str">
        <f>計算表!C10</f>
        <v>1-成長經驗</v>
      </c>
      <c r="D10" t="str">
        <f>計算表!D10</f>
        <v>等級基礎四維</v>
      </c>
      <c r="E10" t="str">
        <f>計算表!E10</f>
        <v>a+(等級-1)×b</v>
      </c>
      <c r="F10" t="str">
        <f>計算表!F10</f>
        <v>力/敏/智/耐四項相同，每升 1 級各 +b。a=初始值 b=每級成長。</v>
      </c>
      <c r="G10">
        <f>計算表!G10</f>
        <v>5</v>
      </c>
      <c r="H10">
        <f>計算表!H10</f>
        <v>2</v>
      </c>
      <c r="I10">
        <f>計算表!I10</f>
        <v>0</v>
      </c>
      <c r="J10">
        <f>計算表!J10</f>
        <v>0</v>
      </c>
      <c r="K10">
        <f>計算表!K10</f>
        <v>0</v>
      </c>
      <c r="L10">
        <f>計算表!L10</f>
        <v>0</v>
      </c>
      <c r="M10">
        <f>計算表!M10</f>
        <v>0</v>
      </c>
      <c r="N10">
        <f>計算表!N10</f>
        <v>0</v>
      </c>
      <c r="O10">
        <f>計算表!O10</f>
        <v>0</v>
      </c>
      <c r="P10">
        <f>計算表!P10</f>
        <v>0</v>
      </c>
      <c r="Q10">
        <f>計算表!Q10</f>
        <v>0</v>
      </c>
      <c r="R10">
        <f>計算表!R10</f>
        <v>0</v>
      </c>
    </row>
    <row r="11" spans="1:18" x14ac:dyDescent="0.25">
      <c r="A11">
        <f>計算表!A11</f>
        <v>10</v>
      </c>
      <c r="B11">
        <f>計算表!B11</f>
        <v>0</v>
      </c>
      <c r="C11" t="str">
        <f>計算表!C11</f>
        <v>1-成長經驗</v>
      </c>
      <c r="D11" t="str">
        <f>計算表!D11</f>
        <v>技能點總預算</v>
      </c>
      <c r="E11" t="str">
        <f>計算表!E11</f>
        <v>基礎a + 技能熟練度等級 + 潛力天賦加成</v>
      </c>
      <c r="F11" s="7" t="s">
        <v>1006</v>
      </c>
      <c r="G11">
        <f>計算表!G11</f>
        <v>3</v>
      </c>
      <c r="H11">
        <f>計算表!H11</f>
        <v>1</v>
      </c>
      <c r="I11">
        <f>計算表!I11</f>
        <v>10000</v>
      </c>
      <c r="J11">
        <f>計算表!J11</f>
        <v>0</v>
      </c>
      <c r="K11">
        <f>計算表!K11</f>
        <v>0</v>
      </c>
      <c r="L11">
        <f>計算表!L11</f>
        <v>0</v>
      </c>
      <c r="M11">
        <f>計算表!M11</f>
        <v>0</v>
      </c>
      <c r="N11">
        <f>計算表!N11</f>
        <v>0</v>
      </c>
      <c r="O11">
        <f>計算表!O11</f>
        <v>0</v>
      </c>
      <c r="P11">
        <f>計算表!P11</f>
        <v>0</v>
      </c>
      <c r="Q11">
        <f>計算表!Q11</f>
        <v>0</v>
      </c>
      <c r="R11">
        <f>計算表!R11</f>
        <v>0</v>
      </c>
    </row>
    <row r="12" spans="1:18" x14ac:dyDescent="0.25">
      <c r="A12">
        <f>計算表!A12</f>
        <v>11</v>
      </c>
      <c r="B12">
        <f>計算表!B12</f>
        <v>0</v>
      </c>
      <c r="C12" t="str">
        <f>計算表!C12</f>
        <v>1-成長經驗</v>
      </c>
      <c r="D12" t="str">
        <f>計算表!D12</f>
        <v>技能裝載欄</v>
      </c>
      <c r="E12" t="str">
        <f>計算表!E12</f>
        <v>clamp(⌊等級/a⌋, b, c)</v>
      </c>
      <c r="F12" t="str">
        <f>計算表!F12</f>
        <v>每 a 級 +1 格，最少 b、最多 c。</v>
      </c>
      <c r="G12">
        <f>計算表!G12</f>
        <v>50</v>
      </c>
      <c r="H12">
        <f>計算表!H12</f>
        <v>4</v>
      </c>
      <c r="I12">
        <f>計算表!I12</f>
        <v>6</v>
      </c>
      <c r="J12">
        <f>計算表!J12</f>
        <v>0</v>
      </c>
      <c r="K12">
        <f>計算表!K12</f>
        <v>0</v>
      </c>
      <c r="L12">
        <f>計算表!L12</f>
        <v>0</v>
      </c>
      <c r="M12">
        <f>計算表!M12</f>
        <v>0</v>
      </c>
      <c r="N12">
        <f>計算表!N12</f>
        <v>0</v>
      </c>
      <c r="O12">
        <f>計算表!O12</f>
        <v>0</v>
      </c>
      <c r="P12">
        <f>計算表!P12</f>
        <v>0</v>
      </c>
      <c r="Q12">
        <f>計算表!Q12</f>
        <v>0</v>
      </c>
      <c r="R12">
        <f>計算表!R12</f>
        <v>0</v>
      </c>
    </row>
    <row r="13" spans="1:18" x14ac:dyDescent="0.25">
      <c r="A13">
        <f>計算表!A13</f>
        <v>12</v>
      </c>
      <c r="B13">
        <f>計算表!B13</f>
        <v>0</v>
      </c>
      <c r="C13" t="str">
        <f>計算表!C13</f>
        <v>1-成長經驗</v>
      </c>
      <c r="D13" t="str">
        <f>計算表!D13</f>
        <v>可轉生等級 / 最高轉生</v>
      </c>
      <c r="E13" t="str">
        <f>計算表!E13</f>
        <v>達到a級可轉生；最高b轉</v>
      </c>
      <c r="F13" t="str">
        <f>計算表!F13</f>
        <v>a=可轉生等級 b=最高轉生次數。</v>
      </c>
      <c r="G13">
        <f>計算表!G13</f>
        <v>1000</v>
      </c>
      <c r="H13">
        <f>計算表!H13</f>
        <v>20</v>
      </c>
      <c r="I13">
        <f>計算表!I13</f>
        <v>0</v>
      </c>
      <c r="J13">
        <f>計算表!J13</f>
        <v>0</v>
      </c>
      <c r="K13">
        <f>計算表!K13</f>
        <v>0</v>
      </c>
      <c r="L13">
        <f>計算表!L13</f>
        <v>0</v>
      </c>
      <c r="M13">
        <f>計算表!M13</f>
        <v>0</v>
      </c>
      <c r="N13">
        <f>計算表!N13</f>
        <v>0</v>
      </c>
      <c r="O13">
        <f>計算表!O13</f>
        <v>0</v>
      </c>
      <c r="P13">
        <f>計算表!P13</f>
        <v>0</v>
      </c>
      <c r="Q13">
        <f>計算表!Q13</f>
        <v>0</v>
      </c>
      <c r="R13">
        <f>計算表!R13</f>
        <v>0</v>
      </c>
    </row>
    <row r="14" spans="1:18" x14ac:dyDescent="0.25">
      <c r="A14">
        <f>計算表!A14</f>
        <v>13</v>
      </c>
      <c r="B14">
        <f>計算表!B14</f>
        <v>0</v>
      </c>
      <c r="C14" t="str">
        <f>計算表!C14</f>
        <v>1-成長經驗</v>
      </c>
      <c r="D14" t="str">
        <f>計算表!D14</f>
        <v>神鑄系統解鎖等級</v>
      </c>
      <c r="E14" t="str">
        <f>計算表!E14</f>
        <v>b 轉達到a級開放</v>
      </c>
      <c r="F14" t="str">
        <f>計算表!F14</f>
        <v>解鎖後永久保留，轉生不關閉。a=解鎖等級 b=解鎖轉生等級，必需兩個條件都滿足才解鎖</v>
      </c>
      <c r="G14">
        <f>計算表!G14</f>
        <v>1</v>
      </c>
      <c r="H14">
        <f>計算表!H14</f>
        <v>1</v>
      </c>
      <c r="I14">
        <f>計算表!I14</f>
        <v>0</v>
      </c>
      <c r="J14">
        <f>計算表!J14</f>
        <v>0</v>
      </c>
      <c r="K14">
        <f>計算表!K14</f>
        <v>0</v>
      </c>
      <c r="L14">
        <f>計算表!L14</f>
        <v>0</v>
      </c>
      <c r="M14">
        <f>計算表!M14</f>
        <v>0</v>
      </c>
      <c r="N14">
        <f>計算表!N14</f>
        <v>0</v>
      </c>
      <c r="O14">
        <f>計算表!O14</f>
        <v>0</v>
      </c>
      <c r="P14">
        <f>計算表!P14</f>
        <v>0</v>
      </c>
      <c r="Q14">
        <f>計算表!Q14</f>
        <v>0</v>
      </c>
      <c r="R14">
        <f>計算表!R14</f>
        <v>0</v>
      </c>
    </row>
    <row r="15" spans="1:18" x14ac:dyDescent="0.25">
      <c r="A15">
        <f>計算表!A15</f>
        <v>14</v>
      </c>
      <c r="B15">
        <f>計算表!B15</f>
        <v>0</v>
      </c>
      <c r="C15" t="str">
        <f>計算表!C15</f>
        <v>1-成長經驗</v>
      </c>
      <c r="D15" t="str">
        <f>計算表!D15</f>
        <v>技能熟練度經驗需求</v>
      </c>
      <c r="E15" t="str">
        <f>計算表!E15</f>
        <v>a×熟練度等級^b + c</v>
      </c>
      <c r="F15" t="str">
        <f>計算表!F15</f>
        <v>技能熟練度升 1 級所需經驗（沿用玩家升級公式未轉生版；L=目前熟練度等級）。</v>
      </c>
      <c r="G15">
        <f>計算表!G15</f>
        <v>30</v>
      </c>
      <c r="H15">
        <f>計算表!H15</f>
        <v>3</v>
      </c>
      <c r="I15">
        <f>計算表!I15</f>
        <v>20</v>
      </c>
      <c r="J15">
        <f>計算表!J15</f>
        <v>0</v>
      </c>
      <c r="K15">
        <f>計算表!K15</f>
        <v>0</v>
      </c>
      <c r="L15">
        <f>計算表!L15</f>
        <v>0</v>
      </c>
      <c r="M15">
        <f>計算表!M15</f>
        <v>0</v>
      </c>
      <c r="N15">
        <f>計算表!N15</f>
        <v>0</v>
      </c>
      <c r="O15">
        <f>計算表!O15</f>
        <v>0</v>
      </c>
      <c r="P15">
        <f>計算表!P15</f>
        <v>0</v>
      </c>
      <c r="Q15">
        <f>計算表!Q15</f>
        <v>0</v>
      </c>
      <c r="R15">
        <f>計算表!R15</f>
        <v>0</v>
      </c>
    </row>
    <row r="16" spans="1:18" x14ac:dyDescent="0.25">
      <c r="A16">
        <f>計算表!A16</f>
        <v>15</v>
      </c>
      <c r="B16">
        <f>計算表!B16</f>
        <v>0</v>
      </c>
      <c r="C16" t="str">
        <f>計算表!C16</f>
        <v>1-成長經驗</v>
      </c>
      <c r="D16" t="str">
        <f>計算表!D16</f>
        <v>技能熟練度</v>
      </c>
      <c r="E16" t="str">
        <f>計算表!E16</f>
        <v>上限 a 級；擊殺技能經驗 = 怪物經驗 × b%</v>
      </c>
      <c r="F16" t="str">
        <f>計算表!F16</f>
        <v>打怪（野外/高塔/離線）獲得技能經驗；每升 1 級 +1 技能點。初始 0 級。</v>
      </c>
      <c r="G16">
        <f>計算表!G16</f>
        <v>1000</v>
      </c>
      <c r="H16">
        <f>計算表!H16</f>
        <v>90</v>
      </c>
      <c r="I16">
        <f>計算表!I16</f>
        <v>0</v>
      </c>
      <c r="J16">
        <f>計算表!J16</f>
        <v>0</v>
      </c>
      <c r="K16">
        <f>計算表!K16</f>
        <v>0</v>
      </c>
      <c r="L16">
        <f>計算表!L16</f>
        <v>0</v>
      </c>
      <c r="M16">
        <f>計算表!M16</f>
        <v>0</v>
      </c>
      <c r="N16">
        <f>計算表!N16</f>
        <v>0</v>
      </c>
      <c r="O16">
        <f>計算表!O16</f>
        <v>0</v>
      </c>
      <c r="P16">
        <f>計算表!P16</f>
        <v>0</v>
      </c>
      <c r="Q16">
        <f>計算表!Q16</f>
        <v>0</v>
      </c>
      <c r="R16">
        <f>計算表!R16</f>
        <v>0</v>
      </c>
    </row>
    <row r="17" spans="1:18" x14ac:dyDescent="0.25">
      <c r="A17">
        <f>計算表!A17</f>
        <v>16</v>
      </c>
      <c r="B17">
        <f>計算表!B17</f>
        <v>0</v>
      </c>
      <c r="C17" t="str">
        <f>計算表!C17</f>
        <v>1-轉生對照表</v>
      </c>
      <c r="D17" t="str">
        <f>計算表!D17</f>
        <v>轉生 0 次</v>
      </c>
      <c r="E17" t="str">
        <f>計算表!E17</f>
        <v>（查表）</v>
      </c>
      <c r="F17" s="7" t="s">
        <v>1007</v>
      </c>
      <c r="G17">
        <f>計算表!G17</f>
        <v>1</v>
      </c>
      <c r="H17" t="str">
        <f>計算表!H17</f>
        <v>10^0</v>
      </c>
      <c r="I17">
        <f>計算表!I17</f>
        <v>0</v>
      </c>
      <c r="J17" t="str">
        <f>計算表!J17</f>
        <v>冒險者</v>
      </c>
      <c r="K17">
        <f>計算表!K17</f>
        <v>10</v>
      </c>
      <c r="L17">
        <f>計算表!L17</f>
        <v>0</v>
      </c>
      <c r="M17">
        <f>計算表!M17</f>
        <v>0</v>
      </c>
      <c r="N17">
        <f>計算表!N17</f>
        <v>0</v>
      </c>
      <c r="O17">
        <f>計算表!O17</f>
        <v>0</v>
      </c>
      <c r="P17">
        <f>計算表!P17</f>
        <v>0</v>
      </c>
      <c r="Q17">
        <f>計算表!Q17</f>
        <v>0</v>
      </c>
      <c r="R17">
        <f>計算表!R17</f>
        <v>0</v>
      </c>
    </row>
    <row r="18" spans="1:18" x14ac:dyDescent="0.25">
      <c r="A18">
        <f>計算表!A18</f>
        <v>17</v>
      </c>
      <c r="B18">
        <f>計算表!B18</f>
        <v>0</v>
      </c>
      <c r="C18" t="str">
        <f>計算表!C18</f>
        <v>1-轉生對照表</v>
      </c>
      <c r="D18" t="str">
        <f>計算表!D18</f>
        <v>轉生 1 次</v>
      </c>
      <c r="E18" t="str">
        <f>計算表!E18</f>
        <v>（查表）</v>
      </c>
      <c r="F18" s="7" t="s">
        <v>1007</v>
      </c>
      <c r="G18">
        <f>計算表!G18</f>
        <v>1.5</v>
      </c>
      <c r="H18" t="str">
        <f>計算表!H18</f>
        <v>10^1</v>
      </c>
      <c r="I18">
        <f>計算表!I18</f>
        <v>500000</v>
      </c>
      <c r="J18" t="str">
        <f>計算表!J18</f>
        <v>勇者</v>
      </c>
      <c r="K18">
        <f>計算表!K18</f>
        <v>12</v>
      </c>
      <c r="L18">
        <f>計算表!L18</f>
        <v>0</v>
      </c>
      <c r="M18">
        <f>計算表!M18</f>
        <v>0</v>
      </c>
      <c r="N18">
        <f>計算表!N18</f>
        <v>0</v>
      </c>
      <c r="O18">
        <f>計算表!O18</f>
        <v>0</v>
      </c>
      <c r="P18">
        <f>計算表!P18</f>
        <v>0</v>
      </c>
      <c r="Q18">
        <f>計算表!Q18</f>
        <v>0</v>
      </c>
      <c r="R18">
        <f>計算表!R18</f>
        <v>0</v>
      </c>
    </row>
    <row r="19" spans="1:18" x14ac:dyDescent="0.25">
      <c r="A19">
        <f>計算表!A19</f>
        <v>18</v>
      </c>
      <c r="B19">
        <f>計算表!B19</f>
        <v>0</v>
      </c>
      <c r="C19" t="str">
        <f>計算表!C19</f>
        <v>1-轉生對照表</v>
      </c>
      <c r="D19" t="str">
        <f>計算表!D19</f>
        <v>轉生 2 次</v>
      </c>
      <c r="E19" t="str">
        <f>計算表!E19</f>
        <v>（查表）</v>
      </c>
      <c r="F19" s="7" t="s">
        <v>1007</v>
      </c>
      <c r="G19">
        <f>計算表!G19</f>
        <v>2.5</v>
      </c>
      <c r="H19" t="str">
        <f>計算表!H19</f>
        <v>10^2</v>
      </c>
      <c r="I19">
        <f>計算表!I19</f>
        <v>1500000</v>
      </c>
      <c r="J19" t="str">
        <f>計算表!J19</f>
        <v>大劍師</v>
      </c>
      <c r="K19">
        <f>計算表!K19</f>
        <v>14</v>
      </c>
      <c r="L19">
        <f>計算表!L19</f>
        <v>0</v>
      </c>
      <c r="M19">
        <f>計算表!M19</f>
        <v>0</v>
      </c>
      <c r="N19">
        <f>計算表!N19</f>
        <v>0</v>
      </c>
      <c r="O19">
        <f>計算表!O19</f>
        <v>0</v>
      </c>
      <c r="P19">
        <f>計算表!P19</f>
        <v>0</v>
      </c>
      <c r="Q19">
        <f>計算表!Q19</f>
        <v>0</v>
      </c>
      <c r="R19">
        <f>計算表!R19</f>
        <v>0</v>
      </c>
    </row>
    <row r="20" spans="1:18" x14ac:dyDescent="0.25">
      <c r="A20">
        <f>計算表!A20</f>
        <v>19</v>
      </c>
      <c r="B20">
        <f>計算表!B20</f>
        <v>0</v>
      </c>
      <c r="C20" t="str">
        <f>計算表!C20</f>
        <v>1-轉生對照表</v>
      </c>
      <c r="D20" t="str">
        <f>計算表!D20</f>
        <v>轉生 3 次</v>
      </c>
      <c r="E20" t="str">
        <f>計算表!E20</f>
        <v>（查表）</v>
      </c>
      <c r="F20" s="7" t="s">
        <v>1007</v>
      </c>
      <c r="G20">
        <f>計算表!G20</f>
        <v>3.5</v>
      </c>
      <c r="H20" t="str">
        <f>計算表!H20</f>
        <v>10^3</v>
      </c>
      <c r="I20">
        <f>計算表!I20</f>
        <v>3000000</v>
      </c>
      <c r="J20" t="str">
        <f>計算表!J20</f>
        <v>破世者</v>
      </c>
      <c r="K20">
        <f>計算表!K20</f>
        <v>16</v>
      </c>
      <c r="L20">
        <f>計算表!L20</f>
        <v>0</v>
      </c>
      <c r="M20">
        <f>計算表!M20</f>
        <v>0</v>
      </c>
      <c r="N20">
        <f>計算表!N20</f>
        <v>0</v>
      </c>
      <c r="O20">
        <f>計算表!O20</f>
        <v>0</v>
      </c>
      <c r="P20">
        <f>計算表!P20</f>
        <v>0</v>
      </c>
      <c r="Q20">
        <f>計算表!Q20</f>
        <v>0</v>
      </c>
      <c r="R20">
        <f>計算表!R20</f>
        <v>0</v>
      </c>
    </row>
    <row r="21" spans="1:18" x14ac:dyDescent="0.25">
      <c r="A21">
        <f>計算表!A21</f>
        <v>20</v>
      </c>
      <c r="B21">
        <f>計算表!B21</f>
        <v>0</v>
      </c>
      <c r="C21" t="str">
        <f>計算表!C21</f>
        <v>1-轉生對照表</v>
      </c>
      <c r="D21" t="str">
        <f>計算表!D21</f>
        <v>轉生 4 次</v>
      </c>
      <c r="E21" t="str">
        <f>計算表!E21</f>
        <v>（查表）</v>
      </c>
      <c r="F21" s="7" t="s">
        <v>1007</v>
      </c>
      <c r="G21">
        <f>計算表!G21</f>
        <v>5</v>
      </c>
      <c r="H21" t="str">
        <f>計算表!H21</f>
        <v>10^4</v>
      </c>
      <c r="I21">
        <f>計算表!I21</f>
        <v>6000000</v>
      </c>
      <c r="J21" t="str">
        <f>計算表!J21</f>
        <v>不朽者</v>
      </c>
      <c r="K21">
        <f>計算表!K21</f>
        <v>18</v>
      </c>
      <c r="L21">
        <f>計算表!L21</f>
        <v>0</v>
      </c>
      <c r="M21">
        <f>計算表!M21</f>
        <v>0</v>
      </c>
      <c r="N21">
        <f>計算表!N21</f>
        <v>0</v>
      </c>
      <c r="O21">
        <f>計算表!O21</f>
        <v>0</v>
      </c>
      <c r="P21">
        <f>計算表!P21</f>
        <v>0</v>
      </c>
      <c r="Q21">
        <f>計算表!Q21</f>
        <v>0</v>
      </c>
      <c r="R21">
        <f>計算表!R21</f>
        <v>0</v>
      </c>
    </row>
    <row r="22" spans="1:18" x14ac:dyDescent="0.25">
      <c r="A22">
        <f>計算表!A22</f>
        <v>21</v>
      </c>
      <c r="B22">
        <f>計算表!B22</f>
        <v>0</v>
      </c>
      <c r="C22" t="str">
        <f>計算表!C22</f>
        <v>1-轉生對照表</v>
      </c>
      <c r="D22" t="str">
        <f>計算表!D22</f>
        <v>轉生 5 次</v>
      </c>
      <c r="E22" t="str">
        <f>計算表!E22</f>
        <v>（查表）</v>
      </c>
      <c r="F22" s="7" t="s">
        <v>1007</v>
      </c>
      <c r="G22">
        <f>計算表!G22</f>
        <v>7</v>
      </c>
      <c r="H22" t="str">
        <f>計算表!H22</f>
        <v>10^5</v>
      </c>
      <c r="I22">
        <f>計算表!I22</f>
        <v>12000000</v>
      </c>
      <c r="J22" t="str">
        <f>計算表!J22</f>
        <v>王者</v>
      </c>
      <c r="K22">
        <f>計算表!K22</f>
        <v>20</v>
      </c>
      <c r="L22">
        <f>計算表!L22</f>
        <v>0</v>
      </c>
      <c r="M22">
        <f>計算表!M22</f>
        <v>0</v>
      </c>
      <c r="N22">
        <f>計算表!N22</f>
        <v>0</v>
      </c>
      <c r="O22">
        <f>計算表!O22</f>
        <v>0</v>
      </c>
      <c r="P22">
        <f>計算表!P22</f>
        <v>0</v>
      </c>
      <c r="Q22">
        <f>計算表!Q22</f>
        <v>0</v>
      </c>
      <c r="R22">
        <f>計算表!R22</f>
        <v>0</v>
      </c>
    </row>
    <row r="23" spans="1:18" x14ac:dyDescent="0.25">
      <c r="A23">
        <f>計算表!A23</f>
        <v>22</v>
      </c>
      <c r="B23">
        <f>計算表!B23</f>
        <v>0</v>
      </c>
      <c r="C23" t="str">
        <f>計算表!C23</f>
        <v>1-轉生對照表</v>
      </c>
      <c r="D23" t="str">
        <f>計算表!D23</f>
        <v>轉生 6 次</v>
      </c>
      <c r="E23" t="str">
        <f>計算表!E23</f>
        <v>（查表）</v>
      </c>
      <c r="F23" s="7" t="s">
        <v>1007</v>
      </c>
      <c r="G23">
        <f>計算表!G23</f>
        <v>10</v>
      </c>
      <c r="H23" t="str">
        <f>計算表!H23</f>
        <v>10^6</v>
      </c>
      <c r="I23">
        <f>計算表!I23</f>
        <v>24000000</v>
      </c>
      <c r="J23" t="str">
        <f>計算表!J23</f>
        <v>大主宰</v>
      </c>
      <c r="K23">
        <f>計算表!K23</f>
        <v>22</v>
      </c>
      <c r="L23">
        <f>計算表!L23</f>
        <v>0</v>
      </c>
      <c r="M23">
        <f>計算表!M23</f>
        <v>0</v>
      </c>
      <c r="N23">
        <f>計算表!N23</f>
        <v>0</v>
      </c>
      <c r="O23">
        <f>計算表!O23</f>
        <v>0</v>
      </c>
      <c r="P23">
        <f>計算表!P23</f>
        <v>0</v>
      </c>
      <c r="Q23">
        <f>計算表!Q23</f>
        <v>0</v>
      </c>
      <c r="R23">
        <f>計算表!R23</f>
        <v>0</v>
      </c>
    </row>
    <row r="24" spans="1:18" x14ac:dyDescent="0.25">
      <c r="A24">
        <f>計算表!A24</f>
        <v>23</v>
      </c>
      <c r="B24">
        <f>計算表!B24</f>
        <v>0</v>
      </c>
      <c r="C24" t="str">
        <f>計算表!C24</f>
        <v>1-轉生對照表</v>
      </c>
      <c r="D24" t="str">
        <f>計算表!D24</f>
        <v>轉生 7 次</v>
      </c>
      <c r="E24" t="str">
        <f>計算表!E24</f>
        <v>（查表）</v>
      </c>
      <c r="F24" s="7" t="s">
        <v>1007</v>
      </c>
      <c r="G24">
        <f>計算表!G24</f>
        <v>14</v>
      </c>
      <c r="H24" t="str">
        <f>計算表!H24</f>
        <v>10^7</v>
      </c>
      <c r="I24">
        <f>計算表!I24</f>
        <v>48000000</v>
      </c>
      <c r="J24" t="str">
        <f>計算表!J24</f>
        <v>神聖尊者</v>
      </c>
      <c r="K24">
        <f>計算表!K24</f>
        <v>24</v>
      </c>
      <c r="L24">
        <f>計算表!L24</f>
        <v>0</v>
      </c>
      <c r="M24">
        <f>計算表!M24</f>
        <v>0</v>
      </c>
      <c r="N24">
        <f>計算表!N24</f>
        <v>0</v>
      </c>
      <c r="O24">
        <f>計算表!O24</f>
        <v>0</v>
      </c>
      <c r="P24">
        <f>計算表!P24</f>
        <v>0</v>
      </c>
      <c r="Q24">
        <f>計算表!Q24</f>
        <v>0</v>
      </c>
      <c r="R24">
        <f>計算表!R24</f>
        <v>0</v>
      </c>
    </row>
    <row r="25" spans="1:18" x14ac:dyDescent="0.25">
      <c r="A25">
        <f>計算表!A25</f>
        <v>24</v>
      </c>
      <c r="B25">
        <f>計算表!B25</f>
        <v>0</v>
      </c>
      <c r="C25" t="str">
        <f>計算表!C25</f>
        <v>1-轉生對照表</v>
      </c>
      <c r="D25" t="str">
        <f>計算表!D25</f>
        <v>轉生 8 次</v>
      </c>
      <c r="E25" t="str">
        <f>計算表!E25</f>
        <v>（查表）</v>
      </c>
      <c r="F25" s="7" t="s">
        <v>1007</v>
      </c>
      <c r="G25">
        <f>計算表!G25</f>
        <v>18</v>
      </c>
      <c r="H25" t="str">
        <f>計算表!H25</f>
        <v>10^8</v>
      </c>
      <c r="I25">
        <f>計算表!I25</f>
        <v>96000000</v>
      </c>
      <c r="J25" t="str">
        <f>計算表!J25</f>
        <v>大聖王</v>
      </c>
      <c r="K25">
        <f>計算表!K25</f>
        <v>26</v>
      </c>
      <c r="L25">
        <f>計算表!L25</f>
        <v>0</v>
      </c>
      <c r="M25">
        <f>計算表!M25</f>
        <v>0</v>
      </c>
      <c r="N25">
        <f>計算表!N25</f>
        <v>0</v>
      </c>
      <c r="O25">
        <f>計算表!O25</f>
        <v>0</v>
      </c>
      <c r="P25">
        <f>計算表!P25</f>
        <v>0</v>
      </c>
      <c r="Q25">
        <f>計算表!Q25</f>
        <v>0</v>
      </c>
      <c r="R25">
        <f>計算表!R25</f>
        <v>0</v>
      </c>
    </row>
    <row r="26" spans="1:18" x14ac:dyDescent="0.25">
      <c r="A26">
        <f>計算表!A26</f>
        <v>25</v>
      </c>
      <c r="B26">
        <f>計算表!B26</f>
        <v>0</v>
      </c>
      <c r="C26" t="str">
        <f>計算表!C26</f>
        <v>1-轉生對照表</v>
      </c>
      <c r="D26" t="str">
        <f>計算表!D26</f>
        <v>轉生 9 次</v>
      </c>
      <c r="E26" t="str">
        <f>計算表!E26</f>
        <v>（查表）</v>
      </c>
      <c r="F26" s="7" t="s">
        <v>1007</v>
      </c>
      <c r="G26">
        <f>計算表!G26</f>
        <v>24</v>
      </c>
      <c r="H26" t="str">
        <f>計算表!H26</f>
        <v>10^9</v>
      </c>
      <c r="I26">
        <f>計算表!I26</f>
        <v>192000000</v>
      </c>
      <c r="J26" t="str">
        <f>計算表!J26</f>
        <v>至高主宰</v>
      </c>
      <c r="K26">
        <f>計算表!K26</f>
        <v>28</v>
      </c>
      <c r="L26">
        <f>計算表!L26</f>
        <v>0</v>
      </c>
      <c r="M26">
        <f>計算表!M26</f>
        <v>0</v>
      </c>
      <c r="N26">
        <f>計算表!N26</f>
        <v>0</v>
      </c>
      <c r="O26">
        <f>計算表!O26</f>
        <v>0</v>
      </c>
      <c r="P26">
        <f>計算表!P26</f>
        <v>0</v>
      </c>
      <c r="Q26">
        <f>計算表!Q26</f>
        <v>0</v>
      </c>
      <c r="R26">
        <f>計算表!R26</f>
        <v>0</v>
      </c>
    </row>
    <row r="27" spans="1:18" x14ac:dyDescent="0.25">
      <c r="A27">
        <f>計算表!A27</f>
        <v>26</v>
      </c>
      <c r="B27">
        <f>計算表!B27</f>
        <v>0</v>
      </c>
      <c r="C27" t="str">
        <f>計算表!C27</f>
        <v>1-轉生對照表</v>
      </c>
      <c r="D27" t="str">
        <f>計算表!D27</f>
        <v>轉生 10 次</v>
      </c>
      <c r="E27" t="str">
        <f>計算表!E27</f>
        <v>（查表）</v>
      </c>
      <c r="F27" s="7" t="s">
        <v>1007</v>
      </c>
      <c r="G27">
        <f>計算表!G27</f>
        <v>30</v>
      </c>
      <c r="H27" t="str">
        <f>計算表!H27</f>
        <v>10^11</v>
      </c>
      <c r="I27">
        <f>計算表!I27</f>
        <v>384000000</v>
      </c>
      <c r="J27" t="str">
        <f>計算表!J27</f>
        <v>位面創世神</v>
      </c>
      <c r="K27">
        <f>計算表!K27</f>
        <v>30</v>
      </c>
      <c r="L27">
        <f>計算表!L27</f>
        <v>0</v>
      </c>
      <c r="M27">
        <f>計算表!M27</f>
        <v>0</v>
      </c>
      <c r="N27">
        <f>計算表!N27</f>
        <v>0</v>
      </c>
      <c r="O27">
        <f>計算表!O27</f>
        <v>0</v>
      </c>
      <c r="P27">
        <f>計算表!P27</f>
        <v>0</v>
      </c>
      <c r="Q27">
        <f>計算表!Q27</f>
        <v>0</v>
      </c>
      <c r="R27">
        <f>計算表!R27</f>
        <v>0</v>
      </c>
    </row>
    <row r="28" spans="1:18" x14ac:dyDescent="0.25">
      <c r="A28">
        <f>計算表!A28</f>
        <v>27</v>
      </c>
      <c r="B28">
        <f>計算表!B28</f>
        <v>0</v>
      </c>
      <c r="C28" t="str">
        <f>計算表!C28</f>
        <v>1-轉生對照表</v>
      </c>
      <c r="D28" t="str">
        <f>計算表!D28</f>
        <v>轉生 11 次</v>
      </c>
      <c r="E28" t="str">
        <f>計算表!E28</f>
        <v>（查表）</v>
      </c>
      <c r="F28" s="7" t="s">
        <v>1007</v>
      </c>
      <c r="G28">
        <f>計算表!G28</f>
        <v>60</v>
      </c>
      <c r="H28" t="str">
        <f>計算表!H28</f>
        <v>10^13</v>
      </c>
      <c r="I28">
        <f>計算表!I28</f>
        <v>768000000</v>
      </c>
      <c r="J28" t="str">
        <f>計算表!J28</f>
        <v>神位1階</v>
      </c>
      <c r="K28">
        <f>計算表!K28</f>
        <v>30</v>
      </c>
      <c r="L28">
        <f>計算表!L28</f>
        <v>0</v>
      </c>
      <c r="M28">
        <f>計算表!M28</f>
        <v>0</v>
      </c>
      <c r="N28">
        <f>計算表!N28</f>
        <v>0</v>
      </c>
      <c r="O28">
        <f>計算表!O28</f>
        <v>0</v>
      </c>
      <c r="P28">
        <f>計算表!P28</f>
        <v>0</v>
      </c>
      <c r="Q28">
        <f>計算表!Q28</f>
        <v>0</v>
      </c>
      <c r="R28">
        <f>計算表!R28</f>
        <v>0</v>
      </c>
    </row>
    <row r="29" spans="1:18" x14ac:dyDescent="0.25">
      <c r="A29">
        <f>計算表!A29</f>
        <v>28</v>
      </c>
      <c r="B29">
        <f>計算表!B29</f>
        <v>0</v>
      </c>
      <c r="C29" t="str">
        <f>計算表!C29</f>
        <v>1-轉生對照表</v>
      </c>
      <c r="D29" t="str">
        <f>計算表!D29</f>
        <v>轉生 12 次</v>
      </c>
      <c r="E29" t="str">
        <f>計算表!E29</f>
        <v>（查表）</v>
      </c>
      <c r="F29" s="7" t="s">
        <v>1007</v>
      </c>
      <c r="G29">
        <f>計算表!G29</f>
        <v>100</v>
      </c>
      <c r="H29" t="str">
        <f>計算表!H29</f>
        <v>10^15</v>
      </c>
      <c r="I29">
        <f>計算表!I29</f>
        <v>1536000000</v>
      </c>
      <c r="J29" t="str">
        <f>計算表!J29</f>
        <v>神位2階</v>
      </c>
      <c r="K29">
        <f>計算表!K29</f>
        <v>30</v>
      </c>
      <c r="L29">
        <f>計算表!L29</f>
        <v>0</v>
      </c>
      <c r="M29">
        <f>計算表!M29</f>
        <v>0</v>
      </c>
      <c r="N29">
        <f>計算表!N29</f>
        <v>0</v>
      </c>
      <c r="O29">
        <f>計算表!O29</f>
        <v>0</v>
      </c>
      <c r="P29">
        <f>計算表!P29</f>
        <v>0</v>
      </c>
      <c r="Q29">
        <f>計算表!Q29</f>
        <v>0</v>
      </c>
      <c r="R29">
        <f>計算表!R29</f>
        <v>0</v>
      </c>
    </row>
    <row r="30" spans="1:18" x14ac:dyDescent="0.25">
      <c r="A30">
        <f>計算表!A30</f>
        <v>29</v>
      </c>
      <c r="B30">
        <f>計算表!B30</f>
        <v>0</v>
      </c>
      <c r="C30" t="str">
        <f>計算表!C30</f>
        <v>1-轉生對照表</v>
      </c>
      <c r="D30" t="str">
        <f>計算表!D30</f>
        <v>轉生 13 次</v>
      </c>
      <c r="E30" t="str">
        <f>計算表!E30</f>
        <v>（查表）</v>
      </c>
      <c r="F30" s="7" t="s">
        <v>1007</v>
      </c>
      <c r="G30">
        <f>計算表!G30</f>
        <v>150</v>
      </c>
      <c r="H30" t="str">
        <f>計算表!H30</f>
        <v>10^17</v>
      </c>
      <c r="I30">
        <f>計算表!I30</f>
        <v>3072000000</v>
      </c>
      <c r="J30" t="str">
        <f>計算表!J30</f>
        <v>神位3階</v>
      </c>
      <c r="K30">
        <f>計算表!K30</f>
        <v>30</v>
      </c>
      <c r="L30">
        <f>計算表!L30</f>
        <v>0</v>
      </c>
      <c r="M30">
        <f>計算表!M30</f>
        <v>0</v>
      </c>
      <c r="N30">
        <f>計算表!N30</f>
        <v>0</v>
      </c>
      <c r="O30">
        <f>計算表!O30</f>
        <v>0</v>
      </c>
      <c r="P30">
        <f>計算表!P30</f>
        <v>0</v>
      </c>
      <c r="Q30">
        <f>計算表!Q30</f>
        <v>0</v>
      </c>
      <c r="R30">
        <f>計算表!R30</f>
        <v>0</v>
      </c>
    </row>
    <row r="31" spans="1:18" x14ac:dyDescent="0.25">
      <c r="A31">
        <f>計算表!A31</f>
        <v>30</v>
      </c>
      <c r="B31">
        <f>計算表!B31</f>
        <v>0</v>
      </c>
      <c r="C31" t="str">
        <f>計算表!C31</f>
        <v>1-轉生對照表</v>
      </c>
      <c r="D31" t="str">
        <f>計算表!D31</f>
        <v>轉生 14 次</v>
      </c>
      <c r="E31" t="str">
        <f>計算表!E31</f>
        <v>（查表）</v>
      </c>
      <c r="F31" s="7" t="s">
        <v>1007</v>
      </c>
      <c r="G31">
        <f>計算表!G31</f>
        <v>200</v>
      </c>
      <c r="H31" t="str">
        <f>計算表!H31</f>
        <v>10^19</v>
      </c>
      <c r="I31">
        <f>計算表!I31</f>
        <v>6144000000</v>
      </c>
      <c r="J31" t="str">
        <f>計算表!J31</f>
        <v>神位4階</v>
      </c>
      <c r="K31">
        <f>計算表!K31</f>
        <v>30</v>
      </c>
      <c r="L31">
        <f>計算表!L31</f>
        <v>0</v>
      </c>
      <c r="M31">
        <f>計算表!M31</f>
        <v>0</v>
      </c>
      <c r="N31">
        <f>計算表!N31</f>
        <v>0</v>
      </c>
      <c r="O31">
        <f>計算表!O31</f>
        <v>0</v>
      </c>
      <c r="P31">
        <f>計算表!P31</f>
        <v>0</v>
      </c>
      <c r="Q31">
        <f>計算表!Q31</f>
        <v>0</v>
      </c>
      <c r="R31">
        <f>計算表!R31</f>
        <v>0</v>
      </c>
    </row>
    <row r="32" spans="1:18" x14ac:dyDescent="0.25">
      <c r="A32">
        <f>計算表!A32</f>
        <v>31</v>
      </c>
      <c r="B32">
        <f>計算表!B32</f>
        <v>0</v>
      </c>
      <c r="C32" t="str">
        <f>計算表!C32</f>
        <v>1-轉生對照表</v>
      </c>
      <c r="D32" t="str">
        <f>計算表!D32</f>
        <v>轉生 15 次</v>
      </c>
      <c r="E32" t="str">
        <f>計算表!E32</f>
        <v>（查表）</v>
      </c>
      <c r="F32" s="7" t="s">
        <v>1007</v>
      </c>
      <c r="G32">
        <f>計算表!G32</f>
        <v>300</v>
      </c>
      <c r="H32" t="str">
        <f>計算表!H32</f>
        <v>10^21</v>
      </c>
      <c r="I32">
        <f>計算表!I32</f>
        <v>12288000000</v>
      </c>
      <c r="J32" t="str">
        <f>計算表!J32</f>
        <v>神位5階</v>
      </c>
      <c r="K32">
        <f>計算表!K32</f>
        <v>30</v>
      </c>
      <c r="L32">
        <f>計算表!L32</f>
        <v>0</v>
      </c>
      <c r="M32">
        <f>計算表!M32</f>
        <v>0</v>
      </c>
      <c r="N32">
        <f>計算表!N32</f>
        <v>0</v>
      </c>
      <c r="O32">
        <f>計算表!O32</f>
        <v>0</v>
      </c>
      <c r="P32">
        <f>計算表!P32</f>
        <v>0</v>
      </c>
      <c r="Q32">
        <f>計算表!Q32</f>
        <v>0</v>
      </c>
      <c r="R32">
        <f>計算表!R32</f>
        <v>0</v>
      </c>
    </row>
    <row r="33" spans="1:18" x14ac:dyDescent="0.25">
      <c r="A33">
        <f>計算表!A33</f>
        <v>32</v>
      </c>
      <c r="B33">
        <f>計算表!B33</f>
        <v>0</v>
      </c>
      <c r="C33" t="str">
        <f>計算表!C33</f>
        <v>1-轉生對照表</v>
      </c>
      <c r="D33" t="str">
        <f>計算表!D33</f>
        <v>轉生 16 次</v>
      </c>
      <c r="E33" t="str">
        <f>計算表!E33</f>
        <v>（查表）</v>
      </c>
      <c r="F33" s="7" t="s">
        <v>1007</v>
      </c>
      <c r="G33">
        <f>計算表!G33</f>
        <v>450</v>
      </c>
      <c r="H33" t="str">
        <f>計算表!H33</f>
        <v>10^23</v>
      </c>
      <c r="I33">
        <f>計算表!I33</f>
        <v>24576000000</v>
      </c>
      <c r="J33" t="str">
        <f>計算表!J33</f>
        <v>神位6階</v>
      </c>
      <c r="K33">
        <f>計算表!K33</f>
        <v>30</v>
      </c>
      <c r="L33">
        <f>計算表!L33</f>
        <v>0</v>
      </c>
      <c r="M33">
        <f>計算表!M33</f>
        <v>0</v>
      </c>
      <c r="N33">
        <f>計算表!N33</f>
        <v>0</v>
      </c>
      <c r="O33">
        <f>計算表!O33</f>
        <v>0</v>
      </c>
      <c r="P33">
        <f>計算表!P33</f>
        <v>0</v>
      </c>
      <c r="Q33">
        <f>計算表!Q33</f>
        <v>0</v>
      </c>
      <c r="R33">
        <f>計算表!R33</f>
        <v>0</v>
      </c>
    </row>
    <row r="34" spans="1:18" x14ac:dyDescent="0.25">
      <c r="A34">
        <f>計算表!A34</f>
        <v>33</v>
      </c>
      <c r="B34">
        <f>計算表!B34</f>
        <v>0</v>
      </c>
      <c r="C34" t="str">
        <f>計算表!C34</f>
        <v>1-轉生對照表</v>
      </c>
      <c r="D34" t="str">
        <f>計算表!D34</f>
        <v>轉生 17 次</v>
      </c>
      <c r="E34" t="str">
        <f>計算表!E34</f>
        <v>（查表）</v>
      </c>
      <c r="F34" s="7" t="s">
        <v>1007</v>
      </c>
      <c r="G34">
        <f>計算表!G34</f>
        <v>650</v>
      </c>
      <c r="H34" t="str">
        <f>計算表!H34</f>
        <v>10^25</v>
      </c>
      <c r="I34">
        <f>計算表!I34</f>
        <v>49152000000</v>
      </c>
      <c r="J34" t="str">
        <f>計算表!J34</f>
        <v>神位7階</v>
      </c>
      <c r="K34">
        <f>計算表!K34</f>
        <v>30</v>
      </c>
      <c r="L34">
        <f>計算表!L34</f>
        <v>0</v>
      </c>
      <c r="M34">
        <f>計算表!M34</f>
        <v>0</v>
      </c>
      <c r="N34">
        <f>計算表!N34</f>
        <v>0</v>
      </c>
      <c r="O34">
        <f>計算表!O34</f>
        <v>0</v>
      </c>
      <c r="P34">
        <f>計算表!P34</f>
        <v>0</v>
      </c>
      <c r="Q34">
        <f>計算表!Q34</f>
        <v>0</v>
      </c>
      <c r="R34">
        <f>計算表!R34</f>
        <v>0</v>
      </c>
    </row>
    <row r="35" spans="1:18" x14ac:dyDescent="0.25">
      <c r="A35">
        <f>計算表!A35</f>
        <v>34</v>
      </c>
      <c r="B35">
        <f>計算表!B35</f>
        <v>0</v>
      </c>
      <c r="C35" t="str">
        <f>計算表!C35</f>
        <v>1-轉生對照表</v>
      </c>
      <c r="D35" t="str">
        <f>計算表!D35</f>
        <v>轉生 18 次</v>
      </c>
      <c r="E35" t="str">
        <f>計算表!E35</f>
        <v>（查表）</v>
      </c>
      <c r="F35" s="7" t="s">
        <v>1007</v>
      </c>
      <c r="G35">
        <f>計算表!G35</f>
        <v>800</v>
      </c>
      <c r="H35" t="str">
        <f>計算表!H35</f>
        <v>10^27</v>
      </c>
      <c r="I35">
        <f>計算表!I35</f>
        <v>98304000000</v>
      </c>
      <c r="J35" t="str">
        <f>計算表!J35</f>
        <v>神位8階</v>
      </c>
      <c r="K35">
        <f>計算表!K35</f>
        <v>30</v>
      </c>
      <c r="L35">
        <f>計算表!L35</f>
        <v>0</v>
      </c>
      <c r="M35">
        <f>計算表!M35</f>
        <v>0</v>
      </c>
      <c r="N35">
        <f>計算表!N35</f>
        <v>0</v>
      </c>
      <c r="O35">
        <f>計算表!O35</f>
        <v>0</v>
      </c>
      <c r="P35">
        <f>計算表!P35</f>
        <v>0</v>
      </c>
      <c r="Q35">
        <f>計算表!Q35</f>
        <v>0</v>
      </c>
      <c r="R35">
        <f>計算表!R35</f>
        <v>0</v>
      </c>
    </row>
    <row r="36" spans="1:18" x14ac:dyDescent="0.25">
      <c r="A36">
        <f>計算表!A36</f>
        <v>35</v>
      </c>
      <c r="B36">
        <f>計算表!B36</f>
        <v>0</v>
      </c>
      <c r="C36" t="str">
        <f>計算表!C36</f>
        <v>1-轉生對照表</v>
      </c>
      <c r="D36" t="str">
        <f>計算表!D36</f>
        <v>轉生 19 次</v>
      </c>
      <c r="E36" t="str">
        <f>計算表!E36</f>
        <v>（查表）</v>
      </c>
      <c r="F36" s="7" t="s">
        <v>1007</v>
      </c>
      <c r="G36">
        <f>計算表!G36</f>
        <v>1200</v>
      </c>
      <c r="H36" t="str">
        <f>計算表!H36</f>
        <v>10^29</v>
      </c>
      <c r="I36">
        <f>計算表!I36</f>
        <v>196608000000</v>
      </c>
      <c r="J36" t="str">
        <f>計算表!J36</f>
        <v>神位9階</v>
      </c>
      <c r="K36">
        <f>計算表!K36</f>
        <v>30</v>
      </c>
      <c r="L36">
        <f>計算表!L36</f>
        <v>0</v>
      </c>
      <c r="M36">
        <f>計算表!M36</f>
        <v>0</v>
      </c>
      <c r="N36">
        <f>計算表!N36</f>
        <v>0</v>
      </c>
      <c r="O36">
        <f>計算表!O36</f>
        <v>0</v>
      </c>
      <c r="P36">
        <f>計算表!P36</f>
        <v>0</v>
      </c>
      <c r="Q36">
        <f>計算表!Q36</f>
        <v>0</v>
      </c>
      <c r="R36">
        <f>計算表!R36</f>
        <v>0</v>
      </c>
    </row>
    <row r="37" spans="1:18" x14ac:dyDescent="0.25">
      <c r="A37">
        <f>計算表!A37</f>
        <v>36</v>
      </c>
      <c r="B37">
        <f>計算表!B37</f>
        <v>0</v>
      </c>
      <c r="C37" t="str">
        <f>計算表!C37</f>
        <v>1-轉生對照表</v>
      </c>
      <c r="D37" t="str">
        <f>計算表!D37</f>
        <v>轉生 20 次</v>
      </c>
      <c r="E37" t="str">
        <f>計算表!E37</f>
        <v>（查表）</v>
      </c>
      <c r="F37" s="7" t="s">
        <v>1007</v>
      </c>
      <c r="G37">
        <f>計算表!G37</f>
        <v>2500</v>
      </c>
      <c r="H37" t="str">
        <f>計算表!H37</f>
        <v>10^33</v>
      </c>
      <c r="I37">
        <f>計算表!I37</f>
        <v>393216000000</v>
      </c>
      <c r="J37" t="str">
        <f>計算表!J37</f>
        <v>神位終階</v>
      </c>
      <c r="K37">
        <f>計算表!K37</f>
        <v>30</v>
      </c>
      <c r="L37">
        <f>計算表!L37</f>
        <v>0</v>
      </c>
      <c r="M37">
        <f>計算表!M37</f>
        <v>0</v>
      </c>
      <c r="N37">
        <f>計算表!N37</f>
        <v>0</v>
      </c>
      <c r="O37">
        <f>計算表!O37</f>
        <v>0</v>
      </c>
      <c r="P37">
        <f>計算表!P37</f>
        <v>0</v>
      </c>
      <c r="Q37">
        <f>計算表!Q37</f>
        <v>0</v>
      </c>
      <c r="R37">
        <f>計算表!R37</f>
        <v>0</v>
      </c>
    </row>
    <row r="38" spans="1:18" x14ac:dyDescent="0.25">
      <c r="A38">
        <f>計算表!A38</f>
        <v>37</v>
      </c>
      <c r="B38">
        <f>計算表!B38</f>
        <v>0</v>
      </c>
      <c r="C38" t="str">
        <f>計算表!C38</f>
        <v>2-屬性上限</v>
      </c>
      <c r="D38" t="str">
        <f>計算表!D38</f>
        <v>暴擊率 上限</v>
      </c>
      <c r="E38" t="str">
        <f>計算表!E38</f>
        <v>上限 = a</v>
      </c>
      <c r="F38" t="str">
        <f>計算表!F38</f>
        <v>a=暴擊率上限（%）。攻擊時造成額外暴擊傷害的機率。</v>
      </c>
      <c r="G38">
        <f>計算表!G38</f>
        <v>0</v>
      </c>
      <c r="H38">
        <f>計算表!H38</f>
        <v>0</v>
      </c>
      <c r="I38">
        <f>計算表!I38</f>
        <v>0</v>
      </c>
      <c r="J38">
        <f>計算表!J38</f>
        <v>0</v>
      </c>
      <c r="K38">
        <f>計算表!K38</f>
        <v>0</v>
      </c>
      <c r="L38">
        <f>計算表!L38</f>
        <v>0</v>
      </c>
      <c r="M38">
        <f>計算表!M38</f>
        <v>0</v>
      </c>
      <c r="N38">
        <f>計算表!N38</f>
        <v>0</v>
      </c>
      <c r="O38">
        <f>計算表!O38</f>
        <v>0</v>
      </c>
      <c r="P38">
        <f>計算表!P38</f>
        <v>0</v>
      </c>
      <c r="Q38">
        <f>計算表!Q38</f>
        <v>0</v>
      </c>
      <c r="R38">
        <f>計算表!R38</f>
        <v>0</v>
      </c>
    </row>
    <row r="39" spans="1:18" x14ac:dyDescent="0.25">
      <c r="A39">
        <f>計算表!A39</f>
        <v>38</v>
      </c>
      <c r="B39">
        <f>計算表!B39</f>
        <v>0</v>
      </c>
      <c r="C39" t="str">
        <f>計算表!C39</f>
        <v>2-屬性上限</v>
      </c>
      <c r="D39" t="str">
        <f>計算表!D39</f>
        <v>物理穿透 上限</v>
      </c>
      <c r="E39" t="str">
        <f>計算表!E39</f>
        <v>上限 = a</v>
      </c>
      <c r="F39" t="str">
        <f>計算表!F39</f>
        <v>a=物理穿透上限（%）；0＝無上限。2026-07-30 改版：穿透不再擋上限，實際忽略防禦%改由「3-戰鬥核心/穿透忽略防禦」的遞減曲線換算。</v>
      </c>
      <c r="G39">
        <f>計算表!G39</f>
        <v>0</v>
      </c>
      <c r="H39">
        <f>計算表!H39</f>
        <v>0</v>
      </c>
      <c r="I39">
        <f>計算表!I39</f>
        <v>0</v>
      </c>
      <c r="J39">
        <f>計算表!J39</f>
        <v>0</v>
      </c>
      <c r="K39">
        <f>計算表!K39</f>
        <v>0</v>
      </c>
      <c r="L39">
        <f>計算表!L39</f>
        <v>0</v>
      </c>
      <c r="M39">
        <f>計算表!M39</f>
        <v>0</v>
      </c>
      <c r="N39">
        <f>計算表!N39</f>
        <v>0</v>
      </c>
      <c r="O39">
        <f>計算表!O39</f>
        <v>0</v>
      </c>
      <c r="P39">
        <f>計算表!P39</f>
        <v>0</v>
      </c>
      <c r="Q39">
        <f>計算表!Q39</f>
        <v>0</v>
      </c>
      <c r="R39">
        <f>計算表!R39</f>
        <v>0</v>
      </c>
    </row>
    <row r="40" spans="1:18" x14ac:dyDescent="0.25">
      <c r="A40">
        <f>計算表!A40</f>
        <v>39</v>
      </c>
      <c r="B40">
        <f>計算表!B40</f>
        <v>0</v>
      </c>
      <c r="C40" t="str">
        <f>計算表!C40</f>
        <v>2-屬性上限</v>
      </c>
      <c r="D40" t="str">
        <f>計算表!D40</f>
        <v>魔法穿透 上限</v>
      </c>
      <c r="E40" t="str">
        <f>計算表!E40</f>
        <v>上限 = a</v>
      </c>
      <c r="F40" t="str">
        <f>計算表!F40</f>
        <v>a=魔法穿透上限（%）；0＝無上限。2026-07-30 改版：穿透不再擋上限，實際忽略防禦%改由「3-戰鬥核心/穿透忽略防禦」的遞減曲線換算。</v>
      </c>
      <c r="G40">
        <f>計算表!G40</f>
        <v>0</v>
      </c>
      <c r="H40">
        <f>計算表!H40</f>
        <v>0</v>
      </c>
      <c r="I40">
        <f>計算表!I40</f>
        <v>0</v>
      </c>
      <c r="J40">
        <f>計算表!J40</f>
        <v>0</v>
      </c>
      <c r="K40">
        <f>計算表!K40</f>
        <v>0</v>
      </c>
      <c r="L40">
        <f>計算表!L40</f>
        <v>0</v>
      </c>
      <c r="M40">
        <f>計算表!M40</f>
        <v>0</v>
      </c>
      <c r="N40">
        <f>計算表!N40</f>
        <v>0</v>
      </c>
      <c r="O40">
        <f>計算表!O40</f>
        <v>0</v>
      </c>
      <c r="P40">
        <f>計算表!P40</f>
        <v>0</v>
      </c>
      <c r="Q40">
        <f>計算表!Q40</f>
        <v>0</v>
      </c>
      <c r="R40">
        <f>計算表!R40</f>
        <v>0</v>
      </c>
    </row>
    <row r="41" spans="1:18" x14ac:dyDescent="0.25">
      <c r="A41">
        <f>計算表!A41</f>
        <v>40</v>
      </c>
      <c r="B41">
        <f>計算表!B41</f>
        <v>0</v>
      </c>
      <c r="C41" t="str">
        <f>計算表!C41</f>
        <v>2-屬性上限</v>
      </c>
      <c r="D41" t="str">
        <f>計算表!D41</f>
        <v>冷卻縮減 上限</v>
      </c>
      <c r="E41" t="str">
        <f>計算表!E41</f>
        <v>上限 = a</v>
      </c>
      <c r="F41" t="str">
        <f>計算表!F41</f>
        <v>a=冷卻縮減上限（%）。減少技能所需的冷卻時間。</v>
      </c>
      <c r="G41">
        <f>計算表!G41</f>
        <v>60</v>
      </c>
      <c r="H41">
        <f>計算表!H41</f>
        <v>0</v>
      </c>
      <c r="I41">
        <f>計算表!I41</f>
        <v>0</v>
      </c>
      <c r="J41">
        <f>計算表!J41</f>
        <v>0</v>
      </c>
      <c r="K41">
        <f>計算表!K41</f>
        <v>0</v>
      </c>
      <c r="L41">
        <f>計算表!L41</f>
        <v>0</v>
      </c>
      <c r="M41">
        <f>計算表!M41</f>
        <v>0</v>
      </c>
      <c r="N41">
        <f>計算表!N41</f>
        <v>0</v>
      </c>
      <c r="O41">
        <f>計算表!O41</f>
        <v>0</v>
      </c>
      <c r="P41">
        <f>計算表!P41</f>
        <v>0</v>
      </c>
      <c r="Q41">
        <f>計算表!Q41</f>
        <v>0</v>
      </c>
      <c r="R41">
        <f>計算表!R41</f>
        <v>0</v>
      </c>
    </row>
    <row r="42" spans="1:18" x14ac:dyDescent="0.25">
      <c r="A42">
        <f>計算表!A42</f>
        <v>41</v>
      </c>
      <c r="B42">
        <f>計算表!B42</f>
        <v>0</v>
      </c>
      <c r="C42" t="str">
        <f>計算表!C42</f>
        <v>2-屬性上限</v>
      </c>
      <c r="D42" t="str">
        <f>計算表!D42</f>
        <v>施法速度 上限</v>
      </c>
      <c r="E42" t="str">
        <f>計算表!E42</f>
        <v>上限 = a</v>
      </c>
      <c r="F42" t="str">
        <f>計算表!F42</f>
        <v>a=施法速度上限（%）。縮短技能的施放延遲或詠唱時間。</v>
      </c>
      <c r="G42">
        <f>計算表!G42</f>
        <v>50</v>
      </c>
      <c r="H42">
        <f>計算表!H42</f>
        <v>0</v>
      </c>
      <c r="I42">
        <f>計算表!I42</f>
        <v>0</v>
      </c>
      <c r="J42">
        <f>計算表!J42</f>
        <v>0</v>
      </c>
      <c r="K42">
        <f>計算表!K42</f>
        <v>0</v>
      </c>
      <c r="L42">
        <f>計算表!L42</f>
        <v>0</v>
      </c>
      <c r="M42">
        <f>計算表!M42</f>
        <v>0</v>
      </c>
      <c r="N42">
        <f>計算表!N42</f>
        <v>0</v>
      </c>
      <c r="O42">
        <f>計算表!O42</f>
        <v>0</v>
      </c>
      <c r="P42">
        <f>計算表!P42</f>
        <v>0</v>
      </c>
      <c r="Q42">
        <f>計算表!Q42</f>
        <v>0</v>
      </c>
      <c r="R42">
        <f>計算表!R42</f>
        <v>0</v>
      </c>
    </row>
    <row r="43" spans="1:18" x14ac:dyDescent="0.25">
      <c r="A43">
        <f>計算表!A43</f>
        <v>42</v>
      </c>
      <c r="B43">
        <f>計算表!B43</f>
        <v>0</v>
      </c>
      <c r="C43" t="str">
        <f>計算表!C43</f>
        <v>2-屬性上限</v>
      </c>
      <c r="D43" t="str">
        <f>計算表!D43</f>
        <v>吸血 上限</v>
      </c>
      <c r="E43" t="str">
        <f>計算表!E43</f>
        <v>上限 = a</v>
      </c>
      <c r="F43" t="str">
        <f>計算表!F43</f>
        <v>a=吸血上限（定值）；0＝無上限。吸血是定值：每次對敵人造成傷害固定回復的生命（舊版百分比以 1%＝1 轉換），單獨計算，與每秒生命回復、造成的傷害皆無關。</v>
      </c>
      <c r="G43">
        <f>計算表!G43</f>
        <v>0</v>
      </c>
      <c r="H43">
        <f>計算表!H43</f>
        <v>0</v>
      </c>
      <c r="I43">
        <f>計算表!I43</f>
        <v>0</v>
      </c>
      <c r="J43">
        <f>計算表!J43</f>
        <v>0</v>
      </c>
      <c r="K43">
        <f>計算表!K43</f>
        <v>0</v>
      </c>
      <c r="L43">
        <f>計算表!L43</f>
        <v>0</v>
      </c>
      <c r="M43">
        <f>計算表!M43</f>
        <v>0</v>
      </c>
      <c r="N43">
        <f>計算表!N43</f>
        <v>0</v>
      </c>
      <c r="O43">
        <f>計算表!O43</f>
        <v>0</v>
      </c>
      <c r="P43">
        <f>計算表!P43</f>
        <v>0</v>
      </c>
      <c r="Q43">
        <f>計算表!Q43</f>
        <v>0</v>
      </c>
      <c r="R43">
        <f>計算表!R43</f>
        <v>0</v>
      </c>
    </row>
    <row r="44" spans="1:18" x14ac:dyDescent="0.25">
      <c r="A44">
        <f>計算表!A44</f>
        <v>43</v>
      </c>
      <c r="B44">
        <f>計算表!B44</f>
        <v>0</v>
      </c>
      <c r="C44" t="str">
        <f>計算表!C44</f>
        <v>2-屬性上限</v>
      </c>
      <c r="D44" t="str">
        <f>計算表!D44</f>
        <v>吸魔 上限</v>
      </c>
      <c r="E44" t="str">
        <f>計算表!E44</f>
        <v>上限 = a</v>
      </c>
      <c r="F44" t="str">
        <f>計算表!F44</f>
        <v>a=吸魔上限（定值）；0＝無上限。吸魔是定值：每次對敵人造成傷害固定回復的法力（舊版百分比以 1%＝1 轉換），單獨計算，與每秒法力恢復、造成的傷害皆無關。</v>
      </c>
      <c r="G44">
        <f>計算表!G44</f>
        <v>0</v>
      </c>
      <c r="H44">
        <f>計算表!H44</f>
        <v>0</v>
      </c>
      <c r="I44">
        <f>計算表!I44</f>
        <v>0</v>
      </c>
      <c r="J44">
        <f>計算表!J44</f>
        <v>0</v>
      </c>
      <c r="K44">
        <f>計算表!K44</f>
        <v>0</v>
      </c>
      <c r="L44">
        <f>計算表!L44</f>
        <v>0</v>
      </c>
      <c r="M44">
        <f>計算表!M44</f>
        <v>0</v>
      </c>
      <c r="N44">
        <f>計算表!N44</f>
        <v>0</v>
      </c>
      <c r="O44">
        <f>計算表!O44</f>
        <v>0</v>
      </c>
      <c r="P44">
        <f>計算表!P44</f>
        <v>0</v>
      </c>
      <c r="Q44">
        <f>計算表!Q44</f>
        <v>0</v>
      </c>
      <c r="R44">
        <f>計算表!R44</f>
        <v>0</v>
      </c>
    </row>
    <row r="45" spans="1:18" x14ac:dyDescent="0.25">
      <c r="A45">
        <f>計算表!A45</f>
        <v>44</v>
      </c>
      <c r="B45">
        <f>計算表!B45</f>
        <v>0</v>
      </c>
      <c r="C45" t="str">
        <f>計算表!C45</f>
        <v>2-屬性上限</v>
      </c>
      <c r="D45" t="str">
        <f>計算表!D45</f>
        <v>格擋率 上限</v>
      </c>
      <c r="E45" t="str">
        <f>計算表!E45</f>
        <v>上限 = a</v>
      </c>
      <c r="F45" t="str">
        <f>計算表!F45</f>
        <v>a=格擋率上限（%）。受到攻擊時觸發格擋以減輕傷害的機率。</v>
      </c>
      <c r="G45">
        <f>計算表!G45</f>
        <v>50</v>
      </c>
      <c r="H45">
        <f>計算表!H45</f>
        <v>0</v>
      </c>
      <c r="I45">
        <f>計算表!I45</f>
        <v>0</v>
      </c>
      <c r="J45">
        <f>計算表!J45</f>
        <v>0</v>
      </c>
      <c r="K45">
        <f>計算表!K45</f>
        <v>0</v>
      </c>
      <c r="L45">
        <f>計算表!L45</f>
        <v>0</v>
      </c>
      <c r="M45">
        <f>計算表!M45</f>
        <v>0</v>
      </c>
      <c r="N45">
        <f>計算表!N45</f>
        <v>0</v>
      </c>
      <c r="O45">
        <f>計算表!O45</f>
        <v>0</v>
      </c>
      <c r="P45">
        <f>計算表!P45</f>
        <v>0</v>
      </c>
      <c r="Q45">
        <f>計算表!Q45</f>
        <v>0</v>
      </c>
      <c r="R45">
        <f>計算表!R45</f>
        <v>0</v>
      </c>
    </row>
    <row r="46" spans="1:18" x14ac:dyDescent="0.25">
      <c r="A46">
        <f>計算表!A46</f>
        <v>45</v>
      </c>
      <c r="B46">
        <f>計算表!B46</f>
        <v>0</v>
      </c>
      <c r="C46" t="str">
        <f>計算表!C46</f>
        <v>2-屬性上限</v>
      </c>
      <c r="D46" t="str">
        <f>計算表!D46</f>
        <v>格擋減傷(詞條部分) 上限</v>
      </c>
      <c r="E46" t="str">
        <f>計算表!E46</f>
        <v>上限 = a</v>
      </c>
      <c r="F46" t="str">
        <f>計算表!F46</f>
        <v>a=格擋減傷「詞條部分」上限（%）。實際格擋減傷 = 30%基礎 + 詞條(≤a)，合計上限 80%。</v>
      </c>
      <c r="G46">
        <f>計算表!G46</f>
        <v>50</v>
      </c>
      <c r="H46">
        <f>計算表!H46</f>
        <v>0</v>
      </c>
      <c r="I46">
        <f>計算表!I46</f>
        <v>0</v>
      </c>
      <c r="J46">
        <f>計算表!J46</f>
        <v>0</v>
      </c>
      <c r="K46">
        <f>計算表!K46</f>
        <v>0</v>
      </c>
      <c r="L46">
        <f>計算表!L46</f>
        <v>0</v>
      </c>
      <c r="M46">
        <f>計算表!M46</f>
        <v>0</v>
      </c>
      <c r="N46">
        <f>計算表!N46</f>
        <v>0</v>
      </c>
      <c r="O46">
        <f>計算表!O46</f>
        <v>0</v>
      </c>
      <c r="P46">
        <f>計算表!P46</f>
        <v>0</v>
      </c>
      <c r="Q46">
        <f>計算表!Q46</f>
        <v>0</v>
      </c>
      <c r="R46">
        <f>計算表!R46</f>
        <v>0</v>
      </c>
    </row>
    <row r="47" spans="1:18" x14ac:dyDescent="0.25">
      <c r="A47">
        <f>計算表!A47</f>
        <v>46</v>
      </c>
      <c r="B47">
        <f>計算表!B47</f>
        <v>0</v>
      </c>
      <c r="C47" t="str">
        <f>計算表!C47</f>
        <v>2-屬性上限</v>
      </c>
      <c r="D47" t="str">
        <f>計算表!D47</f>
        <v>閃避率 上限</v>
      </c>
      <c r="E47" t="str">
        <f>計算表!E47</f>
        <v>上限 = a</v>
      </c>
      <c r="F47" t="str">
        <f>計算表!F47</f>
        <v>a=閃避率上限（%）。完全避開敵人攻擊的機率（受敵方命中率影響）。</v>
      </c>
      <c r="G47">
        <f>計算表!G47</f>
        <v>0</v>
      </c>
      <c r="H47">
        <f>計算表!H47</f>
        <v>0</v>
      </c>
      <c r="I47">
        <f>計算表!I47</f>
        <v>0</v>
      </c>
      <c r="J47">
        <f>計算表!J47</f>
        <v>0</v>
      </c>
      <c r="K47">
        <f>計算表!K47</f>
        <v>0</v>
      </c>
      <c r="L47">
        <f>計算表!L47</f>
        <v>0</v>
      </c>
      <c r="M47">
        <f>計算表!M47</f>
        <v>0</v>
      </c>
      <c r="N47">
        <f>計算表!N47</f>
        <v>0</v>
      </c>
      <c r="O47">
        <f>計算表!O47</f>
        <v>0</v>
      </c>
      <c r="P47">
        <f>計算表!P47</f>
        <v>0</v>
      </c>
      <c r="Q47">
        <f>計算表!Q47</f>
        <v>0</v>
      </c>
      <c r="R47">
        <f>計算表!R47</f>
        <v>0</v>
      </c>
    </row>
    <row r="48" spans="1:18" x14ac:dyDescent="0.25">
      <c r="A48">
        <f>計算表!A48</f>
        <v>47</v>
      </c>
      <c r="B48">
        <f>計算表!B48</f>
        <v>0</v>
      </c>
      <c r="C48" t="str">
        <f>計算表!C48</f>
        <v>2-屬性上限</v>
      </c>
      <c r="D48" t="str">
        <f>計算表!D48</f>
        <v>韌性 上限</v>
      </c>
      <c r="E48" t="str">
        <f>計算表!E48</f>
        <v>上限 = a</v>
      </c>
      <c r="F48" t="str">
        <f>計算表!F48</f>
        <v>a=韌性上限（%）。2026-07-30 改版：上限 80%，且同時降低「被控場機率」、縮短「被控場持續時間」、降低「被敵人爆擊機率」（敵方爆擊率×(1-韌性%)）。</v>
      </c>
      <c r="G48">
        <f>計算表!G48</f>
        <v>80</v>
      </c>
      <c r="H48">
        <f>計算表!H48</f>
        <v>0</v>
      </c>
      <c r="I48">
        <f>計算表!I48</f>
        <v>0</v>
      </c>
      <c r="J48">
        <f>計算表!J48</f>
        <v>0</v>
      </c>
      <c r="K48">
        <f>計算表!K48</f>
        <v>0</v>
      </c>
      <c r="L48">
        <f>計算表!L48</f>
        <v>0</v>
      </c>
      <c r="M48">
        <f>計算表!M48</f>
        <v>0</v>
      </c>
      <c r="N48">
        <f>計算表!N48</f>
        <v>0</v>
      </c>
      <c r="O48">
        <f>計算表!O48</f>
        <v>0</v>
      </c>
      <c r="P48">
        <f>計算表!P48</f>
        <v>0</v>
      </c>
      <c r="Q48">
        <f>計算表!Q48</f>
        <v>0</v>
      </c>
      <c r="R48">
        <f>計算表!R48</f>
        <v>0</v>
      </c>
    </row>
    <row r="49" spans="1:18" x14ac:dyDescent="0.25">
      <c r="A49">
        <f>計算表!A49</f>
        <v>48</v>
      </c>
      <c r="B49">
        <f>計算表!B49</f>
        <v>0</v>
      </c>
      <c r="C49" t="str">
        <f>計算表!C49</f>
        <v>2-屬性上限</v>
      </c>
      <c r="D49" t="str">
        <f>計算表!D49</f>
        <v>控制抵抗 上限</v>
      </c>
      <c r="E49" t="str">
        <f>計算表!E49</f>
        <v>上限 = a</v>
      </c>
      <c r="F49" t="str">
        <f>計算表!F49</f>
        <v>a=控制抵抗上限（%）。全面降低所有負面異常狀態的命中率。</v>
      </c>
      <c r="G49">
        <f>計算表!G49</f>
        <v>80</v>
      </c>
      <c r="H49">
        <f>計算表!H49</f>
        <v>0</v>
      </c>
      <c r="I49">
        <f>計算表!I49</f>
        <v>0</v>
      </c>
      <c r="J49">
        <f>計算表!J49</f>
        <v>0</v>
      </c>
      <c r="K49">
        <f>計算表!K49</f>
        <v>0</v>
      </c>
      <c r="L49">
        <f>計算表!L49</f>
        <v>0</v>
      </c>
      <c r="M49">
        <f>計算表!M49</f>
        <v>0</v>
      </c>
      <c r="N49">
        <f>計算表!N49</f>
        <v>0</v>
      </c>
      <c r="O49">
        <f>計算表!O49</f>
        <v>0</v>
      </c>
      <c r="P49">
        <f>計算表!P49</f>
        <v>0</v>
      </c>
      <c r="Q49">
        <f>計算表!Q49</f>
        <v>0</v>
      </c>
      <c r="R49">
        <f>計算表!R49</f>
        <v>0</v>
      </c>
    </row>
    <row r="50" spans="1:18" x14ac:dyDescent="0.25">
      <c r="A50">
        <f>計算表!A50</f>
        <v>49</v>
      </c>
      <c r="B50">
        <f>計算表!B50</f>
        <v>0</v>
      </c>
      <c r="C50" t="str">
        <f>計算表!C50</f>
        <v>2-屬性上限</v>
      </c>
      <c r="D50" t="str">
        <f>計算表!D50</f>
        <v>控制時間縮減 上限</v>
      </c>
      <c r="E50" t="str">
        <f>計算表!E50</f>
        <v>上限 = a</v>
      </c>
      <c r="F50" t="str">
        <f>計算表!F50</f>
        <v>a=控制時間縮減上限（%）。減少被暈眩、減速等控制狀態的持續時間。</v>
      </c>
      <c r="G50">
        <f>計算表!G50</f>
        <v>60</v>
      </c>
      <c r="H50">
        <f>計算表!H50</f>
        <v>0</v>
      </c>
      <c r="I50">
        <f>計算表!I50</f>
        <v>0</v>
      </c>
      <c r="J50">
        <f>計算表!J50</f>
        <v>0</v>
      </c>
      <c r="K50">
        <f>計算表!K50</f>
        <v>0</v>
      </c>
      <c r="L50">
        <f>計算表!L50</f>
        <v>0</v>
      </c>
      <c r="M50">
        <f>計算表!M50</f>
        <v>0</v>
      </c>
      <c r="N50">
        <f>計算表!N50</f>
        <v>0</v>
      </c>
      <c r="O50">
        <f>計算表!O50</f>
        <v>0</v>
      </c>
      <c r="P50">
        <f>計算表!P50</f>
        <v>0</v>
      </c>
      <c r="Q50">
        <f>計算表!Q50</f>
        <v>0</v>
      </c>
      <c r="R50">
        <f>計算表!R50</f>
        <v>0</v>
      </c>
    </row>
    <row r="51" spans="1:18" x14ac:dyDescent="0.25">
      <c r="A51">
        <f>計算表!A51</f>
        <v>50</v>
      </c>
      <c r="B51">
        <f>計算表!B51</f>
        <v>0</v>
      </c>
      <c r="C51" t="str">
        <f>計算表!C51</f>
        <v>2-屬性上限</v>
      </c>
      <c r="D51" t="str">
        <f>計算表!D51</f>
        <v>移動速度 上限</v>
      </c>
      <c r="E51" t="str">
        <f>計算表!E51</f>
        <v>上限 = a</v>
      </c>
      <c r="F51" t="str">
        <f>計算表!F51</f>
        <v>a=移動速度上限（%）。提高探索地圖、遇敵或到達終點的速度。</v>
      </c>
      <c r="G51">
        <f>計算表!G51</f>
        <v>50</v>
      </c>
      <c r="H51">
        <f>計算表!H51</f>
        <v>0</v>
      </c>
      <c r="I51">
        <f>計算表!I51</f>
        <v>0</v>
      </c>
      <c r="J51">
        <f>計算表!J51</f>
        <v>0</v>
      </c>
      <c r="K51">
        <f>計算表!K51</f>
        <v>0</v>
      </c>
      <c r="L51">
        <f>計算表!L51</f>
        <v>0</v>
      </c>
      <c r="M51">
        <f>計算表!M51</f>
        <v>0</v>
      </c>
      <c r="N51">
        <f>計算表!N51</f>
        <v>0</v>
      </c>
      <c r="O51">
        <f>計算表!O51</f>
        <v>0</v>
      </c>
      <c r="P51">
        <f>計算表!P51</f>
        <v>0</v>
      </c>
      <c r="Q51">
        <f>計算表!Q51</f>
        <v>0</v>
      </c>
      <c r="R51">
        <f>計算表!R51</f>
        <v>0</v>
      </c>
    </row>
    <row r="52" spans="1:18" x14ac:dyDescent="0.25">
      <c r="A52">
        <f>計算表!A52</f>
        <v>51</v>
      </c>
      <c r="B52">
        <f>計算表!B52</f>
        <v>0</v>
      </c>
      <c r="C52" t="str">
        <f>計算表!C52</f>
        <v>2-屬性上限</v>
      </c>
      <c r="D52" t="str">
        <f>計算表!D52</f>
        <v>幸運值 上限</v>
      </c>
      <c r="E52" t="str">
        <f>計算表!E52</f>
        <v>上限 = a</v>
      </c>
      <c r="F52" t="str">
        <f>計算表!F52</f>
        <v>a=幸運值上限（數值，非%）。幸運值越高，裝備產出時太古詞條越容易出現。</v>
      </c>
      <c r="G52">
        <f>計算表!G52</f>
        <v>0</v>
      </c>
      <c r="H52">
        <f>計算表!H52</f>
        <v>0</v>
      </c>
      <c r="I52">
        <f>計算表!I52</f>
        <v>0</v>
      </c>
      <c r="J52">
        <f>計算表!J52</f>
        <v>0</v>
      </c>
      <c r="K52">
        <f>計算表!K52</f>
        <v>0</v>
      </c>
      <c r="L52">
        <f>計算表!L52</f>
        <v>0</v>
      </c>
      <c r="M52">
        <f>計算表!M52</f>
        <v>0</v>
      </c>
      <c r="N52">
        <f>計算表!N52</f>
        <v>0</v>
      </c>
      <c r="O52">
        <f>計算表!O52</f>
        <v>0</v>
      </c>
      <c r="P52">
        <f>計算表!P52</f>
        <v>0</v>
      </c>
      <c r="Q52">
        <f>計算表!Q52</f>
        <v>0</v>
      </c>
      <c r="R52">
        <f>計算表!R52</f>
        <v>0</v>
      </c>
    </row>
    <row r="53" spans="1:18" x14ac:dyDescent="0.25">
      <c r="A53">
        <f>計算表!A53</f>
        <v>52</v>
      </c>
      <c r="B53">
        <f>計算表!B53</f>
        <v>0</v>
      </c>
      <c r="C53" t="str">
        <f>計算表!C53</f>
        <v>2-屬性上限</v>
      </c>
      <c r="D53" t="str">
        <f>計算表!D53</f>
        <v>合成變異率 上限</v>
      </c>
      <c r="E53" t="str">
        <f>計算表!E53</f>
        <v>上限 = a</v>
      </c>
      <c r="F53" t="str">
        <f>計算表!F53</f>
        <v>a=合成變異率上限（%）。合成時發生特殊異變（如詞條升級）的機率。</v>
      </c>
      <c r="G53">
        <f>計算表!G53</f>
        <v>60</v>
      </c>
      <c r="H53">
        <f>計算表!H53</f>
        <v>0</v>
      </c>
      <c r="I53">
        <f>計算表!I53</f>
        <v>0</v>
      </c>
      <c r="J53">
        <f>計算表!J53</f>
        <v>0</v>
      </c>
      <c r="K53">
        <f>計算表!K53</f>
        <v>0</v>
      </c>
      <c r="L53">
        <f>計算表!L53</f>
        <v>0</v>
      </c>
      <c r="M53">
        <f>計算表!M53</f>
        <v>0</v>
      </c>
      <c r="N53">
        <f>計算表!N53</f>
        <v>0</v>
      </c>
      <c r="O53">
        <f>計算表!O53</f>
        <v>0</v>
      </c>
      <c r="P53">
        <f>計算表!P53</f>
        <v>0</v>
      </c>
      <c r="Q53">
        <f>計算表!Q53</f>
        <v>0</v>
      </c>
      <c r="R53">
        <f>計算表!R53</f>
        <v>0</v>
      </c>
    </row>
    <row r="54" spans="1:18" x14ac:dyDescent="0.25">
      <c r="A54">
        <f>計算表!A54</f>
        <v>53</v>
      </c>
      <c r="B54">
        <f>計算表!B54</f>
        <v>0</v>
      </c>
      <c r="C54" t="str">
        <f>計算表!C54</f>
        <v>2-屬性上限</v>
      </c>
      <c r="D54" t="str">
        <f>計算表!D54</f>
        <v>狂暴閾值 上限</v>
      </c>
      <c r="E54" t="str">
        <f>計算表!E54</f>
        <v>上限 = a</v>
      </c>
      <c r="F54" t="str">
        <f>計算表!F54</f>
        <v>a=狂暴閾值上限（%）。影響怪物進入狂暴狀態的時間點或血量條件。</v>
      </c>
      <c r="G54">
        <f>計算表!G54</f>
        <v>30</v>
      </c>
      <c r="H54">
        <f>計算表!H54</f>
        <v>0</v>
      </c>
      <c r="I54">
        <f>計算表!I54</f>
        <v>0</v>
      </c>
      <c r="J54">
        <f>計算表!J54</f>
        <v>0</v>
      </c>
      <c r="K54">
        <f>計算表!K54</f>
        <v>0</v>
      </c>
      <c r="L54">
        <f>計算表!L54</f>
        <v>0</v>
      </c>
      <c r="M54">
        <f>計算表!M54</f>
        <v>0</v>
      </c>
      <c r="N54">
        <f>計算表!N54</f>
        <v>0</v>
      </c>
      <c r="O54">
        <f>計算表!O54</f>
        <v>0</v>
      </c>
      <c r="P54">
        <f>計算表!P54</f>
        <v>0</v>
      </c>
      <c r="Q54">
        <f>計算表!Q54</f>
        <v>0</v>
      </c>
      <c r="R54">
        <f>計算表!R54</f>
        <v>0</v>
      </c>
    </row>
    <row r="55" spans="1:18" x14ac:dyDescent="0.25">
      <c r="A55">
        <f>計算表!A55</f>
        <v>54</v>
      </c>
      <c r="B55">
        <f>計算表!B55</f>
        <v>0</v>
      </c>
      <c r="C55" t="str">
        <f>計算表!C55</f>
        <v>2-屬性上限</v>
      </c>
      <c r="D55" t="str">
        <f>計算表!D55</f>
        <v>詞條上限率 上限</v>
      </c>
      <c r="E55" t="str">
        <f>計算表!E55</f>
        <v>上限 = a（0=無上限）</v>
      </c>
      <c r="F55" t="str">
        <f>計算表!F55</f>
        <v>a=詞條上限率上限（%）。影響裝備洗煉時更高數值的出現機率；0 代表無上限。</v>
      </c>
      <c r="G55">
        <f>計算表!G55</f>
        <v>0</v>
      </c>
      <c r="H55">
        <f>計算表!H55</f>
        <v>0</v>
      </c>
      <c r="I55">
        <f>計算表!I55</f>
        <v>0</v>
      </c>
      <c r="J55">
        <f>計算表!J55</f>
        <v>0</v>
      </c>
      <c r="K55">
        <f>計算表!K55</f>
        <v>0</v>
      </c>
      <c r="L55">
        <f>計算表!L55</f>
        <v>0</v>
      </c>
      <c r="M55">
        <f>計算表!M55</f>
        <v>0</v>
      </c>
      <c r="N55">
        <f>計算表!N55</f>
        <v>0</v>
      </c>
      <c r="O55">
        <f>計算表!O55</f>
        <v>0</v>
      </c>
      <c r="P55">
        <f>計算表!P55</f>
        <v>0</v>
      </c>
      <c r="Q55">
        <f>計算表!Q55</f>
        <v>0</v>
      </c>
      <c r="R55">
        <f>計算表!R55</f>
        <v>0</v>
      </c>
    </row>
    <row r="56" spans="1:18" x14ac:dyDescent="0.25">
      <c r="A56">
        <f>計算表!A56</f>
        <v>55</v>
      </c>
      <c r="B56">
        <f>計算表!B56</f>
        <v>0</v>
      </c>
      <c r="C56" t="str">
        <f>計算表!C56</f>
        <v>2-屬性上限</v>
      </c>
      <c r="D56" t="str">
        <f>計算表!D56</f>
        <v>被動-連擊 上限</v>
      </c>
      <c r="E56" t="str">
        <f>計算表!E56</f>
        <v>上限 = a</v>
      </c>
      <c r="F56" t="str">
        <f>計算表!F56</f>
        <v>a=連擊被動觸發率上限（%）。</v>
      </c>
      <c r="G56">
        <f>計算表!G56</f>
        <v>45</v>
      </c>
      <c r="H56">
        <f>計算表!H56</f>
        <v>0</v>
      </c>
      <c r="I56">
        <f>計算表!I56</f>
        <v>0</v>
      </c>
      <c r="J56">
        <f>計算表!J56</f>
        <v>0</v>
      </c>
      <c r="K56">
        <f>計算表!K56</f>
        <v>0</v>
      </c>
      <c r="L56">
        <f>計算表!L56</f>
        <v>0</v>
      </c>
      <c r="M56">
        <f>計算表!M56</f>
        <v>0</v>
      </c>
      <c r="N56">
        <f>計算表!N56</f>
        <v>0</v>
      </c>
      <c r="O56">
        <f>計算表!O56</f>
        <v>0</v>
      </c>
      <c r="P56">
        <f>計算表!P56</f>
        <v>0</v>
      </c>
      <c r="Q56">
        <f>計算表!Q56</f>
        <v>0</v>
      </c>
      <c r="R56">
        <f>計算表!R56</f>
        <v>0</v>
      </c>
    </row>
    <row r="57" spans="1:18" x14ac:dyDescent="0.25">
      <c r="A57">
        <f>計算表!A57</f>
        <v>56</v>
      </c>
      <c r="B57">
        <f>計算表!B57</f>
        <v>0</v>
      </c>
      <c r="C57" t="str">
        <f>計算表!C57</f>
        <v>2-屬性上限</v>
      </c>
      <c r="D57" t="str">
        <f>計算表!D57</f>
        <v>被動-暈眩 上限</v>
      </c>
      <c r="E57" t="str">
        <f>計算表!E57</f>
        <v>上限 = a</v>
      </c>
      <c r="F57" t="str">
        <f>計算表!F57</f>
        <v>a=暈眩被動觸發率上限（%）。</v>
      </c>
      <c r="G57">
        <f>計算表!G57</f>
        <v>30</v>
      </c>
      <c r="H57">
        <f>計算表!H57</f>
        <v>0</v>
      </c>
      <c r="I57">
        <f>計算表!I57</f>
        <v>0</v>
      </c>
      <c r="J57">
        <f>計算表!J57</f>
        <v>0</v>
      </c>
      <c r="K57">
        <f>計算表!K57</f>
        <v>0</v>
      </c>
      <c r="L57">
        <f>計算表!L57</f>
        <v>0</v>
      </c>
      <c r="M57">
        <f>計算表!M57</f>
        <v>0</v>
      </c>
      <c r="N57">
        <f>計算表!N57</f>
        <v>0</v>
      </c>
      <c r="O57">
        <f>計算表!O57</f>
        <v>0</v>
      </c>
      <c r="P57">
        <f>計算表!P57</f>
        <v>0</v>
      </c>
      <c r="Q57">
        <f>計算表!Q57</f>
        <v>0</v>
      </c>
      <c r="R57">
        <f>計算表!R57</f>
        <v>0</v>
      </c>
    </row>
    <row r="58" spans="1:18" x14ac:dyDescent="0.25">
      <c r="A58">
        <f>計算表!A58</f>
        <v>57</v>
      </c>
      <c r="B58">
        <f>計算表!B58</f>
        <v>0</v>
      </c>
      <c r="C58" t="str">
        <f>計算表!C58</f>
        <v>2-屬性派生</v>
      </c>
      <c r="D58" t="str">
        <f>計算表!D58</f>
        <v>生命上限</v>
      </c>
      <c r="E58" s="7" t="s">
        <v>1161</v>
      </c>
      <c r="F58" s="7" t="s">
        <v>1162</v>
      </c>
      <c r="G58">
        <f>計算表!G58</f>
        <v>500</v>
      </c>
      <c r="H58">
        <f>計算表!H58</f>
        <v>50</v>
      </c>
      <c r="I58">
        <f>計算表!I58</f>
        <v>10</v>
      </c>
      <c r="J58">
        <f>計算表!J58</f>
        <v>0</v>
      </c>
      <c r="K58">
        <f>計算表!K58</f>
        <v>0</v>
      </c>
      <c r="L58">
        <f>計算表!L58</f>
        <v>0</v>
      </c>
      <c r="M58">
        <f>計算表!M58</f>
        <v>0</v>
      </c>
      <c r="N58">
        <f>計算表!N58</f>
        <v>0</v>
      </c>
      <c r="O58">
        <f>計算表!O58</f>
        <v>0</v>
      </c>
      <c r="P58">
        <f>計算表!P58</f>
        <v>0</v>
      </c>
      <c r="Q58">
        <f>計算表!Q58</f>
        <v>0</v>
      </c>
      <c r="R58">
        <f>計算表!R58</f>
        <v>0</v>
      </c>
    </row>
    <row r="59" spans="1:18" x14ac:dyDescent="0.25">
      <c r="A59">
        <f>計算表!A59</f>
        <v>58</v>
      </c>
      <c r="B59">
        <f>計算表!B59</f>
        <v>0</v>
      </c>
      <c r="C59" t="str">
        <f>計算表!C59</f>
        <v>2-屬性派生</v>
      </c>
      <c r="D59" t="str">
        <f>計算表!D59</f>
        <v>法力上限</v>
      </c>
      <c r="E59" t="str">
        <f>計算表!E59</f>
        <v>(a+智力×b+法力定值)</v>
      </c>
      <c r="F59" t="str">
        <f>計算表!F59</f>
        <v>a=基礎 b=每點智力。再乘轉生倍率。</v>
      </c>
      <c r="G59">
        <f>計算表!G59</f>
        <v>100</v>
      </c>
      <c r="H59">
        <f>計算表!H59</f>
        <v>2</v>
      </c>
      <c r="I59">
        <f>計算表!I59</f>
        <v>0</v>
      </c>
      <c r="J59">
        <f>計算表!J59</f>
        <v>0</v>
      </c>
      <c r="K59">
        <f>計算表!K59</f>
        <v>0</v>
      </c>
      <c r="L59">
        <f>計算表!L59</f>
        <v>0</v>
      </c>
      <c r="M59">
        <f>計算表!M59</f>
        <v>0</v>
      </c>
      <c r="N59">
        <f>計算表!N59</f>
        <v>0</v>
      </c>
      <c r="O59">
        <f>計算表!O59</f>
        <v>0</v>
      </c>
      <c r="P59">
        <f>計算表!P59</f>
        <v>0</v>
      </c>
      <c r="Q59">
        <f>計算表!Q59</f>
        <v>0</v>
      </c>
      <c r="R59">
        <f>計算表!R59</f>
        <v>0</v>
      </c>
    </row>
    <row r="60" spans="1:18" x14ac:dyDescent="0.25">
      <c r="A60">
        <f>計算表!A60</f>
        <v>59</v>
      </c>
      <c r="B60">
        <f>計算表!B60</f>
        <v>0</v>
      </c>
      <c r="C60" t="str">
        <f>計算表!C60</f>
        <v>2-屬性派生</v>
      </c>
      <c r="D60" t="str">
        <f>計算表!D60</f>
        <v>法力恢復/秒</v>
      </c>
      <c r="E60" s="7" t="s">
        <v>1163</v>
      </c>
      <c r="F60" s="7" t="s">
        <v>1164</v>
      </c>
      <c r="G60">
        <f>計算表!G60</f>
        <v>1</v>
      </c>
      <c r="H60" s="7" t="s">
        <v>1165</v>
      </c>
      <c r="I60" s="7" t="s">
        <v>1166</v>
      </c>
      <c r="J60">
        <f>計算表!J60</f>
        <v>0</v>
      </c>
      <c r="K60">
        <f>計算表!K60</f>
        <v>0</v>
      </c>
      <c r="L60">
        <f>計算表!L60</f>
        <v>0</v>
      </c>
      <c r="M60">
        <f>計算表!M60</f>
        <v>0</v>
      </c>
      <c r="N60">
        <f>計算表!N60</f>
        <v>0</v>
      </c>
      <c r="O60">
        <f>計算表!O60</f>
        <v>0</v>
      </c>
      <c r="P60">
        <f>計算表!P60</f>
        <v>0</v>
      </c>
      <c r="Q60">
        <f>計算表!Q60</f>
        <v>0</v>
      </c>
      <c r="R60">
        <f>計算表!R60</f>
        <v>0</v>
      </c>
    </row>
    <row r="61" spans="1:18" x14ac:dyDescent="0.25">
      <c r="A61">
        <f>計算表!A61</f>
        <v>60</v>
      </c>
      <c r="B61">
        <f>計算表!B61</f>
        <v>0</v>
      </c>
      <c r="C61" t="str">
        <f>計算表!C61</f>
        <v>2-屬性派生</v>
      </c>
      <c r="D61" t="str">
        <f>計算表!D61</f>
        <v>物理攻擊</v>
      </c>
      <c r="E61" t="str">
        <f>計算表!E61</f>
        <v>(a+物攻定值+b×物攻定值*c^轉生次數+力量×d)×(1+物攻%)</v>
      </c>
      <c r="F61" t="str">
        <f>計算表!F61</f>
        <v>a=基礎 b=定值加成 c=轉生加成指數底 d=每點力量。</v>
      </c>
      <c r="G61">
        <f>計算表!G61</f>
        <v>20</v>
      </c>
      <c r="H61">
        <f>計算表!H61</f>
        <v>1.2</v>
      </c>
      <c r="I61">
        <f>計算表!I61</f>
        <v>2.5</v>
      </c>
      <c r="J61">
        <f>計算表!J61</f>
        <v>1</v>
      </c>
      <c r="K61">
        <f>計算表!K61</f>
        <v>0</v>
      </c>
      <c r="L61">
        <f>計算表!L61</f>
        <v>0</v>
      </c>
      <c r="M61">
        <f>計算表!M61</f>
        <v>0</v>
      </c>
      <c r="N61">
        <f>計算表!N61</f>
        <v>0</v>
      </c>
      <c r="O61">
        <f>計算表!O61</f>
        <v>0</v>
      </c>
      <c r="P61">
        <f>計算表!P61</f>
        <v>0</v>
      </c>
      <c r="Q61">
        <f>計算表!Q61</f>
        <v>0</v>
      </c>
      <c r="R61">
        <f>計算表!R61</f>
        <v>0</v>
      </c>
    </row>
    <row r="62" spans="1:18" x14ac:dyDescent="0.25">
      <c r="A62">
        <f>計算表!A62</f>
        <v>61</v>
      </c>
      <c r="B62">
        <f>計算表!B62</f>
        <v>0</v>
      </c>
      <c r="C62" t="str">
        <f>計算表!C62</f>
        <v>2-屬性派生</v>
      </c>
      <c r="D62" t="str">
        <f>計算表!D62</f>
        <v>魔法攻擊</v>
      </c>
      <c r="E62" t="str">
        <f>計算表!E62</f>
        <v>(a+魔攻定值+b×魔攻定值*c^轉生次數+智力×d)×(1+魔攻%)</v>
      </c>
      <c r="F62" t="str">
        <f>計算表!F62</f>
        <v>a=基礎 b=定值加成 c=轉生加成指數底 d=每點智力。</v>
      </c>
      <c r="G62">
        <f>計算表!G62</f>
        <v>16</v>
      </c>
      <c r="H62">
        <f>計算表!H62</f>
        <v>1.2</v>
      </c>
      <c r="I62">
        <f>計算表!I62</f>
        <v>2.5</v>
      </c>
      <c r="J62">
        <f>計算表!J62</f>
        <v>1</v>
      </c>
      <c r="K62">
        <f>計算表!K62</f>
        <v>0</v>
      </c>
      <c r="L62">
        <f>計算表!L62</f>
        <v>0</v>
      </c>
      <c r="M62">
        <f>計算表!M62</f>
        <v>0</v>
      </c>
      <c r="N62">
        <f>計算表!N62</f>
        <v>0</v>
      </c>
      <c r="O62">
        <f>計算表!O62</f>
        <v>0</v>
      </c>
      <c r="P62">
        <f>計算表!P62</f>
        <v>0</v>
      </c>
      <c r="Q62">
        <f>計算表!Q62</f>
        <v>0</v>
      </c>
      <c r="R62">
        <f>計算表!R62</f>
        <v>0</v>
      </c>
    </row>
    <row r="63" spans="1:18" x14ac:dyDescent="0.25">
      <c r="A63">
        <f>計算表!A63</f>
        <v>62</v>
      </c>
      <c r="B63">
        <f>計算表!B63</f>
        <v>0</v>
      </c>
      <c r="C63" t="str">
        <f>計算表!C63</f>
        <v>2-屬性派生</v>
      </c>
      <c r="D63" t="str">
        <f>計算表!D63</f>
        <v>物理防禦</v>
      </c>
      <c r="E63" s="7" t="s">
        <v>1167</v>
      </c>
      <c r="F63" s="7" t="s">
        <v>1168</v>
      </c>
      <c r="G63">
        <f>計算表!G63</f>
        <v>3</v>
      </c>
      <c r="H63">
        <f>計算表!H63</f>
        <v>0.75</v>
      </c>
      <c r="I63">
        <f>計算表!I63</f>
        <v>2.4</v>
      </c>
      <c r="J63" s="7" t="s">
        <v>1169</v>
      </c>
      <c r="K63" s="7" t="s">
        <v>1170</v>
      </c>
      <c r="L63">
        <f>計算表!L63</f>
        <v>0</v>
      </c>
      <c r="M63">
        <f>計算表!M63</f>
        <v>0</v>
      </c>
      <c r="N63">
        <f>計算表!N63</f>
        <v>0</v>
      </c>
      <c r="O63">
        <f>計算表!O63</f>
        <v>0</v>
      </c>
      <c r="P63">
        <f>計算表!P63</f>
        <v>0</v>
      </c>
      <c r="Q63">
        <f>計算表!Q63</f>
        <v>0</v>
      </c>
      <c r="R63">
        <f>計算表!R63</f>
        <v>0</v>
      </c>
    </row>
    <row r="64" spans="1:18" x14ac:dyDescent="0.25">
      <c r="A64">
        <f>計算表!A64</f>
        <v>63</v>
      </c>
      <c r="B64">
        <f>計算表!B64</f>
        <v>0</v>
      </c>
      <c r="C64" t="str">
        <f>計算表!C64</f>
        <v>2-屬性派生</v>
      </c>
      <c r="D64" t="str">
        <f>計算表!D64</f>
        <v>魔法防禦</v>
      </c>
      <c r="E64" s="7" t="s">
        <v>1171</v>
      </c>
      <c r="F64" s="7" t="s">
        <v>1172</v>
      </c>
      <c r="G64">
        <f>計算表!G64</f>
        <v>2</v>
      </c>
      <c r="H64">
        <f>計算表!H64</f>
        <v>0.75</v>
      </c>
      <c r="I64">
        <f>計算表!I64</f>
        <v>2.4</v>
      </c>
      <c r="J64" s="7" t="s">
        <v>1173</v>
      </c>
      <c r="K64" s="7" t="s">
        <v>1170</v>
      </c>
      <c r="L64">
        <f>計算表!L64</f>
        <v>0</v>
      </c>
      <c r="M64">
        <f>計算表!M64</f>
        <v>0</v>
      </c>
      <c r="N64">
        <f>計算表!N64</f>
        <v>0</v>
      </c>
      <c r="O64">
        <f>計算表!O64</f>
        <v>0</v>
      </c>
      <c r="P64">
        <f>計算表!P64</f>
        <v>0</v>
      </c>
      <c r="Q64">
        <f>計算表!Q64</f>
        <v>0</v>
      </c>
      <c r="R64">
        <f>計算表!R64</f>
        <v>0</v>
      </c>
    </row>
    <row r="65" spans="1:18" x14ac:dyDescent="0.25">
      <c r="A65">
        <f>計算表!A65</f>
        <v>64</v>
      </c>
      <c r="B65">
        <f>計算表!B65</f>
        <v>0</v>
      </c>
      <c r="C65" t="str">
        <f>計算表!C65</f>
        <v>2-屬性派生</v>
      </c>
      <c r="D65" t="str">
        <f>計算表!D65</f>
        <v>暴擊率</v>
      </c>
      <c r="E65" t="str">
        <f>計算表!E65</f>
        <v>a+敏捷×b+加成</v>
      </c>
      <c r="F65" t="str">
        <f>計算表!F65</f>
        <v>a=基礎% b=每點敏捷。上限 100%。</v>
      </c>
      <c r="G65">
        <f>計算表!G65</f>
        <v>5</v>
      </c>
      <c r="H65" s="7" t="s">
        <v>1174</v>
      </c>
      <c r="I65">
        <f>計算表!I65</f>
        <v>0</v>
      </c>
      <c r="J65">
        <f>計算表!J65</f>
        <v>0</v>
      </c>
      <c r="K65">
        <f>計算表!K65</f>
        <v>0</v>
      </c>
      <c r="L65">
        <f>計算表!L65</f>
        <v>0</v>
      </c>
      <c r="M65">
        <f>計算表!M65</f>
        <v>0</v>
      </c>
      <c r="N65">
        <f>計算表!N65</f>
        <v>0</v>
      </c>
      <c r="O65">
        <f>計算表!O65</f>
        <v>0</v>
      </c>
      <c r="P65">
        <f>計算表!P65</f>
        <v>0</v>
      </c>
      <c r="Q65">
        <f>計算表!Q65</f>
        <v>0</v>
      </c>
      <c r="R65">
        <f>計算表!R65</f>
        <v>0</v>
      </c>
    </row>
    <row r="66" spans="1:18" x14ac:dyDescent="0.25">
      <c r="A66">
        <f>計算表!A66</f>
        <v>65</v>
      </c>
      <c r="B66">
        <f>計算表!B66</f>
        <v>0</v>
      </c>
      <c r="C66" t="str">
        <f>計算表!C66</f>
        <v>2-屬性派生</v>
      </c>
      <c r="D66" t="str">
        <f>計算表!D66</f>
        <v>連擊數</v>
      </c>
      <c r="E66" s="7" t="s">
        <v>1187</v>
      </c>
      <c r="F66" s="7" t="s">
        <v>1188</v>
      </c>
      <c r="G66" s="7" t="s">
        <v>1183</v>
      </c>
      <c r="H66" s="7" t="s">
        <v>1184</v>
      </c>
      <c r="I66" s="7" t="s">
        <v>1185</v>
      </c>
      <c r="J66" s="7" t="s">
        <v>1186</v>
      </c>
      <c r="K66">
        <f>計算表!K66</f>
        <v>0</v>
      </c>
      <c r="L66">
        <f>計算表!L66</f>
        <v>0</v>
      </c>
      <c r="M66">
        <f>計算表!M66</f>
        <v>0</v>
      </c>
      <c r="N66">
        <f>計算表!N66</f>
        <v>0</v>
      </c>
      <c r="O66">
        <f>計算表!O66</f>
        <v>0</v>
      </c>
      <c r="P66">
        <f>計算表!P66</f>
        <v>0</v>
      </c>
      <c r="Q66">
        <f>計算表!Q66</f>
        <v>0</v>
      </c>
      <c r="R66">
        <f>計算表!R66</f>
        <v>0</v>
      </c>
    </row>
    <row r="67" spans="1:18" x14ac:dyDescent="0.25">
      <c r="A67">
        <f>計算表!A67</f>
        <v>66</v>
      </c>
      <c r="B67">
        <f>計算表!B67</f>
        <v>0</v>
      </c>
      <c r="C67" t="str">
        <f>計算表!C67</f>
        <v>2-屬性派生</v>
      </c>
      <c r="D67" t="str">
        <f>計算表!D67</f>
        <v>暴擊傷害</v>
      </c>
      <c r="E67" s="7" t="s">
        <v>126</v>
      </c>
      <c r="F67" s="7" t="s">
        <v>1175</v>
      </c>
      <c r="G67">
        <f>計算表!G67</f>
        <v>150</v>
      </c>
      <c r="H67" s="7" t="s">
        <v>1170</v>
      </c>
      <c r="I67">
        <f>計算表!I67</f>
        <v>0</v>
      </c>
      <c r="J67">
        <f>計算表!J67</f>
        <v>0</v>
      </c>
      <c r="K67">
        <f>計算表!K67</f>
        <v>0</v>
      </c>
      <c r="L67">
        <f>計算表!L67</f>
        <v>0</v>
      </c>
      <c r="M67">
        <f>計算表!M67</f>
        <v>0</v>
      </c>
      <c r="N67">
        <f>計算表!N67</f>
        <v>0</v>
      </c>
      <c r="O67">
        <f>計算表!O67</f>
        <v>0</v>
      </c>
      <c r="P67">
        <f>計算表!P67</f>
        <v>0</v>
      </c>
      <c r="Q67">
        <f>計算表!Q67</f>
        <v>0</v>
      </c>
      <c r="R67">
        <f>計算表!R67</f>
        <v>0</v>
      </c>
    </row>
    <row r="68" spans="1:18" x14ac:dyDescent="0.25">
      <c r="A68">
        <f>計算表!A68</f>
        <v>67</v>
      </c>
      <c r="B68">
        <f>計算表!B68</f>
        <v>0</v>
      </c>
      <c r="C68" t="str">
        <f>計算表!C68</f>
        <v>2-屬性派生</v>
      </c>
      <c r="D68" t="str">
        <f>計算表!D68</f>
        <v>攻擊速度</v>
      </c>
      <c r="E68" t="str">
        <f>計算表!E68</f>
        <v>攻速遞減計算：實際攻速 = 1 + a * (攻速總加成) - b * (攻速總加成)^c</v>
      </c>
      <c r="F68" t="str">
        <f>計算表!F68</f>
        <v>a,b = 系數 c=乘方值</v>
      </c>
      <c r="G68">
        <f>計算表!G68</f>
        <v>0.86</v>
      </c>
      <c r="H68" s="7" t="s">
        <v>1173</v>
      </c>
      <c r="I68">
        <f>計算表!I68</f>
        <v>1.4</v>
      </c>
      <c r="J68">
        <f>計算表!J68</f>
        <v>0</v>
      </c>
      <c r="K68">
        <f>計算表!K68</f>
        <v>0</v>
      </c>
      <c r="L68">
        <f>計算表!L68</f>
        <v>0</v>
      </c>
      <c r="M68">
        <f>計算表!M68</f>
        <v>0</v>
      </c>
      <c r="N68">
        <f>計算表!N68</f>
        <v>0</v>
      </c>
      <c r="O68">
        <f>計算表!O68</f>
        <v>0</v>
      </c>
      <c r="P68">
        <f>計算表!P68</f>
        <v>0</v>
      </c>
      <c r="Q68">
        <f>計算表!Q68</f>
        <v>0</v>
      </c>
      <c r="R68">
        <f>計算表!R68</f>
        <v>0</v>
      </c>
    </row>
    <row r="69" spans="1:18" x14ac:dyDescent="0.25">
      <c r="A69">
        <f>計算表!A69</f>
        <v>68</v>
      </c>
      <c r="B69">
        <f>計算表!B69</f>
        <v>0</v>
      </c>
      <c r="C69" t="str">
        <f>計算表!C69</f>
        <v>2-屬性派生</v>
      </c>
      <c r="D69" t="str">
        <f>計算表!D69</f>
        <v>命中率</v>
      </c>
      <c r="E69" t="str">
        <f>計算表!E69</f>
        <v>敏捷×a+加成</v>
      </c>
      <c r="F69" t="str">
        <f>計算表!F69</f>
        <v>a=每點敏捷%（減去敵方閃避後最低 5%）。</v>
      </c>
      <c r="G69" s="7" t="s">
        <v>1166</v>
      </c>
      <c r="H69">
        <f>計算表!H69</f>
        <v>0</v>
      </c>
      <c r="I69">
        <f>計算表!I69</f>
        <v>0</v>
      </c>
      <c r="J69">
        <f>計算表!J69</f>
        <v>0</v>
      </c>
      <c r="K69">
        <f>計算表!K69</f>
        <v>0</v>
      </c>
      <c r="L69">
        <f>計算表!L69</f>
        <v>0</v>
      </c>
      <c r="M69">
        <f>計算表!M69</f>
        <v>0</v>
      </c>
      <c r="N69">
        <f>計算表!N69</f>
        <v>0</v>
      </c>
      <c r="O69">
        <f>計算表!O69</f>
        <v>0</v>
      </c>
      <c r="P69">
        <f>計算表!P69</f>
        <v>0</v>
      </c>
      <c r="Q69">
        <f>計算表!Q69</f>
        <v>0</v>
      </c>
      <c r="R69">
        <f>計算表!R69</f>
        <v>0</v>
      </c>
    </row>
    <row r="70" spans="1:18" x14ac:dyDescent="0.25">
      <c r="A70">
        <f>計算表!A70</f>
        <v>69</v>
      </c>
      <c r="B70">
        <f>計算表!B70</f>
        <v>0</v>
      </c>
      <c r="C70" t="str">
        <f>計算表!C70</f>
        <v>2-屬性派生</v>
      </c>
      <c r="D70" t="str">
        <f>計算表!D70</f>
        <v>閃避率</v>
      </c>
      <c r="E70" t="str">
        <f>計算表!E70</f>
        <v>敏捷×a+加成</v>
      </c>
      <c r="F70" t="str">
        <f>計算表!F70</f>
        <v>a=每點敏捷%。</v>
      </c>
      <c r="G70" s="7" t="s">
        <v>1176</v>
      </c>
      <c r="H70">
        <f>計算表!H70</f>
        <v>0</v>
      </c>
      <c r="I70">
        <f>計算表!I70</f>
        <v>0</v>
      </c>
      <c r="J70">
        <f>計算表!J70</f>
        <v>0</v>
      </c>
      <c r="K70">
        <f>計算表!K70</f>
        <v>0</v>
      </c>
      <c r="L70">
        <f>計算表!L70</f>
        <v>0</v>
      </c>
      <c r="M70">
        <f>計算表!M70</f>
        <v>0</v>
      </c>
      <c r="N70">
        <f>計算表!N70</f>
        <v>0</v>
      </c>
      <c r="O70">
        <f>計算表!O70</f>
        <v>0</v>
      </c>
      <c r="P70">
        <f>計算表!P70</f>
        <v>0</v>
      </c>
      <c r="Q70">
        <f>計算表!Q70</f>
        <v>0</v>
      </c>
      <c r="R70">
        <f>計算表!R70</f>
        <v>0</v>
      </c>
    </row>
    <row r="71" spans="1:18" x14ac:dyDescent="0.25">
      <c r="A71">
        <f>計算表!A71</f>
        <v>70</v>
      </c>
      <c r="B71">
        <f>計算表!B71</f>
        <v>0</v>
      </c>
      <c r="C71" t="str">
        <f>計算表!C71</f>
        <v>2-屬性派生</v>
      </c>
      <c r="D71" s="7" t="s">
        <v>1177</v>
      </c>
      <c r="E71" s="7" t="s">
        <v>1178</v>
      </c>
      <c r="F71" s="7" t="s">
        <v>1179</v>
      </c>
      <c r="G71" s="7" t="s">
        <v>1180</v>
      </c>
      <c r="H71" s="7" t="s">
        <v>1181</v>
      </c>
      <c r="I71">
        <f>計算表!I71</f>
        <v>0</v>
      </c>
      <c r="J71">
        <f>計算表!J71</f>
        <v>0</v>
      </c>
      <c r="K71">
        <f>計算表!K71</f>
        <v>0</v>
      </c>
      <c r="L71">
        <f>計算表!L71</f>
        <v>0</v>
      </c>
      <c r="M71">
        <f>計算表!M71</f>
        <v>0</v>
      </c>
      <c r="N71">
        <f>計算表!N71</f>
        <v>0</v>
      </c>
      <c r="O71">
        <f>計算表!O71</f>
        <v>0</v>
      </c>
      <c r="P71">
        <f>計算表!P71</f>
        <v>0</v>
      </c>
      <c r="Q71">
        <f>計算表!Q71</f>
        <v>0</v>
      </c>
      <c r="R71">
        <f>計算表!R71</f>
        <v>0</v>
      </c>
    </row>
    <row r="72" spans="1:18" x14ac:dyDescent="0.25">
      <c r="A72">
        <f>計算表!A72</f>
        <v>71</v>
      </c>
      <c r="B72">
        <f>計算表!B72</f>
        <v>0</v>
      </c>
      <c r="C72" t="str">
        <f>計算表!C72</f>
        <v>2-屬性派生</v>
      </c>
      <c r="D72" t="str">
        <f>計算表!D72</f>
        <v>野外基礎生命恢復</v>
      </c>
      <c r="E72" t="str">
        <f>計算表!E72</f>
        <v>(a + 加成)/秒</v>
      </c>
      <c r="F72" t="str">
        <f>計算表!F72</f>
        <v>a=基礎生命回復定值。</v>
      </c>
      <c r="G72">
        <f>計算表!G72</f>
        <v>5</v>
      </c>
      <c r="H72">
        <f>計算表!H72</f>
        <v>0</v>
      </c>
      <c r="I72">
        <f>計算表!I72</f>
        <v>0</v>
      </c>
      <c r="J72">
        <f>計算表!J72</f>
        <v>0</v>
      </c>
      <c r="K72">
        <f>計算表!K72</f>
        <v>0</v>
      </c>
      <c r="L72">
        <f>計算表!L72</f>
        <v>0</v>
      </c>
      <c r="M72">
        <f>計算表!M72</f>
        <v>0</v>
      </c>
      <c r="N72">
        <f>計算表!N72</f>
        <v>0</v>
      </c>
      <c r="O72">
        <f>計算表!O72</f>
        <v>0</v>
      </c>
      <c r="P72">
        <f>計算表!P72</f>
        <v>0</v>
      </c>
      <c r="Q72">
        <f>計算表!Q72</f>
        <v>0</v>
      </c>
      <c r="R72">
        <f>計算表!R72</f>
        <v>0</v>
      </c>
    </row>
    <row r="73" spans="1:18" x14ac:dyDescent="0.25">
      <c r="A73">
        <f>計算表!A73</f>
        <v>72</v>
      </c>
      <c r="B73">
        <f>計算表!B73</f>
        <v>0</v>
      </c>
      <c r="C73" t="str">
        <f>計算表!C73</f>
        <v>2-屬性派生</v>
      </c>
      <c r="D73" t="str">
        <f>計算表!D73</f>
        <v>全局減傷</v>
      </c>
      <c r="E73" t="str">
        <f>計算表!E73</f>
        <v>min(a%, 總合/(總合+b))</v>
      </c>
      <c r="F73" t="str">
        <f>計算表!F73</f>
        <v>a=減傷上限% b=分母常數。無此詞綴時倍率為 1。</v>
      </c>
      <c r="G73">
        <f>計算表!G73</f>
        <v>100</v>
      </c>
      <c r="H73">
        <f>計算表!H73</f>
        <v>2500</v>
      </c>
      <c r="I73">
        <f>計算表!I73</f>
        <v>0</v>
      </c>
      <c r="J73">
        <f>計算表!J73</f>
        <v>0</v>
      </c>
      <c r="K73">
        <f>計算表!K73</f>
        <v>0</v>
      </c>
      <c r="L73">
        <f>計算表!L73</f>
        <v>0</v>
      </c>
      <c r="M73">
        <f>計算表!M73</f>
        <v>0</v>
      </c>
      <c r="N73">
        <f>計算表!N73</f>
        <v>0</v>
      </c>
      <c r="O73">
        <f>計算表!O73</f>
        <v>0</v>
      </c>
      <c r="P73">
        <f>計算表!P73</f>
        <v>0</v>
      </c>
      <c r="Q73">
        <f>計算表!Q73</f>
        <v>0</v>
      </c>
      <c r="R73">
        <f>計算表!R73</f>
        <v>0</v>
      </c>
    </row>
    <row r="74" spans="1:18" x14ac:dyDescent="0.25">
      <c r="A74">
        <f>計算表!A74</f>
        <v>73</v>
      </c>
      <c r="B74">
        <f>計算表!B74</f>
        <v>0</v>
      </c>
      <c r="C74" t="str">
        <f>計算表!C74</f>
        <v>3-元素特效</v>
      </c>
      <c r="D74" t="str">
        <f>計算表!D74</f>
        <v>冰霜 特效</v>
      </c>
      <c r="E74" t="str">
        <f>計算表!E74</f>
        <v>每次命中 a% 機率觸發</v>
      </c>
      <c r="F74" t="str">
        <f>計算表!F74</f>
        <v>敵人減速 2 秒（受控制時間縮減影響、可被控制抵抗擋下）</v>
      </c>
      <c r="G74">
        <f>計算表!G74</f>
        <v>15</v>
      </c>
      <c r="H74">
        <f>計算表!H74</f>
        <v>0</v>
      </c>
      <c r="I74">
        <f>計算表!I74</f>
        <v>0</v>
      </c>
      <c r="J74">
        <f>計算表!J74</f>
        <v>0</v>
      </c>
      <c r="K74">
        <f>計算表!K74</f>
        <v>0</v>
      </c>
      <c r="L74">
        <f>計算表!L74</f>
        <v>0</v>
      </c>
      <c r="M74">
        <f>計算表!M74</f>
        <v>0</v>
      </c>
      <c r="N74">
        <f>計算表!N74</f>
        <v>0</v>
      </c>
      <c r="O74">
        <f>計算表!O74</f>
        <v>0</v>
      </c>
      <c r="P74">
        <f>計算表!P74</f>
        <v>0</v>
      </c>
      <c r="Q74">
        <f>計算表!Q74</f>
        <v>0</v>
      </c>
      <c r="R74">
        <f>計算表!R74</f>
        <v>0</v>
      </c>
    </row>
    <row r="75" spans="1:18" x14ac:dyDescent="0.25">
      <c r="A75">
        <f>計算表!A75</f>
        <v>74</v>
      </c>
      <c r="B75">
        <f>計算表!B75</f>
        <v>0</v>
      </c>
      <c r="C75" t="str">
        <f>計算表!C75</f>
        <v>3-元素特效</v>
      </c>
      <c r="D75" t="str">
        <f>計算表!D75</f>
        <v>雷電 特效</v>
      </c>
      <c r="E75" t="str">
        <f>計算表!E75</f>
        <v>每次命中 a% 機率觸發</v>
      </c>
      <c r="F75" t="str">
        <f>計算表!F75</f>
        <v>追加該次元素傷害 80% 的連鎖電擊</v>
      </c>
      <c r="G75">
        <f>計算表!G75</f>
        <v>10</v>
      </c>
      <c r="H75">
        <f>計算表!H75</f>
        <v>0</v>
      </c>
      <c r="I75">
        <f>計算表!I75</f>
        <v>0</v>
      </c>
      <c r="J75">
        <f>計算表!J75</f>
        <v>0</v>
      </c>
      <c r="K75">
        <f>計算表!K75</f>
        <v>0</v>
      </c>
      <c r="L75">
        <f>計算表!L75</f>
        <v>0</v>
      </c>
      <c r="M75">
        <f>計算表!M75</f>
        <v>0</v>
      </c>
      <c r="N75">
        <f>計算表!N75</f>
        <v>0</v>
      </c>
      <c r="O75">
        <f>計算表!O75</f>
        <v>0</v>
      </c>
      <c r="P75">
        <f>計算表!P75</f>
        <v>0</v>
      </c>
      <c r="Q75">
        <f>計算表!Q75</f>
        <v>0</v>
      </c>
      <c r="R75">
        <f>計算表!R75</f>
        <v>0</v>
      </c>
    </row>
    <row r="76" spans="1:18" x14ac:dyDescent="0.25">
      <c r="A76">
        <f>計算表!A76</f>
        <v>75</v>
      </c>
      <c r="B76">
        <f>計算表!B76</f>
        <v>0</v>
      </c>
      <c r="C76" t="str">
        <f>計算表!C76</f>
        <v>3-元素特效</v>
      </c>
      <c r="D76" t="str">
        <f>計算表!D76</f>
        <v>劇毒 特效</v>
      </c>
      <c r="E76" t="str">
        <f>計算表!E76</f>
        <v>每次命中 a% 機率觸發</v>
      </c>
      <c r="F76" t="str">
        <f>計算表!F76</f>
        <v>中毒：每秒受元素傷害 50% 的跳傷，持續 4 秒（無視防禦）</v>
      </c>
      <c r="G76">
        <f>計算表!G76</f>
        <v>25</v>
      </c>
      <c r="H76">
        <f>計算表!H76</f>
        <v>0</v>
      </c>
      <c r="I76">
        <f>計算表!I76</f>
        <v>0</v>
      </c>
      <c r="J76">
        <f>計算表!J76</f>
        <v>0</v>
      </c>
      <c r="K76">
        <f>計算表!K76</f>
        <v>0</v>
      </c>
      <c r="L76">
        <f>計算表!L76</f>
        <v>0</v>
      </c>
      <c r="M76">
        <f>計算表!M76</f>
        <v>0</v>
      </c>
      <c r="N76">
        <f>計算表!N76</f>
        <v>0</v>
      </c>
      <c r="O76">
        <f>計算表!O76</f>
        <v>0</v>
      </c>
      <c r="P76">
        <f>計算表!P76</f>
        <v>0</v>
      </c>
      <c r="Q76">
        <f>計算表!Q76</f>
        <v>0</v>
      </c>
      <c r="R76">
        <f>計算表!R76</f>
        <v>0</v>
      </c>
    </row>
    <row r="77" spans="1:18" x14ac:dyDescent="0.25">
      <c r="A77">
        <f>計算表!A77</f>
        <v>76</v>
      </c>
      <c r="B77">
        <f>計算表!B77</f>
        <v>0</v>
      </c>
      <c r="C77" t="str">
        <f>計算表!C77</f>
        <v>3-元素特效</v>
      </c>
      <c r="D77" t="str">
        <f>計算表!D77</f>
        <v>聖光 特效</v>
      </c>
      <c r="E77" t="str">
        <f>計算表!E77</f>
        <v>每次命中 a% 機率觸發</v>
      </c>
      <c r="F77" t="str">
        <f>計算表!F77</f>
        <v>淨化攻擊者自身全部負面狀態</v>
      </c>
      <c r="G77">
        <f>計算表!G77</f>
        <v>20</v>
      </c>
      <c r="H77">
        <f>計算表!H77</f>
        <v>0</v>
      </c>
      <c r="I77">
        <f>計算表!I77</f>
        <v>0</v>
      </c>
      <c r="J77">
        <f>計算表!J77</f>
        <v>0</v>
      </c>
      <c r="K77">
        <f>計算表!K77</f>
        <v>0</v>
      </c>
      <c r="L77">
        <f>計算表!L77</f>
        <v>0</v>
      </c>
      <c r="M77">
        <f>計算表!M77</f>
        <v>0</v>
      </c>
      <c r="N77">
        <f>計算表!N77</f>
        <v>0</v>
      </c>
      <c r="O77">
        <f>計算表!O77</f>
        <v>0</v>
      </c>
      <c r="P77">
        <f>計算表!P77</f>
        <v>0</v>
      </c>
      <c r="Q77">
        <f>計算表!Q77</f>
        <v>0</v>
      </c>
      <c r="R77">
        <f>計算表!R77</f>
        <v>0</v>
      </c>
    </row>
    <row r="78" spans="1:18" x14ac:dyDescent="0.25">
      <c r="A78">
        <f>計算表!A78</f>
        <v>77</v>
      </c>
      <c r="B78">
        <f>計算表!B78</f>
        <v>0</v>
      </c>
      <c r="C78" t="str">
        <f>計算表!C78</f>
        <v>3-元素特效</v>
      </c>
      <c r="D78" t="str">
        <f>計算表!D78</f>
        <v>暗影 特效</v>
      </c>
      <c r="E78" t="str">
        <f>計算表!E78</f>
        <v>每次命中 a% 機率觸發</v>
      </c>
      <c r="F78" t="str">
        <f>計算表!F78</f>
        <v>汲取元素傷害的 25% 回復生命　※寫死：100%觸發、汲取元素傷害25%回復生命，無獨立可調參數。</v>
      </c>
      <c r="G78">
        <f>計算表!G78</f>
        <v>100</v>
      </c>
      <c r="H78">
        <f>計算表!H78</f>
        <v>0</v>
      </c>
      <c r="I78">
        <f>計算表!I78</f>
        <v>0</v>
      </c>
      <c r="J78">
        <f>計算表!J78</f>
        <v>0</v>
      </c>
      <c r="K78">
        <f>計算表!K78</f>
        <v>0</v>
      </c>
      <c r="L78">
        <f>計算表!L78</f>
        <v>0</v>
      </c>
      <c r="M78">
        <f>計算表!M78</f>
        <v>0</v>
      </c>
      <c r="N78">
        <f>計算表!N78</f>
        <v>0</v>
      </c>
      <c r="O78">
        <f>計算表!O78</f>
        <v>0</v>
      </c>
      <c r="P78">
        <f>計算表!P78</f>
        <v>0</v>
      </c>
      <c r="Q78">
        <f>計算表!Q78</f>
        <v>0</v>
      </c>
      <c r="R78">
        <f>計算表!R78</f>
        <v>0</v>
      </c>
    </row>
    <row r="79" spans="1:18" x14ac:dyDescent="0.25">
      <c r="A79">
        <f>計算表!A79</f>
        <v>78</v>
      </c>
      <c r="B79">
        <f>計算表!B79</f>
        <v>0</v>
      </c>
      <c r="C79" t="str">
        <f>計算表!C79</f>
        <v>3-戰鬥核心</v>
      </c>
      <c r="D79" t="str">
        <f>計算表!D79</f>
        <v>防禦減傷率</v>
      </c>
      <c r="E79" t="str">
        <f>計算表!E79</f>
        <v>防禦/(防禦+a+b×攻擊者等級)</v>
      </c>
      <c r="F79" t="str">
        <f>計算表!F79</f>
        <v>a=常數 b=每級係數。有效防禦≤0 時視為 0% 減傷。</v>
      </c>
      <c r="G79">
        <f>計算表!G79</f>
        <v>10000</v>
      </c>
      <c r="H79">
        <f>計算表!H79</f>
        <v>100</v>
      </c>
      <c r="I79">
        <f>計算表!I79</f>
        <v>0</v>
      </c>
      <c r="J79">
        <f>計算表!J79</f>
        <v>0</v>
      </c>
      <c r="K79">
        <f>計算表!K79</f>
        <v>0</v>
      </c>
      <c r="L79">
        <f>計算表!L79</f>
        <v>0</v>
      </c>
      <c r="M79">
        <f>計算表!M79</f>
        <v>0</v>
      </c>
      <c r="N79">
        <f>計算表!N79</f>
        <v>0</v>
      </c>
      <c r="O79">
        <f>計算表!O79</f>
        <v>0</v>
      </c>
      <c r="P79">
        <f>計算表!P79</f>
        <v>0</v>
      </c>
      <c r="Q79">
        <f>計算表!Q79</f>
        <v>0</v>
      </c>
      <c r="R79">
        <f>計算表!R79</f>
        <v>0</v>
      </c>
    </row>
    <row r="80" spans="1:18" x14ac:dyDescent="0.25">
      <c r="A80">
        <f>計算表!A80</f>
        <v>79</v>
      </c>
      <c r="B80">
        <f>計算表!B80</f>
        <v>0</v>
      </c>
      <c r="C80" t="str">
        <f>計算表!C80</f>
        <v>3-戰鬥核心</v>
      </c>
      <c r="D80" t="str">
        <f>計算表!D80</f>
        <v>敵種傷害抗性</v>
      </c>
      <c r="E80" t="str">
        <f>計算表!E80</f>
        <v>1 -  a / (1+( 抗性值 / b)^c)</v>
      </c>
      <c r="F80" t="str">
        <f>計算表!F80</f>
        <v>a=常數 b=每級係數。普通敵人/菁英/BOSS傷害抗性三屬性共用曲線；依攻擊者敵種選用對應抗性總合，於全局減傷之後、最低傷害之前的最末端套用；抗性值≤0 時不減傷。詞條放出量見「表-詞條池」。</v>
      </c>
      <c r="G80">
        <f>計算表!G80</f>
        <v>0.95</v>
      </c>
      <c r="H80">
        <f>計算表!H80</f>
        <v>4000</v>
      </c>
      <c r="I80">
        <f>計算表!I80</f>
        <v>1.4</v>
      </c>
      <c r="J80">
        <f>計算表!J80</f>
        <v>0</v>
      </c>
      <c r="K80">
        <f>計算表!K80</f>
        <v>0</v>
      </c>
      <c r="L80">
        <f>計算表!L80</f>
        <v>0</v>
      </c>
      <c r="M80">
        <f>計算表!M80</f>
        <v>0</v>
      </c>
      <c r="N80">
        <f>計算表!N80</f>
        <v>0</v>
      </c>
      <c r="O80">
        <f>計算表!O80</f>
        <v>0</v>
      </c>
      <c r="P80">
        <f>計算表!P80</f>
        <v>0</v>
      </c>
      <c r="Q80">
        <f>計算表!Q80</f>
        <v>0</v>
      </c>
      <c r="R80">
        <f>計算表!R80</f>
        <v>0</v>
      </c>
    </row>
    <row r="81" spans="1:18" x14ac:dyDescent="0.25">
      <c r="A81">
        <f>計算表!A81</f>
        <v>80</v>
      </c>
      <c r="B81">
        <f>計算表!B81</f>
        <v>0</v>
      </c>
      <c r="C81" t="str">
        <f>計算表!C81</f>
        <v>3-戰鬥核心</v>
      </c>
      <c r="D81" t="str">
        <f>計算表!D81</f>
        <v>物理抗性減傷</v>
      </c>
      <c r="E81" t="str">
        <f>計算表!E81</f>
        <v>1 -  a / (1+( 抗性值 / b)^c)</v>
      </c>
      <c r="F81" t="str">
        <f>計算表!F81</f>
        <v>a=抗性次方 b=分母常數 c=敵人等級係數。抗性≤0 時不減傷。</v>
      </c>
      <c r="G81">
        <f>計算表!G81</f>
        <v>0.95</v>
      </c>
      <c r="H81">
        <f>計算表!H81</f>
        <v>18</v>
      </c>
      <c r="I81">
        <f>計算表!I81</f>
        <v>1.4</v>
      </c>
      <c r="J81">
        <f>計算表!J81</f>
        <v>0</v>
      </c>
      <c r="K81">
        <f>計算表!K81</f>
        <v>0</v>
      </c>
      <c r="L81">
        <f>計算表!L81</f>
        <v>0</v>
      </c>
      <c r="M81">
        <f>計算表!M81</f>
        <v>0</v>
      </c>
      <c r="N81">
        <f>計算表!N81</f>
        <v>0</v>
      </c>
      <c r="O81">
        <f>計算表!O81</f>
        <v>0</v>
      </c>
      <c r="P81">
        <f>計算表!P81</f>
        <v>0</v>
      </c>
      <c r="Q81">
        <f>計算表!Q81</f>
        <v>0</v>
      </c>
      <c r="R81">
        <f>計算表!R81</f>
        <v>0</v>
      </c>
    </row>
    <row r="82" spans="1:18" x14ac:dyDescent="0.25">
      <c r="A82">
        <f>計算表!A82</f>
        <v>81</v>
      </c>
      <c r="B82">
        <f>計算表!B82</f>
        <v>0</v>
      </c>
      <c r="C82" t="str">
        <f>計算表!C82</f>
        <v>3-戰鬥核心</v>
      </c>
      <c r="D82" t="str">
        <f>計算表!D82</f>
        <v>魔法抗性減傷</v>
      </c>
      <c r="E82" t="str">
        <f>計算表!E82</f>
        <v>1 -  a / (1+( 抗性值 / b)^c)</v>
      </c>
      <c r="F82" t="str">
        <f>計算表!F82</f>
        <v>a=抗性次方 b=分母常數 c=敵人等級係數。抗性≤0 時不減傷。</v>
      </c>
      <c r="G82">
        <f>計算表!G82</f>
        <v>0.95</v>
      </c>
      <c r="H82">
        <f>計算表!H82</f>
        <v>18</v>
      </c>
      <c r="I82">
        <f>計算表!I82</f>
        <v>1.4</v>
      </c>
      <c r="J82">
        <f>計算表!J82</f>
        <v>0</v>
      </c>
      <c r="K82">
        <f>計算表!K82</f>
        <v>0</v>
      </c>
      <c r="L82">
        <f>計算表!L82</f>
        <v>0</v>
      </c>
      <c r="M82">
        <f>計算表!M82</f>
        <v>0</v>
      </c>
      <c r="N82">
        <f>計算表!N82</f>
        <v>0</v>
      </c>
      <c r="O82">
        <f>計算表!O82</f>
        <v>0</v>
      </c>
      <c r="P82">
        <f>計算表!P82</f>
        <v>0</v>
      </c>
      <c r="Q82">
        <f>計算表!Q82</f>
        <v>0</v>
      </c>
      <c r="R82">
        <f>計算表!R82</f>
        <v>0</v>
      </c>
    </row>
    <row r="83" spans="1:18" x14ac:dyDescent="0.25">
      <c r="A83">
        <f>計算表!A83</f>
        <v>82</v>
      </c>
      <c r="B83">
        <f>計算表!B83</f>
        <v>0</v>
      </c>
      <c r="C83" t="str">
        <f>計算表!C83</f>
        <v>3-戰鬥核心</v>
      </c>
      <c r="D83" t="str">
        <f>計算表!D83</f>
        <v>六系元素抗性減傷</v>
      </c>
      <c r="E83" t="str">
        <f>計算表!E83</f>
        <v>1 -  a / (1+( 抗性值 / b)^c)</v>
      </c>
      <c r="F83" t="str">
        <f>計算表!F83</f>
        <v>a=抗性次方 b=分母常數 c=敵人等級係數。六系元素共用此曲線；抗性≤0 時不減傷。</v>
      </c>
      <c r="G83">
        <f>計算表!G83</f>
        <v>0.95</v>
      </c>
      <c r="H83">
        <f>計算表!H83</f>
        <v>18</v>
      </c>
      <c r="I83">
        <f>計算表!I83</f>
        <v>1.4</v>
      </c>
      <c r="J83">
        <f>計算表!J83</f>
        <v>0</v>
      </c>
      <c r="K83">
        <f>計算表!K83</f>
        <v>0</v>
      </c>
      <c r="L83">
        <f>計算表!L83</f>
        <v>0</v>
      </c>
      <c r="M83">
        <f>計算表!M83</f>
        <v>0</v>
      </c>
      <c r="N83">
        <f>計算表!N83</f>
        <v>0</v>
      </c>
      <c r="O83">
        <f>計算表!O83</f>
        <v>0</v>
      </c>
      <c r="P83">
        <f>計算表!P83</f>
        <v>0</v>
      </c>
      <c r="Q83">
        <f>計算表!Q83</f>
        <v>0</v>
      </c>
      <c r="R83">
        <f>計算表!R83</f>
        <v>0</v>
      </c>
    </row>
    <row r="84" spans="1:18" x14ac:dyDescent="0.25">
      <c r="A84">
        <f>計算表!A84</f>
        <v>83</v>
      </c>
      <c r="B84">
        <f>計算表!B84</f>
        <v>0</v>
      </c>
      <c r="C84" t="str">
        <f>計算表!C84</f>
        <v>3-戰鬥核心</v>
      </c>
      <c r="D84" t="str">
        <f>計算表!D84</f>
        <v>傷害浮動</v>
      </c>
      <c r="E84" t="str">
        <f>計算表!E84</f>
        <v>×rnd(a, b)</v>
      </c>
      <c r="F84" t="str">
        <f>計算表!F84</f>
        <v>每次傷害的隨機浮動區間。</v>
      </c>
      <c r="G84">
        <f>計算表!G84</f>
        <v>0.8</v>
      </c>
      <c r="H84">
        <f>計算表!H84</f>
        <v>1.2</v>
      </c>
      <c r="I84">
        <f>計算表!I84</f>
        <v>0</v>
      </c>
      <c r="J84">
        <f>計算表!J84</f>
        <v>0</v>
      </c>
      <c r="K84">
        <f>計算表!K84</f>
        <v>0</v>
      </c>
      <c r="L84">
        <f>計算表!L84</f>
        <v>0</v>
      </c>
      <c r="M84">
        <f>計算表!M84</f>
        <v>0</v>
      </c>
      <c r="N84">
        <f>計算表!N84</f>
        <v>0</v>
      </c>
      <c r="O84">
        <f>計算表!O84</f>
        <v>0</v>
      </c>
      <c r="P84">
        <f>計算表!P84</f>
        <v>0</v>
      </c>
      <c r="Q84">
        <f>計算表!Q84</f>
        <v>0</v>
      </c>
      <c r="R84">
        <f>計算表!R84</f>
        <v>0</v>
      </c>
    </row>
    <row r="85" spans="1:18" x14ac:dyDescent="0.25">
      <c r="A85">
        <f>計算表!A85</f>
        <v>84</v>
      </c>
      <c r="B85">
        <f>計算表!B85</f>
        <v>0</v>
      </c>
      <c r="C85" t="str">
        <f>計算表!C85</f>
        <v>3-戰鬥核心</v>
      </c>
      <c r="D85" t="str">
        <f>計算表!D85</f>
        <v>最低傷害下限</v>
      </c>
      <c r="E85" t="str">
        <f>計算表!E85</f>
        <v>max(a, 傷害)</v>
      </c>
      <c r="F85" t="str">
        <f>計算表!F85</f>
        <v>所有減傷/抗性/格擋結算後、護盾吸收前，每次命中至少造成 a 點傷害。</v>
      </c>
      <c r="G85">
        <f>計算表!G85</f>
        <v>1</v>
      </c>
      <c r="H85">
        <f>計算表!H85</f>
        <v>0</v>
      </c>
      <c r="I85">
        <f>計算表!I85</f>
        <v>0</v>
      </c>
      <c r="J85">
        <f>計算表!J85</f>
        <v>0</v>
      </c>
      <c r="K85">
        <f>計算表!K85</f>
        <v>0</v>
      </c>
      <c r="L85">
        <f>計算表!L85</f>
        <v>0</v>
      </c>
      <c r="M85">
        <f>計算表!M85</f>
        <v>0</v>
      </c>
      <c r="N85">
        <f>計算表!N85</f>
        <v>0</v>
      </c>
      <c r="O85">
        <f>計算表!O85</f>
        <v>0</v>
      </c>
      <c r="P85">
        <f>計算表!P85</f>
        <v>0</v>
      </c>
      <c r="Q85">
        <f>計算表!Q85</f>
        <v>0</v>
      </c>
      <c r="R85">
        <f>計算表!R85</f>
        <v>0</v>
      </c>
    </row>
    <row r="86" spans="1:18" x14ac:dyDescent="0.25">
      <c r="A86">
        <f>計算表!A86</f>
        <v>85</v>
      </c>
      <c r="B86">
        <f>計算表!B86</f>
        <v>0</v>
      </c>
      <c r="C86" t="str">
        <f>計算表!C86</f>
        <v>3-戰鬥核心</v>
      </c>
      <c r="D86" t="str">
        <f>計算表!D86</f>
        <v>減速狀態攻速</v>
      </c>
      <c r="E86" t="str">
        <f>計算表!E86</f>
        <v>攻速×a</v>
      </c>
      <c r="F86" t="str">
        <f>計算表!F86</f>
        <v>a=減速時攻擊冷卻累積倍率（-30%）。</v>
      </c>
      <c r="G86">
        <f>計算表!G86</f>
        <v>0.7</v>
      </c>
      <c r="H86">
        <f>計算表!H86</f>
        <v>0</v>
      </c>
      <c r="I86">
        <f>計算表!I86</f>
        <v>0</v>
      </c>
      <c r="J86">
        <f>計算表!J86</f>
        <v>0</v>
      </c>
      <c r="K86">
        <f>計算表!K86</f>
        <v>0</v>
      </c>
      <c r="L86">
        <f>計算表!L86</f>
        <v>0</v>
      </c>
      <c r="M86">
        <f>計算表!M86</f>
        <v>0</v>
      </c>
      <c r="N86">
        <f>計算表!N86</f>
        <v>0</v>
      </c>
      <c r="O86">
        <f>計算表!O86</f>
        <v>0</v>
      </c>
      <c r="P86">
        <f>計算表!P86</f>
        <v>0</v>
      </c>
      <c r="Q86">
        <f>計算表!Q86</f>
        <v>0</v>
      </c>
      <c r="R86">
        <f>計算表!R86</f>
        <v>0</v>
      </c>
    </row>
    <row r="87" spans="1:18" x14ac:dyDescent="0.25">
      <c r="A87">
        <f>計算表!A87</f>
        <v>86</v>
      </c>
      <c r="B87">
        <f>計算表!B87</f>
        <v>0</v>
      </c>
      <c r="C87" t="str">
        <f>計算表!C87</f>
        <v>3-戰鬥核心</v>
      </c>
      <c r="D87" t="str">
        <f>計算表!D87</f>
        <v>控場遞減</v>
      </c>
      <c r="E87" t="str">
        <f>計算表!E87</f>
        <v>控制持續時間 × max(0, 1 − 該類已被控次數 × 每次遞減%)</v>
      </c>
      <c r="F87" t="str">
        <f>計算表!F87</f>
        <v>2026-10-05 改為依「被控場次數」遞減（取代舊的存活秒數遞減）。控場分三類各自獨立計次與遞減：無法行動（暈眩、凍結、石化等無法普攻／施放技能／行動）、攻速降低、移動速度降低。a=無法行動類每被控 1 次，之後同類控場持續時間遞減 a%；b=攻速降低類每次遞減 b%；c=移動速度降低類每次遞減 c%；d=無法行動類的合併秒數（此秒數內重複施加視為同一次，多段命中不會連扣）。例：a=5，冰凍 2 秒 → 第 1 次 2 秒、第 2 次 1.9 秒、…、第 20 次起完全免疫。遞減只作用在獨立記錄的「控場效果」，狀態本身的數值與持續時間不變（遞減到 0 只是沒有控場效果，狀態仍照常掛上，依賴狀態的判定照常觸發）。攻速／移速類：同類控場還在生效中時不重複計次（場域緩速每 0.5 秒重塗，只算進入場域的那一次）。參數填 0＝該類不遞減。BOSS 對攻擊頻率類控場另有完全免疫，不受本列影響。</v>
      </c>
      <c r="G87">
        <f>計算表!G87</f>
        <v>10</v>
      </c>
      <c r="H87">
        <f>計算表!H87</f>
        <v>10</v>
      </c>
      <c r="I87">
        <f>計算表!I87</f>
        <v>10</v>
      </c>
      <c r="J87">
        <f>計算表!J87</f>
        <v>0.5</v>
      </c>
      <c r="K87">
        <f>計算表!K87</f>
        <v>0</v>
      </c>
      <c r="L87">
        <f>計算表!L87</f>
        <v>0</v>
      </c>
      <c r="M87">
        <f>計算表!M87</f>
        <v>0</v>
      </c>
      <c r="N87">
        <f>計算表!N87</f>
        <v>0</v>
      </c>
      <c r="O87">
        <f>計算表!O87</f>
        <v>0</v>
      </c>
      <c r="P87">
        <f>計算表!P87</f>
        <v>0</v>
      </c>
      <c r="Q87">
        <f>計算表!Q87</f>
        <v>0</v>
      </c>
      <c r="R87">
        <f>計算表!R87</f>
        <v>0</v>
      </c>
    </row>
    <row r="88" spans="1:18" x14ac:dyDescent="0.25">
      <c r="A88">
        <f>計算表!A88</f>
        <v>87</v>
      </c>
      <c r="B88">
        <f>計算表!B88</f>
        <v>0</v>
      </c>
      <c r="C88" t="str">
        <f>計算表!C88</f>
        <v>3-戰鬥核心</v>
      </c>
      <c r="D88" t="str">
        <f>計算表!D88</f>
        <v>過關回復</v>
      </c>
      <c r="E88" t="str">
        <f>計算表!E88</f>
        <v>最大生命×a%</v>
      </c>
      <c r="F88" t="str">
        <f>計算表!F88</f>
        <v>野外整波敵人清空時回復一次（吸魂被動仍為擊殺時觸發）。高塔沒有此回復。</v>
      </c>
      <c r="G88">
        <f>計算表!G88</f>
        <v>12</v>
      </c>
      <c r="H88">
        <f>計算表!H88</f>
        <v>0</v>
      </c>
      <c r="I88">
        <f>計算表!I88</f>
        <v>0</v>
      </c>
      <c r="J88">
        <f>計算表!J88</f>
        <v>0</v>
      </c>
      <c r="K88">
        <f>計算表!K88</f>
        <v>0</v>
      </c>
      <c r="L88">
        <f>計算表!L88</f>
        <v>0</v>
      </c>
      <c r="M88">
        <f>計算表!M88</f>
        <v>0</v>
      </c>
      <c r="N88">
        <f>計算表!N88</f>
        <v>0</v>
      </c>
      <c r="O88">
        <f>計算表!O88</f>
        <v>0</v>
      </c>
      <c r="P88">
        <f>計算表!P88</f>
        <v>0</v>
      </c>
      <c r="Q88">
        <f>計算表!Q88</f>
        <v>0</v>
      </c>
      <c r="R88">
        <f>計算表!R88</f>
        <v>0</v>
      </c>
    </row>
    <row r="89" spans="1:18" x14ac:dyDescent="0.25">
      <c r="A89">
        <f>計算表!A89</f>
        <v>88</v>
      </c>
      <c r="B89">
        <f>計算表!B89</f>
        <v>0</v>
      </c>
      <c r="C89" t="str">
        <f>計算表!C89</f>
        <v>3-戰鬥核心</v>
      </c>
      <c r="D89" t="str">
        <f>計算表!D89</f>
        <v>溢出治療轉護盾</v>
      </c>
      <c r="E89" t="str">
        <f>計算表!E89</f>
        <v>溢出×a%</v>
      </c>
      <c r="F89" t="str">
        <f>計算表!F89</f>
        <v>a=溢出治療轉為護盾的比例。</v>
      </c>
      <c r="G89">
        <f>計算表!G89</f>
        <v>1</v>
      </c>
      <c r="H89">
        <f>計算表!H89</f>
        <v>0</v>
      </c>
      <c r="I89">
        <f>計算表!I89</f>
        <v>0</v>
      </c>
      <c r="J89">
        <f>計算表!J89</f>
        <v>0</v>
      </c>
      <c r="K89">
        <f>計算表!K89</f>
        <v>0</v>
      </c>
      <c r="L89">
        <f>計算表!L89</f>
        <v>0</v>
      </c>
      <c r="M89">
        <f>計算表!M89</f>
        <v>0</v>
      </c>
      <c r="N89">
        <f>計算表!N89</f>
        <v>0</v>
      </c>
      <c r="O89">
        <f>計算表!O89</f>
        <v>0</v>
      </c>
      <c r="P89">
        <f>計算表!P89</f>
        <v>0</v>
      </c>
      <c r="Q89">
        <f>計算表!Q89</f>
        <v>0</v>
      </c>
      <c r="R89">
        <f>計算表!R89</f>
        <v>0</v>
      </c>
    </row>
    <row r="90" spans="1:18" x14ac:dyDescent="0.25">
      <c r="A90">
        <f>計算表!A90</f>
        <v>89</v>
      </c>
      <c r="B90">
        <f>計算表!B90</f>
        <v>0</v>
      </c>
      <c r="C90" t="str">
        <f>計算表!C90</f>
        <v>3-戰鬥核心</v>
      </c>
      <c r="D90" t="str">
        <f>計算表!D90</f>
        <v>護盾上限(治療轉化)</v>
      </c>
      <c r="E90" t="str">
        <f>計算表!E90</f>
        <v>最大生命×a%×(1+護盾效率%)</v>
      </c>
      <c r="F90" t="str">
        <f>計算表!F90</f>
        <v>a=治療轉護盾的上限比例。</v>
      </c>
      <c r="G90">
        <f>計算表!G90</f>
        <v>10</v>
      </c>
      <c r="H90">
        <f>計算表!H90</f>
        <v>0</v>
      </c>
      <c r="I90">
        <f>計算表!I90</f>
        <v>0</v>
      </c>
      <c r="J90">
        <f>計算表!J90</f>
        <v>0</v>
      </c>
      <c r="K90">
        <f>計算表!K90</f>
        <v>0</v>
      </c>
      <c r="L90">
        <f>計算表!L90</f>
        <v>0</v>
      </c>
      <c r="M90">
        <f>計算表!M90</f>
        <v>0</v>
      </c>
      <c r="N90">
        <f>計算表!N90</f>
        <v>0</v>
      </c>
      <c r="O90">
        <f>計算表!O90</f>
        <v>0</v>
      </c>
      <c r="P90">
        <f>計算表!P90</f>
        <v>0</v>
      </c>
      <c r="Q90">
        <f>計算表!Q90</f>
        <v>0</v>
      </c>
      <c r="R90">
        <f>計算表!R90</f>
        <v>0</v>
      </c>
    </row>
    <row r="91" spans="1:18" x14ac:dyDescent="0.25">
      <c r="A91">
        <f>計算表!A91</f>
        <v>90</v>
      </c>
      <c r="B91">
        <f>計算表!B91</f>
        <v>0</v>
      </c>
      <c r="C91" t="str">
        <f>計算表!C91</f>
        <v>3-戰鬥核心</v>
      </c>
      <c r="D91" t="str">
        <f>計算表!D91</f>
        <v>護盾上限(技能給予)</v>
      </c>
      <c r="E91" t="str">
        <f>計算表!E91</f>
        <v>最大生命×a%</v>
      </c>
      <c r="F91" t="str">
        <f>計算表!F91</f>
        <v>a=技能護盾上限比例；量本身再×(1+護盾效率%)。</v>
      </c>
      <c r="G91">
        <f>計算表!G91</f>
        <v>1000</v>
      </c>
      <c r="H91">
        <f>計算表!H91</f>
        <v>0</v>
      </c>
      <c r="I91">
        <f>計算表!I91</f>
        <v>0</v>
      </c>
      <c r="J91">
        <f>計算表!J91</f>
        <v>0</v>
      </c>
      <c r="K91">
        <f>計算表!K91</f>
        <v>0</v>
      </c>
      <c r="L91">
        <f>計算表!L91</f>
        <v>0</v>
      </c>
      <c r="M91">
        <f>計算表!M91</f>
        <v>0</v>
      </c>
      <c r="N91">
        <f>計算表!N91</f>
        <v>0</v>
      </c>
      <c r="O91">
        <f>計算表!O91</f>
        <v>0</v>
      </c>
      <c r="P91">
        <f>計算表!P91</f>
        <v>0</v>
      </c>
      <c r="Q91">
        <f>計算表!Q91</f>
        <v>0</v>
      </c>
      <c r="R91">
        <f>計算表!R91</f>
        <v>0</v>
      </c>
    </row>
    <row r="92" spans="1:18" x14ac:dyDescent="0.25">
      <c r="A92">
        <f>計算表!A92</f>
        <v>91</v>
      </c>
      <c r="B92">
        <f>計算表!B92</f>
        <v>0</v>
      </c>
      <c r="C92" t="str">
        <f>計算表!C92</f>
        <v>3-戰鬥核心</v>
      </c>
      <c r="D92" t="str">
        <f>計算表!D92</f>
        <v>聖佑(神鑄)減傷上限</v>
      </c>
      <c r="E92" t="str">
        <f>計算表!E92</f>
        <v>受傷×(1-min(值,a%))</v>
      </c>
      <c r="F92" t="str">
        <f>計算表!F92</f>
        <v>a=聖佑特效減傷上限。</v>
      </c>
      <c r="G92">
        <f>計算表!G92</f>
        <v>50</v>
      </c>
      <c r="H92">
        <f>計算表!H92</f>
        <v>0</v>
      </c>
      <c r="I92">
        <f>計算表!I92</f>
        <v>0</v>
      </c>
      <c r="J92">
        <f>計算表!J92</f>
        <v>0</v>
      </c>
      <c r="K92">
        <f>計算表!K92</f>
        <v>0</v>
      </c>
      <c r="L92">
        <f>計算表!L92</f>
        <v>0</v>
      </c>
      <c r="M92">
        <f>計算表!M92</f>
        <v>0</v>
      </c>
      <c r="N92">
        <f>計算表!N92</f>
        <v>0</v>
      </c>
      <c r="O92">
        <f>計算表!O92</f>
        <v>0</v>
      </c>
      <c r="P92">
        <f>計算表!P92</f>
        <v>0</v>
      </c>
      <c r="Q92">
        <f>計算表!Q92</f>
        <v>0</v>
      </c>
      <c r="R92">
        <f>計算表!R92</f>
        <v>0</v>
      </c>
    </row>
    <row r="93" spans="1:18" x14ac:dyDescent="0.25">
      <c r="A93">
        <f>計算表!A93</f>
        <v>92</v>
      </c>
      <c r="B93">
        <f>計算表!B93</f>
        <v>0</v>
      </c>
      <c r="C93" t="str">
        <f>計算表!C93</f>
        <v>3-戰鬥核心</v>
      </c>
      <c r="D93" t="str">
        <f>計算表!D93</f>
        <v>不朽(神鑄)回復</v>
      </c>
      <c r="E93" t="str">
        <f>計算表!E93</f>
        <v>致命時保 1 血並回復 a%，b 秒限一次</v>
      </c>
      <c r="F93" t="str">
        <f>計算表!F93</f>
        <v>a=回復最大生命% b=冷卻秒數。</v>
      </c>
      <c r="G93">
        <f>計算表!G93</f>
        <v>30</v>
      </c>
      <c r="H93">
        <f>計算表!H93</f>
        <v>60</v>
      </c>
      <c r="I93">
        <f>計算表!I93</f>
        <v>0</v>
      </c>
      <c r="J93">
        <f>計算表!J93</f>
        <v>0</v>
      </c>
      <c r="K93">
        <f>計算表!K93</f>
        <v>0</v>
      </c>
      <c r="L93">
        <f>計算表!L93</f>
        <v>0</v>
      </c>
      <c r="M93">
        <f>計算表!M93</f>
        <v>0</v>
      </c>
      <c r="N93">
        <f>計算表!N93</f>
        <v>0</v>
      </c>
      <c r="O93">
        <f>計算表!O93</f>
        <v>0</v>
      </c>
      <c r="P93">
        <f>計算表!P93</f>
        <v>0</v>
      </c>
      <c r="Q93">
        <f>計算表!Q93</f>
        <v>0</v>
      </c>
      <c r="R93">
        <f>計算表!R93</f>
        <v>0</v>
      </c>
    </row>
    <row r="94" spans="1:18" x14ac:dyDescent="0.25">
      <c r="A94">
        <f>計算表!A94</f>
        <v>93</v>
      </c>
      <c r="B94">
        <f>計算表!B94</f>
        <v>0</v>
      </c>
      <c r="C94" t="str">
        <f>計算表!C94</f>
        <v>3-戰鬥核心</v>
      </c>
      <c r="D94" t="str">
        <f>計算表!D94</f>
        <v>怪物固定戰鬥值</v>
      </c>
      <c r="E94" t="str">
        <f>計算表!E94</f>
        <v>命中a% 攻速b</v>
      </c>
      <c r="F94" t="str">
        <f>計算表!F94</f>
        <v>怪物固定值；初次出手延遲 = 1/攻速 + 0.4 秒。※2026-07-30 改版：暴擊率與爆擊傷害已移至「敵人爆擊」列（依敵種區分）。</v>
      </c>
      <c r="G94">
        <f>計算表!G94</f>
        <v>100</v>
      </c>
      <c r="H94">
        <f>計算表!H94</f>
        <v>0.75</v>
      </c>
      <c r="I94">
        <f>計算表!I94</f>
        <v>0</v>
      </c>
      <c r="J94">
        <f>計算表!J94</f>
        <v>0</v>
      </c>
      <c r="K94">
        <f>計算表!K94</f>
        <v>0</v>
      </c>
      <c r="L94">
        <f>計算表!L94</f>
        <v>0</v>
      </c>
      <c r="M94">
        <f>計算表!M94</f>
        <v>0</v>
      </c>
      <c r="N94">
        <f>計算表!N94</f>
        <v>0</v>
      </c>
      <c r="O94">
        <f>計算表!O94</f>
        <v>0</v>
      </c>
      <c r="P94">
        <f>計算表!P94</f>
        <v>0</v>
      </c>
      <c r="Q94">
        <f>計算表!Q94</f>
        <v>0</v>
      </c>
      <c r="R94">
        <f>計算表!R94</f>
        <v>0</v>
      </c>
    </row>
    <row r="95" spans="1:18" x14ac:dyDescent="0.25">
      <c r="A95">
        <f>計算表!A95</f>
        <v>94</v>
      </c>
      <c r="B95">
        <f>計算表!B95</f>
        <v>0</v>
      </c>
      <c r="C95" t="str">
        <f>計算表!C95</f>
        <v>3-戰鬥核心</v>
      </c>
      <c r="D95" t="str">
        <f>計算表!D95</f>
        <v>敵人爆擊</v>
      </c>
      <c r="E95" t="str">
        <f>計算表!E95</f>
        <v>爆擊率：普通a% 菁英b% BOSSc%；爆擊傷害 = 傷害×d%</v>
      </c>
      <c r="F95" t="str">
        <f>計算表!F95</f>
        <v>敵人攻擊玩家時同樣會爆擊。a/b/c=各敵種爆擊率 d=共用爆擊傷害倍率%。玩家韌性會折減被爆擊機率：實際爆擊率 = 敵種爆擊率×(1-韌性%)。</v>
      </c>
      <c r="G95">
        <f>計算表!G95</f>
        <v>5</v>
      </c>
      <c r="H95">
        <f>計算表!H95</f>
        <v>3</v>
      </c>
      <c r="I95">
        <f>計算表!I95</f>
        <v>2</v>
      </c>
      <c r="J95">
        <f>計算表!J95</f>
        <v>300</v>
      </c>
      <c r="K95">
        <f>計算表!K95</f>
        <v>0</v>
      </c>
      <c r="L95">
        <f>計算表!L95</f>
        <v>0</v>
      </c>
      <c r="M95">
        <f>計算表!M95</f>
        <v>0</v>
      </c>
      <c r="N95">
        <f>計算表!N95</f>
        <v>0</v>
      </c>
      <c r="O95">
        <f>計算表!O95</f>
        <v>0</v>
      </c>
      <c r="P95">
        <f>計算表!P95</f>
        <v>0</v>
      </c>
      <c r="Q95">
        <f>計算表!Q95</f>
        <v>0</v>
      </c>
      <c r="R95">
        <f>計算表!R95</f>
        <v>0</v>
      </c>
    </row>
    <row r="96" spans="1:18" x14ac:dyDescent="0.25">
      <c r="A96">
        <f>計算表!A96</f>
        <v>95</v>
      </c>
      <c r="B96">
        <f>計算表!B96</f>
        <v>0</v>
      </c>
      <c r="C96" t="str">
        <f>計算表!C96</f>
        <v>3-戰鬥核心</v>
      </c>
      <c r="D96" t="str">
        <f>計算表!D96</f>
        <v>穿透忽略防禦</v>
      </c>
      <c r="E96" t="str">
        <f>計算表!E96</f>
        <v>忽略敵人防禦% = 穿透%/(穿透%+a)</v>
      </c>
      <c r="F96" s="7" t="s">
        <v>1008</v>
      </c>
      <c r="G96">
        <f>計算表!G96</f>
        <v>0.75</v>
      </c>
      <c r="H96">
        <f>計算表!H96</f>
        <v>0</v>
      </c>
      <c r="I96">
        <f>計算表!I96</f>
        <v>0</v>
      </c>
      <c r="J96">
        <f>計算表!J96</f>
        <v>0</v>
      </c>
      <c r="K96">
        <f>計算表!K96</f>
        <v>0</v>
      </c>
      <c r="L96">
        <f>計算表!L96</f>
        <v>0</v>
      </c>
      <c r="M96">
        <f>計算表!M96</f>
        <v>0</v>
      </c>
      <c r="N96">
        <f>計算表!N96</f>
        <v>0</v>
      </c>
      <c r="O96">
        <f>計算表!O96</f>
        <v>0</v>
      </c>
      <c r="P96">
        <f>計算表!P96</f>
        <v>0</v>
      </c>
      <c r="Q96">
        <f>計算表!Q96</f>
        <v>0</v>
      </c>
      <c r="R96">
        <f>計算表!R96</f>
        <v>0</v>
      </c>
    </row>
    <row r="97" spans="1:18" x14ac:dyDescent="0.25">
      <c r="A97">
        <f>計算表!A97</f>
        <v>96</v>
      </c>
      <c r="B97">
        <f>計算表!B97</f>
        <v>0</v>
      </c>
      <c r="C97" t="str">
        <f>計算表!C97</f>
        <v>4-高塔BOSS</v>
      </c>
      <c r="D97" t="str">
        <f>計算表!D97</f>
        <v>對應野外階段</v>
      </c>
      <c r="E97" t="str">
        <f>計算表!E97</f>
        <v>a+樓層×b（試煉a、b｜地獄c、d｜煉獄e、f）</v>
      </c>
      <c r="F97" t="str">
        <f>計算表!F97</f>
        <v>各塔獨立：試煉用a、b，地獄用c、d，煉獄用e、f。以此階段的野外怪為基準。</v>
      </c>
      <c r="G97">
        <f>計算表!G97</f>
        <v>4</v>
      </c>
      <c r="H97">
        <f>計算表!H97</f>
        <v>5</v>
      </c>
      <c r="I97">
        <f>計算表!I97</f>
        <v>4</v>
      </c>
      <c r="J97">
        <f>計算表!J97</f>
        <v>5</v>
      </c>
      <c r="K97">
        <f>計算表!K97</f>
        <v>4</v>
      </c>
      <c r="L97">
        <f>計算表!L97</f>
        <v>5</v>
      </c>
      <c r="M97">
        <f>計算表!M97</f>
        <v>0</v>
      </c>
      <c r="N97">
        <f>計算表!N97</f>
        <v>0</v>
      </c>
      <c r="O97">
        <f>計算表!O97</f>
        <v>0</v>
      </c>
      <c r="P97">
        <f>計算表!P97</f>
        <v>0</v>
      </c>
      <c r="Q97">
        <f>計算表!Q97</f>
        <v>0</v>
      </c>
      <c r="R97">
        <f>計算表!R97</f>
        <v>0</v>
      </c>
    </row>
    <row r="98" spans="1:18" x14ac:dyDescent="0.25">
      <c r="A98">
        <f>計算表!A98</f>
        <v>97</v>
      </c>
      <c r="B98">
        <f>計算表!B98</f>
        <v>0</v>
      </c>
      <c r="C98" t="str">
        <f>計算表!C98</f>
        <v>4-高塔BOSS</v>
      </c>
      <c r="D98" t="str">
        <f>計算表!D98</f>
        <v>BOSS 等級</v>
      </c>
      <c r="E98" t="str">
        <f>計算表!E98</f>
        <v>對應階段+a（試煉a｜地獄b｜煉獄c）</v>
      </c>
      <c r="F98" t="str">
        <f>計算表!F98</f>
        <v>各塔獨立等級加值：a=試煉 b=地獄 c=煉獄。</v>
      </c>
      <c r="G98">
        <f>計算表!G98</f>
        <v>3</v>
      </c>
      <c r="H98">
        <f>計算表!H98</f>
        <v>3</v>
      </c>
      <c r="I98">
        <f>計算表!I98</f>
        <v>3</v>
      </c>
      <c r="J98">
        <f>計算表!J98</f>
        <v>0</v>
      </c>
      <c r="K98">
        <f>計算表!K98</f>
        <v>0</v>
      </c>
      <c r="L98">
        <f>計算表!L98</f>
        <v>0</v>
      </c>
      <c r="M98">
        <f>計算表!M98</f>
        <v>0</v>
      </c>
      <c r="N98">
        <f>計算表!N98</f>
        <v>0</v>
      </c>
      <c r="O98">
        <f>計算表!O98</f>
        <v>0</v>
      </c>
      <c r="P98">
        <f>計算表!P98</f>
        <v>0</v>
      </c>
      <c r="Q98">
        <f>計算表!Q98</f>
        <v>0</v>
      </c>
      <c r="R98">
        <f>計算表!R98</f>
        <v>0</v>
      </c>
    </row>
    <row r="99" spans="1:18" x14ac:dyDescent="0.25">
      <c r="A99">
        <f>計算表!A99</f>
        <v>98</v>
      </c>
      <c r="B99">
        <f>計算表!B99</f>
        <v>0</v>
      </c>
      <c r="C99" t="str">
        <f>計算表!C99</f>
        <v>4-高塔BOSS</v>
      </c>
      <c r="D99" t="str">
        <f>計算表!D99</f>
        <v>命中率</v>
      </c>
      <c r="E99" t="str">
        <f>計算表!E99</f>
        <v>a%+樓層×b%（試煉a、b｜地獄c、d｜煉獄e、f）</v>
      </c>
      <c r="F99" t="str">
        <f>計算表!F99</f>
        <v>各塔獨立：試煉用a、b，地獄用c、d，煉獄用e、f。實際命中率沿用戰鬥核心：clamp(命中-玩家閃避, 5, 100)。</v>
      </c>
      <c r="G99">
        <f>計算表!G99</f>
        <v>200</v>
      </c>
      <c r="H99">
        <f>計算表!H99</f>
        <v>70</v>
      </c>
      <c r="I99">
        <f>計算表!I99</f>
        <v>200</v>
      </c>
      <c r="J99">
        <f>計算表!J99</f>
        <v>70</v>
      </c>
      <c r="K99">
        <f>計算表!K99</f>
        <v>200</v>
      </c>
      <c r="L99">
        <f>計算表!L99</f>
        <v>70</v>
      </c>
      <c r="M99">
        <f>計算表!M99</f>
        <v>0</v>
      </c>
      <c r="N99">
        <f>計算表!N99</f>
        <v>0</v>
      </c>
      <c r="O99">
        <f>計算表!O99</f>
        <v>0</v>
      </c>
      <c r="P99">
        <f>計算表!P99</f>
        <v>0</v>
      </c>
      <c r="Q99">
        <f>計算表!Q99</f>
        <v>0</v>
      </c>
      <c r="R99">
        <f>計算表!R99</f>
        <v>0</v>
      </c>
    </row>
    <row r="100" spans="1:18" x14ac:dyDescent="0.25">
      <c r="A100">
        <f>計算表!A100</f>
        <v>99</v>
      </c>
      <c r="B100">
        <f>計算表!B100</f>
        <v>0</v>
      </c>
      <c r="C100" t="str">
        <f>計算表!C100</f>
        <v>4-高塔BOSS</v>
      </c>
      <c r="D100" t="str">
        <f>計算表!D100</f>
        <v>挑戰金幣消耗</v>
      </c>
      <c r="E100" t="str">
        <f>計算表!E100</f>
        <v>round(a×樓層^b)</v>
      </c>
      <c r="F100" t="str">
        <f>計算表!F100</f>
        <v>開始挑戰前扣除，失敗或撤退不退回。</v>
      </c>
      <c r="G100" t="str">
        <f>計算表!G100</f>
        <v>{1~50,a=10000,b=1.8}</v>
      </c>
      <c r="H100" t="str">
        <f>計算表!H100</f>
        <v>{51~100,a=50000,b=2}</v>
      </c>
      <c r="I100" t="str">
        <f>計算表!I100</f>
        <v>{101~150,a=100000,b=2.2}</v>
      </c>
      <c r="J100">
        <f>計算表!J100</f>
        <v>0</v>
      </c>
      <c r="K100">
        <f>計算表!K100</f>
        <v>0</v>
      </c>
      <c r="L100">
        <f>計算表!L100</f>
        <v>0</v>
      </c>
      <c r="M100">
        <f>計算表!M100</f>
        <v>0</v>
      </c>
      <c r="N100">
        <f>計算表!N100</f>
        <v>0</v>
      </c>
      <c r="O100">
        <f>計算表!O100</f>
        <v>0</v>
      </c>
      <c r="P100">
        <f>計算表!P100</f>
        <v>0</v>
      </c>
      <c r="Q100">
        <f>計算表!Q100</f>
        <v>0</v>
      </c>
      <c r="R100">
        <f>計算表!R100</f>
        <v>0</v>
      </c>
    </row>
    <row r="101" spans="1:18" x14ac:dyDescent="0.25">
      <c r="A101">
        <f>計算表!A101</f>
        <v>100</v>
      </c>
      <c r="B101">
        <f>計算表!B101</f>
        <v>0</v>
      </c>
      <c r="C101" t="str">
        <f>計算表!C101</f>
        <v>4-高塔BOSS</v>
      </c>
      <c r="D101" t="str">
        <f>計算表!D101</f>
        <v>生命</v>
      </c>
      <c r="E101" t="str">
        <f>計算表!E101</f>
        <v>基準生命×a（試煉a｜地獄b｜煉獄c）</v>
      </c>
      <c r="F101" t="str">
        <f>計算表!F101</f>
        <v>各塔獨立總倍率（直接乘基準生命、不再鏈乘）：a=試煉 b=地獄 c=煉獄。</v>
      </c>
      <c r="G101">
        <f>計算表!G101</f>
        <v>20</v>
      </c>
      <c r="H101">
        <f>計算表!H101</f>
        <v>400</v>
      </c>
      <c r="I101">
        <f>計算表!I101</f>
        <v>4000</v>
      </c>
      <c r="J101">
        <f>計算表!J101</f>
        <v>0</v>
      </c>
      <c r="K101">
        <f>計算表!K101</f>
        <v>0</v>
      </c>
      <c r="L101">
        <f>計算表!L101</f>
        <v>0</v>
      </c>
      <c r="M101">
        <f>計算表!M101</f>
        <v>0</v>
      </c>
      <c r="N101">
        <f>計算表!N101</f>
        <v>0</v>
      </c>
      <c r="O101">
        <f>計算表!O101</f>
        <v>0</v>
      </c>
      <c r="P101">
        <f>計算表!P101</f>
        <v>0</v>
      </c>
      <c r="Q101">
        <f>計算表!Q101</f>
        <v>0</v>
      </c>
      <c r="R101">
        <f>計算表!R101</f>
        <v>0</v>
      </c>
    </row>
    <row r="102" spans="1:18" x14ac:dyDescent="0.25">
      <c r="A102">
        <f>計算表!A102</f>
        <v>101</v>
      </c>
      <c r="B102">
        <f>計算表!B102</f>
        <v>0</v>
      </c>
      <c r="C102" t="str">
        <f>計算表!C102</f>
        <v>4-高塔BOSS</v>
      </c>
      <c r="D102" t="str">
        <f>計算表!D102</f>
        <v>攻擊</v>
      </c>
      <c r="E102" t="str">
        <f>計算表!E102</f>
        <v>基準攻擊×a（試煉a｜地獄b｜煉獄c）</v>
      </c>
      <c r="F102" t="str">
        <f>計算表!F102</f>
        <v>各塔獨立總倍率（直接乘基準攻擊、不再鏈乘）：a=試煉 b=地獄 c=煉獄。</v>
      </c>
      <c r="G102">
        <f>計算表!G102</f>
        <v>3</v>
      </c>
      <c r="H102">
        <f>計算表!H102</f>
        <v>15</v>
      </c>
      <c r="I102">
        <f>計算表!I102</f>
        <v>75</v>
      </c>
      <c r="J102">
        <f>計算表!J102</f>
        <v>0</v>
      </c>
      <c r="K102">
        <f>計算表!K102</f>
        <v>0</v>
      </c>
      <c r="L102">
        <f>計算表!L102</f>
        <v>0</v>
      </c>
      <c r="M102">
        <f>計算表!M102</f>
        <v>0</v>
      </c>
      <c r="N102">
        <f>計算表!N102</f>
        <v>0</v>
      </c>
      <c r="O102">
        <f>計算表!O102</f>
        <v>0</v>
      </c>
      <c r="P102">
        <f>計算表!P102</f>
        <v>0</v>
      </c>
      <c r="Q102">
        <f>計算表!Q102</f>
        <v>0</v>
      </c>
      <c r="R102">
        <f>計算表!R102</f>
        <v>0</v>
      </c>
    </row>
    <row r="103" spans="1:18" x14ac:dyDescent="0.25">
      <c r="A103">
        <f>計算表!A103</f>
        <v>102</v>
      </c>
      <c r="B103">
        <f>計算表!B103</f>
        <v>0</v>
      </c>
      <c r="C103" t="str">
        <f>計算表!C103</f>
        <v>4-高塔BOSS</v>
      </c>
      <c r="D103" t="str">
        <f>計算表!D103</f>
        <v>物/魔防</v>
      </c>
      <c r="E103" t="str">
        <f>計算表!E103</f>
        <v>基準物/魔防×a（試煉a｜地獄b｜煉獄c）</v>
      </c>
      <c r="F103" t="str">
        <f>計算表!F103</f>
        <v>各塔獨立防禦倍率：a=試煉 b=地獄 c=煉獄。</v>
      </c>
      <c r="G103">
        <f>計算表!G103</f>
        <v>10</v>
      </c>
      <c r="H103">
        <f>計算表!H103</f>
        <v>10</v>
      </c>
      <c r="I103">
        <f>計算表!I103</f>
        <v>10</v>
      </c>
      <c r="J103">
        <f>計算表!J103</f>
        <v>0</v>
      </c>
      <c r="K103">
        <f>計算表!K103</f>
        <v>0</v>
      </c>
      <c r="L103">
        <f>計算表!L103</f>
        <v>0</v>
      </c>
      <c r="M103">
        <f>計算表!M103</f>
        <v>0</v>
      </c>
      <c r="N103">
        <f>計算表!N103</f>
        <v>0</v>
      </c>
      <c r="O103">
        <f>計算表!O103</f>
        <v>0</v>
      </c>
      <c r="P103">
        <f>計算表!P103</f>
        <v>0</v>
      </c>
      <c r="Q103">
        <f>計算表!Q103</f>
        <v>0</v>
      </c>
      <c r="R103">
        <f>計算表!R103</f>
        <v>0</v>
      </c>
    </row>
    <row r="104" spans="1:18" x14ac:dyDescent="0.25">
      <c r="A104">
        <f>計算表!A104</f>
        <v>103</v>
      </c>
      <c r="B104">
        <f>計算表!B104</f>
        <v>0</v>
      </c>
      <c r="C104" t="str">
        <f>計算表!C104</f>
        <v>4-高塔BOSS</v>
      </c>
      <c r="D104" t="str">
        <f>計算表!D104</f>
        <v>攻速 / 控制抵抗</v>
      </c>
      <c r="E104" t="str">
        <f>計算表!E104</f>
        <v>攻速a 次/秒；控制抵抗b%（試煉a、b｜地獄c、d｜煉獄e、f）</v>
      </c>
      <c r="F104" t="str">
        <f>計算表!F104</f>
        <v>各塔獨立：試煉用a、b，地獄用c、d，煉獄用e、f。</v>
      </c>
      <c r="G104">
        <f>計算表!G104</f>
        <v>3</v>
      </c>
      <c r="H104">
        <f>計算表!H104</f>
        <v>70</v>
      </c>
      <c r="I104">
        <f>計算表!I104</f>
        <v>3</v>
      </c>
      <c r="J104">
        <f>計算表!J104</f>
        <v>70</v>
      </c>
      <c r="K104">
        <f>計算表!K104</f>
        <v>3</v>
      </c>
      <c r="L104">
        <f>計算表!L104</f>
        <v>70</v>
      </c>
      <c r="M104">
        <f>計算表!M104</f>
        <v>0</v>
      </c>
      <c r="N104">
        <f>計算表!N104</f>
        <v>0</v>
      </c>
      <c r="O104">
        <f>計算表!O104</f>
        <v>0</v>
      </c>
      <c r="P104">
        <f>計算表!P104</f>
        <v>0</v>
      </c>
      <c r="Q104">
        <f>計算表!Q104</f>
        <v>0</v>
      </c>
      <c r="R104">
        <f>計算表!R104</f>
        <v>0</v>
      </c>
    </row>
    <row r="105" spans="1:18" x14ac:dyDescent="0.25">
      <c r="A105">
        <f>計算表!A105</f>
        <v>104</v>
      </c>
      <c r="B105">
        <f>計算表!B105</f>
        <v>0</v>
      </c>
      <c r="C105" t="str">
        <f>計算表!C105</f>
        <v>4-高塔BOSS</v>
      </c>
      <c r="D105" t="str">
        <f>計算表!D105</f>
        <v>閃避率</v>
      </c>
      <c r="E105" t="str">
        <f>計算表!E105</f>
        <v>min(a+樓層*c, b)%（試煉a~c｜地獄d~f｜煉獄g~i）</v>
      </c>
      <c r="F105" t="str">
        <f>計算表!F105</f>
        <v>各塔獨立：a/d/g=基礎 b/e/h=上限 c/f/i=加乘值。</v>
      </c>
      <c r="G105">
        <f>計算表!G105</f>
        <v>8</v>
      </c>
      <c r="H105">
        <f>計算表!H105</f>
        <v>10000000</v>
      </c>
      <c r="I105">
        <f>計算表!I105</f>
        <v>15</v>
      </c>
      <c r="J105">
        <f>計算表!J105</f>
        <v>8</v>
      </c>
      <c r="K105">
        <f>計算表!K105</f>
        <v>10000000</v>
      </c>
      <c r="L105">
        <f>計算表!L105</f>
        <v>17</v>
      </c>
      <c r="M105">
        <f>計算表!M105</f>
        <v>8</v>
      </c>
      <c r="N105">
        <f>計算表!N105</f>
        <v>10000000</v>
      </c>
      <c r="O105">
        <f>計算表!O105</f>
        <v>20</v>
      </c>
      <c r="P105">
        <f>計算表!P105</f>
        <v>0</v>
      </c>
      <c r="Q105">
        <f>計算表!Q105</f>
        <v>0</v>
      </c>
      <c r="R105">
        <f>計算表!R105</f>
        <v>0</v>
      </c>
    </row>
    <row r="106" spans="1:18" x14ac:dyDescent="0.25">
      <c r="A106">
        <f>計算表!A106</f>
        <v>105</v>
      </c>
      <c r="B106">
        <f>計算表!B106</f>
        <v>0</v>
      </c>
      <c r="C106" t="str">
        <f>計算表!C106</f>
        <v>4-高塔BOSS</v>
      </c>
      <c r="D106" t="str">
        <f>計算表!D106</f>
        <v>元素附傷(元素 BOSS)</v>
      </c>
      <c r="E106" t="str">
        <f>計算表!E106</f>
        <v>總魔攻×a（試煉a｜地獄b｜煉獄c）</v>
      </c>
      <c r="F106" t="str">
        <f>計算表!F106</f>
        <v>各塔獨立係數：a=試煉 b=地獄 c=煉獄。以魔法攻擊結算。</v>
      </c>
      <c r="G106">
        <f>計算表!G106</f>
        <v>3</v>
      </c>
      <c r="H106">
        <f>計算表!H106</f>
        <v>3</v>
      </c>
      <c r="I106">
        <f>計算表!I106</f>
        <v>3</v>
      </c>
      <c r="J106">
        <f>計算表!J106</f>
        <v>0</v>
      </c>
      <c r="K106">
        <f>計算表!K106</f>
        <v>0</v>
      </c>
      <c r="L106">
        <f>計算表!L106</f>
        <v>0</v>
      </c>
      <c r="M106">
        <f>計算表!M106</f>
        <v>0</v>
      </c>
      <c r="N106">
        <f>計算表!N106</f>
        <v>0</v>
      </c>
      <c r="O106">
        <f>計算表!O106</f>
        <v>0</v>
      </c>
      <c r="P106">
        <f>計算表!P106</f>
        <v>0</v>
      </c>
      <c r="Q106">
        <f>計算表!Q106</f>
        <v>0</v>
      </c>
      <c r="R106">
        <f>計算表!R106</f>
        <v>0</v>
      </c>
    </row>
    <row r="107" spans="1:18" x14ac:dyDescent="0.25">
      <c r="A107">
        <f>計算表!A107</f>
        <v>106</v>
      </c>
      <c r="B107">
        <f>計算表!B107</f>
        <v>0</v>
      </c>
      <c r="C107" t="str">
        <f>計算表!C107</f>
        <v>4-高塔BOSS</v>
      </c>
      <c r="D107" t="str">
        <f>計算表!D107</f>
        <v>經驗</v>
      </c>
      <c r="E107" t="str">
        <f>計算表!E107</f>
        <v>建議野外階段普通怪經驗×a（試煉a｜地獄b｜煉獄c）</v>
      </c>
      <c r="F107" t="str">
        <f>計算表!F107</f>
        <v>各塔獨立倍率：a=試煉 b=地獄 c=煉獄。再套用玩家經驗加成。</v>
      </c>
      <c r="G107">
        <f>計算表!G107</f>
        <v>2</v>
      </c>
      <c r="H107">
        <f>計算表!H107</f>
        <v>2</v>
      </c>
      <c r="I107">
        <f>計算表!I107</f>
        <v>2</v>
      </c>
      <c r="J107">
        <f>計算表!J107</f>
        <v>0</v>
      </c>
      <c r="K107">
        <f>計算表!K107</f>
        <v>0</v>
      </c>
      <c r="L107">
        <f>計算表!L107</f>
        <v>0</v>
      </c>
      <c r="M107">
        <f>計算表!M107</f>
        <v>0</v>
      </c>
      <c r="N107">
        <f>計算表!N107</f>
        <v>0</v>
      </c>
      <c r="O107">
        <f>計算表!O107</f>
        <v>0</v>
      </c>
      <c r="P107">
        <f>計算表!P107</f>
        <v>0</v>
      </c>
      <c r="Q107">
        <f>計算表!Q107</f>
        <v>0</v>
      </c>
      <c r="R107">
        <f>計算表!R107</f>
        <v>0</v>
      </c>
    </row>
    <row r="108" spans="1:18" x14ac:dyDescent="0.25">
      <c r="A108">
        <f>計算表!A108</f>
        <v>107</v>
      </c>
      <c r="B108">
        <f>計算表!B108</f>
        <v>0</v>
      </c>
      <c r="C108" t="str">
        <f>計算表!C108</f>
        <v>4-高塔BOSS</v>
      </c>
      <c r="D108" t="str">
        <f>計算表!D108</f>
        <v>戰鬥規則</v>
      </c>
      <c r="E108" t="str">
        <f>計算表!E108</f>
        <v>限時a秒；b秒檢查狂暴（血量&gt;50%+狂暴閾值→傷害×c）；每d秒蓄力重擊×2.2（試煉a~d｜地獄e~h｜煉獄i~l）</v>
      </c>
      <c r="F108" t="str">
        <f>計算表!F108</f>
        <v>各塔獨立：試煉a~d、地獄e~h、煉獄i~l；每組依序＝限時、狂暴檢查、狂暴傷害倍率、蓄力周期。</v>
      </c>
      <c r="G108">
        <f>計算表!G108</f>
        <v>60</v>
      </c>
      <c r="H108">
        <f>計算表!H108</f>
        <v>40</v>
      </c>
      <c r="I108">
        <f>計算表!I108</f>
        <v>3</v>
      </c>
      <c r="J108">
        <f>計算表!J108</f>
        <v>8</v>
      </c>
      <c r="K108">
        <f>計算表!K108</f>
        <v>60</v>
      </c>
      <c r="L108">
        <f>計算表!L108</f>
        <v>40</v>
      </c>
      <c r="M108">
        <f>計算表!M108</f>
        <v>3</v>
      </c>
      <c r="N108">
        <f>計算表!N108</f>
        <v>8</v>
      </c>
      <c r="O108">
        <f>計算表!O108</f>
        <v>60</v>
      </c>
      <c r="P108">
        <f>計算表!P108</f>
        <v>40</v>
      </c>
      <c r="Q108">
        <f>計算表!Q108</f>
        <v>3</v>
      </c>
      <c r="R108">
        <f>計算表!R108</f>
        <v>8</v>
      </c>
    </row>
    <row r="109" spans="1:18" x14ac:dyDescent="0.25">
      <c r="A109">
        <f>計算表!A109</f>
        <v>108</v>
      </c>
      <c r="B109">
        <f>計算表!B109</f>
        <v>0</v>
      </c>
      <c r="C109" t="str">
        <f>計算表!C109</f>
        <v>4-高塔BOSS</v>
      </c>
      <c r="D109" t="str">
        <f>計算表!D109</f>
        <v>地獄之塔範圍</v>
      </c>
      <c r="E109" t="str">
        <f>計算表!E109</f>
        <v>第a~b層</v>
      </c>
      <c r="F109" t="str">
        <f>計算表!F109</f>
        <v>a=起始層 b=結束層（100 層後未開放）。生命×5、攻擊×2。</v>
      </c>
      <c r="G109">
        <f>計算表!G109</f>
        <v>51</v>
      </c>
      <c r="H109">
        <f>計算表!H109</f>
        <v>100</v>
      </c>
      <c r="I109">
        <f>計算表!I109</f>
        <v>0</v>
      </c>
      <c r="J109">
        <f>計算表!J109</f>
        <v>0</v>
      </c>
      <c r="K109">
        <f>計算表!K109</f>
        <v>0</v>
      </c>
      <c r="L109">
        <f>計算表!L109</f>
        <v>0</v>
      </c>
      <c r="M109">
        <f>計算表!M109</f>
        <v>0</v>
      </c>
      <c r="N109">
        <f>計算表!N109</f>
        <v>0</v>
      </c>
      <c r="O109">
        <f>計算表!O109</f>
        <v>0</v>
      </c>
      <c r="P109">
        <f>計算表!P109</f>
        <v>0</v>
      </c>
      <c r="Q109">
        <f>計算表!Q109</f>
        <v>0</v>
      </c>
      <c r="R109">
        <f>計算表!R109</f>
        <v>0</v>
      </c>
    </row>
    <row r="110" spans="1:18" x14ac:dyDescent="0.25">
      <c r="A110">
        <f>計算表!A110</f>
        <v>109</v>
      </c>
      <c r="B110">
        <f>計算表!B110</f>
        <v>0</v>
      </c>
      <c r="C110" t="str">
        <f>計算表!C110</f>
        <v>4-高塔BOSS</v>
      </c>
      <c r="D110" t="str">
        <f>計算表!D110</f>
        <v>試煉之塔範圍</v>
      </c>
      <c r="E110" t="str">
        <f>計算表!E110</f>
        <v>第a~b層</v>
      </c>
      <c r="F110" t="str">
        <f>計算表!F110</f>
        <v>a=起始層 b=結束層。</v>
      </c>
      <c r="G110">
        <f>計算表!G110</f>
        <v>1</v>
      </c>
      <c r="H110">
        <f>計算表!H110</f>
        <v>50</v>
      </c>
      <c r="I110">
        <f>計算表!I110</f>
        <v>0</v>
      </c>
      <c r="J110">
        <f>計算表!J110</f>
        <v>0</v>
      </c>
      <c r="K110">
        <f>計算表!K110</f>
        <v>0</v>
      </c>
      <c r="L110">
        <f>計算表!L110</f>
        <v>0</v>
      </c>
      <c r="M110">
        <f>計算表!M110</f>
        <v>0</v>
      </c>
      <c r="N110">
        <f>計算表!N110</f>
        <v>0</v>
      </c>
      <c r="O110">
        <f>計算表!O110</f>
        <v>0</v>
      </c>
      <c r="P110">
        <f>計算表!P110</f>
        <v>0</v>
      </c>
      <c r="Q110">
        <f>計算表!Q110</f>
        <v>0</v>
      </c>
      <c r="R110">
        <f>計算表!R110</f>
        <v>0</v>
      </c>
    </row>
    <row r="111" spans="1:18" x14ac:dyDescent="0.25">
      <c r="A111">
        <f>計算表!A111</f>
        <v>110</v>
      </c>
      <c r="B111">
        <f>計算表!B111</f>
        <v>0</v>
      </c>
      <c r="C111" t="str">
        <f>計算表!C111</f>
        <v>4-高塔BOSS</v>
      </c>
      <c r="D111" t="str">
        <f>計算表!D111</f>
        <v>魔魂本源(地獄之塔)</v>
      </c>
      <c r="E111" t="str">
        <f>計算表!E111</f>
        <v>min(100, a% + (樓層-51)×b%)</v>
      </c>
      <c r="F111" t="str">
        <f>計算表!F111</f>
        <v>僅地獄之塔；獨立判定 1 顆。</v>
      </c>
      <c r="G111">
        <f>計算表!G111</f>
        <v>5</v>
      </c>
      <c r="H111">
        <f>計算表!H111</f>
        <v>1</v>
      </c>
      <c r="I111">
        <f>計算表!I111</f>
        <v>0</v>
      </c>
      <c r="J111">
        <f>計算表!J111</f>
        <v>0</v>
      </c>
      <c r="K111">
        <f>計算表!K111</f>
        <v>0</v>
      </c>
      <c r="L111">
        <f>計算表!L111</f>
        <v>0</v>
      </c>
      <c r="M111">
        <f>計算表!M111</f>
        <v>0</v>
      </c>
      <c r="N111">
        <f>計算表!N111</f>
        <v>0</v>
      </c>
      <c r="O111">
        <f>計算表!O111</f>
        <v>0</v>
      </c>
      <c r="P111">
        <f>計算表!P111</f>
        <v>0</v>
      </c>
      <c r="Q111">
        <f>計算表!Q111</f>
        <v>0</v>
      </c>
      <c r="R111">
        <f>計算表!R111</f>
        <v>0</v>
      </c>
    </row>
    <row r="112" spans="1:18" x14ac:dyDescent="0.25">
      <c r="A112">
        <f>計算表!A112</f>
        <v>111</v>
      </c>
      <c r="B112">
        <f>計算表!B112</f>
        <v>0</v>
      </c>
      <c r="C112" t="str">
        <f>計算表!C112</f>
        <v>4-高塔BOSS</v>
      </c>
      <c r="D112" t="str">
        <f>計算表!D112</f>
        <v>魔種(煉獄之塔)</v>
      </c>
      <c r="E112" t="str">
        <f>計算表!E112</f>
        <v>min(a%, b% + (BOSS層數-101)×c%)</v>
      </c>
      <c r="F112" t="str">
        <f>計算表!F112</f>
        <v>煉獄之塔 101~150 層 BOSS 額外掉落魔種；每場獨立判定。</v>
      </c>
      <c r="G112">
        <f>計算表!G112</f>
        <v>100</v>
      </c>
      <c r="H112">
        <f>計算表!H112</f>
        <v>10</v>
      </c>
      <c r="I112">
        <f>計算表!I112</f>
        <v>2</v>
      </c>
      <c r="J112">
        <f>計算表!J112</f>
        <v>0</v>
      </c>
      <c r="K112">
        <f>計算表!K112</f>
        <v>0</v>
      </c>
      <c r="L112">
        <f>計算表!L112</f>
        <v>0</v>
      </c>
      <c r="M112">
        <f>計算表!M112</f>
        <v>0</v>
      </c>
      <c r="N112">
        <f>計算表!N112</f>
        <v>0</v>
      </c>
      <c r="O112">
        <f>計算表!O112</f>
        <v>0</v>
      </c>
      <c r="P112">
        <f>計算表!P112</f>
        <v>0</v>
      </c>
      <c r="Q112">
        <f>計算表!Q112</f>
        <v>0</v>
      </c>
      <c r="R112">
        <f>計算表!R112</f>
        <v>0</v>
      </c>
    </row>
    <row r="113" spans="1:18" x14ac:dyDescent="0.25">
      <c r="A113">
        <f>計算表!A113</f>
        <v>112</v>
      </c>
      <c r="B113">
        <f>計算表!B113</f>
        <v>0</v>
      </c>
      <c r="C113" t="str">
        <f>計算表!C113</f>
        <v>4-高塔BOSS</v>
      </c>
      <c r="D113" t="str">
        <f>計算表!D113</f>
        <v>高塔 BOSS 魔塵</v>
      </c>
      <c r="E113" t="str">
        <f>計算表!E113</f>
        <v>min(a%, b% + 樓層×c%)</v>
      </c>
      <c r="F113" t="str">
        <f>計算表!F113</f>
        <v>a=上限 b=基礎 c=每層。</v>
      </c>
      <c r="G113">
        <f>計算表!G113</f>
        <v>30</v>
      </c>
      <c r="H113">
        <f>計算表!H113</f>
        <v>2</v>
      </c>
      <c r="I113">
        <f>計算表!I113</f>
        <v>0.2</v>
      </c>
      <c r="J113">
        <f>計算表!J113</f>
        <v>0</v>
      </c>
      <c r="K113">
        <f>計算表!K113</f>
        <v>0</v>
      </c>
      <c r="L113">
        <f>計算表!L113</f>
        <v>0</v>
      </c>
      <c r="M113">
        <f>計算表!M113</f>
        <v>0</v>
      </c>
      <c r="N113">
        <f>計算表!N113</f>
        <v>0</v>
      </c>
      <c r="O113">
        <f>計算表!O113</f>
        <v>0</v>
      </c>
      <c r="P113">
        <f>計算表!P113</f>
        <v>0</v>
      </c>
      <c r="Q113">
        <f>計算表!Q113</f>
        <v>0</v>
      </c>
      <c r="R113">
        <f>計算表!R113</f>
        <v>0</v>
      </c>
    </row>
    <row r="114" spans="1:18" x14ac:dyDescent="0.25">
      <c r="A114">
        <f>計算表!A114</f>
        <v>113</v>
      </c>
      <c r="B114">
        <f>計算表!B114</f>
        <v>0</v>
      </c>
      <c r="C114" t="str">
        <f>計算表!C114</f>
        <v>4-高塔BOSS</v>
      </c>
      <c r="D114" t="str">
        <f>計算表!D114</f>
        <v>試練之塔範圍</v>
      </c>
      <c r="E114" t="str">
        <f>計算表!E114</f>
        <v>{試煉之塔：第a~b層}{地獄之塔：第a~b層}{煉獄之塔：第a~b層}</v>
      </c>
      <c r="F114" t="str">
        <f>計算表!F114</f>
        <v>a=起始層 b=結束層。</v>
      </c>
      <c r="G114" t="str">
        <f>計算表!G114</f>
        <v>{1~50}</v>
      </c>
      <c r="H114" t="str">
        <f>計算表!H114</f>
        <v>{51~100}</v>
      </c>
      <c r="I114" t="str">
        <f>計算表!I114</f>
        <v>{101~150}</v>
      </c>
      <c r="J114">
        <f>計算表!J114</f>
        <v>0</v>
      </c>
      <c r="K114">
        <f>計算表!K114</f>
        <v>0</v>
      </c>
      <c r="L114">
        <f>計算表!L114</f>
        <v>0</v>
      </c>
      <c r="M114">
        <f>計算表!M114</f>
        <v>0</v>
      </c>
      <c r="N114">
        <f>計算表!N114</f>
        <v>0</v>
      </c>
      <c r="O114">
        <f>計算表!O114</f>
        <v>0</v>
      </c>
      <c r="P114">
        <f>計算表!P114</f>
        <v>0</v>
      </c>
      <c r="Q114">
        <f>計算表!Q114</f>
        <v>0</v>
      </c>
      <c r="R114">
        <f>計算表!R114</f>
        <v>0</v>
      </c>
    </row>
    <row r="115" spans="1:18" x14ac:dyDescent="0.25">
      <c r="A115">
        <f>計算表!A115</f>
        <v>114</v>
      </c>
      <c r="B115">
        <f>計算表!B115</f>
        <v>0</v>
      </c>
      <c r="C115" t="str">
        <f>計算表!C115</f>
        <v>4-野外BOSS</v>
      </c>
      <c r="D115" t="str">
        <f>計算表!D115</f>
        <v>出現階段</v>
      </c>
      <c r="E115" t="str">
        <f>計算表!E115</f>
        <v>每 a 階出現一次</v>
      </c>
      <c r="F115" t="str">
        <f>計算表!F115</f>
        <v>野外 BOSS 出現於階段為 a 的倍數；與菁英階段重疊時 BOSS 優先。固定單一敵人。</v>
      </c>
      <c r="G115">
        <f>計算表!G115</f>
        <v>50</v>
      </c>
      <c r="H115">
        <f>計算表!H115</f>
        <v>0</v>
      </c>
      <c r="I115">
        <f>計算表!I115</f>
        <v>0</v>
      </c>
      <c r="J115">
        <f>計算表!J115</f>
        <v>0</v>
      </c>
      <c r="K115">
        <f>計算表!K115</f>
        <v>0</v>
      </c>
      <c r="L115">
        <f>計算表!L115</f>
        <v>0</v>
      </c>
      <c r="M115">
        <f>計算表!M115</f>
        <v>0</v>
      </c>
      <c r="N115">
        <f>計算表!N115</f>
        <v>0</v>
      </c>
      <c r="O115">
        <f>計算表!O115</f>
        <v>0</v>
      </c>
      <c r="P115">
        <f>計算表!P115</f>
        <v>0</v>
      </c>
      <c r="Q115">
        <f>計算表!Q115</f>
        <v>0</v>
      </c>
      <c r="R115">
        <f>計算表!R115</f>
        <v>0</v>
      </c>
    </row>
    <row r="116" spans="1:18" x14ac:dyDescent="0.25">
      <c r="A116">
        <f>計算表!A116</f>
        <v>115</v>
      </c>
      <c r="B116">
        <f>計算表!B116</f>
        <v>0</v>
      </c>
      <c r="C116" t="str">
        <f>計算表!C116</f>
        <v>4-野外BOSS</v>
      </c>
      <c r="D116" t="str">
        <f>計算表!D116</f>
        <v>數值倍率</v>
      </c>
      <c r="E116" t="str">
        <f>計算表!E116</f>
        <v>生命×a 攻擊×b 防禦×c 金幣經驗×d 閃避+e 攻速f</v>
      </c>
      <c r="F116" t="str">
        <f>計算表!F116</f>
        <v>相對於同階段普通怪。e=閃避加成（百分點）f=攻速絕對值（次/秒）。BOSS 免疫控場遞減。</v>
      </c>
      <c r="G116">
        <f>計算表!G116</f>
        <v>15</v>
      </c>
      <c r="H116">
        <f>計算表!H116</f>
        <v>4</v>
      </c>
      <c r="I116">
        <f>計算表!I116</f>
        <v>2</v>
      </c>
      <c r="J116">
        <f>計算表!J116</f>
        <v>10</v>
      </c>
      <c r="K116">
        <f>計算表!K116</f>
        <v>2</v>
      </c>
      <c r="L116">
        <f>計算表!L116</f>
        <v>1.5</v>
      </c>
      <c r="M116">
        <f>計算表!M116</f>
        <v>0</v>
      </c>
      <c r="N116">
        <f>計算表!N116</f>
        <v>0</v>
      </c>
      <c r="O116">
        <f>計算表!O116</f>
        <v>0</v>
      </c>
      <c r="P116">
        <f>計算表!P116</f>
        <v>0</v>
      </c>
      <c r="Q116">
        <f>計算表!Q116</f>
        <v>0</v>
      </c>
      <c r="R116">
        <f>計算表!R116</f>
        <v>0</v>
      </c>
    </row>
    <row r="117" spans="1:18" x14ac:dyDescent="0.25">
      <c r="A117">
        <f>計算表!A117</f>
        <v>116</v>
      </c>
      <c r="B117">
        <f>計算表!B117</f>
        <v>0</v>
      </c>
      <c r="C117" t="str">
        <f>計算表!C117</f>
        <v>4-野外BOSS</v>
      </c>
      <c r="D117" t="str">
        <f>計算表!D117</f>
        <v>掉落倍率</v>
      </c>
      <c r="E117" t="str">
        <f>計算表!E117</f>
        <v>所有掉落 ×a</v>
      </c>
      <c r="F117" t="str">
        <f>計算表!F117</f>
        <v>BOSS 的裝備/材料/寶石掉落率統一乘 a（比照野外菁英掉落倍率）。</v>
      </c>
      <c r="G117">
        <f>計算表!G117</f>
        <v>3</v>
      </c>
      <c r="H117">
        <f>計算表!H117</f>
        <v>0</v>
      </c>
      <c r="I117">
        <f>計算表!I117</f>
        <v>0</v>
      </c>
      <c r="J117">
        <f>計算表!J117</f>
        <v>0</v>
      </c>
      <c r="K117">
        <f>計算表!K117</f>
        <v>0</v>
      </c>
      <c r="L117">
        <f>計算表!L117</f>
        <v>0</v>
      </c>
      <c r="M117">
        <f>計算表!M117</f>
        <v>0</v>
      </c>
      <c r="N117">
        <f>計算表!N117</f>
        <v>0</v>
      </c>
      <c r="O117">
        <f>計算表!O117</f>
        <v>0</v>
      </c>
      <c r="P117">
        <f>計算表!P117</f>
        <v>0</v>
      </c>
      <c r="Q117">
        <f>計算表!Q117</f>
        <v>0</v>
      </c>
      <c r="R117">
        <f>計算表!R117</f>
        <v>0</v>
      </c>
    </row>
    <row r="118" spans="1:18" x14ac:dyDescent="0.25">
      <c r="A118">
        <f>計算表!A118</f>
        <v>117</v>
      </c>
      <c r="B118">
        <f>計算表!B118</f>
        <v>0</v>
      </c>
      <c r="C118" t="str">
        <f>計算表!C118</f>
        <v>4-野外怪物</v>
      </c>
      <c r="D118" t="str">
        <f>計算表!D118</f>
        <v>生命</v>
      </c>
      <c r="E118" t="str">
        <f>計算表!E118</f>
        <v>(a+階段×b)×c^(階段-1)</v>
      </c>
      <c r="F118" t="str">
        <f>計算表!F118</f>
        <v>a=常數 b=每階 c=指數底。</v>
      </c>
      <c r="G118">
        <f>計算表!G118</f>
        <v>20</v>
      </c>
      <c r="H118">
        <f>計算表!H118</f>
        <v>16</v>
      </c>
      <c r="I118">
        <f>計算表!I118</f>
        <v>1.06</v>
      </c>
      <c r="J118">
        <f>計算表!J118</f>
        <v>0</v>
      </c>
      <c r="K118">
        <f>計算表!K118</f>
        <v>0</v>
      </c>
      <c r="L118">
        <f>計算表!L118</f>
        <v>0</v>
      </c>
      <c r="M118">
        <f>計算表!M118</f>
        <v>0</v>
      </c>
      <c r="N118">
        <f>計算表!N118</f>
        <v>0</v>
      </c>
      <c r="O118">
        <f>計算表!O118</f>
        <v>0</v>
      </c>
      <c r="P118">
        <f>計算表!P118</f>
        <v>0</v>
      </c>
      <c r="Q118">
        <f>計算表!Q118</f>
        <v>0</v>
      </c>
      <c r="R118">
        <f>計算表!R118</f>
        <v>0</v>
      </c>
    </row>
    <row r="119" spans="1:18" x14ac:dyDescent="0.25">
      <c r="A119">
        <f>計算表!A119</f>
        <v>118</v>
      </c>
      <c r="B119">
        <f>計算表!B119</f>
        <v>0</v>
      </c>
      <c r="C119" t="str">
        <f>計算表!C119</f>
        <v>4-野外怪物</v>
      </c>
      <c r="D119" t="str">
        <f>計算表!D119</f>
        <v>攻擊</v>
      </c>
      <c r="E119" t="str">
        <f>計算表!E119</f>
        <v>(a+階段×b)×c^(階段-1)</v>
      </c>
      <c r="F119" t="str">
        <f>計算表!F119</f>
        <v>a=常數 b=每階 c=指數底。</v>
      </c>
      <c r="G119">
        <f>計算表!G119</f>
        <v>2</v>
      </c>
      <c r="H119">
        <f>計算表!H119</f>
        <v>2</v>
      </c>
      <c r="I119">
        <f>計算表!I119</f>
        <v>1.04</v>
      </c>
      <c r="J119">
        <f>計算表!J119</f>
        <v>0</v>
      </c>
      <c r="K119">
        <f>計算表!K119</f>
        <v>0</v>
      </c>
      <c r="L119">
        <f>計算表!L119</f>
        <v>0</v>
      </c>
      <c r="M119">
        <f>計算表!M119</f>
        <v>0</v>
      </c>
      <c r="N119">
        <f>計算表!N119</f>
        <v>0</v>
      </c>
      <c r="O119">
        <f>計算表!O119</f>
        <v>0</v>
      </c>
      <c r="P119">
        <f>計算表!P119</f>
        <v>0</v>
      </c>
      <c r="Q119">
        <f>計算表!Q119</f>
        <v>0</v>
      </c>
      <c r="R119">
        <f>計算表!R119</f>
        <v>0</v>
      </c>
    </row>
    <row r="120" spans="1:18" x14ac:dyDescent="0.25">
      <c r="A120">
        <f>計算表!A120</f>
        <v>119</v>
      </c>
      <c r="B120">
        <f>計算表!B120</f>
        <v>0</v>
      </c>
      <c r="C120" t="str">
        <f>計算表!C120</f>
        <v>4-野外怪物</v>
      </c>
      <c r="D120" t="str">
        <f>計算表!D120</f>
        <v>物理防禦</v>
      </c>
      <c r="E120" t="str">
        <f>計算表!E120</f>
        <v>(a+階段×b)×c^(階段-1)</v>
      </c>
      <c r="F120" t="str">
        <f>計算表!F120</f>
        <v>魔法防禦 = 物理防禦×0.75。</v>
      </c>
      <c r="G120">
        <f>計算表!G120</f>
        <v>2</v>
      </c>
      <c r="H120">
        <f>計算表!H120</f>
        <v>0.5</v>
      </c>
      <c r="I120" s="7" t="s">
        <v>1009</v>
      </c>
      <c r="J120">
        <f>計算表!J120</f>
        <v>0</v>
      </c>
      <c r="K120">
        <f>計算表!K120</f>
        <v>0</v>
      </c>
      <c r="L120">
        <f>計算表!L120</f>
        <v>0</v>
      </c>
      <c r="M120">
        <f>計算表!M120</f>
        <v>0</v>
      </c>
      <c r="N120">
        <f>計算表!N120</f>
        <v>0</v>
      </c>
      <c r="O120">
        <f>計算表!O120</f>
        <v>0</v>
      </c>
      <c r="P120">
        <f>計算表!P120</f>
        <v>0</v>
      </c>
      <c r="Q120">
        <f>計算表!Q120</f>
        <v>0</v>
      </c>
      <c r="R120">
        <f>計算表!R120</f>
        <v>0</v>
      </c>
    </row>
    <row r="121" spans="1:18" x14ac:dyDescent="0.25">
      <c r="A121">
        <f>計算表!A121</f>
        <v>120</v>
      </c>
      <c r="B121">
        <f>計算表!B121</f>
        <v>0</v>
      </c>
      <c r="C121" t="str">
        <f>計算表!C121</f>
        <v>4-野外怪物</v>
      </c>
      <c r="D121" t="str">
        <f>計算表!D121</f>
        <v>金幣</v>
      </c>
      <c r="E121" t="str">
        <f>計算表!E121</f>
        <v>(a+階段×b)×c^(階段-1)</v>
      </c>
      <c r="F121" t="str">
        <f>計算表!F121</f>
        <v>a=常數 b=每階 c=指數底。</v>
      </c>
      <c r="G121">
        <f>計算表!G121</f>
        <v>250</v>
      </c>
      <c r="H121">
        <f>計算表!H121</f>
        <v>1</v>
      </c>
      <c r="I121">
        <f>計算表!I121</f>
        <v>1.018</v>
      </c>
      <c r="J121">
        <f>計算表!J121</f>
        <v>0</v>
      </c>
      <c r="K121">
        <f>計算表!K121</f>
        <v>0</v>
      </c>
      <c r="L121">
        <f>計算表!L121</f>
        <v>0</v>
      </c>
      <c r="M121">
        <f>計算表!M121</f>
        <v>0</v>
      </c>
      <c r="N121">
        <f>計算表!N121</f>
        <v>0</v>
      </c>
      <c r="O121">
        <f>計算表!O121</f>
        <v>0</v>
      </c>
      <c r="P121">
        <f>計算表!P121</f>
        <v>0</v>
      </c>
      <c r="Q121">
        <f>計算表!Q121</f>
        <v>0</v>
      </c>
      <c r="R121">
        <f>計算表!R121</f>
        <v>0</v>
      </c>
    </row>
    <row r="122" spans="1:18" x14ac:dyDescent="0.25">
      <c r="A122">
        <f>計算表!A122</f>
        <v>121</v>
      </c>
      <c r="B122">
        <f>計算表!B122</f>
        <v>0</v>
      </c>
      <c r="C122" t="str">
        <f>計算表!C122</f>
        <v>4-野外怪物</v>
      </c>
      <c r="D122" t="str">
        <f>計算表!D122</f>
        <v>經驗</v>
      </c>
      <c r="E122" t="str">
        <f>計算表!E122</f>
        <v>(a+階段×b)×c^(階段-1)</v>
      </c>
      <c r="F122" t="str">
        <f>計算表!F122</f>
        <v>a=常數 b=每階 c=指數底。</v>
      </c>
      <c r="G122">
        <f>計算表!G122</f>
        <v>120</v>
      </c>
      <c r="H122">
        <f>計算表!H122</f>
        <v>2</v>
      </c>
      <c r="I122">
        <f>計算表!I122</f>
        <v>1.06</v>
      </c>
      <c r="J122">
        <f>計算表!J122</f>
        <v>0</v>
      </c>
      <c r="K122">
        <f>計算表!K122</f>
        <v>0</v>
      </c>
      <c r="L122">
        <f>計算表!L122</f>
        <v>0</v>
      </c>
      <c r="M122">
        <f>計算表!M122</f>
        <v>0</v>
      </c>
      <c r="N122">
        <f>計算表!N122</f>
        <v>0</v>
      </c>
      <c r="O122">
        <f>計算表!O122</f>
        <v>0</v>
      </c>
      <c r="P122">
        <f>計算表!P122</f>
        <v>0</v>
      </c>
      <c r="Q122">
        <f>計算表!Q122</f>
        <v>0</v>
      </c>
      <c r="R122">
        <f>計算表!R122</f>
        <v>0</v>
      </c>
    </row>
    <row r="123" spans="1:18" x14ac:dyDescent="0.25">
      <c r="A123">
        <f>計算表!A123</f>
        <v>122</v>
      </c>
      <c r="B123">
        <f>計算表!B123</f>
        <v>0</v>
      </c>
      <c r="C123" t="str">
        <f>計算表!C123</f>
        <v>4-野外怪物</v>
      </c>
      <c r="D123" t="str">
        <f>計算表!D123</f>
        <v>攻擊速度</v>
      </c>
      <c r="E123" t="str">
        <f>計算表!E123</f>
        <v>a 次/秒</v>
      </c>
      <c r="F123" t="str">
        <f>計算表!F123</f>
        <v>a=普通怪攻速。</v>
      </c>
      <c r="G123">
        <f>計算表!G123</f>
        <v>1</v>
      </c>
      <c r="H123">
        <f>計算表!H123</f>
        <v>0</v>
      </c>
      <c r="I123">
        <f>計算表!I123</f>
        <v>0</v>
      </c>
      <c r="J123">
        <f>計算表!J123</f>
        <v>0</v>
      </c>
      <c r="K123">
        <f>計算表!K123</f>
        <v>0</v>
      </c>
      <c r="L123">
        <f>計算表!L123</f>
        <v>0</v>
      </c>
      <c r="M123">
        <f>計算表!M123</f>
        <v>0</v>
      </c>
      <c r="N123">
        <f>計算表!N123</f>
        <v>0</v>
      </c>
      <c r="O123">
        <f>計算表!O123</f>
        <v>0</v>
      </c>
      <c r="P123">
        <f>計算表!P123</f>
        <v>0</v>
      </c>
      <c r="Q123">
        <f>計算表!Q123</f>
        <v>0</v>
      </c>
      <c r="R123">
        <f>計算表!R123</f>
        <v>0</v>
      </c>
    </row>
    <row r="124" spans="1:18" x14ac:dyDescent="0.25">
      <c r="A124">
        <f>計算表!A124</f>
        <v>123</v>
      </c>
      <c r="B124">
        <f>計算表!B124</f>
        <v>0</v>
      </c>
      <c r="C124" t="str">
        <f>計算表!C124</f>
        <v>4-野外怪物</v>
      </c>
      <c r="D124" t="str">
        <f>計算表!D124</f>
        <v>命中率</v>
      </c>
      <c r="E124" t="str">
        <f>計算表!E124</f>
        <v>a%+敵人等級×b%</v>
      </c>
      <c r="F124" t="str">
        <f>計算表!F124</f>
        <v>敵人等級=階段。實際命中率沿用戰鬥核心：clamp(命中-玩家閃避, 5, 100)。</v>
      </c>
      <c r="G124">
        <f>計算表!G124</f>
        <v>100</v>
      </c>
      <c r="H124" t="str">
        <f>計算表!H124</f>
        <v>{1~49=0.5}</v>
      </c>
      <c r="I124" t="str">
        <f>計算表!I124</f>
        <v>{50~99=0.7}</v>
      </c>
      <c r="J124" t="str">
        <f>計算表!J124</f>
        <v>{100~149=1}</v>
      </c>
      <c r="K124" t="str">
        <f>計算表!K124</f>
        <v>{150~199=1.4}</v>
      </c>
      <c r="L124" t="str">
        <f>計算表!L124</f>
        <v>{200~299=1.8}</v>
      </c>
      <c r="M124" t="str">
        <f>計算表!M124</f>
        <v>{300+=2}</v>
      </c>
      <c r="N124">
        <f>計算表!N124</f>
        <v>0</v>
      </c>
      <c r="O124">
        <f>計算表!O124</f>
        <v>0</v>
      </c>
      <c r="P124">
        <f>計算表!P124</f>
        <v>0</v>
      </c>
      <c r="Q124">
        <f>計算表!Q124</f>
        <v>0</v>
      </c>
      <c r="R124">
        <f>計算表!R124</f>
        <v>0</v>
      </c>
    </row>
    <row r="125" spans="1:18" x14ac:dyDescent="0.25">
      <c r="A125">
        <f>計算表!A125</f>
        <v>124</v>
      </c>
      <c r="B125">
        <f>計算表!B125</f>
        <v>0</v>
      </c>
      <c r="C125" t="str">
        <f>計算表!C125</f>
        <v>4-野外怪物</v>
      </c>
      <c r="D125" t="str">
        <f>計算表!D125</f>
        <v>閃避率</v>
      </c>
      <c r="E125" t="str">
        <f>計算表!E125</f>
        <v>a%+敵人等級×b%</v>
      </c>
      <c r="F125" t="str">
        <f>計算表!F125</f>
        <v>敵人等級=階段。實際命中率沿用戰鬥核心：clamp(閃避-玩家命中, 5, 100)。</v>
      </c>
      <c r="G125">
        <f>計算表!G125</f>
        <v>5</v>
      </c>
      <c r="H125" t="str">
        <f>計算表!H125</f>
        <v>{1~49=0.5}</v>
      </c>
      <c r="I125" t="str">
        <f>計算表!I125</f>
        <v>{50~99=0.65}</v>
      </c>
      <c r="J125" t="str">
        <f>計算表!J125</f>
        <v>{100~149=0.8}</v>
      </c>
      <c r="K125" t="str">
        <f>計算表!K125</f>
        <v>{150~199=1}</v>
      </c>
      <c r="L125" t="str">
        <f>計算表!L125</f>
        <v>{200~299=1.2}</v>
      </c>
      <c r="M125" t="str">
        <f>計算表!M125</f>
        <v>{300+=1.5}</v>
      </c>
      <c r="N125">
        <f>計算表!N125</f>
        <v>0</v>
      </c>
      <c r="O125">
        <f>計算表!O125</f>
        <v>0</v>
      </c>
      <c r="P125">
        <f>計算表!P125</f>
        <v>0</v>
      </c>
      <c r="Q125">
        <f>計算表!Q125</f>
        <v>0</v>
      </c>
      <c r="R125">
        <f>計算表!R125</f>
        <v>0</v>
      </c>
    </row>
    <row r="126" spans="1:18" x14ac:dyDescent="0.25">
      <c r="A126">
        <f>計算表!A126</f>
        <v>125</v>
      </c>
      <c r="B126">
        <f>計算表!B126</f>
        <v>0</v>
      </c>
      <c r="C126" t="str">
        <f>計算表!C126</f>
        <v>4-野外怪物</v>
      </c>
      <c r="D126" t="str">
        <f>計算表!D126</f>
        <v>菁英倍率</v>
      </c>
      <c r="E126" t="str">
        <f>計算表!E126</f>
        <v>生命×a 攻擊×b 金幣經驗×c 閃避d 攻速e</v>
      </c>
      <c r="F126" t="str">
        <f>計算表!F126</f>
        <v>菁英出現於階段為 10 的倍數，敵人數量與普通怪一致。〔菁英現在成群出現（可能帶小兵），普通關也會遇到；群的設定見「4-菁英群組」。小兵不吃這一列的倍率。〕</v>
      </c>
      <c r="G126">
        <f>計算表!G126</f>
        <v>4</v>
      </c>
      <c r="H126">
        <f>計算表!H126</f>
        <v>2</v>
      </c>
      <c r="I126">
        <f>計算表!I126</f>
        <v>2</v>
      </c>
      <c r="J126">
        <f>計算表!J126</f>
        <v>1.5</v>
      </c>
      <c r="K126">
        <f>計算表!K126</f>
        <v>1</v>
      </c>
      <c r="L126">
        <f>計算表!L126</f>
        <v>0</v>
      </c>
      <c r="M126">
        <f>計算表!M126</f>
        <v>0</v>
      </c>
      <c r="N126">
        <f>計算表!N126</f>
        <v>0</v>
      </c>
      <c r="O126">
        <f>計算表!O126</f>
        <v>0</v>
      </c>
      <c r="P126">
        <f>計算表!P126</f>
        <v>0</v>
      </c>
      <c r="Q126">
        <f>計算表!Q126</f>
        <v>0</v>
      </c>
      <c r="R126">
        <f>計算表!R126</f>
        <v>0</v>
      </c>
    </row>
    <row r="127" spans="1:18" x14ac:dyDescent="0.25">
      <c r="A127">
        <f>計算表!A127</f>
        <v>126</v>
      </c>
      <c r="B127">
        <f>計算表!B127</f>
        <v>0</v>
      </c>
      <c r="C127" t="str">
        <f>計算表!C127</f>
        <v>4-野外怪物</v>
      </c>
      <c r="D127" t="str">
        <f>計算表!D127</f>
        <v>野外菁英掉落倍率</v>
      </c>
      <c r="E127" t="str">
        <f>計算表!E127</f>
        <v>所有掉落 ×a</v>
      </c>
      <c r="F127" t="str">
        <f>計算表!F127</f>
        <v>菁英敵人裝備/材料/寶石掉落率統一乘 a（程式實際值）。</v>
      </c>
      <c r="G127">
        <f>計算表!G127</f>
        <v>1.5</v>
      </c>
      <c r="H127">
        <f>計算表!H127</f>
        <v>0</v>
      </c>
      <c r="I127">
        <f>計算表!I127</f>
        <v>0</v>
      </c>
      <c r="J127">
        <f>計算表!J127</f>
        <v>0</v>
      </c>
      <c r="K127">
        <f>計算表!K127</f>
        <v>0</v>
      </c>
      <c r="L127">
        <f>計算表!L127</f>
        <v>0</v>
      </c>
      <c r="M127">
        <f>計算表!M127</f>
        <v>0</v>
      </c>
      <c r="N127">
        <f>計算表!N127</f>
        <v>0</v>
      </c>
      <c r="O127">
        <f>計算表!O127</f>
        <v>0</v>
      </c>
      <c r="P127">
        <f>計算表!P127</f>
        <v>0</v>
      </c>
      <c r="Q127">
        <f>計算表!Q127</f>
        <v>0</v>
      </c>
      <c r="R127">
        <f>計算表!R127</f>
        <v>0</v>
      </c>
    </row>
    <row r="128" spans="1:18" x14ac:dyDescent="0.25">
      <c r="A128">
        <f>計算表!A128</f>
        <v>127</v>
      </c>
      <c r="B128">
        <f>計算表!B128</f>
        <v>0</v>
      </c>
      <c r="C128" t="str">
        <f>計算表!C128</f>
        <v>4-敵人數量</v>
      </c>
      <c r="D128" t="str">
        <f>計算表!D128</f>
        <v>小怪 數量權重(荒漠1~20關)</v>
      </c>
      <c r="E128" t="str">
        <f>計算表!E128</f>
        <v>權重表：{數量,權重} 或 {下限~上限,權重}</v>
      </c>
      <c r="F128" t="str">
        <f>計算表!F128</f>
        <v>每波獨立擲骰。權重只看相對大小，總和不必湊 100；填 0 或留空＝不會被抽中。數量上限為棋盤總格數（見 4-戰場站位/棋盤格數）。</v>
      </c>
      <c r="G128" t="str">
        <f>計算表!G128</f>
        <v>{1~2,95}</v>
      </c>
      <c r="H128" t="str">
        <f>計算表!H128</f>
        <v>{3,5}</v>
      </c>
      <c r="I128">
        <f>計算表!I128</f>
        <v>0</v>
      </c>
      <c r="J128">
        <f>計算表!J128</f>
        <v>0</v>
      </c>
      <c r="K128">
        <f>計算表!K128</f>
        <v>0</v>
      </c>
      <c r="L128">
        <f>計算表!L128</f>
        <v>0</v>
      </c>
      <c r="M128">
        <f>計算表!M128</f>
        <v>0</v>
      </c>
      <c r="N128">
        <f>計算表!N128</f>
        <v>0</v>
      </c>
      <c r="O128">
        <f>計算表!O128</f>
        <v>0</v>
      </c>
      <c r="P128">
        <f>計算表!P128</f>
        <v>0</v>
      </c>
      <c r="Q128">
        <f>計算表!Q128</f>
        <v>0</v>
      </c>
      <c r="R128">
        <f>計算表!R128</f>
        <v>0</v>
      </c>
    </row>
    <row r="129" spans="1:18" x14ac:dyDescent="0.25">
      <c r="A129">
        <f>計算表!A129</f>
        <v>128</v>
      </c>
      <c r="B129">
        <f>計算表!B129</f>
        <v>0</v>
      </c>
      <c r="C129" t="str">
        <f>計算表!C129</f>
        <v>4-敵人數量</v>
      </c>
      <c r="D129" t="str">
        <f>計算表!D129</f>
        <v>小怪 數量權重(荒漠21~40關)</v>
      </c>
      <c r="E129" t="str">
        <f>計算表!E129</f>
        <v>權重表：{數量,權重} 或 {下限~上限,權重}</v>
      </c>
      <c r="F129" t="str">
        <f>計算表!F129</f>
        <v>每波獨立擲骰。權重只看相對大小，總和不必湊 100；填 0 或留空＝不會被抽中。數量上限為棋盤總格數（見 4-戰場站位/棋盤格數）。</v>
      </c>
      <c r="G129" t="str">
        <f>計算表!G129</f>
        <v>{1~2,90}</v>
      </c>
      <c r="H129" t="str">
        <f>計算表!H129</f>
        <v>{3,10}</v>
      </c>
      <c r="I129">
        <f>計算表!I129</f>
        <v>0</v>
      </c>
      <c r="J129">
        <f>計算表!J129</f>
        <v>0</v>
      </c>
      <c r="K129">
        <f>計算表!K129</f>
        <v>0</v>
      </c>
      <c r="L129">
        <f>計算表!L129</f>
        <v>0</v>
      </c>
      <c r="M129">
        <f>計算表!M129</f>
        <v>0</v>
      </c>
      <c r="N129">
        <f>計算表!N129</f>
        <v>0</v>
      </c>
      <c r="O129">
        <f>計算表!O129</f>
        <v>0</v>
      </c>
      <c r="P129">
        <f>計算表!P129</f>
        <v>0</v>
      </c>
      <c r="Q129">
        <f>計算表!Q129</f>
        <v>0</v>
      </c>
      <c r="R129">
        <f>計算表!R129</f>
        <v>0</v>
      </c>
    </row>
    <row r="130" spans="1:18" x14ac:dyDescent="0.25">
      <c r="A130">
        <f>計算表!A130</f>
        <v>129</v>
      </c>
      <c r="B130">
        <f>計算表!B130</f>
        <v>0</v>
      </c>
      <c r="C130" t="str">
        <f>計算表!C130</f>
        <v>4-敵人數量</v>
      </c>
      <c r="D130" t="str">
        <f>計算表!D130</f>
        <v>小怪 數量權重(荒漠41~60關)</v>
      </c>
      <c r="E130" t="str">
        <f>計算表!E130</f>
        <v>權重表：{數量,權重} 或 {下限~上限,權重}</v>
      </c>
      <c r="F130" t="str">
        <f>計算表!F130</f>
        <v>每波獨立擲骰。權重只看相對大小，總和不必湊 100；填 0 或留空＝不會被抽中。數量上限為棋盤總格數（見 4-戰場站位/棋盤格數）。</v>
      </c>
      <c r="G130" t="str">
        <f>計算表!G130</f>
        <v>{1~2,85}</v>
      </c>
      <c r="H130" t="str">
        <f>計算表!H130</f>
        <v>{3,14}</v>
      </c>
      <c r="I130" t="str">
        <f>計算表!I130</f>
        <v>{4,1}</v>
      </c>
      <c r="J130">
        <f>計算表!J130</f>
        <v>0</v>
      </c>
      <c r="K130">
        <f>計算表!K130</f>
        <v>0</v>
      </c>
      <c r="L130">
        <f>計算表!L130</f>
        <v>0</v>
      </c>
      <c r="M130">
        <f>計算表!M130</f>
        <v>0</v>
      </c>
      <c r="N130">
        <f>計算表!N130</f>
        <v>0</v>
      </c>
      <c r="O130">
        <f>計算表!O130</f>
        <v>0</v>
      </c>
      <c r="P130">
        <f>計算表!P130</f>
        <v>0</v>
      </c>
      <c r="Q130">
        <f>計算表!Q130</f>
        <v>0</v>
      </c>
      <c r="R130">
        <f>計算表!R130</f>
        <v>0</v>
      </c>
    </row>
    <row r="131" spans="1:18" x14ac:dyDescent="0.25">
      <c r="A131">
        <f>計算表!A131</f>
        <v>130</v>
      </c>
      <c r="B131">
        <f>計算表!B131</f>
        <v>0</v>
      </c>
      <c r="C131" t="str">
        <f>計算表!C131</f>
        <v>4-敵人數量</v>
      </c>
      <c r="D131" t="str">
        <f>計算表!D131</f>
        <v>小怪 數量權重(荒漠61~80關)</v>
      </c>
      <c r="E131" t="str">
        <f>計算表!E131</f>
        <v>權重表：{數量,權重} 或 {下限~上限,權重}</v>
      </c>
      <c r="F131" t="str">
        <f>計算表!F131</f>
        <v>每波獨立擲骰。權重只看相對大小，總和不必湊 100；填 0 或留空＝不會被抽中。數量上限為棋盤總格數（見 4-戰場站位/棋盤格數）。</v>
      </c>
      <c r="G131" t="str">
        <f>計算表!G131</f>
        <v>{1~3,80}</v>
      </c>
      <c r="H131" t="str">
        <f>計算表!H131</f>
        <v>{4,12}</v>
      </c>
      <c r="I131" t="str">
        <f>計算表!I131</f>
        <v>{5,6}</v>
      </c>
      <c r="J131" t="str">
        <f>計算表!J131</f>
        <v>{6,2}</v>
      </c>
      <c r="K131">
        <f>計算表!K131</f>
        <v>0</v>
      </c>
      <c r="L131">
        <f>計算表!L131</f>
        <v>0</v>
      </c>
      <c r="M131">
        <f>計算表!M131</f>
        <v>0</v>
      </c>
      <c r="N131">
        <f>計算表!N131</f>
        <v>0</v>
      </c>
      <c r="O131">
        <f>計算表!O131</f>
        <v>0</v>
      </c>
      <c r="P131">
        <f>計算表!P131</f>
        <v>0</v>
      </c>
      <c r="Q131">
        <f>計算表!Q131</f>
        <v>0</v>
      </c>
      <c r="R131">
        <f>計算表!R131</f>
        <v>0</v>
      </c>
    </row>
    <row r="132" spans="1:18" x14ac:dyDescent="0.25">
      <c r="A132">
        <f>計算表!A132</f>
        <v>131</v>
      </c>
      <c r="B132">
        <f>計算表!B132</f>
        <v>0</v>
      </c>
      <c r="C132" t="str">
        <f>計算表!C132</f>
        <v>4-敵人數量</v>
      </c>
      <c r="D132" t="str">
        <f>計算表!D132</f>
        <v>小怪 數量權重(荒漠81~100關)</v>
      </c>
      <c r="E132" t="str">
        <f>計算表!E132</f>
        <v>權重表：{數量,權重} 或 {下限~上限,權重}</v>
      </c>
      <c r="F132" t="str">
        <f>計算表!F132</f>
        <v>每波獨立擲骰。權重只看相對大小，總和不必湊 100；填 0 或留空＝不會被抽中。數量上限為棋盤總格數（見 4-戰場站位/棋盤格數）。</v>
      </c>
      <c r="G132" t="str">
        <f>計算表!G132</f>
        <v>{1~3,60}</v>
      </c>
      <c r="H132" t="str">
        <f>計算表!H132</f>
        <v>{4,20}</v>
      </c>
      <c r="I132" t="str">
        <f>計算表!I132</f>
        <v>{5,10}</v>
      </c>
      <c r="J132" t="str">
        <f>計算表!J132</f>
        <v>{6,3}</v>
      </c>
      <c r="K132">
        <f>計算表!K132</f>
        <v>0</v>
      </c>
      <c r="L132">
        <f>計算表!L132</f>
        <v>0</v>
      </c>
      <c r="M132">
        <f>計算表!M132</f>
        <v>0</v>
      </c>
      <c r="N132">
        <f>計算表!N132</f>
        <v>0</v>
      </c>
      <c r="O132">
        <f>計算表!O132</f>
        <v>0</v>
      </c>
      <c r="P132">
        <f>計算表!P132</f>
        <v>0</v>
      </c>
      <c r="Q132">
        <f>計算表!Q132</f>
        <v>0</v>
      </c>
      <c r="R132">
        <f>計算表!R132</f>
        <v>0</v>
      </c>
    </row>
    <row r="133" spans="1:18" x14ac:dyDescent="0.25">
      <c r="A133">
        <f>計算表!A133</f>
        <v>132</v>
      </c>
      <c r="B133">
        <f>計算表!B133</f>
        <v>0</v>
      </c>
      <c r="C133" t="str">
        <f>計算表!C133</f>
        <v>4-敵人數量</v>
      </c>
      <c r="D133" t="str">
        <f>計算表!D133</f>
        <v>小怪 數量權重(荒漠101~150關)</v>
      </c>
      <c r="E133" t="str">
        <f>計算表!E133</f>
        <v>權重表：{數量,權重} 或 {下限~上限,權重}</v>
      </c>
      <c r="F133" t="str">
        <f>計算表!F133</f>
        <v>每波獨立擲骰。權重只看相對大小，總和不必湊 100；填 0 或留空＝不會被抽中。數量上限為棋盤總格數（見 4-戰場站位/棋盤格數）。</v>
      </c>
      <c r="G133" t="str">
        <f>計算表!G133</f>
        <v>{1~3,15}</v>
      </c>
      <c r="H133" t="str">
        <f>計算表!H133</f>
        <v>{4,50}</v>
      </c>
      <c r="I133" t="str">
        <f>計算表!I133</f>
        <v>{5,15}</v>
      </c>
      <c r="J133" t="str">
        <f>計算表!J133</f>
        <v>{6,5}</v>
      </c>
      <c r="K133" t="str">
        <f>計算表!K133</f>
        <v>{7~8,1}</v>
      </c>
      <c r="L133">
        <f>計算表!L133</f>
        <v>0</v>
      </c>
      <c r="M133">
        <f>計算表!M133</f>
        <v>0</v>
      </c>
      <c r="N133">
        <f>計算表!N133</f>
        <v>0</v>
      </c>
      <c r="O133">
        <f>計算表!O133</f>
        <v>0</v>
      </c>
      <c r="P133">
        <f>計算表!P133</f>
        <v>0</v>
      </c>
      <c r="Q133">
        <f>計算表!Q133</f>
        <v>0</v>
      </c>
      <c r="R133">
        <f>計算表!R133</f>
        <v>0</v>
      </c>
    </row>
    <row r="134" spans="1:18" x14ac:dyDescent="0.25">
      <c r="A134">
        <f>計算表!A134</f>
        <v>133</v>
      </c>
      <c r="B134">
        <f>計算表!B134</f>
        <v>0</v>
      </c>
      <c r="C134" t="str">
        <f>計算表!C134</f>
        <v>4-敵人數量</v>
      </c>
      <c r="D134" t="str">
        <f>計算表!D134</f>
        <v>小怪 數量權重151關之後</v>
      </c>
      <c r="E134" t="str">
        <f>計算表!E134</f>
        <v>權重表：{數量,權重} 或 {下限~上限,權重}</v>
      </c>
      <c r="F134" t="str">
        <f>計算表!F134</f>
        <v>每波獨立擲骰。權重只看相對大小，總和不必湊 100；填 0 或留空＝不會被抽中。數量上限為棋盤總格數（見 4-戰場站位/棋盤格數）。</v>
      </c>
      <c r="G134" t="str">
        <f>計算表!G134</f>
        <v>{1~3,3}</v>
      </c>
      <c r="H134" t="str">
        <f>計算表!H134</f>
        <v>{4,10}</v>
      </c>
      <c r="I134" t="str">
        <f>計算表!I134</f>
        <v>{5~6,40}</v>
      </c>
      <c r="J134" t="str">
        <f>計算表!J134</f>
        <v>{7~9,5}</v>
      </c>
      <c r="K134" t="str">
        <f>計算表!K134</f>
        <v>{10~11,1}</v>
      </c>
      <c r="L134" t="str">
        <f>計算表!L134</f>
        <v>{12,0.5}</v>
      </c>
      <c r="M134">
        <f>計算表!M134</f>
        <v>0</v>
      </c>
      <c r="N134">
        <f>計算表!N134</f>
        <v>0</v>
      </c>
      <c r="O134">
        <f>計算表!O134</f>
        <v>0</v>
      </c>
      <c r="P134">
        <f>計算表!P134</f>
        <v>0</v>
      </c>
      <c r="Q134">
        <f>計算表!Q134</f>
        <v>0</v>
      </c>
      <c r="R134">
        <f>計算表!R134</f>
        <v>0</v>
      </c>
    </row>
    <row r="135" spans="1:18" x14ac:dyDescent="0.25">
      <c r="A135">
        <f>計算表!A135</f>
        <v>134</v>
      </c>
      <c r="B135">
        <f>計算表!B135</f>
        <v>0</v>
      </c>
      <c r="C135" t="str">
        <f>計算表!C135</f>
        <v>4-敵人數量</v>
      </c>
      <c r="D135" t="str">
        <f>計算表!D135</f>
        <v>菁英 數量權重(荒漠1~200關)</v>
      </c>
      <c r="E135" t="str">
        <f>計算表!E135</f>
        <v>權重表：{數量,權重} 或 {下限~上限,權重}</v>
      </c>
      <c r="F135" t="str">
        <f>計算表!F135</f>
        <v>菁英與小怪分開擲骰——菁英一次出太多根本打不動，預設集中在 1~2 隻。每波獨立擲骰。權重只看相對大小，總和不必湊 100；填 0 或留空＝不會被抽中。數量上限為棋盤總格數（見 4-戰場站位/棋盤格數）。〔菁英群組改版：菁英現在成「群」出現，這一列的數量代表「群數」；每群幾隻、全員菁英或帶小兵、技能數量見「4-菁英群組」各列。〕</v>
      </c>
      <c r="G135" t="str">
        <f>計算表!G135</f>
        <v>{1~2,95}</v>
      </c>
      <c r="H135" t="str">
        <f>計算表!H135</f>
        <v>{3,5}</v>
      </c>
      <c r="I135">
        <f>計算表!I135</f>
        <v>0</v>
      </c>
      <c r="J135">
        <f>計算表!J135</f>
        <v>0</v>
      </c>
      <c r="K135">
        <f>計算表!K135</f>
        <v>0</v>
      </c>
      <c r="L135">
        <f>計算表!L135</f>
        <v>0</v>
      </c>
      <c r="M135">
        <f>計算表!M135</f>
        <v>0</v>
      </c>
      <c r="N135">
        <f>計算表!N135</f>
        <v>0</v>
      </c>
      <c r="O135">
        <f>計算表!O135</f>
        <v>0</v>
      </c>
      <c r="P135">
        <f>計算表!P135</f>
        <v>0</v>
      </c>
      <c r="Q135">
        <f>計算表!Q135</f>
        <v>0</v>
      </c>
      <c r="R135">
        <f>計算表!R135</f>
        <v>0</v>
      </c>
    </row>
    <row r="136" spans="1:18" x14ac:dyDescent="0.25">
      <c r="A136">
        <f>計算表!A136</f>
        <v>135</v>
      </c>
      <c r="B136">
        <f>計算表!B136</f>
        <v>0</v>
      </c>
      <c r="C136" t="str">
        <f>計算表!C136</f>
        <v>4-敵人數量</v>
      </c>
      <c r="D136" t="str">
        <f>計算表!D136</f>
        <v>菁英 數量權重(冰原1~300關)</v>
      </c>
      <c r="E136" t="str">
        <f>計算表!E136</f>
        <v>權重表：{數量,權重} 或 {下限~上限,權重}</v>
      </c>
      <c r="F136" t="str">
        <f>計算表!F136</f>
        <v>菁英與小怪分開擲骰——菁英一次出太多根本打不動，預設集中在 1~2 隻。每波獨立擲骰。權重只看相對大小，總和不必湊 100；填 0 或留空＝不會被抽中。數量上限為棋盤總格數（見 4-戰場站位/棋盤格數）。〔菁英群組改版：菁英現在成「群」出現，這一列的數量代表「群數」；每群幾隻、全員菁英或帶小兵、技能數量見「4-菁英群組」各列。〕</v>
      </c>
      <c r="G136" t="str">
        <f>計算表!G136</f>
        <v>{1~2,75}</v>
      </c>
      <c r="H136" t="str">
        <f>計算表!H136</f>
        <v>{3,20}</v>
      </c>
      <c r="I136" t="str">
        <f>計算表!I136</f>
        <v>{4,5}</v>
      </c>
      <c r="J136">
        <f>計算表!J136</f>
        <v>0</v>
      </c>
      <c r="K136">
        <f>計算表!K136</f>
        <v>0</v>
      </c>
      <c r="L136">
        <f>計算表!L136</f>
        <v>0</v>
      </c>
      <c r="M136">
        <f>計算表!M136</f>
        <v>0</v>
      </c>
      <c r="N136">
        <f>計算表!N136</f>
        <v>0</v>
      </c>
      <c r="O136">
        <f>計算表!O136</f>
        <v>0</v>
      </c>
      <c r="P136">
        <f>計算表!P136</f>
        <v>0</v>
      </c>
      <c r="Q136">
        <f>計算表!Q136</f>
        <v>0</v>
      </c>
      <c r="R136">
        <f>計算表!R136</f>
        <v>0</v>
      </c>
    </row>
    <row r="137" spans="1:18" x14ac:dyDescent="0.25">
      <c r="A137">
        <f>計算表!A137</f>
        <v>136</v>
      </c>
      <c r="B137">
        <f>計算表!B137</f>
        <v>0</v>
      </c>
      <c r="C137" t="str">
        <f>計算表!C137</f>
        <v>4-敵人數量</v>
      </c>
      <c r="D137" t="str">
        <f>計算表!D137</f>
        <v>菁英 數量權重(沼澤1~400關)</v>
      </c>
      <c r="E137" t="str">
        <f>計算表!E137</f>
        <v>權重表：{數量,權重} 或 {下限~上限,權重}</v>
      </c>
      <c r="F137" t="str">
        <f>計算表!F137</f>
        <v>菁英與小怪分開擲骰——菁英一次出太多根本打不動，預設集中在 1~2 隻。每波獨立擲骰。權重只看相對大小，總和不必湊 100；填 0 或留空＝不會被抽中。數量上限為棋盤總格數（見 4-戰場站位/棋盤格數）。〔菁英群組改版：菁英現在成「群」出現，這一列的數量代表「群數」；每群幾隻、全員菁英或帶小兵、技能數量見「4-菁英群組」各列。〕</v>
      </c>
      <c r="G137" t="str">
        <f>計算表!G137</f>
        <v>{1~2,50}</v>
      </c>
      <c r="H137" t="str">
        <f>計算表!H137</f>
        <v>{3,10}</v>
      </c>
      <c r="I137" t="str">
        <f>計算表!I137</f>
        <v>{4,10}</v>
      </c>
      <c r="J137" t="str">
        <f>計算表!J137</f>
        <v>{5,6}</v>
      </c>
      <c r="K137" t="str">
        <f>計算表!K137</f>
        <v>{6,2}</v>
      </c>
      <c r="L137">
        <f>計算表!L137</f>
        <v>0</v>
      </c>
      <c r="M137">
        <f>計算表!M137</f>
        <v>0</v>
      </c>
      <c r="N137">
        <f>計算表!N137</f>
        <v>0</v>
      </c>
      <c r="O137">
        <f>計算表!O137</f>
        <v>0</v>
      </c>
      <c r="P137">
        <f>計算表!P137</f>
        <v>0</v>
      </c>
      <c r="Q137">
        <f>計算表!Q137</f>
        <v>0</v>
      </c>
      <c r="R137">
        <f>計算表!R137</f>
        <v>0</v>
      </c>
    </row>
    <row r="138" spans="1:18" x14ac:dyDescent="0.25">
      <c r="A138">
        <f>計算表!A138</f>
        <v>137</v>
      </c>
      <c r="B138">
        <f>計算表!B138</f>
        <v>0</v>
      </c>
      <c r="C138" t="str">
        <f>計算表!C138</f>
        <v>4-敵人數量</v>
      </c>
      <c r="D138" t="str">
        <f>計算表!D138</f>
        <v>菁英 數量權重(亡靈山脈1~500關)</v>
      </c>
      <c r="E138" t="str">
        <f>計算表!E138</f>
        <v>權重表：{數量,權重} 或 {下限~上限,權重}</v>
      </c>
      <c r="F138" t="str">
        <f>計算表!F138</f>
        <v>菁英與小怪分開擲骰——菁英一次出太多根本打不動，預設集中在 1~2 隻。每波獨立擲骰。權重只看相對大小，總和不必湊 100；填 0 或留空＝不會被抽中。數量上限為棋盤總格數（見 4-戰場站位/棋盤格數）。〔菁英群組改版：菁英現在成「群」出現，這一列的數量代表「群數」；每群幾隻、全員菁英或帶小兵、技能數量見「4-菁英群組」各列。〕</v>
      </c>
      <c r="G138" t="str">
        <f>計算表!G138</f>
        <v>{1~2,1}</v>
      </c>
      <c r="H138" t="str">
        <f>計算表!H138</f>
        <v>{3,3}</v>
      </c>
      <c r="I138" t="str">
        <f>計算表!I138</f>
        <v>{4~5,5}</v>
      </c>
      <c r="J138" t="str">
        <f>計算表!J138</f>
        <v>{6~10,30}</v>
      </c>
      <c r="K138" t="str">
        <f>計算表!K138</f>
        <v>{11~16,30}</v>
      </c>
      <c r="L138" t="str">
        <f>計算表!L138</f>
        <v>{17~20,10}</v>
      </c>
      <c r="M138" t="str">
        <f>計算表!M138</f>
        <v>{21~30,5}</v>
      </c>
      <c r="N138">
        <f>計算表!N138</f>
        <v>0</v>
      </c>
      <c r="O138">
        <f>計算表!O138</f>
        <v>0</v>
      </c>
      <c r="P138">
        <f>計算表!P138</f>
        <v>0</v>
      </c>
      <c r="Q138">
        <f>計算表!Q138</f>
        <v>0</v>
      </c>
      <c r="R138">
        <f>計算表!R138</f>
        <v>0</v>
      </c>
    </row>
    <row r="139" spans="1:18" x14ac:dyDescent="0.25">
      <c r="A139">
        <f>計算表!A139</f>
        <v>138</v>
      </c>
      <c r="B139">
        <f>計算表!B139</f>
        <v>0</v>
      </c>
      <c r="C139" t="str">
        <f>計算表!C139</f>
        <v>4-敵人數量</v>
      </c>
      <c r="D139" t="str">
        <f>計算表!D139</f>
        <v>菁英 數量權重500關之後</v>
      </c>
      <c r="E139" t="str">
        <f>計算表!E139</f>
        <v>權重表：{數量,權重} 或 {下限~上限,權重}</v>
      </c>
      <c r="F139" t="str">
        <f>計算表!F139</f>
        <v>菁英與小怪分開擲骰——菁英一次出太多根本打不動，預設集中在 1~2 隻。每波獨立擲骰。權重只看相對大小，總和不必湊 100；填 0 或留空＝不會被抽中。數量上限為棋盤總格數（見 4-戰場站位/棋盤格數）。〔菁英群組改版：菁英現在成「群」出現，這一列的數量代表「群數」；每群幾隻、全員菁英或帶小兵、技能數量見「4-菁英群組」各列。〕</v>
      </c>
      <c r="G139" t="str">
        <f>計算表!G139</f>
        <v>{1~2,2}</v>
      </c>
      <c r="H139" t="str">
        <f>計算表!H139</f>
        <v>{3,8}</v>
      </c>
      <c r="I139" t="str">
        <f>計算表!I139</f>
        <v>{4~5,30}</v>
      </c>
      <c r="J139" t="str">
        <f>計算表!J139</f>
        <v>{6~7,15}</v>
      </c>
      <c r="K139" t="str">
        <f>計算表!K139</f>
        <v>{8~9,8}</v>
      </c>
      <c r="L139" t="str">
        <f>計算表!L139</f>
        <v>{10,3}</v>
      </c>
      <c r="M139" t="str">
        <f>計算表!M139</f>
        <v>{11,1.5}</v>
      </c>
      <c r="N139">
        <f>計算表!N139</f>
        <v>0</v>
      </c>
      <c r="O139">
        <f>計算表!O139</f>
        <v>0</v>
      </c>
      <c r="P139">
        <f>計算表!P139</f>
        <v>0</v>
      </c>
      <c r="Q139">
        <f>計算表!Q139</f>
        <v>0</v>
      </c>
      <c r="R139">
        <f>計算表!R139</f>
        <v>0</v>
      </c>
    </row>
    <row r="140" spans="1:18" x14ac:dyDescent="0.25">
      <c r="A140">
        <f>計算表!A140</f>
        <v>139</v>
      </c>
      <c r="B140">
        <f>計算表!B140</f>
        <v>0</v>
      </c>
      <c r="C140" t="str">
        <f>計算表!C140</f>
        <v>4-敵人數量</v>
      </c>
      <c r="D140" t="str">
        <f>計算表!D140</f>
        <v>BOSS 數量權重</v>
      </c>
      <c r="E140" t="str">
        <f>計算表!E140</f>
        <v>權重表：{數量,權重} 或 {下限~上限,權重}</v>
      </c>
      <c r="F140" t="str">
        <f>計算表!F140</f>
        <v>BOSS 與小怪分開擲骰。BOSS 佔 2×2 格，出太多棋盤放不下（放不下會自動退回 1×1 佔格）。每波獨立擲骰。權重只看相對大小，總和不必湊 100；填 0 或留空＝不會被抽中。數量上限為棋盤總格數（見 4-戰場站位/棋盤格數）。</v>
      </c>
      <c r="G140" t="str">
        <f>計算表!G140</f>
        <v>{1,100}</v>
      </c>
      <c r="H140">
        <f>計算表!H140</f>
        <v>0</v>
      </c>
      <c r="I140">
        <f>計算表!I140</f>
        <v>0</v>
      </c>
      <c r="J140">
        <f>計算表!J140</f>
        <v>0</v>
      </c>
      <c r="K140">
        <f>計算表!K140</f>
        <v>0</v>
      </c>
      <c r="L140">
        <f>計算表!L140</f>
        <v>0</v>
      </c>
      <c r="M140">
        <f>計算表!M140</f>
        <v>0</v>
      </c>
      <c r="N140">
        <f>計算表!N140</f>
        <v>0</v>
      </c>
      <c r="O140">
        <f>計算表!O140</f>
        <v>0</v>
      </c>
      <c r="P140">
        <f>計算表!P140</f>
        <v>0</v>
      </c>
      <c r="Q140">
        <f>計算表!Q140</f>
        <v>0</v>
      </c>
      <c r="R140">
        <f>計算表!R140</f>
        <v>0</v>
      </c>
    </row>
    <row r="141" spans="1:18" x14ac:dyDescent="0.25">
      <c r="A141">
        <f>計算表!A141</f>
        <v>140</v>
      </c>
      <c r="B141">
        <f>計算表!B141</f>
        <v>0</v>
      </c>
      <c r="C141" t="str">
        <f>計算表!C141</f>
        <v>4-戰場站位</v>
      </c>
      <c r="D141" t="str">
        <f>計算表!D141</f>
        <v>棋盤格數</v>
      </c>
      <c r="E141" t="str">
        <f>計算表!E141</f>
        <v>敵方 a 行 × b 列</v>
      </c>
      <c r="F141" t="str">
        <f>計算表!F141</f>
        <v>a=行數（由左至右；越右離我方越遠）b=列數。我方視為棋盤左側的單一單位。</v>
      </c>
      <c r="G141">
        <f>計算表!G141</f>
        <v>10</v>
      </c>
      <c r="H141">
        <f>計算表!H141</f>
        <v>10</v>
      </c>
      <c r="I141">
        <f>計算表!I141</f>
        <v>0</v>
      </c>
      <c r="J141">
        <f>計算表!J141</f>
        <v>0</v>
      </c>
      <c r="K141">
        <f>計算表!K141</f>
        <v>0</v>
      </c>
      <c r="L141">
        <f>計算表!L141</f>
        <v>0</v>
      </c>
      <c r="M141">
        <f>計算表!M141</f>
        <v>0</v>
      </c>
      <c r="N141">
        <f>計算表!N141</f>
        <v>0</v>
      </c>
      <c r="O141">
        <f>計算表!O141</f>
        <v>0</v>
      </c>
      <c r="P141">
        <f>計算表!P141</f>
        <v>0</v>
      </c>
      <c r="Q141">
        <f>計算表!Q141</f>
        <v>0</v>
      </c>
      <c r="R141">
        <f>計算表!R141</f>
        <v>0</v>
      </c>
    </row>
    <row r="142" spans="1:18" x14ac:dyDescent="0.25">
      <c r="A142">
        <f>計算表!A142</f>
        <v>141</v>
      </c>
      <c r="B142">
        <f>計算表!B142</f>
        <v>0</v>
      </c>
      <c r="C142" t="str">
        <f>計算表!C142</f>
        <v>4-戰場站位</v>
      </c>
      <c r="D142" t="str">
        <f>計算表!D142</f>
        <v>距離規則</v>
      </c>
      <c r="E142" t="str">
        <f>計算表!E142</f>
        <v>距離 = a×(行-1) + (中央列 ? b : c)</v>
      </c>
      <c r="F142" t="str">
        <f>計算表!F142</f>
        <v>數字越小越近。普攻與技能都以此挑最近目標；同距離隨機挑一個；鎖定後直到目標死亡才換。</v>
      </c>
      <c r="G142">
        <f>計算表!G142</f>
        <v>1</v>
      </c>
      <c r="H142">
        <f>計算表!H142</f>
        <v>1</v>
      </c>
      <c r="I142">
        <f>計算表!I142</f>
        <v>1</v>
      </c>
      <c r="J142">
        <f>計算表!J142</f>
        <v>0</v>
      </c>
      <c r="K142">
        <f>計算表!K142</f>
        <v>0</v>
      </c>
      <c r="L142">
        <f>計算表!L142</f>
        <v>0</v>
      </c>
      <c r="M142">
        <f>計算表!M142</f>
        <v>0</v>
      </c>
      <c r="N142">
        <f>計算表!N142</f>
        <v>0</v>
      </c>
      <c r="O142">
        <f>計算表!O142</f>
        <v>0</v>
      </c>
      <c r="P142">
        <f>計算表!P142</f>
        <v>0</v>
      </c>
      <c r="Q142">
        <f>計算表!Q142</f>
        <v>0</v>
      </c>
      <c r="R142">
        <f>計算表!R142</f>
        <v>0</v>
      </c>
    </row>
    <row r="143" spans="1:18" x14ac:dyDescent="0.25">
      <c r="A143">
        <f>計算表!A143</f>
        <v>142</v>
      </c>
      <c r="B143">
        <f>計算表!B143</f>
        <v>0</v>
      </c>
      <c r="C143" t="str">
        <f>計算表!C143</f>
        <v>4-戰場站位</v>
      </c>
      <c r="D143" t="str">
        <f>計算表!D143</f>
        <v>BOSS 佔格</v>
      </c>
      <c r="E143" t="str">
        <f>計算表!E143</f>
        <v>a 行 × b 列</v>
      </c>
      <c r="F143" t="str">
        <f>計算表!F143</f>
        <v>BOSS 佔多格；受範圍傷害仍只算命中 1 次。棋盤放不下時自動退回 1×1。</v>
      </c>
      <c r="G143">
        <f>計算表!G143</f>
        <v>2</v>
      </c>
      <c r="H143">
        <f>計算表!H143</f>
        <v>2</v>
      </c>
      <c r="I143">
        <f>計算表!I143</f>
        <v>0</v>
      </c>
      <c r="J143">
        <f>計算表!J143</f>
        <v>0</v>
      </c>
      <c r="K143">
        <f>計算表!K143</f>
        <v>0</v>
      </c>
      <c r="L143">
        <f>計算表!L143</f>
        <v>0</v>
      </c>
      <c r="M143">
        <f>計算表!M143</f>
        <v>0</v>
      </c>
      <c r="N143">
        <f>計算表!N143</f>
        <v>0</v>
      </c>
      <c r="O143">
        <f>計算表!O143</f>
        <v>0</v>
      </c>
      <c r="P143">
        <f>計算表!P143</f>
        <v>0</v>
      </c>
      <c r="Q143">
        <f>計算表!Q143</f>
        <v>0</v>
      </c>
      <c r="R143">
        <f>計算表!R143</f>
        <v>0</v>
      </c>
    </row>
    <row r="144" spans="1:18" x14ac:dyDescent="0.25">
      <c r="A144">
        <f>計算表!A144</f>
        <v>143</v>
      </c>
      <c r="B144">
        <f>計算表!B144</f>
        <v>0</v>
      </c>
      <c r="C144" t="str">
        <f>計算表!C144</f>
        <v>5-太古詞條</v>
      </c>
      <c r="D144" t="str">
        <f>計算表!D144</f>
        <v>高塔太古精華機率</v>
      </c>
      <c r="E144" t="str">
        <f>計算表!E144</f>
        <v>min(a%, b% + (樓層-c)×d%)</v>
      </c>
      <c r="F144" t="str">
        <f>計算表!F144</f>
        <v>以樓層計算；每場獨立判定 1 顆。</v>
      </c>
      <c r="G144">
        <f>計算表!G144</f>
        <v>100</v>
      </c>
      <c r="H144">
        <f>計算表!H144</f>
        <v>10</v>
      </c>
      <c r="I144">
        <f>計算表!I144</f>
        <v>40</v>
      </c>
      <c r="J144">
        <f>計算表!J144</f>
        <v>2</v>
      </c>
      <c r="K144">
        <f>計算表!K144</f>
        <v>0</v>
      </c>
      <c r="L144">
        <f>計算表!L144</f>
        <v>0</v>
      </c>
      <c r="M144">
        <f>計算表!M144</f>
        <v>0</v>
      </c>
      <c r="N144">
        <f>計算表!N144</f>
        <v>0</v>
      </c>
      <c r="O144">
        <f>計算表!O144</f>
        <v>0</v>
      </c>
      <c r="P144">
        <f>計算表!P144</f>
        <v>0</v>
      </c>
      <c r="Q144">
        <f>計算表!Q144</f>
        <v>0</v>
      </c>
      <c r="R144">
        <f>計算表!R144</f>
        <v>0</v>
      </c>
    </row>
    <row r="145" spans="1:18" x14ac:dyDescent="0.25">
      <c r="A145">
        <f>計算表!A145</f>
        <v>144</v>
      </c>
      <c r="B145">
        <f>計算表!B145</f>
        <v>0</v>
      </c>
      <c r="C145" t="str">
        <f>計算表!C145</f>
        <v>5-太古詞條</v>
      </c>
      <c r="D145" t="str">
        <f>計算表!D145</f>
        <v>太古詞條產生率(2詞條)</v>
      </c>
      <c r="E145" t="str">
        <f>計算表!E145</f>
        <v>權重擲骰：a~c = 0~2條太古的權重%</v>
      </c>
      <c r="F145" t="str">
        <f>計算表!F145</f>
        <v>裝備產出時依詞條數量決定太古條數與隨機位置（位置永久固定，洗煉不變）。a=0條 b=1條 c=2條。</v>
      </c>
      <c r="G145">
        <f>計算表!G145</f>
        <v>92</v>
      </c>
      <c r="H145">
        <f>計算表!H145</f>
        <v>7.5</v>
      </c>
      <c r="I145">
        <f>計算表!I145</f>
        <v>0.5</v>
      </c>
      <c r="J145">
        <f>計算表!J145</f>
        <v>0</v>
      </c>
      <c r="K145">
        <f>計算表!K145</f>
        <v>0</v>
      </c>
      <c r="L145">
        <f>計算表!L145</f>
        <v>0</v>
      </c>
      <c r="M145">
        <f>計算表!M145</f>
        <v>0</v>
      </c>
      <c r="N145">
        <f>計算表!N145</f>
        <v>0</v>
      </c>
      <c r="O145">
        <f>計算表!O145</f>
        <v>0</v>
      </c>
      <c r="P145">
        <f>計算表!P145</f>
        <v>0</v>
      </c>
      <c r="Q145">
        <f>計算表!Q145</f>
        <v>0</v>
      </c>
      <c r="R145">
        <f>計算表!R145</f>
        <v>0</v>
      </c>
    </row>
    <row r="146" spans="1:18" x14ac:dyDescent="0.25">
      <c r="A146">
        <f>計算表!A146</f>
        <v>145</v>
      </c>
      <c r="B146">
        <f>計算表!B146</f>
        <v>0</v>
      </c>
      <c r="C146" t="str">
        <f>計算表!C146</f>
        <v>5-太古詞條</v>
      </c>
      <c r="D146" t="str">
        <f>計算表!D146</f>
        <v>太古詞條產生率(3詞條)</v>
      </c>
      <c r="E146" t="str">
        <f>計算表!E146</f>
        <v>權重擲骰：a~d = 0~3條太古的權重%</v>
      </c>
      <c r="F146" t="str">
        <f>計算表!F146</f>
        <v>裝備產出時依詞條數量決定太古條數與隨機位置（位置永久固定，洗煉不變）。a=0條 b=1條 c=2條 d=3條。</v>
      </c>
      <c r="G146" s="7" t="s">
        <v>1010</v>
      </c>
      <c r="H146">
        <f>計算表!H146</f>
        <v>19.2</v>
      </c>
      <c r="I146">
        <f>計算表!I146</f>
        <v>2.4</v>
      </c>
      <c r="J146">
        <f>計算表!J146</f>
        <v>0.3</v>
      </c>
      <c r="K146">
        <f>計算表!K146</f>
        <v>0</v>
      </c>
      <c r="L146">
        <f>計算表!L146</f>
        <v>0</v>
      </c>
      <c r="M146">
        <f>計算表!M146</f>
        <v>0</v>
      </c>
      <c r="N146">
        <f>計算表!N146</f>
        <v>0</v>
      </c>
      <c r="O146">
        <f>計算表!O146</f>
        <v>0</v>
      </c>
      <c r="P146">
        <f>計算表!P146</f>
        <v>0</v>
      </c>
      <c r="Q146">
        <f>計算表!Q146</f>
        <v>0</v>
      </c>
      <c r="R146">
        <f>計算表!R146</f>
        <v>0</v>
      </c>
    </row>
    <row r="147" spans="1:18" x14ac:dyDescent="0.25">
      <c r="A147">
        <f>計算表!A147</f>
        <v>146</v>
      </c>
      <c r="B147">
        <f>計算表!B147</f>
        <v>0</v>
      </c>
      <c r="C147" t="str">
        <f>計算表!C147</f>
        <v>5-太古詞條</v>
      </c>
      <c r="D147" t="str">
        <f>計算表!D147</f>
        <v>太古詞條產生率(4詞條)</v>
      </c>
      <c r="E147" t="str">
        <f>計算表!E147</f>
        <v>權重擲骰：a~e = 0~4條太古的權重%</v>
      </c>
      <c r="F147" t="str">
        <f>計算表!F147</f>
        <v>裝備產出時依詞條數量決定太古條數與隨機位置（位置永久固定，洗煉不變）。a=0條 b=1條 c=2條 d=3條 e=4條。</v>
      </c>
      <c r="G147" s="7" t="s">
        <v>1011</v>
      </c>
      <c r="H147" s="7" t="s">
        <v>1012</v>
      </c>
      <c r="I147" s="7" t="s">
        <v>1013</v>
      </c>
      <c r="J147">
        <f>計算表!J147</f>
        <v>0.96</v>
      </c>
      <c r="K147">
        <f>計算表!K147</f>
        <v>0.2</v>
      </c>
      <c r="L147">
        <f>計算表!L147</f>
        <v>0</v>
      </c>
      <c r="M147">
        <f>計算表!M147</f>
        <v>0</v>
      </c>
      <c r="N147">
        <f>計算表!N147</f>
        <v>0</v>
      </c>
      <c r="O147">
        <f>計算表!O147</f>
        <v>0</v>
      </c>
      <c r="P147">
        <f>計算表!P147</f>
        <v>0</v>
      </c>
      <c r="Q147">
        <f>計算表!Q147</f>
        <v>0</v>
      </c>
      <c r="R147">
        <f>計算表!R147</f>
        <v>0</v>
      </c>
    </row>
    <row r="148" spans="1:18" x14ac:dyDescent="0.25">
      <c r="A148">
        <f>計算表!A148</f>
        <v>147</v>
      </c>
      <c r="B148">
        <f>計算表!B148</f>
        <v>0</v>
      </c>
      <c r="C148" t="str">
        <f>計算表!C148</f>
        <v>5-太古詞條</v>
      </c>
      <c r="D148" t="str">
        <f>計算表!D148</f>
        <v>太古詞條產生率(5詞條)</v>
      </c>
      <c r="E148" t="str">
        <f>計算表!E148</f>
        <v>權重擲骰：a~f = 0~5條太古的權重%</v>
      </c>
      <c r="F148" t="str">
        <f>計算表!F148</f>
        <v>裝備產出時依詞條數量決定太古條數與隨機位置（位置永久固定，洗煉不變）。a=0條 b=1條 c=2條 d=3條 e=4條 f=5條。</v>
      </c>
      <c r="G148" s="7" t="s">
        <v>1014</v>
      </c>
      <c r="H148" s="7" t="s">
        <v>1015</v>
      </c>
      <c r="I148">
        <f>計算表!I148</f>
        <v>9.11754</v>
      </c>
      <c r="J148" s="7" t="s">
        <v>1016</v>
      </c>
      <c r="K148" s="7" t="s">
        <v>1017</v>
      </c>
      <c r="L148">
        <f>計算表!L148</f>
        <v>0.18</v>
      </c>
      <c r="M148">
        <f>計算表!M148</f>
        <v>0</v>
      </c>
      <c r="N148">
        <f>計算表!N148</f>
        <v>0</v>
      </c>
      <c r="O148">
        <f>計算表!O148</f>
        <v>0</v>
      </c>
      <c r="P148">
        <f>計算表!P148</f>
        <v>0</v>
      </c>
      <c r="Q148">
        <f>計算表!Q148</f>
        <v>0</v>
      </c>
      <c r="R148">
        <f>計算表!R148</f>
        <v>0</v>
      </c>
    </row>
    <row r="149" spans="1:18" x14ac:dyDescent="0.25">
      <c r="A149">
        <f>計算表!A149</f>
        <v>148</v>
      </c>
      <c r="B149">
        <f>計算表!B149</f>
        <v>0</v>
      </c>
      <c r="C149" t="str">
        <f>計算表!C149</f>
        <v>5-太古詞條</v>
      </c>
      <c r="D149" t="str">
        <f>計算表!D149</f>
        <v>太古詞條產生率(6詞條)</v>
      </c>
      <c r="E149" t="str">
        <f>計算表!E149</f>
        <v>權重擲骰：a~g = 0~6條太古的權重%</v>
      </c>
      <c r="F149" t="str">
        <f>計算表!F149</f>
        <v>裝備產出時依詞條數量決定太古條數與隨機位置（位置永久固定，洗煉不變）。a=0條 b=1條 c=2條 d=3條 e=4條 f=5條 g=6條。</v>
      </c>
      <c r="G149" s="7" t="s">
        <v>1018</v>
      </c>
      <c r="H149" s="7" t="s">
        <v>1019</v>
      </c>
      <c r="I149" s="7" t="s">
        <v>1020</v>
      </c>
      <c r="J149" s="7" t="s">
        <v>1021</v>
      </c>
      <c r="K149" s="7" t="s">
        <v>1022</v>
      </c>
      <c r="L149" s="7" t="s">
        <v>1023</v>
      </c>
      <c r="M149">
        <f>計算表!M149</f>
        <v>0.16</v>
      </c>
      <c r="N149">
        <f>計算表!N149</f>
        <v>0</v>
      </c>
      <c r="O149">
        <f>計算表!O149</f>
        <v>0</v>
      </c>
      <c r="P149">
        <f>計算表!P149</f>
        <v>0</v>
      </c>
      <c r="Q149">
        <f>計算表!Q149</f>
        <v>0</v>
      </c>
      <c r="R149">
        <f>計算表!R149</f>
        <v>0</v>
      </c>
    </row>
    <row r="150" spans="1:18" x14ac:dyDescent="0.25">
      <c r="A150">
        <f>計算表!A150</f>
        <v>149</v>
      </c>
      <c r="B150">
        <f>計算表!B150</f>
        <v>0</v>
      </c>
      <c r="C150" t="str">
        <f>計算表!C150</f>
        <v>5-太古詞條</v>
      </c>
      <c r="D150" t="str">
        <f>計算表!D150</f>
        <v>太古詞條產生率(7詞條)</v>
      </c>
      <c r="E150" t="str">
        <f>計算表!E150</f>
        <v>權重擲骰：a~h = 0~7條太古的權重%</v>
      </c>
      <c r="F150" t="str">
        <f>計算表!F150</f>
        <v>裝備產出時依詞條數量決定太古條數與隨機位置（位置永久固定，洗煉不變）。a=0條 b=1條 c=2條 d=3條 e=4條 f=5條 g=6條 h=7條。</v>
      </c>
      <c r="G150" s="7" t="s">
        <v>1024</v>
      </c>
      <c r="H150" s="7" t="s">
        <v>1025</v>
      </c>
      <c r="I150" s="7" t="s">
        <v>1026</v>
      </c>
      <c r="J150" s="7" t="s">
        <v>1027</v>
      </c>
      <c r="K150" s="7" t="s">
        <v>1028</v>
      </c>
      <c r="L150" s="7" t="s">
        <v>1029</v>
      </c>
      <c r="M150" s="7" t="s">
        <v>1030</v>
      </c>
      <c r="N150" s="7" t="s">
        <v>1031</v>
      </c>
      <c r="O150">
        <f>計算表!O150</f>
        <v>0</v>
      </c>
      <c r="P150">
        <f>計算表!P150</f>
        <v>0</v>
      </c>
      <c r="Q150">
        <f>計算表!Q150</f>
        <v>0</v>
      </c>
      <c r="R150">
        <f>計算表!R150</f>
        <v>0</v>
      </c>
    </row>
    <row r="151" spans="1:18" x14ac:dyDescent="0.25">
      <c r="A151">
        <f>計算表!A151</f>
        <v>150</v>
      </c>
      <c r="B151">
        <f>計算表!B151</f>
        <v>0</v>
      </c>
      <c r="C151" t="str">
        <f>計算表!C151</f>
        <v>5-太古詞條</v>
      </c>
      <c r="D151" t="str">
        <f>計算表!D151</f>
        <v>太古詞條產生率(8詞條)</v>
      </c>
      <c r="E151" t="str">
        <f>計算表!E151</f>
        <v>權重擲骰：a~i = 0~8條太古的權重%</v>
      </c>
      <c r="F151" t="str">
        <f>計算表!F151</f>
        <v>裝備產出時依詞條數量決定太古條數與隨機位置（位置永久固定，洗煉不變）。a=0條 b=1條 c=2條 d=3條 e=4條 f=5條 g=6條 h=7條 i=8條。</v>
      </c>
      <c r="G151" s="7" t="s">
        <v>1032</v>
      </c>
      <c r="H151" s="7" t="s">
        <v>1033</v>
      </c>
      <c r="I151" s="7" t="s">
        <v>1034</v>
      </c>
      <c r="J151" s="7" t="s">
        <v>1035</v>
      </c>
      <c r="K151" s="7" t="s">
        <v>1036</v>
      </c>
      <c r="L151" s="7" t="s">
        <v>1037</v>
      </c>
      <c r="M151" s="7" t="s">
        <v>1038</v>
      </c>
      <c r="N151" s="7" t="s">
        <v>1039</v>
      </c>
      <c r="O151">
        <f>計算表!O151</f>
        <v>0.12</v>
      </c>
      <c r="P151">
        <f>計算表!P151</f>
        <v>0</v>
      </c>
      <c r="Q151">
        <f>計算表!Q151</f>
        <v>0</v>
      </c>
      <c r="R151">
        <f>計算表!R151</f>
        <v>0</v>
      </c>
    </row>
    <row r="152" spans="1:18" x14ac:dyDescent="0.25">
      <c r="A152">
        <f>計算表!A152</f>
        <v>151</v>
      </c>
      <c r="B152">
        <f>計算表!B152</f>
        <v>0</v>
      </c>
      <c r="C152" t="str">
        <f>計算表!C152</f>
        <v>5-太古詞條</v>
      </c>
      <c r="D152" t="str">
        <f>計算表!D152</f>
        <v>太古詞條產生率(9詞條)</v>
      </c>
      <c r="E152" t="str">
        <f>計算表!E152</f>
        <v>權重擲骰：a~j = 0~9條太古的權重%</v>
      </c>
      <c r="F152" t="str">
        <f>計算表!F152</f>
        <v>裝備產出時依詞條數量決定太古條數與隨機位置（位置永久固定，洗煉不變）。a=0條 b=1條 c=2條 d=3條 e=4條 f=5條 g=6條 h=7條 i=8條 j=9條。</v>
      </c>
      <c r="G152" s="7" t="s">
        <v>1040</v>
      </c>
      <c r="H152" s="7" t="s">
        <v>1041</v>
      </c>
      <c r="I152" s="7" t="s">
        <v>1042</v>
      </c>
      <c r="J152" s="7" t="s">
        <v>1043</v>
      </c>
      <c r="K152" s="7" t="s">
        <v>1044</v>
      </c>
      <c r="L152" s="7" t="s">
        <v>1045</v>
      </c>
      <c r="M152" s="7" t="s">
        <v>1046</v>
      </c>
      <c r="N152" s="7" t="s">
        <v>1047</v>
      </c>
      <c r="O152" s="7" t="s">
        <v>1048</v>
      </c>
      <c r="P152">
        <f>計算表!P152</f>
        <v>0.1</v>
      </c>
      <c r="Q152">
        <f>計算表!Q152</f>
        <v>0</v>
      </c>
      <c r="R152">
        <f>計算表!R152</f>
        <v>0</v>
      </c>
    </row>
    <row r="153" spans="1:18" x14ac:dyDescent="0.25">
      <c r="A153">
        <f>計算表!A153</f>
        <v>152</v>
      </c>
      <c r="B153">
        <f>計算表!B153</f>
        <v>0</v>
      </c>
      <c r="C153" t="str">
        <f>計算表!C153</f>
        <v>5-太古詞條</v>
      </c>
      <c r="D153" t="str">
        <f>計算表!D153</f>
        <v>太古詞條產生率(10詞條)</v>
      </c>
      <c r="E153" t="str">
        <f>計算表!E153</f>
        <v>權重擲骰：a~k = 0~10條太古的權重%</v>
      </c>
      <c r="F153" t="str">
        <f>計算表!F153</f>
        <v>裝備產出時依詞條數量決定太古條數與隨機位置（位置永久固定，洗煉不變）。a=0條 b=1條 c=2條 d=3條 e=4條 f=5條 g=6條 h=7條 i=8條 j=9條 k=10條。</v>
      </c>
      <c r="G153" s="7" t="s">
        <v>1049</v>
      </c>
      <c r="H153">
        <f>計算表!H153</f>
        <v>40.96</v>
      </c>
      <c r="I153">
        <f>計算表!I153</f>
        <v>20.48</v>
      </c>
      <c r="J153">
        <f>計算表!J153</f>
        <v>10.24</v>
      </c>
      <c r="K153">
        <f>計算表!K153</f>
        <v>5.12</v>
      </c>
      <c r="L153">
        <f>計算表!L153</f>
        <v>2.56</v>
      </c>
      <c r="M153">
        <f>計算表!M153</f>
        <v>1.28</v>
      </c>
      <c r="N153">
        <f>計算表!N153</f>
        <v>0.64</v>
      </c>
      <c r="O153">
        <f>計算表!O153</f>
        <v>0.32</v>
      </c>
      <c r="P153">
        <f>計算表!P153</f>
        <v>0.16</v>
      </c>
      <c r="Q153">
        <f>計算表!Q153</f>
        <v>0.08</v>
      </c>
      <c r="R153">
        <f>計算表!R153</f>
        <v>0</v>
      </c>
    </row>
    <row r="154" spans="1:18" x14ac:dyDescent="0.25">
      <c r="A154">
        <f>計算表!A154</f>
        <v>153</v>
      </c>
      <c r="B154">
        <f>計算表!B154</f>
        <v>0</v>
      </c>
      <c r="C154" t="str">
        <f>計算表!C154</f>
        <v>5-太古詞條</v>
      </c>
      <c r="D154" t="str">
        <f>計算表!D154</f>
        <v>太古詞條數值倍率</v>
      </c>
      <c r="E154" t="str">
        <f>計算表!E154</f>
        <v>原詞條上限 × a</v>
      </c>
      <c r="F154" t="str">
        <f>計算表!F154</f>
        <v>a=太古詞條強度倍率（上限已含×1.2，再×a）。</v>
      </c>
      <c r="G154">
        <f>計算表!G154</f>
        <v>1.35</v>
      </c>
      <c r="H154">
        <f>計算表!H154</f>
        <v>0</v>
      </c>
      <c r="I154">
        <f>計算表!I154</f>
        <v>0</v>
      </c>
      <c r="J154">
        <f>計算表!J154</f>
        <v>0</v>
      </c>
      <c r="K154">
        <f>計算表!K154</f>
        <v>0</v>
      </c>
      <c r="L154">
        <f>計算表!L154</f>
        <v>0</v>
      </c>
      <c r="M154">
        <f>計算表!M154</f>
        <v>0</v>
      </c>
      <c r="N154">
        <f>計算表!N154</f>
        <v>0</v>
      </c>
      <c r="O154">
        <f>計算表!O154</f>
        <v>0</v>
      </c>
      <c r="P154">
        <f>計算表!P154</f>
        <v>0</v>
      </c>
      <c r="Q154">
        <f>計算表!Q154</f>
        <v>0</v>
      </c>
      <c r="R154">
        <f>計算表!R154</f>
        <v>0</v>
      </c>
    </row>
    <row r="155" spans="1:18" x14ac:dyDescent="0.25">
      <c r="A155">
        <f>計算表!A155</f>
        <v>154</v>
      </c>
      <c r="B155">
        <f>計算表!B155</f>
        <v>0</v>
      </c>
      <c r="C155" t="str">
        <f>計算表!C155</f>
        <v>5-太古詞條</v>
      </c>
      <c r="D155" t="str">
        <f>計算表!D155</f>
        <v>太古幸運權重倍率</v>
      </c>
      <c r="E155" t="str">
        <f>計算表!E155</f>
        <v>m = a × 幸運值總合 / (幸運值總合 + 太古幸運權重分母)</v>
      </c>
      <c r="F155" t="str">
        <f>計算表!F155</f>
        <v>a=幸運值影響倍率；m 用於提高太古詞條數的高條數權重。</v>
      </c>
      <c r="G155">
        <f>計算表!G155</f>
        <v>0.5</v>
      </c>
      <c r="H155">
        <f>計算表!H155</f>
        <v>0</v>
      </c>
      <c r="I155">
        <f>計算表!I155</f>
        <v>0</v>
      </c>
      <c r="J155">
        <f>計算表!J155</f>
        <v>0</v>
      </c>
      <c r="K155">
        <f>計算表!K155</f>
        <v>0</v>
      </c>
      <c r="L155">
        <f>計算表!L155</f>
        <v>0</v>
      </c>
      <c r="M155">
        <f>計算表!M155</f>
        <v>0</v>
      </c>
      <c r="N155">
        <f>計算表!N155</f>
        <v>0</v>
      </c>
      <c r="O155">
        <f>計算表!O155</f>
        <v>0</v>
      </c>
      <c r="P155">
        <f>計算表!P155</f>
        <v>0</v>
      </c>
      <c r="Q155">
        <f>計算表!Q155</f>
        <v>0</v>
      </c>
      <c r="R155">
        <f>計算表!R155</f>
        <v>0</v>
      </c>
    </row>
    <row r="156" spans="1:18" x14ac:dyDescent="0.25">
      <c r="A156">
        <f>計算表!A156</f>
        <v>155</v>
      </c>
      <c r="B156">
        <f>計算表!B156</f>
        <v>0</v>
      </c>
      <c r="C156" t="str">
        <f>計算表!C156</f>
        <v>5-太古詞條</v>
      </c>
      <c r="D156" t="str">
        <f>計算表!D156</f>
        <v>太古幸運權重分母</v>
      </c>
      <c r="E156" t="str">
        <f>計算表!E156</f>
        <v>m = 太古幸運權重倍率 × 幸運值總合 / (幸運值總合 + a)</v>
      </c>
      <c r="F156" t="str">
        <f>計算表!F156</f>
        <v>a=幸運值飽和分母；幸運值越高，m 越接近太古幸運權重倍率。</v>
      </c>
      <c r="G156">
        <f>計算表!G156</f>
        <v>4000</v>
      </c>
      <c r="H156">
        <f>計算表!H156</f>
        <v>0</v>
      </c>
      <c r="I156">
        <f>計算表!I156</f>
        <v>0</v>
      </c>
      <c r="J156">
        <f>計算表!J156</f>
        <v>0</v>
      </c>
      <c r="K156">
        <f>計算表!K156</f>
        <v>0</v>
      </c>
      <c r="L156">
        <f>計算表!L156</f>
        <v>0</v>
      </c>
      <c r="M156">
        <f>計算表!M156</f>
        <v>0</v>
      </c>
      <c r="N156">
        <f>計算表!N156</f>
        <v>0</v>
      </c>
      <c r="O156">
        <f>計算表!O156</f>
        <v>0</v>
      </c>
      <c r="P156">
        <f>計算表!P156</f>
        <v>0</v>
      </c>
      <c r="Q156">
        <f>計算表!Q156</f>
        <v>0</v>
      </c>
      <c r="R156">
        <f>計算表!R156</f>
        <v>0</v>
      </c>
    </row>
    <row r="157" spans="1:18" x14ac:dyDescent="0.25">
      <c r="A157">
        <f>計算表!A157</f>
        <v>156</v>
      </c>
      <c r="B157">
        <f>計算表!B157</f>
        <v>0</v>
      </c>
      <c r="C157" t="str">
        <f>計算表!C157</f>
        <v>5-高塔裝備掉落</v>
      </c>
      <c r="D157" t="str">
        <f>計算表!D157</f>
        <v>普通裝備</v>
      </c>
      <c r="E157" t="str">
        <f>計算表!E157</f>
        <v>各樓層區間掉落率%（{樓層下限~上限=機率}）</v>
      </c>
      <c r="F157" t="str">
        <f>計算表!F157</f>
        <v>每品質獨立擲骰，&gt;100% 依必掉+餘數規則；實際機率 ×(1+有效掉寶率%)。</v>
      </c>
      <c r="G157" t="str">
        <f>計算表!G157</f>
        <v>{1~10=0}</v>
      </c>
      <c r="H157" t="str">
        <f>計算表!H157</f>
        <v>{11~20=0}</v>
      </c>
      <c r="I157" t="str">
        <f>計算表!I157</f>
        <v>{21~30=0}</v>
      </c>
      <c r="J157" t="str">
        <f>計算表!J157</f>
        <v>{31~40=0}</v>
      </c>
      <c r="K157" t="str">
        <f>計算表!K157</f>
        <v>{41~50=0}</v>
      </c>
      <c r="L157" t="str">
        <f>計算表!L157</f>
        <v>{51~75=0}</v>
      </c>
      <c r="M157" t="str">
        <f>計算表!M157</f>
        <v>{76+=0}</v>
      </c>
      <c r="N157">
        <f>計算表!N157</f>
        <v>0</v>
      </c>
      <c r="O157">
        <f>計算表!O157</f>
        <v>0</v>
      </c>
      <c r="P157">
        <f>計算表!P157</f>
        <v>0</v>
      </c>
      <c r="Q157">
        <f>計算表!Q157</f>
        <v>0</v>
      </c>
      <c r="R157">
        <f>計算表!R157</f>
        <v>0</v>
      </c>
    </row>
    <row r="158" spans="1:18" x14ac:dyDescent="0.25">
      <c r="A158">
        <f>計算表!A158</f>
        <v>157</v>
      </c>
      <c r="B158">
        <f>計算表!B158</f>
        <v>0</v>
      </c>
      <c r="C158" t="str">
        <f>計算表!C158</f>
        <v>5-高塔裝備掉落</v>
      </c>
      <c r="D158" t="str">
        <f>計算表!D158</f>
        <v>精良裝備</v>
      </c>
      <c r="E158" t="str">
        <f>計算表!E158</f>
        <v>各樓層區間掉落率%（{樓層下限~上限=機率}）</v>
      </c>
      <c r="F158" t="str">
        <f>計算表!F158</f>
        <v>每品質獨立擲骰，&gt;100% 依必掉+餘數規則；實際機率 ×(1+有效掉寶率%)。</v>
      </c>
      <c r="G158" t="str">
        <f>計算表!G158</f>
        <v>{1~10=0}</v>
      </c>
      <c r="H158" t="str">
        <f>計算表!H158</f>
        <v>{11~20=0}</v>
      </c>
      <c r="I158" t="str">
        <f>計算表!I158</f>
        <v>{21~30=0}</v>
      </c>
      <c r="J158" t="str">
        <f>計算表!J158</f>
        <v>{31~40=0}</v>
      </c>
      <c r="K158" t="str">
        <f>計算表!K158</f>
        <v>{41~50=0}</v>
      </c>
      <c r="L158" t="str">
        <f>計算表!L158</f>
        <v>{51~75=0}</v>
      </c>
      <c r="M158" t="str">
        <f>計算表!M158</f>
        <v>{76+=0}</v>
      </c>
      <c r="N158">
        <f>計算表!N158</f>
        <v>0</v>
      </c>
      <c r="O158">
        <f>計算表!O158</f>
        <v>0</v>
      </c>
      <c r="P158">
        <f>計算表!P158</f>
        <v>0</v>
      </c>
      <c r="Q158">
        <f>計算表!Q158</f>
        <v>0</v>
      </c>
      <c r="R158">
        <f>計算表!R158</f>
        <v>0</v>
      </c>
    </row>
    <row r="159" spans="1:18" x14ac:dyDescent="0.25">
      <c r="A159">
        <f>計算表!A159</f>
        <v>158</v>
      </c>
      <c r="B159">
        <f>計算表!B159</f>
        <v>0</v>
      </c>
      <c r="C159" t="str">
        <f>計算表!C159</f>
        <v>5-高塔裝備掉落</v>
      </c>
      <c r="D159" t="str">
        <f>計算表!D159</f>
        <v>稀有裝備</v>
      </c>
      <c r="E159" t="str">
        <f>計算表!E159</f>
        <v>各樓層區間掉落率%（{樓層下限~上限=機率}）</v>
      </c>
      <c r="F159" t="str">
        <f>計算表!F159</f>
        <v>每品質獨立擲骰，&gt;100% 依必掉+餘數規則；實際機率 ×(1+有效掉寶率%)。</v>
      </c>
      <c r="G159" t="str">
        <f>計算表!G159</f>
        <v>{1~10=100}</v>
      </c>
      <c r="H159" t="str">
        <f>計算表!H159</f>
        <v>{11~20=100}</v>
      </c>
      <c r="I159" t="str">
        <f>計算表!I159</f>
        <v>{21~30=0}</v>
      </c>
      <c r="J159" t="str">
        <f>計算表!J159</f>
        <v>{31~40=0}</v>
      </c>
      <c r="K159" t="str">
        <f>計算表!K159</f>
        <v>{41~50=0}</v>
      </c>
      <c r="L159" t="str">
        <f>計算表!L159</f>
        <v>{51~75=0}</v>
      </c>
      <c r="M159" t="str">
        <f>計算表!M159</f>
        <v>{76+=0}</v>
      </c>
      <c r="N159">
        <f>計算表!N159</f>
        <v>0</v>
      </c>
      <c r="O159">
        <f>計算表!O159</f>
        <v>0</v>
      </c>
      <c r="P159">
        <f>計算表!P159</f>
        <v>0</v>
      </c>
      <c r="Q159">
        <f>計算表!Q159</f>
        <v>0</v>
      </c>
      <c r="R159">
        <f>計算表!R159</f>
        <v>0</v>
      </c>
    </row>
    <row r="160" spans="1:18" x14ac:dyDescent="0.25">
      <c r="A160">
        <f>計算表!A160</f>
        <v>159</v>
      </c>
      <c r="B160">
        <f>計算表!B160</f>
        <v>0</v>
      </c>
      <c r="C160" t="str">
        <f>計算表!C160</f>
        <v>5-高塔裝備掉落</v>
      </c>
      <c r="D160" t="str">
        <f>計算表!D160</f>
        <v>獨特裝備</v>
      </c>
      <c r="E160" t="str">
        <f>計算表!E160</f>
        <v>各樓層區間掉落率%（{樓層下限~上限=機率}）</v>
      </c>
      <c r="F160" t="str">
        <f>計算表!F160</f>
        <v>每品質獨立擲骰，&gt;100% 依必掉+餘數規則；實際機率 ×(1+有效掉寶率%)。</v>
      </c>
      <c r="G160" t="str">
        <f>計算表!G160</f>
        <v>{1~10=50}</v>
      </c>
      <c r="H160" t="str">
        <f>計算表!H160</f>
        <v>{11~20=100}</v>
      </c>
      <c r="I160" t="str">
        <f>計算表!I160</f>
        <v>{21~30=100}</v>
      </c>
      <c r="J160" t="str">
        <f>計算表!J160</f>
        <v>{31~40=150}</v>
      </c>
      <c r="K160" t="str">
        <f>計算表!K160</f>
        <v>{41~50=0}</v>
      </c>
      <c r="L160" t="str">
        <f>計算表!L160</f>
        <v>{51~75=0}</v>
      </c>
      <c r="M160" t="str">
        <f>計算表!M160</f>
        <v>{76+=0}</v>
      </c>
      <c r="N160">
        <f>計算表!N160</f>
        <v>0</v>
      </c>
      <c r="O160">
        <f>計算表!O160</f>
        <v>0</v>
      </c>
      <c r="P160">
        <f>計算表!P160</f>
        <v>0</v>
      </c>
      <c r="Q160">
        <f>計算表!Q160</f>
        <v>0</v>
      </c>
      <c r="R160">
        <f>計算表!R160</f>
        <v>0</v>
      </c>
    </row>
    <row r="161" spans="1:18" x14ac:dyDescent="0.25">
      <c r="A161">
        <f>計算表!A161</f>
        <v>160</v>
      </c>
      <c r="B161">
        <f>計算表!B161</f>
        <v>0</v>
      </c>
      <c r="C161" t="str">
        <f>計算表!C161</f>
        <v>5-高塔裝備掉落</v>
      </c>
      <c r="D161" t="str">
        <f>計算表!D161</f>
        <v>史詩裝備</v>
      </c>
      <c r="E161" t="str">
        <f>計算表!E161</f>
        <v>各樓層區間掉落率%（{樓層下限~上限=機率}）</v>
      </c>
      <c r="F161" t="str">
        <f>計算表!F161</f>
        <v>每品質獨立擲骰，&gt;100% 依必掉+餘數規則；實際機率 ×(1+有效掉寶率%)。</v>
      </c>
      <c r="G161" t="str">
        <f>計算表!G161</f>
        <v>{1~10=10}</v>
      </c>
      <c r="H161" t="str">
        <f>計算表!H161</f>
        <v>{11~20=20}</v>
      </c>
      <c r="I161" t="str">
        <f>計算表!I161</f>
        <v>{21~30=100}</v>
      </c>
      <c r="J161" t="str">
        <f>計算表!J161</f>
        <v>{31~40=150}</v>
      </c>
      <c r="K161" t="str">
        <f>計算表!K161</f>
        <v>{41~50=200}</v>
      </c>
      <c r="L161" t="str">
        <f>計算表!L161</f>
        <v>{51~75=350}</v>
      </c>
      <c r="M161" t="str">
        <f>計算表!M161</f>
        <v>{76+=400}</v>
      </c>
      <c r="N161">
        <f>計算表!N161</f>
        <v>0</v>
      </c>
      <c r="O161">
        <f>計算表!O161</f>
        <v>0</v>
      </c>
      <c r="P161">
        <f>計算表!P161</f>
        <v>0</v>
      </c>
      <c r="Q161">
        <f>計算表!Q161</f>
        <v>0</v>
      </c>
      <c r="R161">
        <f>計算表!R161</f>
        <v>0</v>
      </c>
    </row>
    <row r="162" spans="1:18" x14ac:dyDescent="0.25">
      <c r="A162">
        <f>計算表!A162</f>
        <v>161</v>
      </c>
      <c r="B162">
        <f>計算表!B162</f>
        <v>0</v>
      </c>
      <c r="C162" t="str">
        <f>計算表!C162</f>
        <v>5-高塔裝備掉落</v>
      </c>
      <c r="D162" t="str">
        <f>計算表!D162</f>
        <v>傳說裝備</v>
      </c>
      <c r="E162" t="str">
        <f>計算表!E162</f>
        <v>各樓層區間掉落率%（{樓層下限~上限=機率}）</v>
      </c>
      <c r="F162" t="str">
        <f>計算表!F162</f>
        <v>每品質獨立擲骰，&gt;100% 依必掉+餘數規則；實際機率 ×(1+有效掉寶率%)。</v>
      </c>
      <c r="G162" t="str">
        <f>計算表!G162</f>
        <v>{1~10=5}</v>
      </c>
      <c r="H162" t="str">
        <f>計算表!H162</f>
        <v>{11~20=10}</v>
      </c>
      <c r="I162" t="str">
        <f>計算表!I162</f>
        <v>{21~30=50}</v>
      </c>
      <c r="J162" t="str">
        <f>計算表!J162</f>
        <v>{31~40=100}</v>
      </c>
      <c r="K162" t="str">
        <f>計算表!K162</f>
        <v>{41~50=150}</v>
      </c>
      <c r="L162" t="str">
        <f>計算表!L162</f>
        <v>{51~75=200}</v>
      </c>
      <c r="M162" t="str">
        <f>計算表!M162</f>
        <v>{76+=250}</v>
      </c>
      <c r="N162">
        <f>計算表!N162</f>
        <v>0</v>
      </c>
      <c r="O162">
        <f>計算表!O162</f>
        <v>0</v>
      </c>
      <c r="P162">
        <f>計算表!P162</f>
        <v>0</v>
      </c>
      <c r="Q162">
        <f>計算表!Q162</f>
        <v>0</v>
      </c>
      <c r="R162">
        <f>計算表!R162</f>
        <v>0</v>
      </c>
    </row>
    <row r="163" spans="1:18" x14ac:dyDescent="0.25">
      <c r="A163">
        <f>計算表!A163</f>
        <v>162</v>
      </c>
      <c r="B163">
        <f>計算表!B163</f>
        <v>0</v>
      </c>
      <c r="C163" t="str">
        <f>計算表!C163</f>
        <v>5-高塔裝備掉落</v>
      </c>
      <c r="D163" t="str">
        <f>計算表!D163</f>
        <v>神話裝備</v>
      </c>
      <c r="E163" t="str">
        <f>計算表!E163</f>
        <v>各樓層區間掉落率%（{樓層下限~上限=機率}）</v>
      </c>
      <c r="F163" t="str">
        <f>計算表!F163</f>
        <v>每品質獨立擲骰，&gt;100% 依必掉+餘數規則；實際機率 ×(1+有效掉寶率%)。</v>
      </c>
      <c r="G163" t="str">
        <f>計算表!G163</f>
        <v>{1~5=0}</v>
      </c>
      <c r="H163" t="str">
        <f>計算表!H163</f>
        <v>{11~20=2}</v>
      </c>
      <c r="I163" t="str">
        <f>計算表!I163</f>
        <v>{21~30=5}</v>
      </c>
      <c r="J163" t="str">
        <f>計算表!J163</f>
        <v>{31~40=10}</v>
      </c>
      <c r="K163" t="str">
        <f>計算表!K163</f>
        <v>{41~50=25}</v>
      </c>
      <c r="L163" t="str">
        <f>計算表!L163</f>
        <v>{51~75=50}</v>
      </c>
      <c r="M163" t="str">
        <f>計算表!M163</f>
        <v>{76+=100}</v>
      </c>
      <c r="N163">
        <f>計算表!N163</f>
        <v>0</v>
      </c>
      <c r="O163">
        <f>計算表!O163</f>
        <v>0</v>
      </c>
      <c r="P163">
        <f>計算表!P163</f>
        <v>0</v>
      </c>
      <c r="Q163">
        <f>計算表!Q163</f>
        <v>0</v>
      </c>
      <c r="R163">
        <f>計算表!R163</f>
        <v>0</v>
      </c>
    </row>
    <row r="164" spans="1:18" x14ac:dyDescent="0.25">
      <c r="A164">
        <f>計算表!A164</f>
        <v>163</v>
      </c>
      <c r="B164">
        <f>計算表!B164</f>
        <v>0</v>
      </c>
      <c r="C164" t="str">
        <f>計算表!C164</f>
        <v>5-高塔裝備掉落</v>
      </c>
      <c r="D164" t="str">
        <f>計算表!D164</f>
        <v>創世裝備</v>
      </c>
      <c r="E164" t="str">
        <f>計算表!E164</f>
        <v>各樓層區間掉落率%（{樓層下限~上限=機率}）</v>
      </c>
      <c r="F164" t="str">
        <f>計算表!F164</f>
        <v>每品質獨立擲骰，&gt;100% 依必掉+餘數規則；實際機率 ×(1+有效掉寶率%)。</v>
      </c>
      <c r="G164" t="str">
        <f>計算表!G164</f>
        <v>{1~5=0}</v>
      </c>
      <c r="H164" t="str">
        <f>計算表!H164</f>
        <v>{11~20=0}</v>
      </c>
      <c r="I164" t="str">
        <f>計算表!I164</f>
        <v>{21~30=0}</v>
      </c>
      <c r="J164" t="str">
        <f>計算表!J164</f>
        <v>{31~40=0}</v>
      </c>
      <c r="K164" t="str">
        <f>計算表!K164</f>
        <v>{41~50=1}</v>
      </c>
      <c r="L164" t="str">
        <f>計算表!L164</f>
        <v>{51~75=5}</v>
      </c>
      <c r="M164" t="str">
        <f>計算表!M164</f>
        <v>{76+=10}</v>
      </c>
      <c r="N164">
        <f>計算表!N164</f>
        <v>0</v>
      </c>
      <c r="O164">
        <f>計算表!O164</f>
        <v>0</v>
      </c>
      <c r="P164">
        <f>計算表!P164</f>
        <v>0</v>
      </c>
      <c r="Q164">
        <f>計算表!Q164</f>
        <v>0</v>
      </c>
      <c r="R164">
        <f>計算表!R164</f>
        <v>0</v>
      </c>
    </row>
    <row r="165" spans="1:18" x14ac:dyDescent="0.25">
      <c r="A165">
        <f>計算表!A165</f>
        <v>164</v>
      </c>
      <c r="B165">
        <f>計算表!B165</f>
        <v>0</v>
      </c>
      <c r="C165" t="str">
        <f>計算表!C165</f>
        <v>5-高塔獎勵</v>
      </c>
      <c r="D165" t="str">
        <f>計算表!D165</f>
        <v>零件階級</v>
      </c>
      <c r="E165" t="str">
        <f>計算表!E165</f>
        <v>clamp(1+⌊(樓層-1)/a⌋, 1, 7)</v>
      </c>
      <c r="F165" t="str">
        <f>計算表!F165</f>
        <v>首通必得、重複通關 30%。</v>
      </c>
      <c r="G165">
        <f>計算表!G165</f>
        <v>4</v>
      </c>
      <c r="H165">
        <f>計算表!H165</f>
        <v>0</v>
      </c>
      <c r="I165">
        <f>計算表!I165</f>
        <v>0</v>
      </c>
      <c r="J165">
        <f>計算表!J165</f>
        <v>0</v>
      </c>
      <c r="K165">
        <f>計算表!K165</f>
        <v>0</v>
      </c>
      <c r="L165">
        <f>計算表!L165</f>
        <v>0</v>
      </c>
      <c r="M165">
        <f>計算表!M165</f>
        <v>0</v>
      </c>
      <c r="N165">
        <f>計算表!N165</f>
        <v>0</v>
      </c>
      <c r="O165">
        <f>計算表!O165</f>
        <v>0</v>
      </c>
      <c r="P165">
        <f>計算表!P165</f>
        <v>0</v>
      </c>
      <c r="Q165">
        <f>計算表!Q165</f>
        <v>0</v>
      </c>
      <c r="R165">
        <f>計算表!R165</f>
        <v>0</v>
      </c>
    </row>
    <row r="166" spans="1:18" x14ac:dyDescent="0.25">
      <c r="A166">
        <f>計算表!A166</f>
        <v>165</v>
      </c>
      <c r="B166">
        <f>計算表!B166</f>
        <v>0</v>
      </c>
      <c r="C166" t="str">
        <f>計算表!C166</f>
        <v>5-高塔獎勵</v>
      </c>
      <c r="D166" t="str">
        <f>計算表!D166</f>
        <v>金幣</v>
      </c>
      <c r="E166" t="str">
        <f>計算表!E166</f>
        <v>a×樓層（首通×2）</v>
      </c>
      <c r="F166" t="str">
        <f>計算表!F166</f>
        <v>a=每層金幣。</v>
      </c>
      <c r="G166">
        <f>計算表!G166</f>
        <v>200</v>
      </c>
      <c r="H166">
        <f>計算表!H166</f>
        <v>0</v>
      </c>
      <c r="I166">
        <f>計算表!I166</f>
        <v>0</v>
      </c>
      <c r="J166">
        <f>計算表!J166</f>
        <v>0</v>
      </c>
      <c r="K166">
        <f>計算表!K166</f>
        <v>0</v>
      </c>
      <c r="L166">
        <f>計算表!L166</f>
        <v>0</v>
      </c>
      <c r="M166">
        <f>計算表!M166</f>
        <v>0</v>
      </c>
      <c r="N166">
        <f>計算表!N166</f>
        <v>0</v>
      </c>
      <c r="O166">
        <f>計算表!O166</f>
        <v>0</v>
      </c>
      <c r="P166">
        <f>計算表!P166</f>
        <v>0</v>
      </c>
      <c r="Q166">
        <f>計算表!Q166</f>
        <v>0</v>
      </c>
      <c r="R166">
        <f>計算表!R166</f>
        <v>0</v>
      </c>
    </row>
    <row r="167" spans="1:18" x14ac:dyDescent="0.25">
      <c r="A167">
        <f>計算表!A167</f>
        <v>166</v>
      </c>
      <c r="B167">
        <f>計算表!B167</f>
        <v>0</v>
      </c>
      <c r="C167" t="str">
        <f>計算表!C167</f>
        <v>5-高塔獎勵</v>
      </c>
      <c r="D167" t="str">
        <f>計算表!D167</f>
        <v>寶石</v>
      </c>
      <c r="E167" t="str">
        <f>計算表!E167</f>
        <v>clamp(1+⌊樓層/a⌋, 1, 5)，隨機種類×2 顆</v>
      </c>
      <c r="F167" t="str">
        <f>計算表!F167</f>
        <v>a=樓層除數。</v>
      </c>
      <c r="G167">
        <f>計算表!G167</f>
        <v>4</v>
      </c>
      <c r="H167">
        <f>計算表!H167</f>
        <v>0</v>
      </c>
      <c r="I167">
        <f>計算表!I167</f>
        <v>0</v>
      </c>
      <c r="J167">
        <f>計算表!J167</f>
        <v>0</v>
      </c>
      <c r="K167">
        <f>計算表!K167</f>
        <v>0</v>
      </c>
      <c r="L167">
        <f>計算表!L167</f>
        <v>0</v>
      </c>
      <c r="M167">
        <f>計算表!M167</f>
        <v>0</v>
      </c>
      <c r="N167">
        <f>計算表!N167</f>
        <v>0</v>
      </c>
      <c r="O167">
        <f>計算表!O167</f>
        <v>0</v>
      </c>
      <c r="P167">
        <f>計算表!P167</f>
        <v>0</v>
      </c>
      <c r="Q167">
        <f>計算表!Q167</f>
        <v>0</v>
      </c>
      <c r="R167">
        <f>計算表!R167</f>
        <v>0</v>
      </c>
    </row>
    <row r="168" spans="1:18" x14ac:dyDescent="0.25">
      <c r="A168">
        <f>計算表!A168</f>
        <v>167</v>
      </c>
      <c r="B168">
        <f>計算表!B168</f>
        <v>0</v>
      </c>
      <c r="C168" t="str">
        <f>計算表!C168</f>
        <v>5-高塔獎勵</v>
      </c>
      <c r="D168" t="str">
        <f>計算表!D168</f>
        <v>附魔精華</v>
      </c>
      <c r="E168" t="str">
        <f>計算表!E168</f>
        <v>a+樓層</v>
      </c>
      <c r="F168" t="str">
        <f>計算表!F168</f>
        <v>a=常數（另附魔書×2）。</v>
      </c>
      <c r="G168">
        <f>計算表!G168</f>
        <v>3</v>
      </c>
      <c r="H168">
        <f>計算表!H168</f>
        <v>0</v>
      </c>
      <c r="I168">
        <f>計算表!I168</f>
        <v>0</v>
      </c>
      <c r="J168">
        <f>計算表!J168</f>
        <v>0</v>
      </c>
      <c r="K168">
        <f>計算表!K168</f>
        <v>0</v>
      </c>
      <c r="L168">
        <f>計算表!L168</f>
        <v>0</v>
      </c>
      <c r="M168">
        <f>計算表!M168</f>
        <v>0</v>
      </c>
      <c r="N168">
        <f>計算表!N168</f>
        <v>0</v>
      </c>
      <c r="O168">
        <f>計算表!O168</f>
        <v>0</v>
      </c>
      <c r="P168">
        <f>計算表!P168</f>
        <v>0</v>
      </c>
      <c r="Q168">
        <f>計算表!Q168</f>
        <v>0</v>
      </c>
      <c r="R168">
        <f>計算表!R168</f>
        <v>0</v>
      </c>
    </row>
    <row r="169" spans="1:18" x14ac:dyDescent="0.25">
      <c r="A169">
        <f>計算表!A169</f>
        <v>168</v>
      </c>
      <c r="B169">
        <f>計算表!B169</f>
        <v>0</v>
      </c>
      <c r="C169" t="str">
        <f>計算表!C169</f>
        <v>5-高塔獎勵</v>
      </c>
      <c r="D169" t="str">
        <f>計算表!D169</f>
        <v>裝備戰利品等級</v>
      </c>
      <c r="E169" t="str">
        <f>計算表!E169</f>
        <v>a+樓層×b</v>
      </c>
      <c r="F169" t="str">
        <f>計算表!F169</f>
        <v>依 BOSS 掉落表擲骰。</v>
      </c>
      <c r="G169">
        <f>計算表!G169</f>
        <v>4</v>
      </c>
      <c r="H169">
        <f>計算表!H169</f>
        <v>5</v>
      </c>
      <c r="I169">
        <f>計算表!I169</f>
        <v>0</v>
      </c>
      <c r="J169">
        <f>計算表!J169</f>
        <v>0</v>
      </c>
      <c r="K169">
        <f>計算表!K169</f>
        <v>0</v>
      </c>
      <c r="L169">
        <f>計算表!L169</f>
        <v>0</v>
      </c>
      <c r="M169">
        <f>計算表!M169</f>
        <v>0</v>
      </c>
      <c r="N169">
        <f>計算表!N169</f>
        <v>0</v>
      </c>
      <c r="O169">
        <f>計算表!O169</f>
        <v>0</v>
      </c>
      <c r="P169">
        <f>計算表!P169</f>
        <v>0</v>
      </c>
      <c r="Q169">
        <f>計算表!Q169</f>
        <v>0</v>
      </c>
      <c r="R169">
        <f>計算表!R169</f>
        <v>0</v>
      </c>
    </row>
    <row r="170" spans="1:18" x14ac:dyDescent="0.25">
      <c r="A170">
        <f>計算表!A170</f>
        <v>169</v>
      </c>
      <c r="B170">
        <f>計算表!B170</f>
        <v>0</v>
      </c>
      <c r="C170" t="str">
        <f>計算表!C170</f>
        <v>5-掉落通則</v>
      </c>
      <c r="D170" t="str">
        <f>計算表!D170</f>
        <v>掉寶率效果折半</v>
      </c>
      <c r="E170" t="str">
        <f>計算表!E170</f>
        <v>有效掉寶率 = 來源合計×a</v>
      </c>
      <c r="F170" t="str">
        <f>計算表!F170</f>
        <v>裝備詞條/附魔/神鑄貪婪/技能尋寶/相關分解零件的掉寶率效果統一×a。</v>
      </c>
      <c r="G170">
        <f>計算表!G170</f>
        <v>0.5</v>
      </c>
      <c r="H170">
        <f>計算表!H170</f>
        <v>0</v>
      </c>
      <c r="I170">
        <f>計算表!I170</f>
        <v>0</v>
      </c>
      <c r="J170">
        <f>計算表!J170</f>
        <v>0</v>
      </c>
      <c r="K170">
        <f>計算表!K170</f>
        <v>0</v>
      </c>
      <c r="L170">
        <f>計算表!L170</f>
        <v>0</v>
      </c>
      <c r="M170">
        <f>計算表!M170</f>
        <v>0</v>
      </c>
      <c r="N170">
        <f>計算表!N170</f>
        <v>0</v>
      </c>
      <c r="O170">
        <f>計算表!O170</f>
        <v>0</v>
      </c>
      <c r="P170">
        <f>計算表!P170</f>
        <v>0</v>
      </c>
      <c r="Q170">
        <f>計算表!Q170</f>
        <v>0</v>
      </c>
      <c r="R170">
        <f>計算表!R170</f>
        <v>0</v>
      </c>
    </row>
    <row r="171" spans="1:18" x14ac:dyDescent="0.25">
      <c r="A171">
        <f>計算表!A171</f>
        <v>170</v>
      </c>
      <c r="B171">
        <f>計算表!B171</f>
        <v>0</v>
      </c>
      <c r="C171" t="str">
        <f>計算表!C171</f>
        <v>5-掉落通則</v>
      </c>
      <c r="D171" t="str">
        <f>計算表!D171</f>
        <v>加速齒輪固定加成</v>
      </c>
      <c r="E171" t="str">
        <f>計算表!E171</f>
        <v>實際加成 = 每階×階級 + a</v>
      </c>
      <c r="F171" t="str">
        <f>計算表!F171</f>
        <v>a=分解速度固定加成（個百分點）。</v>
      </c>
      <c r="G171">
        <f>計算表!G171</f>
        <v>50</v>
      </c>
      <c r="H171">
        <f>計算表!H171</f>
        <v>0</v>
      </c>
      <c r="I171">
        <f>計算表!I171</f>
        <v>0</v>
      </c>
      <c r="J171">
        <f>計算表!J171</f>
        <v>0</v>
      </c>
      <c r="K171">
        <f>計算表!K171</f>
        <v>0</v>
      </c>
      <c r="L171">
        <f>計算表!L171</f>
        <v>0</v>
      </c>
      <c r="M171">
        <f>計算表!M171</f>
        <v>0</v>
      </c>
      <c r="N171">
        <f>計算表!N171</f>
        <v>0</v>
      </c>
      <c r="O171">
        <f>計算表!O171</f>
        <v>0</v>
      </c>
      <c r="P171">
        <f>計算表!P171</f>
        <v>0</v>
      </c>
      <c r="Q171">
        <f>計算表!Q171</f>
        <v>0</v>
      </c>
      <c r="R171">
        <f>計算表!R171</f>
        <v>0</v>
      </c>
    </row>
    <row r="172" spans="1:18" x14ac:dyDescent="0.25">
      <c r="A172">
        <f>計算表!A172</f>
        <v>171</v>
      </c>
      <c r="B172">
        <f>計算表!B172</f>
        <v>0</v>
      </c>
      <c r="C172" t="str">
        <f>計算表!C172</f>
        <v>5-掉落通則</v>
      </c>
      <c r="D172" t="str">
        <f>計算表!D172</f>
        <v>掉落件數規則(&gt;100%)</v>
      </c>
      <c r="E172" t="str">
        <f>計算表!E172</f>
        <v>⌊機率/100⌋ + (餘數% 再 1 件)</v>
      </c>
      <c r="F172" t="str">
        <f>計算表!F172</f>
        <v>每品質獨立擲骰；實際機率 = 表值×(1+有效掉寶率%)，野外菁英再×1.5。　※規則寫死：機率整數部分必掉，餘數再擲一次。</v>
      </c>
      <c r="G172">
        <f>計算表!G172</f>
        <v>0</v>
      </c>
      <c r="H172">
        <f>計算表!H172</f>
        <v>0</v>
      </c>
      <c r="I172">
        <f>計算表!I172</f>
        <v>0</v>
      </c>
      <c r="J172">
        <f>計算表!J172</f>
        <v>0</v>
      </c>
      <c r="K172">
        <f>計算表!K172</f>
        <v>0</v>
      </c>
      <c r="L172">
        <f>計算表!L172</f>
        <v>0</v>
      </c>
      <c r="M172">
        <f>計算表!M172</f>
        <v>0</v>
      </c>
      <c r="N172">
        <f>計算表!N172</f>
        <v>0</v>
      </c>
      <c r="O172">
        <f>計算表!O172</f>
        <v>0</v>
      </c>
      <c r="P172">
        <f>計算表!P172</f>
        <v>0</v>
      </c>
      <c r="Q172">
        <f>計算表!Q172</f>
        <v>0</v>
      </c>
      <c r="R172">
        <f>計算表!R172</f>
        <v>0</v>
      </c>
    </row>
    <row r="173" spans="1:18" x14ac:dyDescent="0.25">
      <c r="A173">
        <f>計算表!A173</f>
        <v>172</v>
      </c>
      <c r="B173">
        <f>計算表!B173</f>
        <v>0</v>
      </c>
      <c r="C173" t="str">
        <f>計算表!C173</f>
        <v>5-稀有度擲骰</v>
      </c>
      <c r="D173" t="str">
        <f>計算表!D173</f>
        <v>權重加成 b</v>
      </c>
      <c r="E173" t="str">
        <f>計算表!E173</f>
        <v>b = 1 + 有效掉寶加成/a + 階段×c</v>
      </c>
      <c r="F173" t="str">
        <f>計算表!F173</f>
        <v>a=掉寶除數 c=每階加成。</v>
      </c>
      <c r="G173">
        <f>計算表!G173</f>
        <v>200</v>
      </c>
      <c r="H173" s="7" t="s">
        <v>1050</v>
      </c>
      <c r="I173">
        <f>計算表!I173</f>
        <v>0</v>
      </c>
      <c r="J173">
        <f>計算表!J173</f>
        <v>0</v>
      </c>
      <c r="K173">
        <f>計算表!K173</f>
        <v>0</v>
      </c>
      <c r="L173">
        <f>計算表!L173</f>
        <v>0</v>
      </c>
      <c r="M173">
        <f>計算表!M173</f>
        <v>0</v>
      </c>
      <c r="N173">
        <f>計算表!N173</f>
        <v>0</v>
      </c>
      <c r="O173">
        <f>計算表!O173</f>
        <v>0</v>
      </c>
      <c r="P173">
        <f>計算表!P173</f>
        <v>0</v>
      </c>
      <c r="Q173">
        <f>計算表!Q173</f>
        <v>0</v>
      </c>
      <c r="R173">
        <f>計算表!R173</f>
        <v>0</v>
      </c>
    </row>
    <row r="174" spans="1:18" x14ac:dyDescent="0.25">
      <c r="A174">
        <f>計算表!A174</f>
        <v>173</v>
      </c>
      <c r="B174">
        <f>計算表!B174</f>
        <v>0</v>
      </c>
      <c r="C174" t="str">
        <f>計算表!C174</f>
        <v>5-稀有度擲骰</v>
      </c>
      <c r="D174" t="str">
        <f>計算表!D174</f>
        <v>普通 權重</v>
      </c>
      <c r="E174" t="str">
        <f>計算表!E174</f>
        <v>權重 = a×min(b, c)</v>
      </c>
      <c r="F174" t="str">
        <f>計算表!F174</f>
        <v>a=基礎權重 b=權重加成 c=加成上限 d=出現門檻。普通無加成。神鑄創世不參與此擲骰。(裝備合成才有作用，目前功能關閉中)</v>
      </c>
      <c r="G174">
        <f>計算表!G174</f>
        <v>55</v>
      </c>
      <c r="H174" t="str">
        <f>計算表!H174</f>
        <v>b</v>
      </c>
      <c r="I174" t="str">
        <f>計算表!I174</f>
        <v>-</v>
      </c>
      <c r="J174" t="str">
        <f>計算表!J174</f>
        <v>—</v>
      </c>
      <c r="K174">
        <f>計算表!K174</f>
        <v>0</v>
      </c>
      <c r="L174">
        <f>計算表!L174</f>
        <v>0</v>
      </c>
      <c r="M174">
        <f>計算表!M174</f>
        <v>0</v>
      </c>
      <c r="N174">
        <f>計算表!N174</f>
        <v>0</v>
      </c>
      <c r="O174">
        <f>計算表!O174</f>
        <v>0</v>
      </c>
      <c r="P174">
        <f>計算表!P174</f>
        <v>0</v>
      </c>
      <c r="Q174">
        <f>計算表!Q174</f>
        <v>0</v>
      </c>
      <c r="R174">
        <f>計算表!R174</f>
        <v>0</v>
      </c>
    </row>
    <row r="175" spans="1:18" x14ac:dyDescent="0.25">
      <c r="A175">
        <f>計算表!A175</f>
        <v>174</v>
      </c>
      <c r="B175">
        <f>計算表!B175</f>
        <v>0</v>
      </c>
      <c r="C175" t="str">
        <f>計算表!C175</f>
        <v>5-稀有度擲骰</v>
      </c>
      <c r="D175" t="str">
        <f>計算表!D175</f>
        <v>精良 權重</v>
      </c>
      <c r="E175" t="str">
        <f>計算表!E175</f>
        <v>權重 = a×min(b, c)</v>
      </c>
      <c r="F175" t="str">
        <f>計算表!F175</f>
        <v>a=基礎權重 b=權重加成 c=加成上限 d=出現門檻。普通無加成。神鑄創世不參與此擲骰。(裝備合成才有作用，目前功能關閉中)</v>
      </c>
      <c r="G175">
        <f>計算表!G175</f>
        <v>25</v>
      </c>
      <c r="H175" t="str">
        <f>計算表!H175</f>
        <v>b</v>
      </c>
      <c r="I175">
        <f>計算表!I175</f>
        <v>2</v>
      </c>
      <c r="J175" t="str">
        <f>計算表!J175</f>
        <v>—</v>
      </c>
      <c r="K175">
        <f>計算表!K175</f>
        <v>0</v>
      </c>
      <c r="L175">
        <f>計算表!L175</f>
        <v>0</v>
      </c>
      <c r="M175">
        <f>計算表!M175</f>
        <v>0</v>
      </c>
      <c r="N175">
        <f>計算表!N175</f>
        <v>0</v>
      </c>
      <c r="O175">
        <f>計算表!O175</f>
        <v>0</v>
      </c>
      <c r="P175">
        <f>計算表!P175</f>
        <v>0</v>
      </c>
      <c r="Q175">
        <f>計算表!Q175</f>
        <v>0</v>
      </c>
      <c r="R175">
        <f>計算表!R175</f>
        <v>0</v>
      </c>
    </row>
    <row r="176" spans="1:18" x14ac:dyDescent="0.25">
      <c r="A176">
        <f>計算表!A176</f>
        <v>175</v>
      </c>
      <c r="B176">
        <f>計算表!B176</f>
        <v>0</v>
      </c>
      <c r="C176" t="str">
        <f>計算表!C176</f>
        <v>5-稀有度擲骰</v>
      </c>
      <c r="D176" t="str">
        <f>計算表!D176</f>
        <v>稀有 權重</v>
      </c>
      <c r="E176" t="str">
        <f>計算表!E176</f>
        <v>權重 = a×min(b, c)</v>
      </c>
      <c r="F176" t="str">
        <f>計算表!F176</f>
        <v>a=基礎權重 b=權重加成 c=加成上限 d=出現門檻。普通無加成。神鑄創世不參與此擲骰。(裝備合成才有作用，目前功能關閉中)</v>
      </c>
      <c r="G176">
        <f>計算表!G176</f>
        <v>12</v>
      </c>
      <c r="H176" t="str">
        <f>計算表!H176</f>
        <v>b</v>
      </c>
      <c r="I176">
        <f>計算表!I176</f>
        <v>2.5</v>
      </c>
      <c r="J176" t="str">
        <f>計算表!J176</f>
        <v>—</v>
      </c>
      <c r="K176">
        <f>計算表!K176</f>
        <v>0</v>
      </c>
      <c r="L176">
        <f>計算表!L176</f>
        <v>0</v>
      </c>
      <c r="M176">
        <f>計算表!M176</f>
        <v>0</v>
      </c>
      <c r="N176">
        <f>計算表!N176</f>
        <v>0</v>
      </c>
      <c r="O176">
        <f>計算表!O176</f>
        <v>0</v>
      </c>
      <c r="P176">
        <f>計算表!P176</f>
        <v>0</v>
      </c>
      <c r="Q176">
        <f>計算表!Q176</f>
        <v>0</v>
      </c>
      <c r="R176">
        <f>計算表!R176</f>
        <v>0</v>
      </c>
    </row>
    <row r="177" spans="1:18" x14ac:dyDescent="0.25">
      <c r="A177">
        <f>計算表!A177</f>
        <v>176</v>
      </c>
      <c r="B177">
        <f>計算表!B177</f>
        <v>0</v>
      </c>
      <c r="C177" t="str">
        <f>計算表!C177</f>
        <v>5-稀有度擲骰</v>
      </c>
      <c r="D177" t="str">
        <f>計算表!D177</f>
        <v>獨特 權重</v>
      </c>
      <c r="E177" t="str">
        <f>計算表!E177</f>
        <v>權重 = a×min(b, c)</v>
      </c>
      <c r="F177" t="str">
        <f>計算表!F177</f>
        <v>a=基礎權重 b=權重加成 c=加成上限 d=出現門檻。普通無加成。神鑄創世不參與此擲骰。(裝備合成才有作用，目前功能關閉中)</v>
      </c>
      <c r="G177">
        <f>計算表!G177</f>
        <v>5.5</v>
      </c>
      <c r="H177" t="str">
        <f>計算表!H177</f>
        <v>b</v>
      </c>
      <c r="I177">
        <f>計算表!I177</f>
        <v>3</v>
      </c>
      <c r="J177" t="str">
        <f>計算表!J177</f>
        <v>—</v>
      </c>
      <c r="K177">
        <f>計算表!K177</f>
        <v>0</v>
      </c>
      <c r="L177">
        <f>計算表!L177</f>
        <v>0</v>
      </c>
      <c r="M177">
        <f>計算表!M177</f>
        <v>0</v>
      </c>
      <c r="N177">
        <f>計算表!N177</f>
        <v>0</v>
      </c>
      <c r="O177">
        <f>計算表!O177</f>
        <v>0</v>
      </c>
      <c r="P177">
        <f>計算表!P177</f>
        <v>0</v>
      </c>
      <c r="Q177">
        <f>計算表!Q177</f>
        <v>0</v>
      </c>
      <c r="R177">
        <f>計算表!R177</f>
        <v>0</v>
      </c>
    </row>
    <row r="178" spans="1:18" x14ac:dyDescent="0.25">
      <c r="A178">
        <f>計算表!A178</f>
        <v>177</v>
      </c>
      <c r="B178">
        <f>計算表!B178</f>
        <v>0</v>
      </c>
      <c r="C178" t="str">
        <f>計算表!C178</f>
        <v>5-稀有度擲骰</v>
      </c>
      <c r="D178" t="str">
        <f>計算表!D178</f>
        <v>史詩 權重</v>
      </c>
      <c r="E178" t="str">
        <f>計算表!E178</f>
        <v>權重 = a×min(b, c)</v>
      </c>
      <c r="F178" t="str">
        <f>計算表!F178</f>
        <v>a=基礎權重 b=權重加成 c=加成上限 d=出現門檻。普通無加成。神鑄創世不參與此擲骰。(裝備合成才有作用，目前功能關閉中)</v>
      </c>
      <c r="G178">
        <f>計算表!G178</f>
        <v>1.8</v>
      </c>
      <c r="H178" t="str">
        <f>計算表!H178</f>
        <v>b</v>
      </c>
      <c r="I178">
        <f>計算表!I178</f>
        <v>3.5</v>
      </c>
      <c r="J178" t="str">
        <f>計算表!J178</f>
        <v>階段 8+</v>
      </c>
      <c r="K178">
        <f>計算表!K178</f>
        <v>0</v>
      </c>
      <c r="L178">
        <f>計算表!L178</f>
        <v>0</v>
      </c>
      <c r="M178">
        <f>計算表!M178</f>
        <v>0</v>
      </c>
      <c r="N178">
        <f>計算表!N178</f>
        <v>0</v>
      </c>
      <c r="O178">
        <f>計算表!O178</f>
        <v>0</v>
      </c>
      <c r="P178">
        <f>計算表!P178</f>
        <v>0</v>
      </c>
      <c r="Q178">
        <f>計算表!Q178</f>
        <v>0</v>
      </c>
      <c r="R178">
        <f>計算表!R178</f>
        <v>0</v>
      </c>
    </row>
    <row r="179" spans="1:18" x14ac:dyDescent="0.25">
      <c r="A179">
        <f>計算表!A179</f>
        <v>178</v>
      </c>
      <c r="B179">
        <f>計算表!B179</f>
        <v>0</v>
      </c>
      <c r="C179" t="str">
        <f>計算表!C179</f>
        <v>5-稀有度擲骰</v>
      </c>
      <c r="D179" t="str">
        <f>計算表!D179</f>
        <v>傳說 權重</v>
      </c>
      <c r="E179" t="str">
        <f>計算表!E179</f>
        <v>權重 = a×min(b, c)</v>
      </c>
      <c r="F179" t="str">
        <f>計算表!F179</f>
        <v>a=基礎權重 b=權重加成 c=加成上限 d=出現門檻。普通無加成。神鑄創世不參與此擲骰。(裝備合成才有作用，目前功能關閉中)</v>
      </c>
      <c r="G179">
        <f>計算表!G179</f>
        <v>0.35</v>
      </c>
      <c r="H179" t="str">
        <f>計算表!H179</f>
        <v>b</v>
      </c>
      <c r="I179">
        <f>計算表!I179</f>
        <v>4</v>
      </c>
      <c r="J179" t="str">
        <f>計算表!J179</f>
        <v>階段 15+</v>
      </c>
      <c r="K179">
        <f>計算表!K179</f>
        <v>0</v>
      </c>
      <c r="L179">
        <f>計算表!L179</f>
        <v>0</v>
      </c>
      <c r="M179">
        <f>計算表!M179</f>
        <v>0</v>
      </c>
      <c r="N179">
        <f>計算表!N179</f>
        <v>0</v>
      </c>
      <c r="O179">
        <f>計算表!O179</f>
        <v>0</v>
      </c>
      <c r="P179">
        <f>計算表!P179</f>
        <v>0</v>
      </c>
      <c r="Q179">
        <f>計算表!Q179</f>
        <v>0</v>
      </c>
      <c r="R179">
        <f>計算表!R179</f>
        <v>0</v>
      </c>
    </row>
    <row r="180" spans="1:18" x14ac:dyDescent="0.25">
      <c r="A180">
        <f>計算表!A180</f>
        <v>179</v>
      </c>
      <c r="B180">
        <f>計算表!B180</f>
        <v>0</v>
      </c>
      <c r="C180" t="str">
        <f>計算表!C180</f>
        <v>5-稀有度擲骰</v>
      </c>
      <c r="D180" t="str">
        <f>計算表!D180</f>
        <v>神話 權重</v>
      </c>
      <c r="E180" t="str">
        <f>計算表!E180</f>
        <v>權重 = a×min(b, c)</v>
      </c>
      <c r="F180" t="str">
        <f>計算表!F180</f>
        <v>a=基礎權重 b=權重加成 c=加成上限 d=出現門檻。普通無加成。神鑄創世不參與此擲骰。(裝備合成才有作用，目前功能關閉中)</v>
      </c>
      <c r="G180">
        <f>計算表!G180</f>
        <v>0.08</v>
      </c>
      <c r="H180" t="str">
        <f>計算表!H180</f>
        <v>b</v>
      </c>
      <c r="I180">
        <f>計算表!I180</f>
        <v>4.5</v>
      </c>
      <c r="J180" t="str">
        <f>計算表!J180</f>
        <v>階段 25+</v>
      </c>
      <c r="K180">
        <f>計算表!K180</f>
        <v>0</v>
      </c>
      <c r="L180">
        <f>計算表!L180</f>
        <v>0</v>
      </c>
      <c r="M180">
        <f>計算表!M180</f>
        <v>0</v>
      </c>
      <c r="N180">
        <f>計算表!N180</f>
        <v>0</v>
      </c>
      <c r="O180">
        <f>計算表!O180</f>
        <v>0</v>
      </c>
      <c r="P180">
        <f>計算表!P180</f>
        <v>0</v>
      </c>
      <c r="Q180">
        <f>計算表!Q180</f>
        <v>0</v>
      </c>
      <c r="R180">
        <f>計算表!R180</f>
        <v>0</v>
      </c>
    </row>
    <row r="181" spans="1:18" x14ac:dyDescent="0.25">
      <c r="A181">
        <f>計算表!A181</f>
        <v>180</v>
      </c>
      <c r="B181">
        <f>計算表!B181</f>
        <v>0</v>
      </c>
      <c r="C181" t="str">
        <f>計算表!C181</f>
        <v>5-稀有度擲骰</v>
      </c>
      <c r="D181" t="str">
        <f>計算表!D181</f>
        <v>創世 權重</v>
      </c>
      <c r="E181" t="str">
        <f>計算表!E181</f>
        <v>權重 = a×min(b, c)</v>
      </c>
      <c r="F181" t="str">
        <f>計算表!F181</f>
        <v>a=基礎權重 b=權重加成 c=加成上限 d=出現門檻。普通無加成。神鑄創世不參與此擲骰。(裝備合成才有作用，目前功能關閉中)</v>
      </c>
      <c r="G181" s="7" t="s">
        <v>1051</v>
      </c>
      <c r="H181" t="str">
        <f>計算表!H181</f>
        <v>b</v>
      </c>
      <c r="I181">
        <f>計算表!I181</f>
        <v>5</v>
      </c>
      <c r="J181" t="str">
        <f>計算表!J181</f>
        <v>階段 40+</v>
      </c>
      <c r="K181">
        <f>計算表!K181</f>
        <v>0</v>
      </c>
      <c r="L181">
        <f>計算表!L181</f>
        <v>0</v>
      </c>
      <c r="M181">
        <f>計算表!M181</f>
        <v>0</v>
      </c>
      <c r="N181">
        <f>計算表!N181</f>
        <v>0</v>
      </c>
      <c r="O181">
        <f>計算表!O181</f>
        <v>0</v>
      </c>
      <c r="P181">
        <f>計算表!P181</f>
        <v>0</v>
      </c>
      <c r="Q181">
        <f>計算表!Q181</f>
        <v>0</v>
      </c>
      <c r="R181">
        <f>計算表!R181</f>
        <v>0</v>
      </c>
    </row>
    <row r="182" spans="1:18" x14ac:dyDescent="0.25">
      <c r="A182">
        <f>計算表!A182</f>
        <v>181</v>
      </c>
      <c r="B182">
        <f>計算表!B182</f>
        <v>0</v>
      </c>
      <c r="C182" t="str">
        <f>計算表!C182</f>
        <v>6-分解精華機率</v>
      </c>
      <c r="D182" t="str">
        <f>計算表!D182</f>
        <v>附魔精華拆解機率</v>
      </c>
      <c r="E182" t="str">
        <f>計算表!E182</f>
        <v>稀有度基礎機率 × (1+精粹透鏡加成/100)</v>
      </c>
      <c r="F182" t="str">
        <f>計算表!F182</f>
        <v>一列列出各稀有度基礎機率%。&gt;100% 採必得+餘數。</v>
      </c>
      <c r="G182">
        <f>計算表!G182</f>
        <v>5</v>
      </c>
      <c r="H182">
        <f>計算表!H182</f>
        <v>7.5</v>
      </c>
      <c r="I182">
        <f>計算表!I182</f>
        <v>10</v>
      </c>
      <c r="J182">
        <f>計算表!J182</f>
        <v>15</v>
      </c>
      <c r="K182">
        <f>計算表!K182</f>
        <v>20</v>
      </c>
      <c r="L182">
        <f>計算表!L182</f>
        <v>25</v>
      </c>
      <c r="M182">
        <f>計算表!M182</f>
        <v>30</v>
      </c>
      <c r="N182">
        <f>計算表!N182</f>
        <v>100</v>
      </c>
      <c r="O182">
        <f>計算表!O182</f>
        <v>100</v>
      </c>
      <c r="P182">
        <f>計算表!P182</f>
        <v>0</v>
      </c>
      <c r="Q182">
        <f>計算表!Q182</f>
        <v>0</v>
      </c>
      <c r="R182">
        <f>計算表!R182</f>
        <v>0</v>
      </c>
    </row>
    <row r="183" spans="1:18" x14ac:dyDescent="0.25">
      <c r="A183">
        <f>計算表!A183</f>
        <v>182</v>
      </c>
      <c r="B183">
        <f>計算表!B183</f>
        <v>0</v>
      </c>
      <c r="C183" t="str">
        <f>計算表!C183</f>
        <v>6-分解精華機率</v>
      </c>
      <c r="D183" t="str">
        <f>計算表!D183</f>
        <v>太古精華拆解機率(依稀有度)</v>
      </c>
      <c r="E183" t="str">
        <f>計算表!E183</f>
        <v>基礎機率×太古萃取器倍率；另每條太古詞條 50% 判定</v>
      </c>
      <c r="F183" t="str">
        <f>計算表!F183</f>
        <v>史詩0.5 傳說1 神話10 創世100 神鑄100（普通~獨特不掉）。</v>
      </c>
      <c r="G183">
        <f>計算表!G183</f>
        <v>0</v>
      </c>
      <c r="H183">
        <f>計算表!H183</f>
        <v>0</v>
      </c>
      <c r="I183">
        <f>計算表!I183</f>
        <v>0</v>
      </c>
      <c r="J183">
        <f>計算表!J183</f>
        <v>0.1</v>
      </c>
      <c r="K183">
        <f>計算表!K183</f>
        <v>0.5</v>
      </c>
      <c r="L183">
        <f>計算表!L183</f>
        <v>1</v>
      </c>
      <c r="M183">
        <f>計算表!M183</f>
        <v>10</v>
      </c>
      <c r="N183">
        <f>計算表!N183</f>
        <v>100</v>
      </c>
      <c r="O183">
        <f>計算表!O183</f>
        <v>100</v>
      </c>
      <c r="P183">
        <f>計算表!P183</f>
        <v>0</v>
      </c>
      <c r="Q183">
        <f>計算表!Q183</f>
        <v>0</v>
      </c>
      <c r="R183">
        <f>計算表!R183</f>
        <v>0</v>
      </c>
    </row>
    <row r="184" spans="1:18" x14ac:dyDescent="0.25">
      <c r="A184">
        <f>計算表!A185</f>
        <v>184</v>
      </c>
      <c r="B184">
        <f>計算表!B185</f>
        <v>0</v>
      </c>
      <c r="C184" t="str">
        <f>計算表!C185</f>
        <v>6-神鑄</v>
      </c>
      <c r="D184" t="str">
        <f>計算表!D185</f>
        <v>裝備神鑄成功率</v>
      </c>
      <c r="E184" t="str">
        <f>計算表!E185</f>
        <v>clamp(基礎 + 魔塵數×a, 0, 100)</v>
      </c>
      <c r="F184" t="str">
        <f>計算表!F185</f>
        <v>傳統品質每魔塵 a%；混沌品質另由「裝備神鑄混沌魔塵加成」控制。</v>
      </c>
      <c r="G184">
        <f>計算表!G185</f>
        <v>5</v>
      </c>
      <c r="H184">
        <f>計算表!H185</f>
        <v>0</v>
      </c>
      <c r="I184">
        <f>計算表!I185</f>
        <v>0</v>
      </c>
      <c r="J184">
        <f>計算表!J185</f>
        <v>0</v>
      </c>
      <c r="K184">
        <f>計算表!K185</f>
        <v>0</v>
      </c>
      <c r="L184">
        <f>計算表!L185</f>
        <v>0</v>
      </c>
      <c r="M184">
        <f>計算表!M185</f>
        <v>0</v>
      </c>
      <c r="N184">
        <f>計算表!N185</f>
        <v>0</v>
      </c>
      <c r="O184">
        <f>計算表!O185</f>
        <v>0</v>
      </c>
      <c r="P184">
        <f>計算表!P185</f>
        <v>0</v>
      </c>
      <c r="Q184">
        <f>計算表!Q185</f>
        <v>0</v>
      </c>
      <c r="R184">
        <f>計算表!R185</f>
        <v>0</v>
      </c>
    </row>
    <row r="185" spans="1:18" x14ac:dyDescent="0.25">
      <c r="A185">
        <f>計算表!A186</f>
        <v>185</v>
      </c>
      <c r="B185">
        <f>計算表!B186</f>
        <v>0</v>
      </c>
      <c r="C185" t="str">
        <f>計算表!C186</f>
        <v>6-神鑄</v>
      </c>
      <c r="D185" t="str">
        <f>計算表!D186</f>
        <v>裝備神鑄基礎成功率</v>
      </c>
      <c r="E185" t="str">
        <f>計算表!E186</f>
        <v>傳說a 神話b 創世c 混沌d（%）</v>
      </c>
      <c r="F185" t="str">
        <f>計算表!F186</f>
        <v>依素材品質。</v>
      </c>
      <c r="G185">
        <f>計算表!G186</f>
        <v>55</v>
      </c>
      <c r="H185">
        <f>計算表!H186</f>
        <v>40</v>
      </c>
      <c r="I185">
        <f>計算表!I186</f>
        <v>25</v>
      </c>
      <c r="J185">
        <f>計算表!J186</f>
        <v>20</v>
      </c>
      <c r="K185">
        <f>計算表!K186</f>
        <v>0</v>
      </c>
      <c r="L185">
        <f>計算表!L186</f>
        <v>0</v>
      </c>
      <c r="M185">
        <f>計算表!M186</f>
        <v>0</v>
      </c>
      <c r="N185">
        <f>計算表!N186</f>
        <v>0</v>
      </c>
      <c r="O185">
        <f>計算表!O186</f>
        <v>0</v>
      </c>
      <c r="P185">
        <f>計算表!P186</f>
        <v>0</v>
      </c>
      <c r="Q185">
        <f>計算表!Q186</f>
        <v>0</v>
      </c>
      <c r="R185">
        <f>計算表!R186</f>
        <v>0</v>
      </c>
    </row>
    <row r="186" spans="1:18" x14ac:dyDescent="0.25">
      <c r="A186">
        <f>計算表!A187</f>
        <v>186</v>
      </c>
      <c r="B186">
        <f>計算表!B187</f>
        <v>0</v>
      </c>
      <c r="C186" t="str">
        <f>計算表!C187</f>
        <v>6-神鑄</v>
      </c>
      <c r="D186" t="str">
        <f>計算表!D187</f>
        <v>裝備神鑄金幣</v>
      </c>
      <c r="E186" t="str">
        <f>計算表!E187</f>
        <v>傳說a 神話b 創世c 混沌d</v>
      </c>
      <c r="F186" t="str">
        <f>計算表!F187</f>
        <v>單次金幣消耗；混沌暫定 5 億。</v>
      </c>
      <c r="G186">
        <f>計算表!G187</f>
        <v>5000000</v>
      </c>
      <c r="H186">
        <f>計算表!H187</f>
        <v>20000000</v>
      </c>
      <c r="I186">
        <f>計算表!I187</f>
        <v>100000000</v>
      </c>
      <c r="J186">
        <f>計算表!J187</f>
        <v>500000000</v>
      </c>
      <c r="K186">
        <f>計算表!K187</f>
        <v>0</v>
      </c>
      <c r="L186">
        <f>計算表!L187</f>
        <v>0</v>
      </c>
      <c r="M186">
        <f>計算表!M187</f>
        <v>0</v>
      </c>
      <c r="N186">
        <f>計算表!N187</f>
        <v>0</v>
      </c>
      <c r="O186">
        <f>計算表!O187</f>
        <v>0</v>
      </c>
      <c r="P186">
        <f>計算表!P187</f>
        <v>0</v>
      </c>
      <c r="Q186">
        <f>計算表!Q187</f>
        <v>0</v>
      </c>
      <c r="R186">
        <f>計算表!R187</f>
        <v>0</v>
      </c>
    </row>
    <row r="187" spans="1:18" x14ac:dyDescent="0.25">
      <c r="A187">
        <f>計算表!A188</f>
        <v>187</v>
      </c>
      <c r="B187">
        <f>計算表!B188</f>
        <v>0</v>
      </c>
      <c r="C187" t="str">
        <f>計算表!C188</f>
        <v>6-神鑄</v>
      </c>
      <c r="D187" t="str">
        <f>計算表!D188</f>
        <v>裝備神鑄時間(秒)</v>
      </c>
      <c r="E187" t="str">
        <f>計算表!E188</f>
        <v>傳說a 神話b 創世c 混沌d</v>
      </c>
      <c r="F187">
        <f>計算表!F188</f>
        <v>0</v>
      </c>
      <c r="G187">
        <f>計算表!G188</f>
        <v>3</v>
      </c>
      <c r="H187">
        <f>計算表!H188</f>
        <v>5</v>
      </c>
      <c r="I187">
        <f>計算表!I188</f>
        <v>8</v>
      </c>
      <c r="J187">
        <f>計算表!J188</f>
        <v>13</v>
      </c>
      <c r="K187">
        <f>計算表!K188</f>
        <v>0</v>
      </c>
      <c r="L187">
        <f>計算表!L188</f>
        <v>0</v>
      </c>
      <c r="M187">
        <f>計算表!M188</f>
        <v>0</v>
      </c>
      <c r="N187">
        <f>計算表!N188</f>
        <v>0</v>
      </c>
      <c r="O187">
        <f>計算表!O188</f>
        <v>0</v>
      </c>
      <c r="P187">
        <f>計算表!P188</f>
        <v>0</v>
      </c>
      <c r="Q187">
        <f>計算表!Q188</f>
        <v>0</v>
      </c>
      <c r="R187">
        <f>計算表!R188</f>
        <v>0</v>
      </c>
    </row>
    <row r="188" spans="1:18" x14ac:dyDescent="0.25">
      <c r="A188">
        <f>計算表!A189</f>
        <v>188</v>
      </c>
      <c r="B188">
        <f>計算表!B189</f>
        <v>0</v>
      </c>
      <c r="C188" t="str">
        <f>計算表!C189</f>
        <v>6-神鑄</v>
      </c>
      <c r="D188" t="str">
        <f>計算表!D189</f>
        <v>裝備神鑄混沌魔塵加成</v>
      </c>
      <c r="E188" t="str">
        <f>計算表!E189</f>
        <v>混沌品質每個魔塵增加 a% 成功率</v>
      </c>
      <c r="F188" t="str">
        <f>計算表!F189</f>
        <v>僅適用 6 件混沌裝備神鑄為神鑄混沌。</v>
      </c>
      <c r="G188">
        <f>計算表!G189</f>
        <v>3</v>
      </c>
      <c r="H188">
        <f>計算表!H189</f>
        <v>0</v>
      </c>
      <c r="I188">
        <f>計算表!I189</f>
        <v>0</v>
      </c>
      <c r="J188">
        <f>計算表!J189</f>
        <v>0</v>
      </c>
      <c r="K188">
        <f>計算表!K189</f>
        <v>0</v>
      </c>
      <c r="L188">
        <f>計算表!L189</f>
        <v>0</v>
      </c>
      <c r="M188">
        <f>計算表!M189</f>
        <v>0</v>
      </c>
      <c r="N188">
        <f>計算表!N189</f>
        <v>0</v>
      </c>
      <c r="O188">
        <f>計算表!O189</f>
        <v>0</v>
      </c>
      <c r="P188">
        <f>計算表!P189</f>
        <v>0</v>
      </c>
      <c r="Q188">
        <f>計算表!Q189</f>
        <v>0</v>
      </c>
      <c r="R188">
        <f>計算表!R189</f>
        <v>0</v>
      </c>
    </row>
    <row r="189" spans="1:18" x14ac:dyDescent="0.25">
      <c r="A189">
        <f>計算表!A190</f>
        <v>189</v>
      </c>
      <c r="B189">
        <f>計算表!B190</f>
        <v>0</v>
      </c>
      <c r="C189" t="str">
        <f>計算表!C190</f>
        <v>6-神鑄</v>
      </c>
      <c r="D189" t="str">
        <f>計算表!D190</f>
        <v>寶石神鑄成功率</v>
      </c>
      <c r="E189" t="str">
        <f>計算表!E190</f>
        <v>clamp(基礎 + 魔塵數×a, 0, 100)</v>
      </c>
      <c r="F189" t="str">
        <f>計算表!F190</f>
        <v>基礎：5階45 6階35 7階25 8階15 9階5。a=每魔塵加成%。</v>
      </c>
      <c r="G189">
        <f>計算表!G190</f>
        <v>3</v>
      </c>
      <c r="H189">
        <f>計算表!H190</f>
        <v>0</v>
      </c>
      <c r="I189">
        <f>計算表!I190</f>
        <v>0</v>
      </c>
      <c r="J189">
        <f>計算表!J190</f>
        <v>0</v>
      </c>
      <c r="K189">
        <f>計算表!K190</f>
        <v>0</v>
      </c>
      <c r="L189">
        <f>計算表!L190</f>
        <v>0</v>
      </c>
      <c r="M189">
        <f>計算表!M190</f>
        <v>0</v>
      </c>
      <c r="N189">
        <f>計算表!N190</f>
        <v>0</v>
      </c>
      <c r="O189">
        <f>計算表!O190</f>
        <v>0</v>
      </c>
      <c r="P189">
        <f>計算表!P190</f>
        <v>0</v>
      </c>
      <c r="Q189">
        <f>計算表!Q190</f>
        <v>0</v>
      </c>
      <c r="R189">
        <f>計算表!R190</f>
        <v>0</v>
      </c>
    </row>
    <row r="190" spans="1:18" x14ac:dyDescent="0.25">
      <c r="A190">
        <f>計算表!A191</f>
        <v>190</v>
      </c>
      <c r="B190">
        <f>計算表!B191</f>
        <v>0</v>
      </c>
      <c r="C190" t="str">
        <f>計算表!C191</f>
        <v>6-神鑄</v>
      </c>
      <c r="D190" t="str">
        <f>計算表!D191</f>
        <v>寶石神鑄基礎成功率</v>
      </c>
      <c r="E190" t="str">
        <f>計算表!E191</f>
        <v>5階a 6階b 7階c 8階d 9階e（%）</v>
      </c>
      <c r="F190" t="str">
        <f>計算表!F191</f>
        <v>依素材階級。</v>
      </c>
      <c r="G190">
        <f>計算表!G191</f>
        <v>50</v>
      </c>
      <c r="H190">
        <f>計算表!H191</f>
        <v>40</v>
      </c>
      <c r="I190">
        <f>計算表!I191</f>
        <v>35</v>
      </c>
      <c r="J190">
        <f>計算表!J191</f>
        <v>25</v>
      </c>
      <c r="K190">
        <f>計算表!K191</f>
        <v>15</v>
      </c>
      <c r="L190">
        <f>計算表!L191</f>
        <v>0</v>
      </c>
      <c r="M190">
        <f>計算表!M191</f>
        <v>0</v>
      </c>
      <c r="N190">
        <f>計算表!N191</f>
        <v>0</v>
      </c>
      <c r="O190">
        <f>計算表!O191</f>
        <v>0</v>
      </c>
      <c r="P190">
        <f>計算表!P191</f>
        <v>0</v>
      </c>
      <c r="Q190">
        <f>計算表!Q191</f>
        <v>0</v>
      </c>
      <c r="R190">
        <f>計算表!R191</f>
        <v>0</v>
      </c>
    </row>
    <row r="191" spans="1:18" x14ac:dyDescent="0.25">
      <c r="A191">
        <f>計算表!A192</f>
        <v>191</v>
      </c>
      <c r="B191">
        <f>計算表!B192</f>
        <v>0</v>
      </c>
      <c r="C191" t="str">
        <f>計算表!C192</f>
        <v>6-神鑄</v>
      </c>
      <c r="D191" t="str">
        <f>計算表!D192</f>
        <v>寶石神鑄金幣</v>
      </c>
      <c r="E191" t="str">
        <f>計算表!E192</f>
        <v>a + (素材階級-b)×a</v>
      </c>
      <c r="F191" t="str">
        <f>計算表!F192</f>
        <v>a=基礎 b=起始階級。</v>
      </c>
      <c r="G191">
        <f>計算表!G192</f>
        <v>1000000</v>
      </c>
      <c r="H191">
        <f>計算表!H192</f>
        <v>5</v>
      </c>
      <c r="I191">
        <f>計算表!I192</f>
        <v>0</v>
      </c>
      <c r="J191">
        <f>計算表!J192</f>
        <v>0</v>
      </c>
      <c r="K191">
        <f>計算表!K192</f>
        <v>0</v>
      </c>
      <c r="L191">
        <f>計算表!L192</f>
        <v>0</v>
      </c>
      <c r="M191">
        <f>計算表!M192</f>
        <v>0</v>
      </c>
      <c r="N191">
        <f>計算表!N192</f>
        <v>0</v>
      </c>
      <c r="O191">
        <f>計算表!O192</f>
        <v>0</v>
      </c>
      <c r="P191">
        <f>計算表!P192</f>
        <v>0</v>
      </c>
      <c r="Q191">
        <f>計算表!Q192</f>
        <v>0</v>
      </c>
      <c r="R191">
        <f>計算表!R192</f>
        <v>0</v>
      </c>
    </row>
    <row r="192" spans="1:18" x14ac:dyDescent="0.25">
      <c r="A192">
        <f>計算表!A193</f>
        <v>192</v>
      </c>
      <c r="B192">
        <f>計算表!B193</f>
        <v>0</v>
      </c>
      <c r="C192" t="str">
        <f>計算表!C193</f>
        <v>6-神鑄</v>
      </c>
      <c r="D192" t="str">
        <f>計算表!D193</f>
        <v>寶石神鑄時間(秒)</v>
      </c>
      <c r="E192" t="str">
        <f>計算表!E193</f>
        <v>5階a 6階b 7階c 8階d 9階e</v>
      </c>
      <c r="F192">
        <f>計算表!F193</f>
        <v>0</v>
      </c>
      <c r="G192">
        <f>計算表!G193</f>
        <v>1</v>
      </c>
      <c r="H192">
        <f>計算表!H193</f>
        <v>2</v>
      </c>
      <c r="I192">
        <f>計算表!I193</f>
        <v>3</v>
      </c>
      <c r="J192">
        <f>計算表!J193</f>
        <v>4</v>
      </c>
      <c r="K192">
        <f>計算表!K193</f>
        <v>6</v>
      </c>
      <c r="L192">
        <f>計算表!L193</f>
        <v>0</v>
      </c>
      <c r="M192">
        <f>計算表!M193</f>
        <v>0</v>
      </c>
      <c r="N192">
        <f>計算表!N193</f>
        <v>0</v>
      </c>
      <c r="O192">
        <f>計算表!O193</f>
        <v>0</v>
      </c>
      <c r="P192">
        <f>計算表!P193</f>
        <v>0</v>
      </c>
      <c r="Q192">
        <f>計算表!Q193</f>
        <v>0</v>
      </c>
      <c r="R192">
        <f>計算表!R193</f>
        <v>0</v>
      </c>
    </row>
    <row r="193" spans="1:18" x14ac:dyDescent="0.25">
      <c r="A193">
        <f>計算表!A194</f>
        <v>193</v>
      </c>
      <c r="B193">
        <f>計算表!B194</f>
        <v>0</v>
      </c>
      <c r="C193" t="str">
        <f>計算表!C194</f>
        <v>6-神鑄</v>
      </c>
      <c r="D193" t="str">
        <f>計算表!D194</f>
        <v>神鑄失敗</v>
      </c>
      <c r="E193" t="str">
        <f>計算表!E194</f>
        <v>裝備消耗a件退b件；寶石消耗a顆退b顆；每次失敗得魔塵1</v>
      </c>
      <c r="F193" t="str">
        <f>計算表!F194</f>
        <v>a=消耗 b=退回。</v>
      </c>
      <c r="G193">
        <f>計算表!G194</f>
        <v>3</v>
      </c>
      <c r="H193">
        <f>計算表!H194</f>
        <v>3</v>
      </c>
      <c r="I193">
        <f>計算表!I194</f>
        <v>0</v>
      </c>
      <c r="J193">
        <f>計算表!J194</f>
        <v>0</v>
      </c>
      <c r="K193">
        <f>計算表!K194</f>
        <v>0</v>
      </c>
      <c r="L193">
        <f>計算表!L194</f>
        <v>0</v>
      </c>
      <c r="M193">
        <f>計算表!M194</f>
        <v>0</v>
      </c>
      <c r="N193">
        <f>計算表!N194</f>
        <v>0</v>
      </c>
      <c r="O193">
        <f>計算表!O194</f>
        <v>0</v>
      </c>
      <c r="P193">
        <f>計算表!P194</f>
        <v>0</v>
      </c>
      <c r="Q193">
        <f>計算表!Q194</f>
        <v>0</v>
      </c>
      <c r="R193">
        <f>計算表!R194</f>
        <v>0</v>
      </c>
    </row>
    <row r="194" spans="1:18" x14ac:dyDescent="0.25">
      <c r="A194">
        <f>計算表!A195</f>
        <v>194</v>
      </c>
      <c r="B194">
        <f>計算表!B195</f>
        <v>0</v>
      </c>
      <c r="C194" t="str">
        <f>計算表!C195</f>
        <v>6-神鑄</v>
      </c>
      <c r="D194" t="str">
        <f>計算表!D195</f>
        <v>神鑄槽位 / 魔塵上限</v>
      </c>
      <c r="E194" t="str">
        <f>計算表!E195</f>
        <v>法陣a格；魔塵最多b個</v>
      </c>
      <c r="F194" t="str">
        <f>計算表!F195</f>
        <v>a=槽位 b=魔塵上限。</v>
      </c>
      <c r="G194">
        <f>計算表!G195</f>
        <v>6</v>
      </c>
      <c r="H194">
        <f>計算表!H195</f>
        <v>6</v>
      </c>
      <c r="I194">
        <f>計算表!I195</f>
        <v>0</v>
      </c>
      <c r="J194">
        <f>計算表!J195</f>
        <v>0</v>
      </c>
      <c r="K194">
        <f>計算表!K195</f>
        <v>0</v>
      </c>
      <c r="L194">
        <f>計算表!L195</f>
        <v>0</v>
      </c>
      <c r="M194">
        <f>計算表!M195</f>
        <v>0</v>
      </c>
      <c r="N194">
        <f>計算表!N195</f>
        <v>0</v>
      </c>
      <c r="O194">
        <f>計算表!O195</f>
        <v>0</v>
      </c>
      <c r="P194">
        <f>計算表!P195</f>
        <v>0</v>
      </c>
      <c r="Q194">
        <f>計算表!Q195</f>
        <v>0</v>
      </c>
      <c r="R194">
        <f>計算表!R195</f>
        <v>0</v>
      </c>
    </row>
    <row r="195" spans="1:18" x14ac:dyDescent="0.25">
      <c r="A195">
        <f>計算表!A196</f>
        <v>195</v>
      </c>
      <c r="B195">
        <f>計算表!B196</f>
        <v>0</v>
      </c>
      <c r="C195" t="str">
        <f>計算表!C196</f>
        <v>6-神鑄</v>
      </c>
      <c r="D195" t="str">
        <f>計算表!D196</f>
        <v>裝備神鑄混沌基礎成功率</v>
      </c>
      <c r="E195" t="str">
        <f>計算表!E196</f>
        <v>混沌品質基礎成功率 a%</v>
      </c>
      <c r="F195" t="str">
        <f>計算表!F196</f>
        <v>6 件混沌裝備神鑄為神鑄混沌的基礎成功率。</v>
      </c>
      <c r="G195">
        <f>計算表!G196</f>
        <v>20</v>
      </c>
      <c r="H195">
        <f>計算表!H196</f>
        <v>0</v>
      </c>
      <c r="I195">
        <f>計算表!I196</f>
        <v>0</v>
      </c>
      <c r="J195">
        <f>計算表!J196</f>
        <v>0</v>
      </c>
      <c r="K195">
        <f>計算表!K196</f>
        <v>0</v>
      </c>
      <c r="L195">
        <f>計算表!L196</f>
        <v>0</v>
      </c>
      <c r="M195">
        <f>計算表!M196</f>
        <v>0</v>
      </c>
      <c r="N195">
        <f>計算表!N196</f>
        <v>0</v>
      </c>
      <c r="O195">
        <f>計算表!O196</f>
        <v>0</v>
      </c>
      <c r="P195">
        <f>計算表!P196</f>
        <v>0</v>
      </c>
      <c r="Q195">
        <f>計算表!Q196</f>
        <v>0</v>
      </c>
      <c r="R195">
        <f>計算表!R196</f>
        <v>0</v>
      </c>
    </row>
    <row r="196" spans="1:18" x14ac:dyDescent="0.25">
      <c r="A196">
        <f>計算表!A197</f>
        <v>196</v>
      </c>
      <c r="B196">
        <f>計算表!B197</f>
        <v>0</v>
      </c>
      <c r="C196" t="str">
        <f>計算表!C197</f>
        <v>6-神鑄</v>
      </c>
      <c r="D196" t="str">
        <f>計算表!D197</f>
        <v>裝備神鑄混沌金幣</v>
      </c>
      <c r="E196" t="str">
        <f>計算表!E197</f>
        <v>混沌品質單次金幣消耗 a</v>
      </c>
      <c r="F196" t="str">
        <f>計算表!F197</f>
        <v>暫定 5 億，可自行調整。</v>
      </c>
      <c r="G196">
        <f>計算表!G197</f>
        <v>500000000</v>
      </c>
      <c r="H196">
        <f>計算表!H197</f>
        <v>0</v>
      </c>
      <c r="I196">
        <f>計算表!I197</f>
        <v>0</v>
      </c>
      <c r="J196">
        <f>計算表!J197</f>
        <v>0</v>
      </c>
      <c r="K196">
        <f>計算表!K197</f>
        <v>0</v>
      </c>
      <c r="L196">
        <f>計算表!L197</f>
        <v>0</v>
      </c>
      <c r="M196">
        <f>計算表!M197</f>
        <v>0</v>
      </c>
      <c r="N196">
        <f>計算表!N197</f>
        <v>0</v>
      </c>
      <c r="O196">
        <f>計算表!O197</f>
        <v>0</v>
      </c>
      <c r="P196">
        <f>計算表!P197</f>
        <v>0</v>
      </c>
      <c r="Q196">
        <f>計算表!Q197</f>
        <v>0</v>
      </c>
      <c r="R196">
        <f>計算表!R197</f>
        <v>0</v>
      </c>
    </row>
    <row r="197" spans="1:18" x14ac:dyDescent="0.25">
      <c r="A197">
        <f>計算表!A198</f>
        <v>197</v>
      </c>
      <c r="B197">
        <f>計算表!B198</f>
        <v>0</v>
      </c>
      <c r="C197" t="str">
        <f>計算表!C198</f>
        <v>6-神鑄</v>
      </c>
      <c r="D197" t="str">
        <f>計算表!D198</f>
        <v>裝備神鑄混沌時間(秒)</v>
      </c>
      <c r="E197" t="str">
        <f>計算表!E198</f>
        <v>混沌品質神鑄時間 a 秒</v>
      </c>
      <c r="F197" t="str">
        <f>計算表!F198</f>
        <v>暫定 13 秒，可自行調整。</v>
      </c>
      <c r="G197">
        <f>計算表!G198</f>
        <v>13</v>
      </c>
      <c r="H197">
        <f>計算表!H198</f>
        <v>0</v>
      </c>
      <c r="I197">
        <f>計算表!I198</f>
        <v>0</v>
      </c>
      <c r="J197">
        <f>計算表!J198</f>
        <v>0</v>
      </c>
      <c r="K197">
        <f>計算表!K198</f>
        <v>0</v>
      </c>
      <c r="L197">
        <f>計算表!L198</f>
        <v>0</v>
      </c>
      <c r="M197">
        <f>計算表!M198</f>
        <v>0</v>
      </c>
      <c r="N197">
        <f>計算表!N198</f>
        <v>0</v>
      </c>
      <c r="O197">
        <f>計算表!O198</f>
        <v>0</v>
      </c>
      <c r="P197">
        <f>計算表!P198</f>
        <v>0</v>
      </c>
      <c r="Q197">
        <f>計算表!Q198</f>
        <v>0</v>
      </c>
      <c r="R197">
        <f>計算表!R198</f>
        <v>0</v>
      </c>
    </row>
    <row r="198" spans="1:18" x14ac:dyDescent="0.25">
      <c r="A198">
        <f>計算表!A199</f>
        <v>198</v>
      </c>
      <c r="B198">
        <f>計算表!B199</f>
        <v>0</v>
      </c>
      <c r="C198" t="str">
        <f>計算表!C199</f>
        <v>6-裝備</v>
      </c>
      <c r="D198" t="str">
        <f>計算表!D199</f>
        <v>詞條數值</v>
      </c>
      <c r="E198" t="str">
        <f>計算表!E199</f>
        <v>(base+base×lv係數×(裝備等級-1))×稀有度倍率×rnd(0.8,1.2)</v>
      </c>
      <c r="F198" t="str">
        <f>計算表!F199</f>
        <v>base/lv係數見「詞條池」；稀有度倍率見「稀有度表」。　※指標列：base/lv 見「表-詞條池」，稀有度倍率見「表-稀有度」。</v>
      </c>
      <c r="G198">
        <f>計算表!G199</f>
        <v>0</v>
      </c>
      <c r="H198">
        <f>計算表!H199</f>
        <v>0</v>
      </c>
      <c r="I198">
        <f>計算表!I199</f>
        <v>0</v>
      </c>
      <c r="J198">
        <f>計算表!J199</f>
        <v>0</v>
      </c>
      <c r="K198">
        <f>計算表!K199</f>
        <v>0</v>
      </c>
      <c r="L198">
        <f>計算表!L199</f>
        <v>0</v>
      </c>
      <c r="M198">
        <f>計算表!M199</f>
        <v>0</v>
      </c>
      <c r="N198">
        <f>計算表!N199</f>
        <v>0</v>
      </c>
      <c r="O198">
        <f>計算表!O199</f>
        <v>0</v>
      </c>
      <c r="P198">
        <f>計算表!P199</f>
        <v>0</v>
      </c>
      <c r="Q198">
        <f>計算表!Q199</f>
        <v>0</v>
      </c>
      <c r="R198">
        <f>計算表!R199</f>
        <v>0</v>
      </c>
    </row>
    <row r="199" spans="1:18" x14ac:dyDescent="0.25">
      <c r="A199">
        <f>計算表!A200</f>
        <v>199</v>
      </c>
      <c r="B199">
        <f>計算表!B200</f>
        <v>0</v>
      </c>
      <c r="C199" t="str">
        <f>計算表!C200</f>
        <v>6-裝備</v>
      </c>
      <c r="D199" t="str">
        <f>計算表!D200</f>
        <v>太古詞條數值</v>
      </c>
      <c r="E199" t="str">
        <f>計算表!E200</f>
        <v>基準值×1.2×a</v>
      </c>
      <c r="F199" t="str">
        <f>計算表!F200</f>
        <v>a=太古倍率（=原上限的 135%）。　※實際由「5-太古詞條/太古詞條數值倍率」控制，本列不生效。</v>
      </c>
      <c r="G199">
        <f>計算表!G200</f>
        <v>1.35</v>
      </c>
      <c r="H199">
        <f>計算表!H200</f>
        <v>0</v>
      </c>
      <c r="I199">
        <f>計算表!I200</f>
        <v>0</v>
      </c>
      <c r="J199">
        <f>計算表!J200</f>
        <v>0</v>
      </c>
      <c r="K199">
        <f>計算表!K200</f>
        <v>0</v>
      </c>
      <c r="L199">
        <f>計算表!L200</f>
        <v>0</v>
      </c>
      <c r="M199">
        <f>計算表!M200</f>
        <v>0</v>
      </c>
      <c r="N199">
        <f>計算表!N200</f>
        <v>0</v>
      </c>
      <c r="O199">
        <f>計算表!O200</f>
        <v>0</v>
      </c>
      <c r="P199">
        <f>計算表!P200</f>
        <v>0</v>
      </c>
      <c r="Q199">
        <f>計算表!Q200</f>
        <v>0</v>
      </c>
      <c r="R199">
        <f>計算表!R200</f>
        <v>0</v>
      </c>
    </row>
    <row r="200" spans="1:18" x14ac:dyDescent="0.25">
      <c r="A200">
        <f>計算表!A201</f>
        <v>200</v>
      </c>
      <c r="B200">
        <f>計算表!B201</f>
        <v>0</v>
      </c>
      <c r="C200" t="str">
        <f>計算表!C201</f>
        <v>6-裝備</v>
      </c>
      <c r="D200" t="str">
        <f>計算表!D201</f>
        <v>強化倍率</v>
      </c>
      <c r="E200" t="str">
        <f>計算表!E201</f>
        <v>1 + a×強化等級</v>
      </c>
      <c r="F200" t="str">
        <f>計算表!F201</f>
        <v>裝備每 +1，全詞條數值 +5%。</v>
      </c>
      <c r="G200">
        <f>計算表!G201</f>
        <v>0.05</v>
      </c>
      <c r="H200">
        <f>計算表!H201</f>
        <v>0</v>
      </c>
      <c r="I200">
        <f>計算表!I201</f>
        <v>0</v>
      </c>
      <c r="J200">
        <f>計算表!J201</f>
        <v>0</v>
      </c>
      <c r="K200">
        <f>計算表!K201</f>
        <v>0</v>
      </c>
      <c r="L200">
        <f>計算表!L201</f>
        <v>0</v>
      </c>
      <c r="M200">
        <f>計算表!M201</f>
        <v>0</v>
      </c>
      <c r="N200">
        <f>計算表!N201</f>
        <v>0</v>
      </c>
      <c r="O200">
        <f>計算表!O201</f>
        <v>0</v>
      </c>
      <c r="P200">
        <f>計算表!P201</f>
        <v>0</v>
      </c>
      <c r="Q200">
        <f>計算表!Q201</f>
        <v>0</v>
      </c>
      <c r="R200">
        <f>計算表!R201</f>
        <v>0</v>
      </c>
    </row>
    <row r="201" spans="1:18" x14ac:dyDescent="0.25">
      <c r="A201">
        <f>計算表!A202</f>
        <v>201</v>
      </c>
      <c r="B201">
        <f>計算表!B202</f>
        <v>0</v>
      </c>
      <c r="C201" t="str">
        <f>計算表!C202</f>
        <v>6-裝備</v>
      </c>
      <c r="D201" t="str">
        <f>計算表!D202</f>
        <v>特殊被動數值</v>
      </c>
      <c r="E201" t="str">
        <f>計算表!E202</f>
        <v>base + perR×(稀有度-a)</v>
      </c>
      <c r="F201" t="str">
        <f>計算表!F202</f>
        <v>a=稀有級索引（稀有=基準）。base/perR 見「特殊被動表」。　※指標列：base/perR 見「表-特殊被動」。</v>
      </c>
      <c r="G201">
        <f>計算表!G202</f>
        <v>2</v>
      </c>
      <c r="H201">
        <f>計算表!H202</f>
        <v>0</v>
      </c>
      <c r="I201">
        <f>計算表!I202</f>
        <v>0</v>
      </c>
      <c r="J201">
        <f>計算表!J202</f>
        <v>0</v>
      </c>
      <c r="K201">
        <f>計算表!K202</f>
        <v>0</v>
      </c>
      <c r="L201">
        <f>計算表!L202</f>
        <v>0</v>
      </c>
      <c r="M201">
        <f>計算表!M202</f>
        <v>0</v>
      </c>
      <c r="N201">
        <f>計算表!N202</f>
        <v>0</v>
      </c>
      <c r="O201">
        <f>計算表!O202</f>
        <v>0</v>
      </c>
      <c r="P201">
        <f>計算表!P202</f>
        <v>0</v>
      </c>
      <c r="Q201">
        <f>計算表!Q202</f>
        <v>0</v>
      </c>
      <c r="R201">
        <f>計算表!R202</f>
        <v>0</v>
      </c>
    </row>
    <row r="202" spans="1:18" x14ac:dyDescent="0.25">
      <c r="A202">
        <f>計算表!A203</f>
        <v>202</v>
      </c>
      <c r="B202">
        <f>計算表!B203</f>
        <v>0</v>
      </c>
      <c r="C202" t="str">
        <f>計算表!C203</f>
        <v>6-裝備</v>
      </c>
      <c r="D202" t="str">
        <f>計算表!D203</f>
        <v>神鑄特效數值</v>
      </c>
      <c r="E202" t="str">
        <f>計算表!E203</f>
        <v>base × rnd(0.8, 1.2)</v>
      </c>
      <c r="F202" t="str">
        <f>計算表!F203</f>
        <v>base 見「神鑄特效表」。神力為額外乘區、彼此相乘。　※指標列：base 見「表-神鑄特效」。</v>
      </c>
      <c r="G202">
        <f>計算表!G203</f>
        <v>0</v>
      </c>
      <c r="H202">
        <f>計算表!H203</f>
        <v>0</v>
      </c>
      <c r="I202">
        <f>計算表!I203</f>
        <v>0</v>
      </c>
      <c r="J202">
        <f>計算表!J203</f>
        <v>0</v>
      </c>
      <c r="K202">
        <f>計算表!K203</f>
        <v>0</v>
      </c>
      <c r="L202">
        <f>計算表!L203</f>
        <v>0</v>
      </c>
      <c r="M202">
        <f>計算表!M203</f>
        <v>0</v>
      </c>
      <c r="N202">
        <f>計算表!N203</f>
        <v>0</v>
      </c>
      <c r="O202">
        <f>計算表!O203</f>
        <v>0</v>
      </c>
      <c r="P202">
        <f>計算表!P203</f>
        <v>0</v>
      </c>
      <c r="Q202">
        <f>計算表!Q203</f>
        <v>0</v>
      </c>
      <c r="R202">
        <f>計算表!R203</f>
        <v>0</v>
      </c>
    </row>
    <row r="203" spans="1:18" x14ac:dyDescent="0.25">
      <c r="A203">
        <f>計算表!A204</f>
        <v>203</v>
      </c>
      <c r="B203">
        <f>計算表!B204</f>
        <v>0</v>
      </c>
      <c r="C203" t="str">
        <f>計算表!C204</f>
        <v>6-裝備</v>
      </c>
      <c r="D203" t="str">
        <f>計算表!D204</f>
        <v>附魔-攻擊類</v>
      </c>
      <c r="E203" t="str">
        <f>計算表!E204</f>
        <v>(a+裝備等級×b)×稀有度倍率×(1+c×寶石等級)</v>
      </c>
      <c r="F203" t="str">
        <f>計算表!F204</f>
        <v>火焰附魔再×1.25。寶石等級只在混合合成帶入。</v>
      </c>
      <c r="G203">
        <f>計算表!G204</f>
        <v>5</v>
      </c>
      <c r="H203">
        <f>計算表!H204</f>
        <v>1.2</v>
      </c>
      <c r="I203">
        <f>計算表!I204</f>
        <v>0.15</v>
      </c>
      <c r="J203">
        <f>計算表!J204</f>
        <v>0</v>
      </c>
      <c r="K203">
        <f>計算表!K204</f>
        <v>0</v>
      </c>
      <c r="L203">
        <f>計算表!L204</f>
        <v>0</v>
      </c>
      <c r="M203">
        <f>計算表!M204</f>
        <v>0</v>
      </c>
      <c r="N203">
        <f>計算表!N204</f>
        <v>0</v>
      </c>
      <c r="O203">
        <f>計算表!O204</f>
        <v>0</v>
      </c>
      <c r="P203">
        <f>計算表!P204</f>
        <v>0</v>
      </c>
      <c r="Q203">
        <f>計算表!Q204</f>
        <v>0</v>
      </c>
      <c r="R203">
        <f>計算表!R204</f>
        <v>0</v>
      </c>
    </row>
    <row r="204" spans="1:18" x14ac:dyDescent="0.25">
      <c r="A204">
        <f>計算表!A205</f>
        <v>204</v>
      </c>
      <c r="B204">
        <f>計算表!B205</f>
        <v>0</v>
      </c>
      <c r="C204" t="str">
        <f>計算表!C205</f>
        <v>6-裝備</v>
      </c>
      <c r="D204" t="str">
        <f>計算表!D205</f>
        <v>附魔-防禦/功能類</v>
      </c>
      <c r="E204" t="str">
        <f>計算表!E205</f>
        <v>min(a + 稀有度×b + 寶石等級×c, d)</v>
      </c>
      <c r="F204" t="str">
        <f>計算表!F205</f>
        <v>a=基礎 b=每階 c=每寶石等級 d=上限%。</v>
      </c>
      <c r="G204">
        <f>計算表!G205</f>
        <v>8</v>
      </c>
      <c r="H204">
        <f>計算表!H205</f>
        <v>4</v>
      </c>
      <c r="I204">
        <f>計算表!I205</f>
        <v>3</v>
      </c>
      <c r="J204">
        <f>計算表!J205</f>
        <v>60</v>
      </c>
      <c r="K204">
        <f>計算表!K205</f>
        <v>0</v>
      </c>
      <c r="L204">
        <f>計算表!L205</f>
        <v>0</v>
      </c>
      <c r="M204">
        <f>計算表!M205</f>
        <v>0</v>
      </c>
      <c r="N204">
        <f>計算表!N205</f>
        <v>0</v>
      </c>
      <c r="O204">
        <f>計算表!O205</f>
        <v>0</v>
      </c>
      <c r="P204">
        <f>計算表!P205</f>
        <v>0</v>
      </c>
      <c r="Q204">
        <f>計算表!Q205</f>
        <v>0</v>
      </c>
      <c r="R204">
        <f>計算表!R205</f>
        <v>0</v>
      </c>
    </row>
    <row r="205" spans="1:18" x14ac:dyDescent="0.25">
      <c r="A205">
        <f>計算表!A206</f>
        <v>205</v>
      </c>
      <c r="B205">
        <f>計算表!B206</f>
        <v>0</v>
      </c>
      <c r="C205" t="str">
        <f>計算表!C206</f>
        <v>6-裝備</v>
      </c>
      <c r="D205" t="str">
        <f>計算表!D206</f>
        <v>手動附魔費用</v>
      </c>
      <c r="E205" t="str">
        <f>計算表!E206</f>
        <v>a 本附魔書 + b 附魔精華</v>
      </c>
      <c r="F205" t="str">
        <f>計算表!F206</f>
        <v>取下返還書、不退精華。</v>
      </c>
      <c r="G205">
        <f>計算表!G206</f>
        <v>1</v>
      </c>
      <c r="H205">
        <f>計算表!H206</f>
        <v>1</v>
      </c>
      <c r="I205">
        <f>計算表!I206</f>
        <v>0</v>
      </c>
      <c r="J205">
        <f>計算表!J206</f>
        <v>0</v>
      </c>
      <c r="K205">
        <f>計算表!K206</f>
        <v>0</v>
      </c>
      <c r="L205">
        <f>計算表!L206</f>
        <v>0</v>
      </c>
      <c r="M205">
        <f>計算表!M206</f>
        <v>0</v>
      </c>
      <c r="N205">
        <f>計算表!N206</f>
        <v>0</v>
      </c>
      <c r="O205">
        <f>計算表!O206</f>
        <v>0</v>
      </c>
      <c r="P205">
        <f>計算表!P206</f>
        <v>0</v>
      </c>
      <c r="Q205">
        <f>計算表!Q206</f>
        <v>0</v>
      </c>
      <c r="R205">
        <f>計算表!R206</f>
        <v>0</v>
      </c>
    </row>
    <row r="206" spans="1:18" x14ac:dyDescent="0.25">
      <c r="A206">
        <f>計算表!A207</f>
        <v>206</v>
      </c>
      <c r="B206">
        <f>計算表!B207</f>
        <v>0</v>
      </c>
      <c r="C206" t="str">
        <f>計算表!C207</f>
        <v>6-裝備</v>
      </c>
      <c r="D206" t="str">
        <f>計算表!D207</f>
        <v>戰力評分</v>
      </c>
      <c r="E206" t="str">
        <f>計算表!E207</f>
        <v>Σ(詞條×權重×強化)+Σ(寶石×權重) →被動×1.15 →神鑄特效×(1+a×件數) →+Σ(附魔×1.2攻/×2防) →×(1+稀有度×b)</v>
      </c>
      <c r="F206" t="str">
        <f>計算表!F207</f>
        <v>詞條/寶石權重見 Equipment_Affix 表各詞條列的「戰力權重」欄。a=每條神鑄特效加成 b=稀有度加成。自動換裝門檻：新評分&gt;舊×1.02。</v>
      </c>
      <c r="G206">
        <f>計算表!G207</f>
        <v>0.15</v>
      </c>
      <c r="H206">
        <f>計算表!H207</f>
        <v>0.06</v>
      </c>
      <c r="I206">
        <f>計算表!I207</f>
        <v>0</v>
      </c>
      <c r="J206">
        <f>計算表!J207</f>
        <v>0</v>
      </c>
      <c r="K206">
        <f>計算表!K207</f>
        <v>0</v>
      </c>
      <c r="L206">
        <f>計算表!L207</f>
        <v>0</v>
      </c>
      <c r="M206">
        <f>計算表!M207</f>
        <v>0</v>
      </c>
      <c r="N206">
        <f>計算表!N207</f>
        <v>0</v>
      </c>
      <c r="O206">
        <f>計算表!O207</f>
        <v>0</v>
      </c>
      <c r="P206">
        <f>計算表!P207</f>
        <v>0</v>
      </c>
      <c r="Q206">
        <f>計算表!Q207</f>
        <v>0</v>
      </c>
      <c r="R206">
        <f>計算表!R207</f>
        <v>0</v>
      </c>
    </row>
    <row r="207" spans="1:18" x14ac:dyDescent="0.25">
      <c r="A207">
        <f>計算表!A208</f>
        <v>207</v>
      </c>
      <c r="B207">
        <f>計算表!B208</f>
        <v>0</v>
      </c>
      <c r="C207" t="str">
        <f>計算表!C208</f>
        <v>6-裝備</v>
      </c>
      <c r="D207" t="str">
        <f>計算表!D208</f>
        <v>分解-碎片</v>
      </c>
      <c r="E207" t="str">
        <f>計算表!E208</f>
        <v>max(1, (a+裝備等級×b)×分解係數×rnd(0.85,1.15))</v>
      </c>
      <c r="F207" t="str">
        <f>計算表!F208</f>
        <v>分解係數見「稀有度表」salv 欄。</v>
      </c>
      <c r="G207">
        <f>計算表!G208</f>
        <v>2</v>
      </c>
      <c r="H207">
        <f>計算表!H208</f>
        <v>0.6</v>
      </c>
      <c r="I207">
        <f>計算表!I208</f>
        <v>0</v>
      </c>
      <c r="J207">
        <f>計算表!J208</f>
        <v>0</v>
      </c>
      <c r="K207">
        <f>計算表!K208</f>
        <v>0</v>
      </c>
      <c r="L207">
        <f>計算表!L208</f>
        <v>0</v>
      </c>
      <c r="M207">
        <f>計算表!M208</f>
        <v>0</v>
      </c>
      <c r="N207">
        <f>計算表!N208</f>
        <v>0</v>
      </c>
      <c r="O207">
        <f>計算表!O208</f>
        <v>0</v>
      </c>
      <c r="P207">
        <f>計算表!P208</f>
        <v>0</v>
      </c>
      <c r="Q207">
        <f>計算表!Q208</f>
        <v>0</v>
      </c>
      <c r="R207">
        <f>計算表!R208</f>
        <v>0</v>
      </c>
    </row>
    <row r="208" spans="1:18" x14ac:dyDescent="0.25">
      <c r="A208">
        <f>計算表!A209</f>
        <v>208</v>
      </c>
      <c r="B208">
        <f>計算表!B209</f>
        <v>0</v>
      </c>
      <c r="C208" t="str">
        <f>計算表!C209</f>
        <v>6-裝備</v>
      </c>
      <c r="D208" t="str">
        <f>計算表!D209</f>
        <v>分解-金幣</v>
      </c>
      <c r="E208" t="str">
        <f>計算表!E209</f>
        <v>round((a+裝備等級) × 品質分解係數 × b)</v>
      </c>
      <c r="F208" t="str">
        <f>計算表!F209</f>
        <v>a=基礎金幣；b=分解金幣倍率。淘金濾網金幣為額外來源，不影響本公式。</v>
      </c>
      <c r="G208">
        <f>計算表!G209</f>
        <v>3</v>
      </c>
      <c r="H208">
        <f>計算表!H209</f>
        <v>10</v>
      </c>
      <c r="I208">
        <f>計算表!I209</f>
        <v>0</v>
      </c>
      <c r="J208">
        <f>計算表!J209</f>
        <v>0</v>
      </c>
      <c r="K208">
        <f>計算表!K209</f>
        <v>0</v>
      </c>
      <c r="L208">
        <f>計算表!L209</f>
        <v>0</v>
      </c>
      <c r="M208">
        <f>計算表!M209</f>
        <v>0</v>
      </c>
      <c r="N208">
        <f>計算表!N209</f>
        <v>0</v>
      </c>
      <c r="O208">
        <f>計算表!O209</f>
        <v>0</v>
      </c>
      <c r="P208">
        <f>計算表!P209</f>
        <v>0</v>
      </c>
      <c r="Q208">
        <f>計算表!Q209</f>
        <v>0</v>
      </c>
      <c r="R208">
        <f>計算表!R209</f>
        <v>0</v>
      </c>
    </row>
    <row r="209" spans="1:18" x14ac:dyDescent="0.25">
      <c r="A209">
        <f>計算表!A210</f>
        <v>209</v>
      </c>
      <c r="B209">
        <f>計算表!B210</f>
        <v>0</v>
      </c>
      <c r="C209" t="str">
        <f>計算表!C210</f>
        <v>7-分解速度</v>
      </c>
      <c r="D209" t="str">
        <f>計算表!D210</f>
        <v>分解處理速度</v>
      </c>
      <c r="E209" t="str">
        <f>計算表!E210</f>
        <v>間隔 = a 秒 ÷ (1+加速加成)</v>
      </c>
      <c r="F209" t="str">
        <f>計算表!F210</f>
        <v>加速齒輪每階+25%，另固定+50 個百分點。　※＝生產線處理間隔，由「7-容量/生產線處理間隔」控制，本列不生效。</v>
      </c>
      <c r="G209">
        <f>計算表!G210</f>
        <v>2</v>
      </c>
      <c r="H209">
        <f>計算表!H210</f>
        <v>0</v>
      </c>
      <c r="I209">
        <f>計算表!I210</f>
        <v>0</v>
      </c>
      <c r="J209">
        <f>計算表!J210</f>
        <v>0</v>
      </c>
      <c r="K209">
        <f>計算表!K210</f>
        <v>0</v>
      </c>
      <c r="L209">
        <f>計算表!L210</f>
        <v>0</v>
      </c>
      <c r="M209">
        <f>計算表!M210</f>
        <v>0</v>
      </c>
      <c r="N209">
        <f>計算表!N210</f>
        <v>0</v>
      </c>
      <c r="O209">
        <f>計算表!O210</f>
        <v>0</v>
      </c>
      <c r="P209">
        <f>計算表!P210</f>
        <v>0</v>
      </c>
      <c r="Q209">
        <f>計算表!Q210</f>
        <v>0</v>
      </c>
      <c r="R209">
        <f>計算表!R210</f>
        <v>0</v>
      </c>
    </row>
    <row r="210" spans="1:18" x14ac:dyDescent="0.25">
      <c r="A210">
        <f>計算表!A211</f>
        <v>210</v>
      </c>
      <c r="B210">
        <f>計算表!B211</f>
        <v>0</v>
      </c>
      <c r="C210" t="str">
        <f>計算表!C211</f>
        <v>7-分解槽</v>
      </c>
      <c r="D210" t="str">
        <f>計算表!D211</f>
        <v>分解槽解鎖費用</v>
      </c>
      <c r="E210" t="str">
        <f>計算表!E211</f>
        <v>a × b^(目標格數-1)</v>
      </c>
      <c r="F210" t="str">
        <f>計算表!F211</f>
        <v>初始 10 格、上限 20 格。</v>
      </c>
      <c r="G210">
        <f>計算表!G211</f>
        <v>10000</v>
      </c>
      <c r="H210">
        <f>計算表!H211</f>
        <v>10000</v>
      </c>
      <c r="I210">
        <f>計算表!I211</f>
        <v>2</v>
      </c>
      <c r="J210">
        <f>計算表!J211</f>
        <v>3</v>
      </c>
      <c r="K210">
        <f>計算表!K211</f>
        <v>0</v>
      </c>
      <c r="L210">
        <f>計算表!L211</f>
        <v>0</v>
      </c>
      <c r="M210">
        <f>計算表!M211</f>
        <v>0</v>
      </c>
      <c r="N210">
        <f>計算表!N211</f>
        <v>0</v>
      </c>
      <c r="O210">
        <f>計算表!O211</f>
        <v>0</v>
      </c>
      <c r="P210">
        <f>計算表!P211</f>
        <v>0</v>
      </c>
      <c r="Q210">
        <f>計算表!Q211</f>
        <v>0</v>
      </c>
      <c r="R210">
        <f>計算表!R211</f>
        <v>0</v>
      </c>
    </row>
    <row r="211" spans="1:18" x14ac:dyDescent="0.25">
      <c r="A211">
        <f>計算表!A212</f>
        <v>211</v>
      </c>
      <c r="B211">
        <f>計算表!B212</f>
        <v>0</v>
      </c>
      <c r="C211" t="str">
        <f>計算表!C212</f>
        <v>7-合成</v>
      </c>
      <c r="D211" t="str">
        <f>計算表!D212</f>
        <v>大成功率</v>
      </c>
      <c r="E211" t="str">
        <f>計算表!E212</f>
        <v>a%</v>
      </c>
      <c r="F211" t="str">
        <f>計算表!F212</f>
        <v>合成功能停用；保留基礎參數供舊資料相容。</v>
      </c>
      <c r="G211">
        <f>計算表!G212</f>
        <v>5</v>
      </c>
      <c r="H211">
        <f>計算表!H212</f>
        <v>0</v>
      </c>
      <c r="I211">
        <f>計算表!I212</f>
        <v>0</v>
      </c>
      <c r="J211">
        <f>計算表!J212</f>
        <v>0</v>
      </c>
      <c r="K211">
        <f>計算表!K212</f>
        <v>0</v>
      </c>
      <c r="L211">
        <f>計算表!L212</f>
        <v>0</v>
      </c>
      <c r="M211">
        <f>計算表!M212</f>
        <v>0</v>
      </c>
      <c r="N211">
        <f>計算表!N212</f>
        <v>0</v>
      </c>
      <c r="O211">
        <f>計算表!O212</f>
        <v>0</v>
      </c>
      <c r="P211">
        <f>計算表!P212</f>
        <v>0</v>
      </c>
      <c r="Q211">
        <f>計算表!Q212</f>
        <v>0</v>
      </c>
      <c r="R211">
        <f>計算表!R212</f>
        <v>0</v>
      </c>
    </row>
    <row r="212" spans="1:18" x14ac:dyDescent="0.25">
      <c r="A212">
        <f>計算表!A213</f>
        <v>212</v>
      </c>
      <c r="B212">
        <f>計算表!B213</f>
        <v>0</v>
      </c>
      <c r="C212" t="str">
        <f>計算表!C213</f>
        <v>7-合成</v>
      </c>
      <c r="D212" t="str">
        <f>計算表!D213</f>
        <v>品質合成</v>
      </c>
      <c r="E212" t="str">
        <f>計算表!E213</f>
        <v>3 件同稀有度 → 1 件高一階（等級=平均）；大成功再+1 階</v>
      </c>
      <c r="F212" t="str">
        <f>計算表!F213</f>
        <v>合成功能已停用(SYNTHESIS_ENABLED=false)，本列未生效。</v>
      </c>
      <c r="G212">
        <f>計算表!G213</f>
        <v>0</v>
      </c>
      <c r="H212">
        <f>計算表!H213</f>
        <v>0</v>
      </c>
      <c r="I212">
        <f>計算表!I213</f>
        <v>0</v>
      </c>
      <c r="J212">
        <f>計算表!J213</f>
        <v>0</v>
      </c>
      <c r="K212">
        <f>計算表!K213</f>
        <v>0</v>
      </c>
      <c r="L212">
        <f>計算表!L213</f>
        <v>0</v>
      </c>
      <c r="M212">
        <f>計算表!M213</f>
        <v>0</v>
      </c>
      <c r="N212">
        <f>計算表!N213</f>
        <v>0</v>
      </c>
      <c r="O212">
        <f>計算表!O213</f>
        <v>0</v>
      </c>
      <c r="P212">
        <f>計算表!P213</f>
        <v>0</v>
      </c>
      <c r="Q212">
        <f>計算表!Q213</f>
        <v>0</v>
      </c>
      <c r="R212">
        <f>計算表!R213</f>
        <v>0</v>
      </c>
    </row>
    <row r="213" spans="1:18" x14ac:dyDescent="0.25">
      <c r="A213">
        <f>計算表!A214</f>
        <v>213</v>
      </c>
      <c r="B213">
        <f>計算表!B214</f>
        <v>0</v>
      </c>
      <c r="C213" t="str">
        <f>計算表!C214</f>
        <v>7-合成</v>
      </c>
      <c r="D213" t="str">
        <f>計算表!D214</f>
        <v>混合合成</v>
      </c>
      <c r="E213" t="str">
        <f>計算表!E214</f>
        <v>1 裝備+1 寶石+1 附魔書 → 附魔（威力吃寶石等級）；大成功稀有度+1</v>
      </c>
      <c r="F213" t="str">
        <f>計算表!F214</f>
        <v>合成功能已停用，本列未生效。</v>
      </c>
      <c r="G213">
        <f>計算表!G214</f>
        <v>0</v>
      </c>
      <c r="H213">
        <f>計算表!H214</f>
        <v>0</v>
      </c>
      <c r="I213">
        <f>計算表!I214</f>
        <v>0</v>
      </c>
      <c r="J213">
        <f>計算表!J214</f>
        <v>0</v>
      </c>
      <c r="K213">
        <f>計算表!K214</f>
        <v>0</v>
      </c>
      <c r="L213">
        <f>計算表!L214</f>
        <v>0</v>
      </c>
      <c r="M213">
        <f>計算表!M214</f>
        <v>0</v>
      </c>
      <c r="N213">
        <f>計算表!N214</f>
        <v>0</v>
      </c>
      <c r="O213">
        <f>計算表!O214</f>
        <v>0</v>
      </c>
      <c r="P213">
        <f>計算表!P214</f>
        <v>0</v>
      </c>
      <c r="Q213">
        <f>計算表!Q214</f>
        <v>0</v>
      </c>
      <c r="R213">
        <f>計算表!R214</f>
        <v>0</v>
      </c>
    </row>
    <row r="214" spans="1:18" x14ac:dyDescent="0.25">
      <c r="A214">
        <f>計算表!A215</f>
        <v>214</v>
      </c>
      <c r="B214">
        <f>計算表!B215</f>
        <v>0</v>
      </c>
      <c r="C214" t="str">
        <f>計算表!C215</f>
        <v>7-合成</v>
      </c>
      <c r="D214" t="str">
        <f>計算表!D215</f>
        <v>合成變異</v>
      </c>
      <c r="E214" t="str">
        <f>計算表!E215</f>
        <v>機率=合成變異率屬性（上限60%）；附魔威力×1.5 並追加 1 條詞條</v>
      </c>
      <c r="F214" t="str">
        <f>計算表!F215</f>
        <v>合成功能已停用，本列未生效。</v>
      </c>
      <c r="G214">
        <f>計算表!G215</f>
        <v>0</v>
      </c>
      <c r="H214">
        <f>計算表!H215</f>
        <v>0</v>
      </c>
      <c r="I214">
        <f>計算表!I215</f>
        <v>0</v>
      </c>
      <c r="J214">
        <f>計算表!J215</f>
        <v>0</v>
      </c>
      <c r="K214">
        <f>計算表!K215</f>
        <v>0</v>
      </c>
      <c r="L214">
        <f>計算表!L215</f>
        <v>0</v>
      </c>
      <c r="M214">
        <f>計算表!M215</f>
        <v>0</v>
      </c>
      <c r="N214">
        <f>計算表!N215</f>
        <v>0</v>
      </c>
      <c r="O214">
        <f>計算表!O215</f>
        <v>0</v>
      </c>
      <c r="P214">
        <f>計算表!P215</f>
        <v>0</v>
      </c>
      <c r="Q214">
        <f>計算表!Q215</f>
        <v>0</v>
      </c>
      <c r="R214">
        <f>計算表!R215</f>
        <v>0</v>
      </c>
    </row>
    <row r="215" spans="1:18" x14ac:dyDescent="0.25">
      <c r="A215">
        <f>計算表!A216</f>
        <v>215</v>
      </c>
      <c r="B215">
        <f>計算表!B216</f>
        <v>0</v>
      </c>
      <c r="C215" t="str">
        <f>計算表!C216</f>
        <v>7-洗煉</v>
      </c>
      <c r="D215" t="str">
        <f>計算表!D216</f>
        <v>混沌精華費用</v>
      </c>
      <c r="E215" t="str">
        <f>計算表!E216</f>
        <v>混沌品質洗煉精華消耗 a</v>
      </c>
      <c r="F215" t="str">
        <f>計算表!F216</f>
        <v>可自行調整。</v>
      </c>
      <c r="G215">
        <f>計算表!G216</f>
        <v>27</v>
      </c>
      <c r="H215">
        <f>計算表!H216</f>
        <v>0</v>
      </c>
      <c r="I215">
        <f>計算表!I216</f>
        <v>0</v>
      </c>
      <c r="J215">
        <f>計算表!J216</f>
        <v>0</v>
      </c>
      <c r="K215">
        <f>計算表!K216</f>
        <v>0</v>
      </c>
      <c r="L215">
        <f>計算表!L216</f>
        <v>0</v>
      </c>
      <c r="M215">
        <f>計算表!M216</f>
        <v>0</v>
      </c>
      <c r="N215">
        <f>計算表!N216</f>
        <v>0</v>
      </c>
      <c r="O215">
        <f>計算表!O216</f>
        <v>0</v>
      </c>
      <c r="P215">
        <f>計算表!P216</f>
        <v>0</v>
      </c>
      <c r="Q215">
        <f>計算表!Q216</f>
        <v>0</v>
      </c>
      <c r="R215">
        <f>計算表!R216</f>
        <v>0</v>
      </c>
    </row>
    <row r="216" spans="1:18" x14ac:dyDescent="0.25">
      <c r="A216">
        <f>計算表!A217</f>
        <v>216</v>
      </c>
      <c r="B216">
        <f>計算表!B217</f>
        <v>0</v>
      </c>
      <c r="C216" t="str">
        <f>計算表!C217</f>
        <v>7-洗煉</v>
      </c>
      <c r="D216" t="str">
        <f>計算表!D217</f>
        <v>神鑄混沌精華費用</v>
      </c>
      <c r="E216" t="str">
        <f>計算表!E217</f>
        <v>神鑄混沌品質洗煉精華消耗 a</v>
      </c>
      <c r="F216" t="str">
        <f>計算表!F217</f>
        <v>可自行調整。</v>
      </c>
      <c r="G216">
        <f>計算表!G217</f>
        <v>36</v>
      </c>
      <c r="H216">
        <f>計算表!H217</f>
        <v>0</v>
      </c>
      <c r="I216">
        <f>計算表!I217</f>
        <v>0</v>
      </c>
      <c r="J216">
        <f>計算表!J217</f>
        <v>0</v>
      </c>
      <c r="K216">
        <f>計算表!K217</f>
        <v>0</v>
      </c>
      <c r="L216">
        <f>計算表!L217</f>
        <v>0</v>
      </c>
      <c r="M216">
        <f>計算表!M217</f>
        <v>0</v>
      </c>
      <c r="N216">
        <f>計算表!N217</f>
        <v>0</v>
      </c>
      <c r="O216">
        <f>計算表!O217</f>
        <v>0</v>
      </c>
      <c r="P216">
        <f>計算表!P217</f>
        <v>0</v>
      </c>
      <c r="Q216">
        <f>計算表!Q217</f>
        <v>0</v>
      </c>
      <c r="R216">
        <f>計算表!R217</f>
        <v>0</v>
      </c>
    </row>
    <row r="217" spans="1:18" x14ac:dyDescent="0.25">
      <c r="A217">
        <f>計算表!A218</f>
        <v>217</v>
      </c>
      <c r="B217">
        <f>計算表!B218</f>
        <v>0</v>
      </c>
      <c r="C217" t="str">
        <f>計算表!C218</f>
        <v>7-洗煉</v>
      </c>
      <c r="D217" t="str">
        <f>計算表!D218</f>
        <v>金幣費用</v>
      </c>
      <c r="E217" t="str">
        <f>計算表!E218</f>
        <v>a × b^稀有度 × (1+裝備等級×c)</v>
      </c>
      <c r="F217">
        <f>計算表!F218</f>
        <v>0</v>
      </c>
      <c r="G217">
        <f>計算表!G218</f>
        <v>40</v>
      </c>
      <c r="H217">
        <f>計算表!H218</f>
        <v>1.7</v>
      </c>
      <c r="I217">
        <f>計算表!I218</f>
        <v>0.15</v>
      </c>
      <c r="J217">
        <f>計算表!J218</f>
        <v>0</v>
      </c>
      <c r="K217">
        <f>計算表!K218</f>
        <v>0</v>
      </c>
      <c r="L217">
        <f>計算表!L218</f>
        <v>0</v>
      </c>
      <c r="M217">
        <f>計算表!M218</f>
        <v>0</v>
      </c>
      <c r="N217">
        <f>計算表!N218</f>
        <v>0</v>
      </c>
      <c r="O217">
        <f>計算表!O218</f>
        <v>0</v>
      </c>
      <c r="P217">
        <f>計算表!P218</f>
        <v>0</v>
      </c>
      <c r="Q217">
        <f>計算表!Q218</f>
        <v>0</v>
      </c>
      <c r="R217">
        <f>計算表!R218</f>
        <v>0</v>
      </c>
    </row>
    <row r="218" spans="1:18" x14ac:dyDescent="0.25">
      <c r="A218">
        <f>計算表!A219</f>
        <v>218</v>
      </c>
      <c r="B218">
        <f>計算表!B219</f>
        <v>0</v>
      </c>
      <c r="C218" t="str">
        <f>計算表!C219</f>
        <v>7-洗煉</v>
      </c>
      <c r="D218" t="str">
        <f>計算表!D219</f>
        <v>精華費用</v>
      </c>
      <c r="E218" t="str">
        <f>計算表!E219</f>
        <v>普通~傳說 1+稀有度；神話a 創世b 神鑄c</v>
      </c>
      <c r="F218" t="str">
        <f>計算表!F219</f>
        <v>a/b/c=神話/創世/神鑄創世固定值。</v>
      </c>
      <c r="G218">
        <f>計算表!G219</f>
        <v>9</v>
      </c>
      <c r="H218">
        <f>計算表!H219</f>
        <v>14</v>
      </c>
      <c r="I218">
        <f>計算表!I219</f>
        <v>20</v>
      </c>
      <c r="J218">
        <f>計算表!J219</f>
        <v>50</v>
      </c>
      <c r="K218">
        <f>計算表!K219</f>
        <v>0</v>
      </c>
      <c r="L218">
        <f>計算表!L219</f>
        <v>0</v>
      </c>
      <c r="M218">
        <f>計算表!M219</f>
        <v>0</v>
      </c>
      <c r="N218">
        <f>計算表!N219</f>
        <v>0</v>
      </c>
      <c r="O218">
        <f>計算表!O219</f>
        <v>0</v>
      </c>
      <c r="P218">
        <f>計算表!P219</f>
        <v>0</v>
      </c>
      <c r="Q218">
        <f>計算表!Q219</f>
        <v>0</v>
      </c>
      <c r="R218">
        <f>計算表!R219</f>
        <v>0</v>
      </c>
    </row>
    <row r="219" spans="1:18" x14ac:dyDescent="0.25">
      <c r="A219">
        <f>計算表!A220</f>
        <v>219</v>
      </c>
      <c r="B219">
        <f>計算表!B220</f>
        <v>0</v>
      </c>
      <c r="C219" t="str">
        <f>計算表!C220</f>
        <v>7-洗煉</v>
      </c>
      <c r="D219" t="str">
        <f>計算表!D220</f>
        <v>數值洗煉分段權重</v>
      </c>
      <c r="E219" t="str">
        <f>計算表!E220</f>
        <v>先平分洗煉數值範圍，再以權重選擇低／高段：A=a；B=b＋（詞條上限率/100）^c</v>
      </c>
      <c r="F219" t="str">
        <f>計算表!F220</f>
        <v>先隨機選 A（低半段）或 B（高半段），再於選定半段內均勻隨機。a=低段權重；b=高段基礎權重；c=詞條上限率指數。詞條上限率以百分點儲存（100 代表 100%），0% 時兩段等機率。</v>
      </c>
      <c r="G219">
        <f>計算表!G220</f>
        <v>1</v>
      </c>
      <c r="H219">
        <f>計算表!H220</f>
        <v>1</v>
      </c>
      <c r="I219" s="7" t="s">
        <v>1052</v>
      </c>
      <c r="J219">
        <f>計算表!J220</f>
        <v>0</v>
      </c>
      <c r="K219">
        <f>計算表!K220</f>
        <v>0</v>
      </c>
      <c r="L219">
        <f>計算表!L220</f>
        <v>0</v>
      </c>
      <c r="M219">
        <f>計算表!M220</f>
        <v>0</v>
      </c>
      <c r="N219">
        <f>計算表!N220</f>
        <v>0</v>
      </c>
      <c r="O219">
        <f>計算表!O220</f>
        <v>0</v>
      </c>
      <c r="P219">
        <f>計算表!P220</f>
        <v>0</v>
      </c>
      <c r="Q219">
        <f>計算表!Q220</f>
        <v>0</v>
      </c>
      <c r="R219">
        <f>計算表!R220</f>
        <v>0</v>
      </c>
    </row>
    <row r="220" spans="1:18" x14ac:dyDescent="0.25">
      <c r="A220">
        <f>計算表!A221</f>
        <v>220</v>
      </c>
      <c r="B220">
        <f>計算表!B221</f>
        <v>0</v>
      </c>
      <c r="C220" t="str">
        <f>計算表!C221</f>
        <v>7-容量</v>
      </c>
      <c r="D220" t="str">
        <f>計算表!D221</f>
        <v>輸送帶容量</v>
      </c>
      <c r="E220" t="str">
        <f>計算表!E221</f>
        <v>a（固定上限）</v>
      </c>
      <c r="F220" t="str">
        <f>計算表!F221</f>
        <v>程式實際為固定 20000；超出的新裝備直接丟棄。</v>
      </c>
      <c r="G220">
        <f>計算表!G221</f>
        <v>20000</v>
      </c>
      <c r="H220">
        <f>計算表!H221</f>
        <v>0</v>
      </c>
      <c r="I220">
        <f>計算表!I221</f>
        <v>0</v>
      </c>
      <c r="J220">
        <f>計算表!J221</f>
        <v>0</v>
      </c>
      <c r="K220">
        <f>計算表!K221</f>
        <v>0</v>
      </c>
      <c r="L220">
        <f>計算表!L221</f>
        <v>0</v>
      </c>
      <c r="M220">
        <f>計算表!M221</f>
        <v>0</v>
      </c>
      <c r="N220">
        <f>計算表!N221</f>
        <v>0</v>
      </c>
      <c r="O220">
        <f>計算表!O221</f>
        <v>0</v>
      </c>
      <c r="P220">
        <f>計算表!P221</f>
        <v>0</v>
      </c>
      <c r="Q220">
        <f>計算表!Q221</f>
        <v>0</v>
      </c>
      <c r="R220">
        <f>計算表!R221</f>
        <v>0</v>
      </c>
    </row>
    <row r="221" spans="1:18" x14ac:dyDescent="0.25">
      <c r="A221">
        <f>計算表!A222</f>
        <v>221</v>
      </c>
      <c r="B221">
        <f>計算表!B222</f>
        <v>0</v>
      </c>
      <c r="C221" t="str">
        <f>計算表!C222</f>
        <v>7-容量</v>
      </c>
      <c r="D221" t="str">
        <f>計算表!D222</f>
        <v>合成暫存區</v>
      </c>
      <c r="E221" s="7" t="s">
        <v>611</v>
      </c>
      <c r="F221" s="7" t="s">
        <v>1182</v>
      </c>
      <c r="G221">
        <f>計算表!G222</f>
        <v>30</v>
      </c>
      <c r="H221">
        <f>計算表!H222</f>
        <v>2</v>
      </c>
      <c r="I221">
        <f>計算表!I222</f>
        <v>0</v>
      </c>
      <c r="J221">
        <f>計算表!J222</f>
        <v>0</v>
      </c>
      <c r="K221">
        <f>計算表!K222</f>
        <v>0</v>
      </c>
      <c r="L221">
        <f>計算表!L222</f>
        <v>0</v>
      </c>
      <c r="M221">
        <f>計算表!M222</f>
        <v>0</v>
      </c>
      <c r="N221">
        <f>計算表!N222</f>
        <v>0</v>
      </c>
      <c r="O221">
        <f>計算表!O222</f>
        <v>0</v>
      </c>
      <c r="P221">
        <f>計算表!P222</f>
        <v>0</v>
      </c>
      <c r="Q221">
        <f>計算表!Q222</f>
        <v>0</v>
      </c>
      <c r="R221">
        <f>計算表!R222</f>
        <v>0</v>
      </c>
    </row>
    <row r="222" spans="1:18" x14ac:dyDescent="0.25">
      <c r="A222">
        <f>計算表!A223</f>
        <v>222</v>
      </c>
      <c r="B222">
        <f>計算表!B223</f>
        <v>0</v>
      </c>
      <c r="C222" t="str">
        <f>計算表!C223</f>
        <v>7-容量</v>
      </c>
      <c r="D222" t="str">
        <f>計算表!D223</f>
        <v>背包容量</v>
      </c>
      <c r="E222" t="str">
        <f>計算表!E223</f>
        <v>a + 背包擴充上限次數b</v>
      </c>
      <c r="F222" t="str">
        <f>計算表!F223</f>
        <v>a=初始格數 b為上限值；滿了自動分解新進裝備。</v>
      </c>
      <c r="G222">
        <f>計算表!G223</f>
        <v>100</v>
      </c>
      <c r="H222">
        <f>計算表!H223</f>
        <v>1000</v>
      </c>
      <c r="I222">
        <f>計算表!I223</f>
        <v>0</v>
      </c>
      <c r="J222">
        <f>計算表!J223</f>
        <v>0</v>
      </c>
      <c r="K222">
        <f>計算表!K223</f>
        <v>0</v>
      </c>
      <c r="L222">
        <f>計算表!L223</f>
        <v>0</v>
      </c>
      <c r="M222">
        <f>計算表!M223</f>
        <v>0</v>
      </c>
      <c r="N222">
        <f>計算表!N223</f>
        <v>0</v>
      </c>
      <c r="O222">
        <f>計算表!O223</f>
        <v>0</v>
      </c>
      <c r="P222">
        <f>計算表!P223</f>
        <v>0</v>
      </c>
      <c r="Q222">
        <f>計算表!Q223</f>
        <v>0</v>
      </c>
      <c r="R222">
        <f>計算表!R223</f>
        <v>0</v>
      </c>
    </row>
    <row r="223" spans="1:18" x14ac:dyDescent="0.25">
      <c r="A223">
        <f>計算表!A224</f>
        <v>223</v>
      </c>
      <c r="B223">
        <f>計算表!B224</f>
        <v>0</v>
      </c>
      <c r="C223" t="str">
        <f>計算表!C224</f>
        <v>7-容量</v>
      </c>
      <c r="D223" t="str">
        <f>計算表!D224</f>
        <v>背包擴充費用</v>
      </c>
      <c r="E223" t="str">
        <f>計算表!E224</f>
        <v>a + b × c^購買次數</v>
      </c>
      <c r="F223" t="str">
        <f>計算表!F224</f>
        <v>a=基值值 b=擴充倍數 c=指數底；達上限後不可再擴充。</v>
      </c>
      <c r="G223">
        <f>計算表!G224</f>
        <v>10000</v>
      </c>
      <c r="H223">
        <f>計算表!H224</f>
        <v>10000</v>
      </c>
      <c r="I223">
        <f>計算表!I224</f>
        <v>1.02</v>
      </c>
      <c r="J223">
        <f>計算表!J224</f>
        <v>0</v>
      </c>
      <c r="K223">
        <f>計算表!K224</f>
        <v>0</v>
      </c>
      <c r="L223">
        <f>計算表!L224</f>
        <v>0</v>
      </c>
      <c r="M223">
        <f>計算表!M224</f>
        <v>0</v>
      </c>
      <c r="N223">
        <f>計算表!N224</f>
        <v>0</v>
      </c>
      <c r="O223">
        <f>計算表!O224</f>
        <v>0</v>
      </c>
      <c r="P223">
        <f>計算表!P224</f>
        <v>0</v>
      </c>
      <c r="Q223">
        <f>計算表!Q224</f>
        <v>0</v>
      </c>
      <c r="R223">
        <f>計算表!R224</f>
        <v>0</v>
      </c>
    </row>
    <row r="224" spans="1:18" x14ac:dyDescent="0.25">
      <c r="A224">
        <f>計算表!A225</f>
        <v>224</v>
      </c>
      <c r="B224">
        <f>計算表!B225</f>
        <v>0</v>
      </c>
      <c r="C224" t="str">
        <f>計算表!C225</f>
        <v>7-容量</v>
      </c>
      <c r="D224" t="str">
        <f>計算表!D225</f>
        <v>生產線處理間隔</v>
      </c>
      <c r="E224" t="str">
        <f>計算表!E225</f>
        <v>a 秒/件</v>
      </c>
      <c r="F224">
        <f>計算表!F225</f>
        <v>0</v>
      </c>
      <c r="G224">
        <f>計算表!G225</f>
        <v>2</v>
      </c>
      <c r="H224">
        <f>計算表!H225</f>
        <v>0</v>
      </c>
      <c r="I224">
        <f>計算表!I225</f>
        <v>0</v>
      </c>
      <c r="J224">
        <f>計算表!J225</f>
        <v>0</v>
      </c>
      <c r="K224">
        <f>計算表!K225</f>
        <v>0</v>
      </c>
      <c r="L224">
        <f>計算表!L225</f>
        <v>0</v>
      </c>
      <c r="M224">
        <f>計算表!M225</f>
        <v>0</v>
      </c>
      <c r="N224">
        <f>計算表!N225</f>
        <v>0</v>
      </c>
      <c r="O224">
        <f>計算表!O225</f>
        <v>0</v>
      </c>
      <c r="P224">
        <f>計算表!P225</f>
        <v>0</v>
      </c>
      <c r="Q224">
        <f>計算表!Q225</f>
        <v>0</v>
      </c>
      <c r="R224">
        <f>計算表!R225</f>
        <v>0</v>
      </c>
    </row>
    <row r="225" spans="1:18" x14ac:dyDescent="0.25">
      <c r="A225">
        <f>計算表!A226</f>
        <v>225</v>
      </c>
      <c r="B225">
        <f>計算表!B226</f>
        <v>0</v>
      </c>
      <c r="C225" t="str">
        <f>計算表!C226</f>
        <v>7-強化</v>
      </c>
      <c r="D225" t="str">
        <f>計算表!D226</f>
        <v>基礎成功率</v>
      </c>
      <c r="E225" t="str">
        <f>計算表!E226</f>
        <v>+5 以內 100%；之後 max(a%, 100% - (目標等級-5)×b%)</v>
      </c>
      <c r="F225" t="str">
        <f>計算表!F226</f>
        <v>a=下限 b=每級遞減。實際=基礎+強化成功率屬性。</v>
      </c>
      <c r="G225">
        <f>計算表!G226</f>
        <v>30</v>
      </c>
      <c r="H225">
        <f>計算表!H226</f>
        <v>6</v>
      </c>
      <c r="I225">
        <f>計算表!I226</f>
        <v>0</v>
      </c>
      <c r="J225">
        <f>計算表!J226</f>
        <v>0</v>
      </c>
      <c r="K225">
        <f>計算表!K226</f>
        <v>0</v>
      </c>
      <c r="L225">
        <f>計算表!L226</f>
        <v>0</v>
      </c>
      <c r="M225">
        <f>計算表!M226</f>
        <v>0</v>
      </c>
      <c r="N225">
        <f>計算表!N226</f>
        <v>0</v>
      </c>
      <c r="O225">
        <f>計算表!O226</f>
        <v>0</v>
      </c>
      <c r="P225">
        <f>計算表!P226</f>
        <v>0</v>
      </c>
      <c r="Q225">
        <f>計算表!Q226</f>
        <v>0</v>
      </c>
      <c r="R225">
        <f>計算表!R226</f>
        <v>0</v>
      </c>
    </row>
    <row r="226" spans="1:18" x14ac:dyDescent="0.25">
      <c r="A226">
        <f>計算表!A227</f>
        <v>226</v>
      </c>
      <c r="B226">
        <f>計算表!B227</f>
        <v>0</v>
      </c>
      <c r="C226" t="str">
        <f>計算表!C227</f>
        <v>7-強化</v>
      </c>
      <c r="D226" t="str">
        <f>計算表!D227</f>
        <v>金幣費用</v>
      </c>
      <c r="E226" t="str">
        <f>計算表!E227</f>
        <v>a × b^目前強化等級 × (1+裝備等級×c)</v>
      </c>
      <c r="F226">
        <f>計算表!F227</f>
        <v>0</v>
      </c>
      <c r="G226">
        <f>計算表!G227</f>
        <v>25</v>
      </c>
      <c r="H226">
        <f>計算表!H227</f>
        <v>1.3</v>
      </c>
      <c r="I226">
        <f>計算表!I227</f>
        <v>0.2</v>
      </c>
      <c r="J226">
        <f>計算表!J227</f>
        <v>0</v>
      </c>
      <c r="K226">
        <f>計算表!K227</f>
        <v>0</v>
      </c>
      <c r="L226">
        <f>計算表!L227</f>
        <v>0</v>
      </c>
      <c r="M226">
        <f>計算表!M227</f>
        <v>0</v>
      </c>
      <c r="N226">
        <f>計算表!N227</f>
        <v>0</v>
      </c>
      <c r="O226">
        <f>計算表!O227</f>
        <v>0</v>
      </c>
      <c r="P226">
        <f>計算表!P227</f>
        <v>0</v>
      </c>
      <c r="Q226">
        <f>計算表!Q227</f>
        <v>0</v>
      </c>
      <c r="R226">
        <f>計算表!R227</f>
        <v>0</v>
      </c>
    </row>
    <row r="227" spans="1:18" x14ac:dyDescent="0.25">
      <c r="A227">
        <f>計算表!A228</f>
        <v>227</v>
      </c>
      <c r="B227">
        <f>計算表!B228</f>
        <v>0</v>
      </c>
      <c r="C227" t="str">
        <f>計算表!C228</f>
        <v>7-強化</v>
      </c>
      <c r="D227" t="str">
        <f>計算表!D228</f>
        <v>碎片費用</v>
      </c>
      <c r="E227" t="str">
        <f>計算表!E228</f>
        <v>a × b^目前強化等級 × (1+裝備等級×c)</v>
      </c>
      <c r="F227">
        <f>計算表!F228</f>
        <v>0</v>
      </c>
      <c r="G227">
        <f>計算表!G228</f>
        <v>8</v>
      </c>
      <c r="H227">
        <f>計算表!H228</f>
        <v>1.35</v>
      </c>
      <c r="I227">
        <f>計算表!I228</f>
        <v>0.04</v>
      </c>
      <c r="J227">
        <f>計算表!J228</f>
        <v>0</v>
      </c>
      <c r="K227">
        <f>計算表!K228</f>
        <v>0</v>
      </c>
      <c r="L227">
        <f>計算表!L228</f>
        <v>0</v>
      </c>
      <c r="M227">
        <f>計算表!M228</f>
        <v>0</v>
      </c>
      <c r="N227">
        <f>計算表!N228</f>
        <v>0</v>
      </c>
      <c r="O227">
        <f>計算表!O228</f>
        <v>0</v>
      </c>
      <c r="P227">
        <f>計算表!P228</f>
        <v>0</v>
      </c>
      <c r="Q227">
        <f>計算表!Q228</f>
        <v>0</v>
      </c>
      <c r="R227">
        <f>計算表!R228</f>
        <v>0</v>
      </c>
    </row>
    <row r="228" spans="1:18" x14ac:dyDescent="0.25">
      <c r="A228">
        <f>計算表!A229</f>
        <v>228</v>
      </c>
      <c r="B228">
        <f>計算表!B229</f>
        <v>0</v>
      </c>
      <c r="C228" t="str">
        <f>計算表!C229</f>
        <v>7-強化</v>
      </c>
      <c r="D228" t="str">
        <f>計算表!D229</f>
        <v>失敗懲罰</v>
      </c>
      <c r="E228" t="str">
        <f>計算表!E229</f>
        <v>消耗半數費用，強化等級不變</v>
      </c>
      <c r="F228" t="str">
        <f>計算表!F229</f>
        <v>寫死：失敗消耗半數費用。</v>
      </c>
      <c r="G228">
        <f>計算表!G229</f>
        <v>0</v>
      </c>
      <c r="H228">
        <f>計算表!H229</f>
        <v>0</v>
      </c>
      <c r="I228">
        <f>計算表!I229</f>
        <v>0</v>
      </c>
      <c r="J228">
        <f>計算表!J229</f>
        <v>0</v>
      </c>
      <c r="K228">
        <f>計算表!K229</f>
        <v>0</v>
      </c>
      <c r="L228">
        <f>計算表!L229</f>
        <v>0</v>
      </c>
      <c r="M228">
        <f>計算表!M229</f>
        <v>0</v>
      </c>
      <c r="N228">
        <f>計算表!N229</f>
        <v>0</v>
      </c>
      <c r="O228">
        <f>計算表!O229</f>
        <v>0</v>
      </c>
      <c r="P228">
        <f>計算表!P229</f>
        <v>0</v>
      </c>
      <c r="Q228">
        <f>計算表!Q229</f>
        <v>0</v>
      </c>
      <c r="R228">
        <f>計算表!R229</f>
        <v>0</v>
      </c>
    </row>
    <row r="229" spans="1:18" x14ac:dyDescent="0.25">
      <c r="A229">
        <f>計算表!A230</f>
        <v>229</v>
      </c>
      <c r="B229">
        <f>計算表!B230</f>
        <v>0</v>
      </c>
      <c r="C229" t="str">
        <f>計算表!C230</f>
        <v>8-寶石</v>
      </c>
      <c r="D229" t="str">
        <f>計算表!D230</f>
        <v>能力數值(1~5階)</v>
      </c>
      <c r="E229" t="str">
        <f>計算表!E230</f>
        <v>base × 等級 × (1 + a×(等級-1))</v>
      </c>
      <c r="F229" t="str">
        <f>計算表!F230</f>
        <v>base 見「寶石種類表」。Lv1×1 Lv2×2.4 Lv3×4.2 Lv4×6.4 Lv5×9。</v>
      </c>
      <c r="G229">
        <f>計算表!G230</f>
        <v>0.2</v>
      </c>
      <c r="H229">
        <f>計算表!H230</f>
        <v>0</v>
      </c>
      <c r="I229">
        <f>計算表!I230</f>
        <v>0</v>
      </c>
      <c r="J229">
        <f>計算表!J230</f>
        <v>0</v>
      </c>
      <c r="K229">
        <f>計算表!K230</f>
        <v>0</v>
      </c>
      <c r="L229">
        <f>計算表!L230</f>
        <v>0</v>
      </c>
      <c r="M229">
        <f>計算表!M230</f>
        <v>0</v>
      </c>
      <c r="N229">
        <f>計算表!N230</f>
        <v>0</v>
      </c>
      <c r="O229">
        <f>計算表!O230</f>
        <v>0</v>
      </c>
      <c r="P229">
        <f>計算表!P230</f>
        <v>0</v>
      </c>
      <c r="Q229">
        <f>計算表!Q230</f>
        <v>0</v>
      </c>
      <c r="R229">
        <f>計算表!R230</f>
        <v>0</v>
      </c>
    </row>
    <row r="230" spans="1:18" x14ac:dyDescent="0.25">
      <c r="A230">
        <f>計算表!A231</f>
        <v>230</v>
      </c>
      <c r="B230">
        <f>計算表!B231</f>
        <v>0</v>
      </c>
      <c r="C230" t="str">
        <f>計算表!C231</f>
        <v>8-寶石</v>
      </c>
      <c r="D230" t="str">
        <f>計算表!D231</f>
        <v>能力數值(6~10階神鑄)</v>
      </c>
      <c r="E230" t="str">
        <f>計算表!E231</f>
        <v>五階數值 × a^(階級-5)</v>
      </c>
      <c r="F230" t="str">
        <f>計算表!F231</f>
        <v>每高 1 階能力×a。</v>
      </c>
      <c r="G230">
        <f>計算表!G231</f>
        <v>2</v>
      </c>
      <c r="H230">
        <f>計算表!H231</f>
        <v>0</v>
      </c>
      <c r="I230">
        <f>計算表!I231</f>
        <v>0</v>
      </c>
      <c r="J230">
        <f>計算表!J231</f>
        <v>0</v>
      </c>
      <c r="K230">
        <f>計算表!K231</f>
        <v>0</v>
      </c>
      <c r="L230">
        <f>計算表!L231</f>
        <v>0</v>
      </c>
      <c r="M230">
        <f>計算表!M231</f>
        <v>0</v>
      </c>
      <c r="N230">
        <f>計算表!N231</f>
        <v>0</v>
      </c>
      <c r="O230">
        <f>計算表!O231</f>
        <v>0</v>
      </c>
      <c r="P230">
        <f>計算表!P231</f>
        <v>0</v>
      </c>
      <c r="Q230">
        <f>計算表!Q231</f>
        <v>0</v>
      </c>
      <c r="R230">
        <f>計算表!R231</f>
        <v>0</v>
      </c>
    </row>
    <row r="231" spans="1:18" x14ac:dyDescent="0.25">
      <c r="A231">
        <f>計算表!A232</f>
        <v>231</v>
      </c>
      <c r="B231">
        <f>計算表!B232</f>
        <v>0</v>
      </c>
      <c r="C231" t="str">
        <f>計算表!C232</f>
        <v>8-寶石</v>
      </c>
      <c r="D231" t="str">
        <f>計算表!D232</f>
        <v>寶石升階(工廠自動)</v>
      </c>
      <c r="E231" t="str">
        <f>計算表!E232</f>
        <v>c 顆同種同級 → 1 顆同種高一級</v>
      </c>
      <c r="F231" t="str">
        <f>計算表!F232</f>
        <v>免費、自動（熔爐合成節點開關）。　※合成功能已停用，本列未生效。</v>
      </c>
      <c r="G231">
        <f>計算表!G232</f>
        <v>3</v>
      </c>
      <c r="H231">
        <f>計算表!H232</f>
        <v>0</v>
      </c>
      <c r="I231">
        <f>計算表!I232</f>
        <v>0</v>
      </c>
      <c r="J231">
        <f>計算表!J232</f>
        <v>0</v>
      </c>
      <c r="K231">
        <f>計算表!K232</f>
        <v>0</v>
      </c>
      <c r="L231">
        <f>計算表!L232</f>
        <v>0</v>
      </c>
      <c r="M231">
        <f>計算表!M232</f>
        <v>0</v>
      </c>
      <c r="N231">
        <f>計算表!N232</f>
        <v>0</v>
      </c>
      <c r="O231">
        <f>計算表!O232</f>
        <v>0</v>
      </c>
      <c r="P231">
        <f>計算表!P232</f>
        <v>0</v>
      </c>
      <c r="Q231">
        <f>計算表!Q232</f>
        <v>0</v>
      </c>
      <c r="R231">
        <f>計算表!R232</f>
        <v>0</v>
      </c>
    </row>
    <row r="232" spans="1:18" x14ac:dyDescent="0.25">
      <c r="A232">
        <f>計算表!A233</f>
        <v>232</v>
      </c>
      <c r="B232">
        <f>計算表!B233</f>
        <v>0</v>
      </c>
      <c r="C232" t="str">
        <f>計算表!C233</f>
        <v>8-寶石</v>
      </c>
      <c r="D232" t="str">
        <f>計算表!D233</f>
        <v>寶石合成(手動)</v>
      </c>
      <c r="E232" t="str">
        <f>計算表!E233</f>
        <v>依成品階級消耗 a/b/c 顆同種同級寶石</v>
      </c>
      <c r="F232" t="str">
        <f>計算表!F233</f>
        <v>成品2～5級用a顆、6～9級用b顆、10級用c顆前一階寶石；金幣另見「寶石合成金幣」。</v>
      </c>
      <c r="G232">
        <f>計算表!G233</f>
        <v>3</v>
      </c>
      <c r="H232">
        <f>計算表!H233</f>
        <v>4</v>
      </c>
      <c r="I232">
        <f>計算表!I233</f>
        <v>6</v>
      </c>
      <c r="J232">
        <f>計算表!J233</f>
        <v>0</v>
      </c>
      <c r="K232">
        <f>計算表!K233</f>
        <v>0</v>
      </c>
      <c r="L232">
        <f>計算表!L233</f>
        <v>0</v>
      </c>
      <c r="M232">
        <f>計算表!M233</f>
        <v>0</v>
      </c>
      <c r="N232">
        <f>計算表!N233</f>
        <v>0</v>
      </c>
      <c r="O232">
        <f>計算表!O233</f>
        <v>0</v>
      </c>
      <c r="P232">
        <f>計算表!P233</f>
        <v>0</v>
      </c>
      <c r="Q232">
        <f>計算表!Q233</f>
        <v>0</v>
      </c>
      <c r="R232">
        <f>計算表!R233</f>
        <v>0</v>
      </c>
    </row>
    <row r="233" spans="1:18" x14ac:dyDescent="0.25">
      <c r="A233">
        <f>計算表!A234</f>
        <v>233</v>
      </c>
      <c r="B233">
        <f>計算表!B234</f>
        <v>0</v>
      </c>
      <c r="C233" t="str">
        <f>計算表!C234</f>
        <v>8-寶石</v>
      </c>
      <c r="D233" t="str">
        <f>計算表!D234</f>
        <v>寶石合成金幣</v>
      </c>
      <c r="E233" t="str">
        <f>計算表!E234</f>
        <v>依素材等級 a/b/c/d/e/f/g/h/i</v>
      </c>
      <c r="F233" t="str">
        <f>計算表!F234</f>
        <v>1級→2級用a、2級→3級用b、依序至9級→10級用i；高階沿既有逐階遞增趨勢延伸。</v>
      </c>
      <c r="G233">
        <f>計算表!G234</f>
        <v>100</v>
      </c>
      <c r="H233">
        <f>計算表!H234</f>
        <v>300</v>
      </c>
      <c r="I233">
        <f>計算表!I234</f>
        <v>900</v>
      </c>
      <c r="J233">
        <f>計算表!J234</f>
        <v>2700</v>
      </c>
      <c r="K233">
        <f>計算表!K234</f>
        <v>8100</v>
      </c>
      <c r="L233">
        <f>計算表!L234</f>
        <v>24300</v>
      </c>
      <c r="M233">
        <f>計算表!M234</f>
        <v>72900</v>
      </c>
      <c r="N233">
        <f>計算表!N234</f>
        <v>218700</v>
      </c>
      <c r="O233">
        <f>計算表!O234</f>
        <v>656100</v>
      </c>
      <c r="P233">
        <f>計算表!P234</f>
        <v>0</v>
      </c>
      <c r="Q233">
        <f>計算表!Q234</f>
        <v>0</v>
      </c>
      <c r="R233">
        <f>計算表!R234</f>
        <v>0</v>
      </c>
    </row>
    <row r="234" spans="1:18" x14ac:dyDescent="0.25">
      <c r="A234">
        <f>計算表!A235</f>
        <v>234</v>
      </c>
      <c r="B234">
        <f>計算表!B235</f>
        <v>0</v>
      </c>
      <c r="C234" t="str">
        <f>計算表!C235</f>
        <v>8-寶石</v>
      </c>
      <c r="D234" t="str">
        <f>計算表!D235</f>
        <v>寶石轉換(九宮格)</v>
      </c>
      <c r="E234" t="str">
        <f>計算表!E235</f>
        <v>a 格；每格上限 b 顆；同階任意2顆換1顆指定寶石</v>
      </c>
      <c r="F234" t="str">
        <f>計算表!F235</f>
        <v>融合寶石無法轉換；各階分開湊組；奇數餘1顆保留庫存；不收金幣。</v>
      </c>
      <c r="G234">
        <f>計算表!G235</f>
        <v>9</v>
      </c>
      <c r="H234">
        <f>計算表!H235</f>
        <v>1000</v>
      </c>
      <c r="I234">
        <f>計算表!I235</f>
        <v>0</v>
      </c>
      <c r="J234">
        <f>計算表!J235</f>
        <v>0</v>
      </c>
      <c r="K234">
        <f>計算表!K235</f>
        <v>0</v>
      </c>
      <c r="L234">
        <f>計算表!L235</f>
        <v>0</v>
      </c>
      <c r="M234">
        <f>計算表!M235</f>
        <v>0</v>
      </c>
      <c r="N234">
        <f>計算表!N235</f>
        <v>0</v>
      </c>
      <c r="O234">
        <f>計算表!O235</f>
        <v>0</v>
      </c>
      <c r="P234">
        <f>計算表!P235</f>
        <v>0</v>
      </c>
      <c r="Q234">
        <f>計算表!Q235</f>
        <v>0</v>
      </c>
      <c r="R234">
        <f>計算表!R235</f>
        <v>0</v>
      </c>
    </row>
    <row r="235" spans="1:18" x14ac:dyDescent="0.25">
      <c r="A235">
        <f>計算表!A236</f>
        <v>235</v>
      </c>
      <c r="B235">
        <f>計算表!B236</f>
        <v>0</v>
      </c>
      <c r="C235" t="str">
        <f>計算表!C236</f>
        <v>8-寶石</v>
      </c>
      <c r="D235" t="str">
        <f>計算表!D236</f>
        <v>寶石拆解(一般)</v>
      </c>
      <c r="E235" t="str">
        <f>計算表!E236</f>
        <v>⌊逐階合成成本連乘 × a⌋ 顆同種 1 級</v>
      </c>
      <c r="F235" t="str">
        <f>計算表!F236</f>
        <v>a=保留比例；合成素材數見「寶石合成(手動)」，拆解依新合成成本換算。</v>
      </c>
      <c r="G235">
        <f>計算表!G236</f>
        <v>0.7</v>
      </c>
      <c r="H235">
        <f>計算表!H236</f>
        <v>0</v>
      </c>
      <c r="I235">
        <f>計算表!I236</f>
        <v>0</v>
      </c>
      <c r="J235">
        <f>計算表!J236</f>
        <v>0</v>
      </c>
      <c r="K235">
        <f>計算表!K236</f>
        <v>0</v>
      </c>
      <c r="L235">
        <f>計算表!L236</f>
        <v>0</v>
      </c>
      <c r="M235">
        <f>計算表!M236</f>
        <v>0</v>
      </c>
      <c r="N235">
        <f>計算表!N236</f>
        <v>0</v>
      </c>
      <c r="O235">
        <f>計算表!O236</f>
        <v>0</v>
      </c>
      <c r="P235">
        <f>計算表!P236</f>
        <v>0</v>
      </c>
      <c r="Q235">
        <f>計算表!Q236</f>
        <v>0</v>
      </c>
      <c r="R235">
        <f>計算表!R236</f>
        <v>0</v>
      </c>
    </row>
    <row r="236" spans="1:18" x14ac:dyDescent="0.25">
      <c r="A236">
        <f>計算表!A237</f>
        <v>236</v>
      </c>
      <c r="B236">
        <f>計算表!B237</f>
        <v>0</v>
      </c>
      <c r="C236" t="str">
        <f>計算表!C237</f>
        <v>8-寶石</v>
      </c>
      <c r="D236" t="str">
        <f>計算表!D237</f>
        <v>寶石拆解(融合)</v>
      </c>
      <c r="E236" t="str">
        <f>計算表!E237</f>
        <v>⌊81×leaves × a⌋ 顆 1 級（依屬性均分）</v>
      </c>
      <c r="F236" t="str">
        <f>計算表!F237</f>
        <v>leaves=素材 5 階總數（融合時雙方相加）。　※與「寶石拆解(一般)」共用保留率，本列不生效。</v>
      </c>
      <c r="G236">
        <f>計算表!G237</f>
        <v>0.7</v>
      </c>
      <c r="H236">
        <f>計算表!H237</f>
        <v>0</v>
      </c>
      <c r="I236">
        <f>計算表!I237</f>
        <v>0</v>
      </c>
      <c r="J236">
        <f>計算表!J237</f>
        <v>0</v>
      </c>
      <c r="K236">
        <f>計算表!K237</f>
        <v>0</v>
      </c>
      <c r="L236">
        <f>計算表!L237</f>
        <v>0</v>
      </c>
      <c r="M236">
        <f>計算表!M237</f>
        <v>0</v>
      </c>
      <c r="N236">
        <f>計算表!N237</f>
        <v>0</v>
      </c>
      <c r="O236">
        <f>計算表!O237</f>
        <v>0</v>
      </c>
      <c r="P236">
        <f>計算表!P237</f>
        <v>0</v>
      </c>
      <c r="Q236">
        <f>計算表!Q237</f>
        <v>0</v>
      </c>
      <c r="R236">
        <f>計算表!R237</f>
        <v>0</v>
      </c>
    </row>
    <row r="237" spans="1:18" x14ac:dyDescent="0.25">
      <c r="A237">
        <f>計算表!A238</f>
        <v>237</v>
      </c>
      <c r="B237">
        <f>計算表!B238</f>
        <v>0</v>
      </c>
      <c r="C237" t="str">
        <f>計算表!C238</f>
        <v>8-寶石</v>
      </c>
      <c r="D237" t="str">
        <f>計算表!D238</f>
        <v>寶石融合成功率</v>
      </c>
      <c r="E237" t="str">
        <f>計算表!E238</f>
        <v>max(a%, b% - c%×雙方融合次數和)</v>
      </c>
      <c r="F237" t="str">
        <f>計算表!F238</f>
        <v>僅 5 階；產出雙屬性。</v>
      </c>
      <c r="G237">
        <f>計算表!G238</f>
        <v>10</v>
      </c>
      <c r="H237">
        <f>計算表!H238</f>
        <v>60</v>
      </c>
      <c r="I237">
        <f>計算表!I238</f>
        <v>10</v>
      </c>
      <c r="J237">
        <f>計算表!J238</f>
        <v>0</v>
      </c>
      <c r="K237">
        <f>計算表!K238</f>
        <v>0</v>
      </c>
      <c r="L237">
        <f>計算表!L238</f>
        <v>0</v>
      </c>
      <c r="M237">
        <f>計算表!M238</f>
        <v>0</v>
      </c>
      <c r="N237">
        <f>計算表!N238</f>
        <v>0</v>
      </c>
      <c r="O237">
        <f>計算表!O238</f>
        <v>0</v>
      </c>
      <c r="P237">
        <f>計算表!P238</f>
        <v>0</v>
      </c>
      <c r="Q237">
        <f>計算表!Q238</f>
        <v>0</v>
      </c>
      <c r="R237">
        <f>計算表!R238</f>
        <v>0</v>
      </c>
    </row>
    <row r="238" spans="1:18" x14ac:dyDescent="0.25">
      <c r="A238">
        <f>計算表!A239</f>
        <v>238</v>
      </c>
      <c r="B238">
        <f>計算表!B239</f>
        <v>0</v>
      </c>
      <c r="C238" t="str">
        <f>計算表!C239</f>
        <v>8-寶石</v>
      </c>
      <c r="D238" t="str">
        <f>計算表!D239</f>
        <v>寶石融合數值</v>
      </c>
      <c r="E238" t="str">
        <f>計算表!E239</f>
        <v>同屬性 rnd(較小值,較大值×2)；異屬性 原值×rnd(0.5,1.5)</v>
      </c>
      <c r="F238" t="str">
        <f>計算表!F239</f>
        <v>失敗：較弱一方降解為 50% 機率 4~8 顆 Lv1 / 50% 機率 2~4 顆 Lv2。　※結構寫死：同屬性 rnd(小,大×2)、異屬性 原值×rnd(0.5,1.5)。</v>
      </c>
      <c r="G238">
        <f>計算表!G239</f>
        <v>0</v>
      </c>
      <c r="H238">
        <f>計算表!H239</f>
        <v>0</v>
      </c>
      <c r="I238">
        <f>計算表!I239</f>
        <v>0</v>
      </c>
      <c r="J238">
        <f>計算表!J239</f>
        <v>0</v>
      </c>
      <c r="K238">
        <f>計算表!K239</f>
        <v>0</v>
      </c>
      <c r="L238">
        <f>計算表!L239</f>
        <v>0</v>
      </c>
      <c r="M238">
        <f>計算表!M239</f>
        <v>0</v>
      </c>
      <c r="N238">
        <f>計算表!N239</f>
        <v>0</v>
      </c>
      <c r="O238">
        <f>計算表!O239</f>
        <v>0</v>
      </c>
      <c r="P238">
        <f>計算表!P239</f>
        <v>0</v>
      </c>
      <c r="Q238">
        <f>計算表!Q239</f>
        <v>0</v>
      </c>
      <c r="R238">
        <f>計算表!R239</f>
        <v>0</v>
      </c>
    </row>
    <row r="239" spans="1:18" x14ac:dyDescent="0.25">
      <c r="A239">
        <f>計算表!A240</f>
        <v>239</v>
      </c>
      <c r="B239">
        <f>計算表!B240</f>
        <v>0</v>
      </c>
      <c r="C239" t="str">
        <f>計算表!C240</f>
        <v>8-寶石商店</v>
      </c>
      <c r="D239" t="str">
        <f>計算表!D240</f>
        <v>升級費用</v>
      </c>
      <c r="E239" t="str">
        <f>計算表!E240</f>
        <v>a + 商店等級^b × c</v>
      </c>
      <c r="F239" t="str">
        <f>計算表!F240</f>
        <v>Lv.1~20；Lv.20 滿級。</v>
      </c>
      <c r="G239">
        <f>計算表!G240</f>
        <v>100000</v>
      </c>
      <c r="H239">
        <f>計算表!H240</f>
        <v>3.5</v>
      </c>
      <c r="I239">
        <f>計算表!I240</f>
        <v>4000000</v>
      </c>
      <c r="J239">
        <f>計算表!J240</f>
        <v>0</v>
      </c>
      <c r="K239">
        <f>計算表!K240</f>
        <v>0</v>
      </c>
      <c r="L239">
        <f>計算表!L240</f>
        <v>0</v>
      </c>
      <c r="M239">
        <f>計算表!M240</f>
        <v>0</v>
      </c>
      <c r="N239">
        <f>計算表!N240</f>
        <v>0</v>
      </c>
      <c r="O239">
        <f>計算表!O240</f>
        <v>0</v>
      </c>
      <c r="P239">
        <f>計算表!P240</f>
        <v>0</v>
      </c>
      <c r="Q239">
        <f>計算表!Q240</f>
        <v>0</v>
      </c>
      <c r="R239">
        <f>計算表!R240</f>
        <v>0</v>
      </c>
    </row>
    <row r="240" spans="1:18" x14ac:dyDescent="0.25">
      <c r="A240">
        <f>計算表!A241</f>
        <v>240</v>
      </c>
      <c r="B240">
        <f>計算表!B241</f>
        <v>0</v>
      </c>
      <c r="C240" t="str">
        <f>計算表!C241</f>
        <v>8-寶石商店</v>
      </c>
      <c r="D240" t="str">
        <f>計算表!D241</f>
        <v>手動刷新費用</v>
      </c>
      <c r="E240" t="str">
        <f>計算表!E241</f>
        <v>a × (下一次重置序號^b)</v>
      </c>
      <c r="F240" t="str">
        <f>計算表!F241</f>
        <v>第一次刷新序號為 1。</v>
      </c>
      <c r="G240">
        <f>計算表!G241</f>
        <v>5000</v>
      </c>
      <c r="H240">
        <f>計算表!H241</f>
        <v>2.5</v>
      </c>
      <c r="I240">
        <f>計算表!I241</f>
        <v>0</v>
      </c>
      <c r="J240">
        <f>計算表!J241</f>
        <v>0</v>
      </c>
      <c r="K240">
        <f>計算表!K241</f>
        <v>0</v>
      </c>
      <c r="L240">
        <f>計算表!L241</f>
        <v>0</v>
      </c>
      <c r="M240">
        <f>計算表!M241</f>
        <v>0</v>
      </c>
      <c r="N240">
        <f>計算表!N241</f>
        <v>0</v>
      </c>
      <c r="O240">
        <f>計算表!O241</f>
        <v>0</v>
      </c>
      <c r="P240">
        <f>計算表!P241</f>
        <v>0</v>
      </c>
      <c r="Q240">
        <f>計算表!Q241</f>
        <v>0</v>
      </c>
      <c r="R240">
        <f>計算表!R241</f>
        <v>0</v>
      </c>
    </row>
    <row r="241" spans="1:18" x14ac:dyDescent="0.25">
      <c r="A241">
        <f>計算表!A242</f>
        <v>241</v>
      </c>
      <c r="B241">
        <f>計算表!B242</f>
        <v>0</v>
      </c>
      <c r="C241" t="str">
        <f>計算表!C242</f>
        <v>8-寶石商店</v>
      </c>
      <c r="D241" t="str">
        <f>計算表!D242</f>
        <v>刷新週期</v>
      </c>
      <c r="E241" t="str">
        <f>計算表!E242</f>
        <v>a 小時重置刷新次數</v>
      </c>
      <c r="F241">
        <f>計算表!F242</f>
        <v>0</v>
      </c>
      <c r="G241">
        <f>計算表!G242</f>
        <v>8</v>
      </c>
      <c r="H241">
        <f>計算表!H242</f>
        <v>0</v>
      </c>
      <c r="I241">
        <f>計算表!I242</f>
        <v>0</v>
      </c>
      <c r="J241">
        <f>計算表!J242</f>
        <v>0</v>
      </c>
      <c r="K241">
        <f>計算表!K242</f>
        <v>0</v>
      </c>
      <c r="L241">
        <f>計算表!L242</f>
        <v>0</v>
      </c>
      <c r="M241">
        <f>計算表!M242</f>
        <v>0</v>
      </c>
      <c r="N241">
        <f>計算表!N242</f>
        <v>0</v>
      </c>
      <c r="O241">
        <f>計算表!O242</f>
        <v>0</v>
      </c>
      <c r="P241">
        <f>計算表!P242</f>
        <v>0</v>
      </c>
      <c r="Q241">
        <f>計算表!Q242</f>
        <v>0</v>
      </c>
      <c r="R241">
        <f>計算表!R242</f>
        <v>0</v>
      </c>
    </row>
    <row r="242" spans="1:18" x14ac:dyDescent="0.25">
      <c r="A242">
        <f>計算表!A243</f>
        <v>242</v>
      </c>
      <c r="B242">
        <f>計算表!B243</f>
        <v>0</v>
      </c>
      <c r="C242" t="str">
        <f>計算表!C243</f>
        <v>8-寶石商店</v>
      </c>
      <c r="D242" t="str">
        <f>計算表!D243</f>
        <v>寶石標價(Lv1~10)</v>
      </c>
      <c r="E242" t="str">
        <f>計算表!E243</f>
        <v>各階價格</v>
      </c>
      <c r="F242" t="str">
        <f>計算表!F243</f>
        <v>a=Lv1 … j=Lv10。</v>
      </c>
      <c r="G242">
        <f>計算表!G243</f>
        <v>10000</v>
      </c>
      <c r="H242">
        <f>計算表!H243</f>
        <v>100000</v>
      </c>
      <c r="I242">
        <f>計算表!I243</f>
        <v>500000</v>
      </c>
      <c r="J242">
        <f>計算表!J243</f>
        <v>2000000</v>
      </c>
      <c r="K242">
        <f>計算表!K243</f>
        <v>10000000</v>
      </c>
      <c r="L242">
        <f>計算表!L243</f>
        <v>50000000</v>
      </c>
      <c r="M242">
        <f>計算表!M243</f>
        <v>200000000</v>
      </c>
      <c r="N242">
        <f>計算表!N243</f>
        <v>1000000000</v>
      </c>
      <c r="O242">
        <f>計算表!O243</f>
        <v>10000000000</v>
      </c>
      <c r="P242">
        <f>計算表!P243</f>
        <v>1000000000000</v>
      </c>
      <c r="Q242">
        <f>計算表!Q243</f>
        <v>0</v>
      </c>
      <c r="R242">
        <f>計算表!R243</f>
        <v>0</v>
      </c>
    </row>
    <row r="243" spans="1:18" x14ac:dyDescent="0.25">
      <c r="A243">
        <f>計算表!A244</f>
        <v>243</v>
      </c>
      <c r="B243">
        <f>計算表!B244</f>
        <v>0</v>
      </c>
      <c r="C243" t="str">
        <f>計算表!C244</f>
        <v>8-寶店刷出階級</v>
      </c>
      <c r="D243" t="str">
        <f>計算表!D244</f>
        <v>商店 Lv.1</v>
      </c>
      <c r="E243" t="str">
        <f>計算表!E244</f>
        <v>寶石階級=機率%（每顆獨立）</v>
      </c>
      <c r="F243" t="str">
        <f>計算表!F244</f>
        <v>格式「階級=機率%」，機率總和 100。</v>
      </c>
      <c r="G243" t="str">
        <f>計算表!G244</f>
        <v>1=75</v>
      </c>
      <c r="H243" t="str">
        <f>計算表!H244</f>
        <v>2=20</v>
      </c>
      <c r="I243" t="str">
        <f>計算表!I244</f>
        <v>3=4</v>
      </c>
      <c r="J243" t="str">
        <f>計算表!J244</f>
        <v>4=1</v>
      </c>
      <c r="K243">
        <f>計算表!K244</f>
        <v>0</v>
      </c>
      <c r="L243">
        <f>計算表!L244</f>
        <v>0</v>
      </c>
      <c r="M243">
        <f>計算表!M244</f>
        <v>0</v>
      </c>
      <c r="N243">
        <f>計算表!N244</f>
        <v>0</v>
      </c>
      <c r="O243">
        <f>計算表!O244</f>
        <v>0</v>
      </c>
      <c r="P243">
        <f>計算表!P244</f>
        <v>0</v>
      </c>
      <c r="Q243">
        <f>計算表!Q244</f>
        <v>0</v>
      </c>
      <c r="R243">
        <f>計算表!R244</f>
        <v>0</v>
      </c>
    </row>
    <row r="244" spans="1:18" x14ac:dyDescent="0.25">
      <c r="A244">
        <f>計算表!A245</f>
        <v>244</v>
      </c>
      <c r="B244">
        <f>計算表!B245</f>
        <v>0</v>
      </c>
      <c r="C244" t="str">
        <f>計算表!C245</f>
        <v>8-寶店刷出階級</v>
      </c>
      <c r="D244" t="str">
        <f>計算表!D245</f>
        <v>商店 Lv.2</v>
      </c>
      <c r="E244" t="str">
        <f>計算表!E245</f>
        <v>寶石階級=機率%（每顆獨立）</v>
      </c>
      <c r="F244" t="str">
        <f>計算表!F245</f>
        <v>格式「階級=機率%」，機率總和 100。</v>
      </c>
      <c r="G244" t="str">
        <f>計算表!G245</f>
        <v>1=73</v>
      </c>
      <c r="H244" t="str">
        <f>計算表!H245</f>
        <v>2=20</v>
      </c>
      <c r="I244" t="str">
        <f>計算表!I245</f>
        <v>3=5</v>
      </c>
      <c r="J244" t="str">
        <f>計算表!J245</f>
        <v>4=2</v>
      </c>
      <c r="K244">
        <f>計算表!K245</f>
        <v>0</v>
      </c>
      <c r="L244">
        <f>計算表!L245</f>
        <v>0</v>
      </c>
      <c r="M244">
        <f>計算表!M245</f>
        <v>0</v>
      </c>
      <c r="N244">
        <f>計算表!N245</f>
        <v>0</v>
      </c>
      <c r="O244">
        <f>計算表!O245</f>
        <v>0</v>
      </c>
      <c r="P244">
        <f>計算表!P245</f>
        <v>0</v>
      </c>
      <c r="Q244">
        <f>計算表!Q245</f>
        <v>0</v>
      </c>
      <c r="R244">
        <f>計算表!R245</f>
        <v>0</v>
      </c>
    </row>
    <row r="245" spans="1:18" x14ac:dyDescent="0.25">
      <c r="A245">
        <f>計算表!A246</f>
        <v>245</v>
      </c>
      <c r="B245">
        <f>計算表!B246</f>
        <v>0</v>
      </c>
      <c r="C245" t="str">
        <f>計算表!C246</f>
        <v>8-寶店刷出階級</v>
      </c>
      <c r="D245" t="str">
        <f>計算表!D246</f>
        <v>商店 Lv.3</v>
      </c>
      <c r="E245" t="str">
        <f>計算表!E246</f>
        <v>寶石階級=機率%（每顆獨立）</v>
      </c>
      <c r="F245" t="str">
        <f>計算表!F246</f>
        <v>格式「階級=機率%」，機率總和 100。</v>
      </c>
      <c r="G245" t="str">
        <f>計算表!G246</f>
        <v>1=71</v>
      </c>
      <c r="H245" t="str">
        <f>計算表!H246</f>
        <v>2=20</v>
      </c>
      <c r="I245" t="str">
        <f>計算表!I246</f>
        <v>3=6</v>
      </c>
      <c r="J245" t="str">
        <f>計算表!J246</f>
        <v>4=3</v>
      </c>
      <c r="K245">
        <f>計算表!K246</f>
        <v>0</v>
      </c>
      <c r="L245">
        <f>計算表!L246</f>
        <v>0</v>
      </c>
      <c r="M245">
        <f>計算表!M246</f>
        <v>0</v>
      </c>
      <c r="N245">
        <f>計算表!N246</f>
        <v>0</v>
      </c>
      <c r="O245">
        <f>計算表!O246</f>
        <v>0</v>
      </c>
      <c r="P245">
        <f>計算表!P246</f>
        <v>0</v>
      </c>
      <c r="Q245">
        <f>計算表!Q246</f>
        <v>0</v>
      </c>
      <c r="R245">
        <f>計算表!R246</f>
        <v>0</v>
      </c>
    </row>
    <row r="246" spans="1:18" x14ac:dyDescent="0.25">
      <c r="A246">
        <f>計算表!A247</f>
        <v>246</v>
      </c>
      <c r="B246">
        <f>計算表!B247</f>
        <v>0</v>
      </c>
      <c r="C246" t="str">
        <f>計算表!C247</f>
        <v>8-寶店刷出階級</v>
      </c>
      <c r="D246" t="str">
        <f>計算表!D247</f>
        <v>商店 Lv.4</v>
      </c>
      <c r="E246" t="str">
        <f>計算表!E247</f>
        <v>寶石階級=機率%（每顆獨立）</v>
      </c>
      <c r="F246" t="str">
        <f>計算表!F247</f>
        <v>格式「階級=機率%」，機率總和 100。</v>
      </c>
      <c r="G246" t="str">
        <f>計算表!G247</f>
        <v>1=70.5</v>
      </c>
      <c r="H246" t="str">
        <f>計算表!H247</f>
        <v>2=20</v>
      </c>
      <c r="I246" t="str">
        <f>計算表!I247</f>
        <v>3=6</v>
      </c>
      <c r="J246" t="str">
        <f>計算表!J247</f>
        <v>4=3</v>
      </c>
      <c r="K246" t="str">
        <f>計算表!K247</f>
        <v>5=0.5</v>
      </c>
      <c r="L246">
        <f>計算表!L247</f>
        <v>0</v>
      </c>
      <c r="M246">
        <f>計算表!M247</f>
        <v>0</v>
      </c>
      <c r="N246">
        <f>計算表!N247</f>
        <v>0</v>
      </c>
      <c r="O246">
        <f>計算表!O247</f>
        <v>0</v>
      </c>
      <c r="P246">
        <f>計算表!P247</f>
        <v>0</v>
      </c>
      <c r="Q246">
        <f>計算表!Q247</f>
        <v>0</v>
      </c>
      <c r="R246">
        <f>計算表!R247</f>
        <v>0</v>
      </c>
    </row>
    <row r="247" spans="1:18" x14ac:dyDescent="0.25">
      <c r="A247">
        <f>計算表!A248</f>
        <v>247</v>
      </c>
      <c r="B247">
        <f>計算表!B248</f>
        <v>0</v>
      </c>
      <c r="C247" t="str">
        <f>計算表!C248</f>
        <v>8-寶店刷出階級</v>
      </c>
      <c r="D247" t="str">
        <f>計算表!D248</f>
        <v>商店 Lv.5</v>
      </c>
      <c r="E247" t="str">
        <f>計算表!E248</f>
        <v>寶石階級=機率%（每顆獨立）</v>
      </c>
      <c r="F247" t="str">
        <f>計算表!F248</f>
        <v>格式「階級=機率%」，機率總和 100。</v>
      </c>
      <c r="G247" t="str">
        <f>計算表!G248</f>
        <v>1=69</v>
      </c>
      <c r="H247" t="str">
        <f>計算表!H248</f>
        <v>2=20</v>
      </c>
      <c r="I247" t="str">
        <f>計算表!I248</f>
        <v>3=6</v>
      </c>
      <c r="J247" t="str">
        <f>計算表!J248</f>
        <v>4=4</v>
      </c>
      <c r="K247" t="str">
        <f>計算表!K248</f>
        <v>5=1</v>
      </c>
      <c r="L247">
        <f>計算表!L248</f>
        <v>0</v>
      </c>
      <c r="M247">
        <f>計算表!M248</f>
        <v>0</v>
      </c>
      <c r="N247">
        <f>計算表!N248</f>
        <v>0</v>
      </c>
      <c r="O247">
        <f>計算表!O248</f>
        <v>0</v>
      </c>
      <c r="P247">
        <f>計算表!P248</f>
        <v>0</v>
      </c>
      <c r="Q247">
        <f>計算表!Q248</f>
        <v>0</v>
      </c>
      <c r="R247">
        <f>計算表!R248</f>
        <v>0</v>
      </c>
    </row>
    <row r="248" spans="1:18" x14ac:dyDescent="0.25">
      <c r="A248">
        <f>計算表!A249</f>
        <v>248</v>
      </c>
      <c r="B248">
        <f>計算表!B249</f>
        <v>0</v>
      </c>
      <c r="C248" t="str">
        <f>計算表!C249</f>
        <v>8-寶店刷出階級</v>
      </c>
      <c r="D248" t="str">
        <f>計算表!D249</f>
        <v>商店 Lv.6</v>
      </c>
      <c r="E248" t="str">
        <f>計算表!E249</f>
        <v>寶石階級=機率%（每顆獨立）</v>
      </c>
      <c r="F248" t="str">
        <f>計算表!F249</f>
        <v>格式「階級=機率%」，機率總和 100。</v>
      </c>
      <c r="G248" t="str">
        <f>計算表!G249</f>
        <v>1=67.5</v>
      </c>
      <c r="H248" t="str">
        <f>計算表!H249</f>
        <v>2=20</v>
      </c>
      <c r="I248" t="str">
        <f>計算表!I249</f>
        <v>3=6</v>
      </c>
      <c r="J248" t="str">
        <f>計算表!J249</f>
        <v>4=5</v>
      </c>
      <c r="K248" t="str">
        <f>計算表!K249</f>
        <v>5=1.5</v>
      </c>
      <c r="L248">
        <f>計算表!L249</f>
        <v>0</v>
      </c>
      <c r="M248">
        <f>計算表!M249</f>
        <v>0</v>
      </c>
      <c r="N248">
        <f>計算表!N249</f>
        <v>0</v>
      </c>
      <c r="O248">
        <f>計算表!O249</f>
        <v>0</v>
      </c>
      <c r="P248">
        <f>計算表!P249</f>
        <v>0</v>
      </c>
      <c r="Q248">
        <f>計算表!Q249</f>
        <v>0</v>
      </c>
      <c r="R248">
        <f>計算表!R249</f>
        <v>0</v>
      </c>
    </row>
    <row r="249" spans="1:18" x14ac:dyDescent="0.25">
      <c r="A249">
        <f>計算表!A250</f>
        <v>249</v>
      </c>
      <c r="B249">
        <f>計算表!B250</f>
        <v>0</v>
      </c>
      <c r="C249" t="str">
        <f>計算表!C250</f>
        <v>8-寶店刷出階級</v>
      </c>
      <c r="D249" t="str">
        <f>計算表!D250</f>
        <v>商店 Lv.7</v>
      </c>
      <c r="E249" t="str">
        <f>計算表!E250</f>
        <v>寶石階級=機率%（每顆獨立）</v>
      </c>
      <c r="F249" t="str">
        <f>計算表!F250</f>
        <v>格式「階級=機率%」，機率總和 100。</v>
      </c>
      <c r="G249" t="str">
        <f>計算表!G250</f>
        <v>1=64</v>
      </c>
      <c r="H249" t="str">
        <f>計算表!H250</f>
        <v>2=20</v>
      </c>
      <c r="I249" t="str">
        <f>計算表!I250</f>
        <v>3=8</v>
      </c>
      <c r="J249" t="str">
        <f>計算表!J250</f>
        <v>4=6</v>
      </c>
      <c r="K249" t="str">
        <f>計算表!K250</f>
        <v>5=2</v>
      </c>
      <c r="L249">
        <f>計算表!L250</f>
        <v>0</v>
      </c>
      <c r="M249">
        <f>計算表!M250</f>
        <v>0</v>
      </c>
      <c r="N249">
        <f>計算表!N250</f>
        <v>0</v>
      </c>
      <c r="O249">
        <f>計算表!O250</f>
        <v>0</v>
      </c>
      <c r="P249">
        <f>計算表!P250</f>
        <v>0</v>
      </c>
      <c r="Q249">
        <f>計算表!Q250</f>
        <v>0</v>
      </c>
      <c r="R249">
        <f>計算表!R250</f>
        <v>0</v>
      </c>
    </row>
    <row r="250" spans="1:18" x14ac:dyDescent="0.25">
      <c r="A250">
        <f>計算表!A251</f>
        <v>250</v>
      </c>
      <c r="B250">
        <f>計算表!B251</f>
        <v>0</v>
      </c>
      <c r="C250" t="str">
        <f>計算表!C251</f>
        <v>8-寶店刷出階級</v>
      </c>
      <c r="D250" t="str">
        <f>計算表!D251</f>
        <v>商店 Lv.8</v>
      </c>
      <c r="E250" t="str">
        <f>計算表!E251</f>
        <v>寶石階級=機率%（每顆獨立）</v>
      </c>
      <c r="F250" t="str">
        <f>計算表!F251</f>
        <v>格式「階級=機率%」，機率總和 100。</v>
      </c>
      <c r="G250" t="str">
        <f>計算表!G251</f>
        <v>1=61.5</v>
      </c>
      <c r="H250" t="str">
        <f>計算表!H251</f>
        <v>2=20</v>
      </c>
      <c r="I250" t="str">
        <f>計算表!I251</f>
        <v>3=9</v>
      </c>
      <c r="J250" t="str">
        <f>計算表!J251</f>
        <v>4=7</v>
      </c>
      <c r="K250" t="str">
        <f>計算表!K251</f>
        <v>5=2.5</v>
      </c>
      <c r="L250">
        <f>計算表!L251</f>
        <v>0</v>
      </c>
      <c r="M250">
        <f>計算表!M251</f>
        <v>0</v>
      </c>
      <c r="N250">
        <f>計算表!N251</f>
        <v>0</v>
      </c>
      <c r="O250">
        <f>計算表!O251</f>
        <v>0</v>
      </c>
      <c r="P250">
        <f>計算表!P251</f>
        <v>0</v>
      </c>
      <c r="Q250">
        <f>計算表!Q251</f>
        <v>0</v>
      </c>
      <c r="R250">
        <f>計算表!R251</f>
        <v>0</v>
      </c>
    </row>
    <row r="251" spans="1:18" x14ac:dyDescent="0.25">
      <c r="A251">
        <f>計算表!A252</f>
        <v>251</v>
      </c>
      <c r="B251">
        <f>計算表!B252</f>
        <v>0</v>
      </c>
      <c r="C251" t="str">
        <f>計算表!C252</f>
        <v>8-寶店刷出階級</v>
      </c>
      <c r="D251" t="str">
        <f>計算表!D252</f>
        <v>商店 Lv.9</v>
      </c>
      <c r="E251" t="str">
        <f>計算表!E252</f>
        <v>寶石階級=機率%（每顆獨立）</v>
      </c>
      <c r="F251" t="str">
        <f>計算表!F252</f>
        <v>格式「階級=機率%」，機率總和 100。</v>
      </c>
      <c r="G251" t="str">
        <f>計算表!G252</f>
        <v>1=59</v>
      </c>
      <c r="H251" t="str">
        <f>計算表!H252</f>
        <v>2=20</v>
      </c>
      <c r="I251" t="str">
        <f>計算表!I252</f>
        <v>3=10</v>
      </c>
      <c r="J251" t="str">
        <f>計算表!J252</f>
        <v>4=8</v>
      </c>
      <c r="K251" t="str">
        <f>計算表!K252</f>
        <v>5=3</v>
      </c>
      <c r="L251">
        <f>計算表!L252</f>
        <v>0</v>
      </c>
      <c r="M251">
        <f>計算表!M252</f>
        <v>0</v>
      </c>
      <c r="N251">
        <f>計算表!N252</f>
        <v>0</v>
      </c>
      <c r="O251">
        <f>計算表!O252</f>
        <v>0</v>
      </c>
      <c r="P251">
        <f>計算表!P252</f>
        <v>0</v>
      </c>
      <c r="Q251">
        <f>計算表!Q252</f>
        <v>0</v>
      </c>
      <c r="R251">
        <f>計算表!R252</f>
        <v>0</v>
      </c>
    </row>
    <row r="252" spans="1:18" x14ac:dyDescent="0.25">
      <c r="A252">
        <f>計算表!A253</f>
        <v>252</v>
      </c>
      <c r="B252">
        <f>計算表!B253</f>
        <v>0</v>
      </c>
      <c r="C252" t="str">
        <f>計算表!C253</f>
        <v>8-寶店刷出階級</v>
      </c>
      <c r="D252" t="str">
        <f>計算表!D253</f>
        <v>商店 Lv.10</v>
      </c>
      <c r="E252" t="str">
        <f>計算表!E253</f>
        <v>寶石階級=機率%（每顆獨立）</v>
      </c>
      <c r="F252" t="str">
        <f>計算表!F253</f>
        <v>格式「階級=機率%」，機率總和 100。</v>
      </c>
      <c r="G252" t="str">
        <f>計算表!G253</f>
        <v>1=58</v>
      </c>
      <c r="H252" t="str">
        <f>計算表!H253</f>
        <v>2=20</v>
      </c>
      <c r="I252" t="str">
        <f>計算表!I253</f>
        <v>3=10</v>
      </c>
      <c r="J252" t="str">
        <f>計算表!J253</f>
        <v>4=8</v>
      </c>
      <c r="K252" t="str">
        <f>計算表!K253</f>
        <v>5=3.5</v>
      </c>
      <c r="L252" t="str">
        <f>計算表!L253</f>
        <v>6=0.5</v>
      </c>
      <c r="M252">
        <f>計算表!M253</f>
        <v>0</v>
      </c>
      <c r="N252">
        <f>計算表!N253</f>
        <v>0</v>
      </c>
      <c r="O252">
        <f>計算表!O253</f>
        <v>0</v>
      </c>
      <c r="P252">
        <f>計算表!P253</f>
        <v>0</v>
      </c>
      <c r="Q252">
        <f>計算表!Q253</f>
        <v>0</v>
      </c>
      <c r="R252">
        <f>計算表!R253</f>
        <v>0</v>
      </c>
    </row>
    <row r="253" spans="1:18" x14ac:dyDescent="0.25">
      <c r="A253">
        <f>計算表!A254</f>
        <v>253</v>
      </c>
      <c r="B253">
        <f>計算表!B254</f>
        <v>0</v>
      </c>
      <c r="C253" t="str">
        <f>計算表!C254</f>
        <v>8-寶店刷出階級</v>
      </c>
      <c r="D253" t="str">
        <f>計算表!D254</f>
        <v>商店 Lv.11</v>
      </c>
      <c r="E253" t="str">
        <f>計算表!E254</f>
        <v>寶石階級=機率%（每顆獨立）</v>
      </c>
      <c r="F253" t="str">
        <f>計算表!F254</f>
        <v>格式「階級=機率%」，機率總和 100。</v>
      </c>
      <c r="G253" t="str">
        <f>計算表!G254</f>
        <v>1=57.25</v>
      </c>
      <c r="H253" t="str">
        <f>計算表!H254</f>
        <v>2=20</v>
      </c>
      <c r="I253" t="str">
        <f>計算表!I254</f>
        <v>3=10</v>
      </c>
      <c r="J253" t="str">
        <f>計算表!J254</f>
        <v>4=8</v>
      </c>
      <c r="K253" t="str">
        <f>計算表!K254</f>
        <v>5=4</v>
      </c>
      <c r="L253" t="str">
        <f>計算表!L254</f>
        <v>6=0.75</v>
      </c>
      <c r="M253">
        <f>計算表!M254</f>
        <v>0</v>
      </c>
      <c r="N253">
        <f>計算表!N254</f>
        <v>0</v>
      </c>
      <c r="O253">
        <f>計算表!O254</f>
        <v>0</v>
      </c>
      <c r="P253">
        <f>計算表!P254</f>
        <v>0</v>
      </c>
      <c r="Q253">
        <f>計算表!Q254</f>
        <v>0</v>
      </c>
      <c r="R253">
        <f>計算表!R254</f>
        <v>0</v>
      </c>
    </row>
    <row r="254" spans="1:18" x14ac:dyDescent="0.25">
      <c r="A254">
        <f>計算表!A255</f>
        <v>254</v>
      </c>
      <c r="B254">
        <f>計算表!B255</f>
        <v>0</v>
      </c>
      <c r="C254" t="str">
        <f>計算表!C255</f>
        <v>8-寶店刷出階級</v>
      </c>
      <c r="D254" t="str">
        <f>計算表!D255</f>
        <v>商店 Lv.12</v>
      </c>
      <c r="E254" t="str">
        <f>計算表!E255</f>
        <v>寶石階級=機率%（每顆獨立）</v>
      </c>
      <c r="F254" t="str">
        <f>計算表!F255</f>
        <v>格式「階級=機率%」，機率總和 100。</v>
      </c>
      <c r="G254" t="str">
        <f>計算表!G255</f>
        <v>1=53.5</v>
      </c>
      <c r="H254" t="str">
        <f>計算表!H255</f>
        <v>2=20</v>
      </c>
      <c r="I254" t="str">
        <f>計算表!I255</f>
        <v>3=12</v>
      </c>
      <c r="J254" t="str">
        <f>計算表!J255</f>
        <v>4=9</v>
      </c>
      <c r="K254" t="str">
        <f>計算表!K255</f>
        <v>5=4.5</v>
      </c>
      <c r="L254" t="str">
        <f>計算表!L255</f>
        <v>6=1</v>
      </c>
      <c r="M254">
        <f>計算表!M255</f>
        <v>0</v>
      </c>
      <c r="N254">
        <f>計算表!N255</f>
        <v>0</v>
      </c>
      <c r="O254">
        <f>計算表!O255</f>
        <v>0</v>
      </c>
      <c r="P254">
        <f>計算表!P255</f>
        <v>0</v>
      </c>
      <c r="Q254">
        <f>計算表!Q255</f>
        <v>0</v>
      </c>
      <c r="R254">
        <f>計算表!R255</f>
        <v>0</v>
      </c>
    </row>
    <row r="255" spans="1:18" x14ac:dyDescent="0.25">
      <c r="A255">
        <f>計算表!A256</f>
        <v>255</v>
      </c>
      <c r="B255">
        <f>計算表!B256</f>
        <v>0</v>
      </c>
      <c r="C255" t="str">
        <f>計算表!C256</f>
        <v>8-寶店刷出階級</v>
      </c>
      <c r="D255" t="str">
        <f>計算表!D256</f>
        <v>商店 Lv.13</v>
      </c>
      <c r="E255" t="str">
        <f>計算表!E256</f>
        <v>寶石階級=機率%（每顆獨立）</v>
      </c>
      <c r="F255" t="str">
        <f>計算表!F256</f>
        <v>格式「階級=機率%」，機率總和 100。</v>
      </c>
      <c r="G255" t="str">
        <f>計算表!G256</f>
        <v>1=53.25</v>
      </c>
      <c r="H255" t="str">
        <f>計算表!H256</f>
        <v>2=20</v>
      </c>
      <c r="I255" t="str">
        <f>計算表!I256</f>
        <v>3=12</v>
      </c>
      <c r="J255" t="str">
        <f>計算表!J256</f>
        <v>4=9</v>
      </c>
      <c r="K255" t="str">
        <f>計算表!K256</f>
        <v>5=4.5</v>
      </c>
      <c r="L255" t="str">
        <f>計算表!L256</f>
        <v>6=1.25</v>
      </c>
      <c r="M255">
        <f>計算表!M256</f>
        <v>0</v>
      </c>
      <c r="N255">
        <f>計算表!N256</f>
        <v>0</v>
      </c>
      <c r="O255">
        <f>計算表!O256</f>
        <v>0</v>
      </c>
      <c r="P255">
        <f>計算表!P256</f>
        <v>0</v>
      </c>
      <c r="Q255">
        <f>計算表!Q256</f>
        <v>0</v>
      </c>
      <c r="R255">
        <f>計算表!R256</f>
        <v>0</v>
      </c>
    </row>
    <row r="256" spans="1:18" x14ac:dyDescent="0.25">
      <c r="A256">
        <f>計算表!A257</f>
        <v>256</v>
      </c>
      <c r="B256">
        <f>計算表!B257</f>
        <v>0</v>
      </c>
      <c r="C256" t="str">
        <f>計算表!C257</f>
        <v>8-寶店刷出階級</v>
      </c>
      <c r="D256" t="str">
        <f>計算表!D257</f>
        <v>商店 Lv.14</v>
      </c>
      <c r="E256" t="str">
        <f>計算表!E257</f>
        <v>寶石階級=機率%（每顆獨立）</v>
      </c>
      <c r="F256" t="str">
        <f>計算表!F257</f>
        <v>格式「階級=機率%」，機率總和 100。</v>
      </c>
      <c r="G256" t="str">
        <f>計算表!G257</f>
        <v>1=53</v>
      </c>
      <c r="H256" t="str">
        <f>計算表!H257</f>
        <v>2=20</v>
      </c>
      <c r="I256" t="str">
        <f>計算表!I257</f>
        <v>3=12</v>
      </c>
      <c r="J256" t="str">
        <f>計算表!J257</f>
        <v>4=9</v>
      </c>
      <c r="K256" t="str">
        <f>計算表!K257</f>
        <v>5=4.5</v>
      </c>
      <c r="L256" t="str">
        <f>計算表!L257</f>
        <v>6=1.5</v>
      </c>
      <c r="M256">
        <f>計算表!M257</f>
        <v>0</v>
      </c>
      <c r="N256">
        <f>計算表!N257</f>
        <v>0</v>
      </c>
      <c r="O256">
        <f>計算表!O257</f>
        <v>0</v>
      </c>
      <c r="P256">
        <f>計算表!P257</f>
        <v>0</v>
      </c>
      <c r="Q256">
        <f>計算表!Q257</f>
        <v>0</v>
      </c>
      <c r="R256">
        <f>計算表!R257</f>
        <v>0</v>
      </c>
    </row>
    <row r="257" spans="1:18" x14ac:dyDescent="0.25">
      <c r="A257">
        <f>計算表!A258</f>
        <v>257</v>
      </c>
      <c r="B257">
        <f>計算表!B258</f>
        <v>0</v>
      </c>
      <c r="C257" t="str">
        <f>計算表!C258</f>
        <v>8-寶店刷出階級</v>
      </c>
      <c r="D257" t="str">
        <f>計算表!D258</f>
        <v>商店 Lv.15</v>
      </c>
      <c r="E257" t="str">
        <f>計算表!E258</f>
        <v>寶石階級=機率%（每顆獨立）</v>
      </c>
      <c r="F257" t="str">
        <f>計算表!F258</f>
        <v>格式「階級=機率%」，機率總和 100。</v>
      </c>
      <c r="G257" t="str">
        <f>計算表!G258</f>
        <v>1=51.5</v>
      </c>
      <c r="H257" t="str">
        <f>計算表!H258</f>
        <v>2=20</v>
      </c>
      <c r="I257" t="str">
        <f>計算表!I258</f>
        <v>3=12</v>
      </c>
      <c r="J257" t="str">
        <f>計算表!J258</f>
        <v>4=10</v>
      </c>
      <c r="K257" t="str">
        <f>計算表!K258</f>
        <v>5=5</v>
      </c>
      <c r="L257" t="str">
        <f>計算表!L258</f>
        <v>6=1</v>
      </c>
      <c r="M257" t="str">
        <f>計算表!M258</f>
        <v>7=0.5</v>
      </c>
      <c r="N257">
        <f>計算表!N258</f>
        <v>0</v>
      </c>
      <c r="O257">
        <f>計算表!O258</f>
        <v>0</v>
      </c>
      <c r="P257">
        <f>計算表!P258</f>
        <v>0</v>
      </c>
      <c r="Q257">
        <f>計算表!Q258</f>
        <v>0</v>
      </c>
      <c r="R257">
        <f>計算表!R258</f>
        <v>0</v>
      </c>
    </row>
    <row r="258" spans="1:18" x14ac:dyDescent="0.25">
      <c r="A258">
        <f>計算表!A259</f>
        <v>258</v>
      </c>
      <c r="B258">
        <f>計算表!B259</f>
        <v>0</v>
      </c>
      <c r="C258" t="str">
        <f>計算表!C259</f>
        <v>8-寶店刷出階級</v>
      </c>
      <c r="D258" t="str">
        <f>計算表!D259</f>
        <v>商店 Lv.16</v>
      </c>
      <c r="E258" t="str">
        <f>計算表!E259</f>
        <v>寶石階級=機率%（每顆獨立）</v>
      </c>
      <c r="F258" t="str">
        <f>計算表!F259</f>
        <v>格式「階級=機率%」，機率總和 100。</v>
      </c>
      <c r="G258" t="str">
        <f>計算表!G259</f>
        <v>1=50.75</v>
      </c>
      <c r="H258" t="str">
        <f>計算表!H259</f>
        <v>2=20</v>
      </c>
      <c r="I258" t="str">
        <f>計算表!I259</f>
        <v>3=12</v>
      </c>
      <c r="J258" t="str">
        <f>計算表!J259</f>
        <v>4=10</v>
      </c>
      <c r="K258" t="str">
        <f>計算表!K259</f>
        <v>5=5</v>
      </c>
      <c r="L258" t="str">
        <f>計算表!L259</f>
        <v>6=1.25</v>
      </c>
      <c r="M258" t="str">
        <f>計算表!M259</f>
        <v>7=1</v>
      </c>
      <c r="N258">
        <f>計算表!N259</f>
        <v>0</v>
      </c>
      <c r="O258">
        <f>計算表!O259</f>
        <v>0</v>
      </c>
      <c r="P258">
        <f>計算表!P259</f>
        <v>0</v>
      </c>
      <c r="Q258">
        <f>計算表!Q259</f>
        <v>0</v>
      </c>
      <c r="R258">
        <f>計算表!R259</f>
        <v>0</v>
      </c>
    </row>
    <row r="259" spans="1:18" x14ac:dyDescent="0.25">
      <c r="A259">
        <f>計算表!A260</f>
        <v>259</v>
      </c>
      <c r="B259">
        <f>計算表!B260</f>
        <v>0</v>
      </c>
      <c r="C259" t="str">
        <f>計算表!C260</f>
        <v>8-寶店刷出階級</v>
      </c>
      <c r="D259" t="str">
        <f>計算表!D260</f>
        <v>商店 Lv.17</v>
      </c>
      <c r="E259" t="str">
        <f>計算表!E260</f>
        <v>寶石階級=機率%（每顆獨立）</v>
      </c>
      <c r="F259" t="str">
        <f>計算表!F260</f>
        <v>格式「階級=機率%」，機率總和 100。</v>
      </c>
      <c r="G259" t="str">
        <f>計算表!G260</f>
        <v>1=50.5</v>
      </c>
      <c r="H259" t="str">
        <f>計算表!H260</f>
        <v>2=20</v>
      </c>
      <c r="I259" t="str">
        <f>計算表!I260</f>
        <v>3=12</v>
      </c>
      <c r="J259" t="str">
        <f>計算表!J260</f>
        <v>4=10</v>
      </c>
      <c r="K259" t="str">
        <f>計算表!K260</f>
        <v>5=5</v>
      </c>
      <c r="L259" t="str">
        <f>計算表!L260</f>
        <v>6=1.25</v>
      </c>
      <c r="M259" t="str">
        <f>計算表!M260</f>
        <v>7=1.25</v>
      </c>
      <c r="N259">
        <f>計算表!N260</f>
        <v>0</v>
      </c>
      <c r="O259">
        <f>計算表!O260</f>
        <v>0</v>
      </c>
      <c r="P259">
        <f>計算表!P260</f>
        <v>0</v>
      </c>
      <c r="Q259">
        <f>計算表!Q260</f>
        <v>0</v>
      </c>
      <c r="R259">
        <f>計算表!R260</f>
        <v>0</v>
      </c>
    </row>
    <row r="260" spans="1:18" x14ac:dyDescent="0.25">
      <c r="A260">
        <f>計算表!A261</f>
        <v>260</v>
      </c>
      <c r="B260">
        <f>計算表!B261</f>
        <v>0</v>
      </c>
      <c r="C260" t="str">
        <f>計算表!C261</f>
        <v>8-寶店刷出階級</v>
      </c>
      <c r="D260" t="str">
        <f>計算表!D261</f>
        <v>商店 Lv.18</v>
      </c>
      <c r="E260" t="str">
        <f>計算表!E261</f>
        <v>寶石階級=機率%（每顆獨立）</v>
      </c>
      <c r="F260" t="str">
        <f>計算表!F261</f>
        <v>格式「階級=機率%」，機率總和 100。</v>
      </c>
      <c r="G260" t="str">
        <f>計算表!G261</f>
        <v>1=50</v>
      </c>
      <c r="H260" t="str">
        <f>計算表!H261</f>
        <v>2=20</v>
      </c>
      <c r="I260" t="str">
        <f>計算表!I261</f>
        <v>3=12</v>
      </c>
      <c r="J260" t="str">
        <f>計算表!J261</f>
        <v>4=10</v>
      </c>
      <c r="K260" t="str">
        <f>計算表!K261</f>
        <v>5=5</v>
      </c>
      <c r="L260" t="str">
        <f>計算表!L261</f>
        <v>6=1.25</v>
      </c>
      <c r="M260" t="str">
        <f>計算表!M261</f>
        <v>7=1.25</v>
      </c>
      <c r="N260" t="str">
        <f>計算表!N261</f>
        <v>8=0.5</v>
      </c>
      <c r="O260">
        <f>計算表!O261</f>
        <v>0</v>
      </c>
      <c r="P260">
        <f>計算表!P261</f>
        <v>0</v>
      </c>
      <c r="Q260">
        <f>計算表!Q261</f>
        <v>0</v>
      </c>
      <c r="R260">
        <f>計算表!R261</f>
        <v>0</v>
      </c>
    </row>
    <row r="261" spans="1:18" x14ac:dyDescent="0.25">
      <c r="A261">
        <f>計算表!A262</f>
        <v>261</v>
      </c>
      <c r="B261">
        <f>計算表!B262</f>
        <v>0</v>
      </c>
      <c r="C261" t="str">
        <f>計算表!C262</f>
        <v>8-寶店刷出階級</v>
      </c>
      <c r="D261" t="str">
        <f>計算表!D262</f>
        <v>商店 Lv.19</v>
      </c>
      <c r="E261" t="str">
        <f>計算表!E262</f>
        <v>寶石階級=機率%（每顆獨立）</v>
      </c>
      <c r="F261" t="str">
        <f>計算表!F262</f>
        <v>格式「階級=機率%」，機率總和 100。</v>
      </c>
      <c r="G261" t="str">
        <f>計算表!G262</f>
        <v>1=49.65</v>
      </c>
      <c r="H261" t="str">
        <f>計算表!H262</f>
        <v>2=20</v>
      </c>
      <c r="I261" t="str">
        <f>計算表!I262</f>
        <v>3=12</v>
      </c>
      <c r="J261" t="str">
        <f>計算表!J262</f>
        <v>4=10</v>
      </c>
      <c r="K261" t="str">
        <f>計算表!K262</f>
        <v>5=5</v>
      </c>
      <c r="L261" t="str">
        <f>計算表!L262</f>
        <v>6=1.25</v>
      </c>
      <c r="M261" t="str">
        <f>計算表!M262</f>
        <v>7=1.25</v>
      </c>
      <c r="N261" t="str">
        <f>計算表!N262</f>
        <v>8=0.75</v>
      </c>
      <c r="O261" t="str">
        <f>計算表!O262</f>
        <v>9=0.1</v>
      </c>
      <c r="P261">
        <f>計算表!P262</f>
        <v>0</v>
      </c>
      <c r="Q261">
        <f>計算表!Q262</f>
        <v>0</v>
      </c>
      <c r="R261">
        <f>計算表!R262</f>
        <v>0</v>
      </c>
    </row>
    <row r="262" spans="1:18" x14ac:dyDescent="0.25">
      <c r="A262">
        <f>計算表!A263</f>
        <v>262</v>
      </c>
      <c r="B262">
        <f>計算表!B263</f>
        <v>0</v>
      </c>
      <c r="C262" t="str">
        <f>計算表!C263</f>
        <v>8-寶店刷出階級</v>
      </c>
      <c r="D262" t="str">
        <f>計算表!D263</f>
        <v>商店 Lv.20</v>
      </c>
      <c r="E262" t="str">
        <f>計算表!E263</f>
        <v>寶石階級=機率%（每顆獨立）</v>
      </c>
      <c r="F262" t="str">
        <f>計算表!F263</f>
        <v>格式「階級=機率%」，機率總和 100。</v>
      </c>
      <c r="G262" t="str">
        <f>計算表!G263</f>
        <v>1=48.9</v>
      </c>
      <c r="H262" t="str">
        <f>計算表!H263</f>
        <v>2=20</v>
      </c>
      <c r="I262" t="str">
        <f>計算表!I263</f>
        <v>3=12</v>
      </c>
      <c r="J262" t="str">
        <f>計算表!J263</f>
        <v>4=10</v>
      </c>
      <c r="K262" t="str">
        <f>計算表!K263</f>
        <v>5=5</v>
      </c>
      <c r="L262" t="str">
        <f>計算表!L263</f>
        <v>6=1.25</v>
      </c>
      <c r="M262" t="str">
        <f>計算表!M263</f>
        <v>7=1.25</v>
      </c>
      <c r="N262" t="str">
        <f>計算表!N263</f>
        <v>8=1</v>
      </c>
      <c r="O262" t="str">
        <f>計算表!O263</f>
        <v>9=0.5</v>
      </c>
      <c r="P262" t="str">
        <f>計算表!P263</f>
        <v>10=0.1</v>
      </c>
      <c r="Q262">
        <f>計算表!Q263</f>
        <v>0</v>
      </c>
      <c r="R262">
        <f>計算表!R263</f>
        <v>0</v>
      </c>
    </row>
    <row r="263" spans="1:18" x14ac:dyDescent="0.25">
      <c r="A263">
        <f>計算表!A264</f>
        <v>263</v>
      </c>
      <c r="B263">
        <f>計算表!B264</f>
        <v>0</v>
      </c>
      <c r="C263" t="str">
        <f>計算表!C264</f>
        <v>8-寶店刷出數量</v>
      </c>
      <c r="D263" t="str">
        <f>計算表!D264</f>
        <v>商店 Lv.1</v>
      </c>
      <c r="E263" t="str">
        <f>計算表!E264</f>
        <v>刷出數量=機率%（每格獨立）</v>
      </c>
      <c r="F263" t="str">
        <f>計算表!F264</f>
        <v>格式「刷出數量=機率%」，機率總和 100。</v>
      </c>
      <c r="G263" t="str">
        <f>計算表!G264</f>
        <v>5=50</v>
      </c>
      <c r="H263" t="str">
        <f>計算表!H264</f>
        <v>6=50</v>
      </c>
      <c r="I263">
        <f>計算表!I264</f>
        <v>0</v>
      </c>
      <c r="J263">
        <f>計算表!J264</f>
        <v>0</v>
      </c>
      <c r="K263">
        <f>計算表!K264</f>
        <v>0</v>
      </c>
      <c r="L263">
        <f>計算表!L264</f>
        <v>0</v>
      </c>
      <c r="M263">
        <f>計算表!M264</f>
        <v>0</v>
      </c>
      <c r="N263">
        <f>計算表!N264</f>
        <v>0</v>
      </c>
      <c r="O263">
        <f>計算表!O264</f>
        <v>0</v>
      </c>
      <c r="P263">
        <f>計算表!P264</f>
        <v>0</v>
      </c>
      <c r="Q263">
        <f>計算表!Q264</f>
        <v>0</v>
      </c>
      <c r="R263">
        <f>計算表!R264</f>
        <v>0</v>
      </c>
    </row>
    <row r="264" spans="1:18" x14ac:dyDescent="0.25">
      <c r="A264">
        <f>計算表!A265</f>
        <v>264</v>
      </c>
      <c r="B264">
        <f>計算表!B265</f>
        <v>0</v>
      </c>
      <c r="C264" t="str">
        <f>計算表!C265</f>
        <v>8-寶店刷出數量</v>
      </c>
      <c r="D264" t="str">
        <f>計算表!D265</f>
        <v>商店 Lv.2</v>
      </c>
      <c r="E264" t="str">
        <f>計算表!E265</f>
        <v>刷出數量=機率%（每格獨立）</v>
      </c>
      <c r="F264" t="str">
        <f>計算表!F265</f>
        <v>格式「刷出數量=機率%」，機率總和 100。</v>
      </c>
      <c r="G264" t="str">
        <f>計算表!G265</f>
        <v>5=50</v>
      </c>
      <c r="H264" t="str">
        <f>計算表!H265</f>
        <v>6=40</v>
      </c>
      <c r="I264" t="str">
        <f>計算表!I265</f>
        <v>7=10</v>
      </c>
      <c r="J264">
        <f>計算表!J265</f>
        <v>0</v>
      </c>
      <c r="K264">
        <f>計算表!K265</f>
        <v>0</v>
      </c>
      <c r="L264">
        <f>計算表!L265</f>
        <v>0</v>
      </c>
      <c r="M264">
        <f>計算表!M265</f>
        <v>0</v>
      </c>
      <c r="N264">
        <f>計算表!N265</f>
        <v>0</v>
      </c>
      <c r="O264">
        <f>計算表!O265</f>
        <v>0</v>
      </c>
      <c r="P264">
        <f>計算表!P265</f>
        <v>0</v>
      </c>
      <c r="Q264">
        <f>計算表!Q265</f>
        <v>0</v>
      </c>
      <c r="R264">
        <f>計算表!R265</f>
        <v>0</v>
      </c>
    </row>
    <row r="265" spans="1:18" x14ac:dyDescent="0.25">
      <c r="A265">
        <f>計算表!A266</f>
        <v>265</v>
      </c>
      <c r="B265">
        <f>計算表!B266</f>
        <v>0</v>
      </c>
      <c r="C265" t="str">
        <f>計算表!C266</f>
        <v>8-寶店刷出數量</v>
      </c>
      <c r="D265" t="str">
        <f>計算表!D266</f>
        <v>商店 Lv.3</v>
      </c>
      <c r="E265" t="str">
        <f>計算表!E266</f>
        <v>刷出數量=機率%（每格獨立）</v>
      </c>
      <c r="F265" t="str">
        <f>計算表!F266</f>
        <v>格式「刷出數量=機率%」，機率總和 100。</v>
      </c>
      <c r="G265" t="str">
        <f>計算表!G266</f>
        <v>5=50</v>
      </c>
      <c r="H265" t="str">
        <f>計算表!H266</f>
        <v>6=30</v>
      </c>
      <c r="I265" t="str">
        <f>計算表!I266</f>
        <v>7=10</v>
      </c>
      <c r="J265" t="str">
        <f>計算表!J266</f>
        <v>8=10</v>
      </c>
      <c r="K265">
        <f>計算表!K266</f>
        <v>0</v>
      </c>
      <c r="L265">
        <f>計算表!L266</f>
        <v>0</v>
      </c>
      <c r="M265">
        <f>計算表!M266</f>
        <v>0</v>
      </c>
      <c r="N265">
        <f>計算表!N266</f>
        <v>0</v>
      </c>
      <c r="O265">
        <f>計算表!O266</f>
        <v>0</v>
      </c>
      <c r="P265">
        <f>計算表!P266</f>
        <v>0</v>
      </c>
      <c r="Q265">
        <f>計算表!Q266</f>
        <v>0</v>
      </c>
      <c r="R265">
        <f>計算表!R266</f>
        <v>0</v>
      </c>
    </row>
    <row r="266" spans="1:18" x14ac:dyDescent="0.25">
      <c r="A266">
        <f>計算表!A267</f>
        <v>266</v>
      </c>
      <c r="B266">
        <f>計算表!B267</f>
        <v>0</v>
      </c>
      <c r="C266" t="str">
        <f>計算表!C267</f>
        <v>8-寶店刷出數量</v>
      </c>
      <c r="D266" t="str">
        <f>計算表!D267</f>
        <v>商店 Lv.4</v>
      </c>
      <c r="E266" t="str">
        <f>計算表!E267</f>
        <v>刷出數量=機率%（每格獨立）</v>
      </c>
      <c r="F266" t="str">
        <f>計算表!F267</f>
        <v>格式「刷出數量=機率%」，機率總和 100。</v>
      </c>
      <c r="G266" t="str">
        <f>計算表!G267</f>
        <v>5=45</v>
      </c>
      <c r="H266" t="str">
        <f>計算表!H267</f>
        <v>6=30</v>
      </c>
      <c r="I266" t="str">
        <f>計算表!I267</f>
        <v>7=15</v>
      </c>
      <c r="J266" t="str">
        <f>計算表!J267</f>
        <v>8=10</v>
      </c>
      <c r="K266">
        <f>計算表!K267</f>
        <v>0</v>
      </c>
      <c r="L266">
        <f>計算表!L267</f>
        <v>0</v>
      </c>
      <c r="M266">
        <f>計算表!M267</f>
        <v>0</v>
      </c>
      <c r="N266">
        <f>計算表!N267</f>
        <v>0</v>
      </c>
      <c r="O266">
        <f>計算表!O267</f>
        <v>0</v>
      </c>
      <c r="P266">
        <f>計算表!P267</f>
        <v>0</v>
      </c>
      <c r="Q266">
        <f>計算表!Q267</f>
        <v>0</v>
      </c>
      <c r="R266">
        <f>計算表!R267</f>
        <v>0</v>
      </c>
    </row>
    <row r="267" spans="1:18" x14ac:dyDescent="0.25">
      <c r="A267">
        <f>計算表!A268</f>
        <v>267</v>
      </c>
      <c r="B267">
        <f>計算表!B268</f>
        <v>0</v>
      </c>
      <c r="C267" t="str">
        <f>計算表!C268</f>
        <v>8-寶店刷出數量</v>
      </c>
      <c r="D267" t="str">
        <f>計算表!D268</f>
        <v>商店 Lv.5</v>
      </c>
      <c r="E267" t="str">
        <f>計算表!E268</f>
        <v>刷出數量=機率%（每格獨立）</v>
      </c>
      <c r="F267" t="str">
        <f>計算表!F268</f>
        <v>格式「刷出數量=機率%」，機率總和 100。</v>
      </c>
      <c r="G267" t="str">
        <f>計算表!G268</f>
        <v>5=40</v>
      </c>
      <c r="H267" t="str">
        <f>計算表!H268</f>
        <v>6=30</v>
      </c>
      <c r="I267" t="str">
        <f>計算表!I268</f>
        <v>7=15</v>
      </c>
      <c r="J267" t="str">
        <f>計算表!J268</f>
        <v>8=15</v>
      </c>
      <c r="K267">
        <f>計算表!K268</f>
        <v>0</v>
      </c>
      <c r="L267">
        <f>計算表!L268</f>
        <v>0</v>
      </c>
      <c r="M267">
        <f>計算表!M268</f>
        <v>0</v>
      </c>
      <c r="N267">
        <f>計算表!N268</f>
        <v>0</v>
      </c>
      <c r="O267">
        <f>計算表!O268</f>
        <v>0</v>
      </c>
      <c r="P267">
        <f>計算表!P268</f>
        <v>0</v>
      </c>
      <c r="Q267">
        <f>計算表!Q268</f>
        <v>0</v>
      </c>
      <c r="R267">
        <f>計算表!R268</f>
        <v>0</v>
      </c>
    </row>
    <row r="268" spans="1:18" x14ac:dyDescent="0.25">
      <c r="A268">
        <f>計算表!A269</f>
        <v>268</v>
      </c>
      <c r="B268">
        <f>計算表!B269</f>
        <v>0</v>
      </c>
      <c r="C268" t="str">
        <f>計算表!C269</f>
        <v>8-寶店刷出數量</v>
      </c>
      <c r="D268" t="str">
        <f>計算表!D269</f>
        <v>商店 Lv.6</v>
      </c>
      <c r="E268" t="str">
        <f>計算表!E269</f>
        <v>刷出數量=機率%（每格獨立）</v>
      </c>
      <c r="F268" t="str">
        <f>計算表!F269</f>
        <v>格式「刷出數量=機率%」，機率總和 100。</v>
      </c>
      <c r="G268" t="str">
        <f>計算表!G269</f>
        <v>5=35</v>
      </c>
      <c r="H268" t="str">
        <f>計算表!H269</f>
        <v>6=30</v>
      </c>
      <c r="I268" t="str">
        <f>計算表!I269</f>
        <v>7=15</v>
      </c>
      <c r="J268" t="str">
        <f>計算表!J269</f>
        <v>8=15</v>
      </c>
      <c r="K268" t="str">
        <f>計算表!K269</f>
        <v>9=5</v>
      </c>
      <c r="L268">
        <f>計算表!L269</f>
        <v>0</v>
      </c>
      <c r="M268">
        <f>計算表!M269</f>
        <v>0</v>
      </c>
      <c r="N268">
        <f>計算表!N269</f>
        <v>0</v>
      </c>
      <c r="O268">
        <f>計算表!O269</f>
        <v>0</v>
      </c>
      <c r="P268">
        <f>計算表!P269</f>
        <v>0</v>
      </c>
      <c r="Q268">
        <f>計算表!Q269</f>
        <v>0</v>
      </c>
      <c r="R268">
        <f>計算表!R269</f>
        <v>0</v>
      </c>
    </row>
    <row r="269" spans="1:18" x14ac:dyDescent="0.25">
      <c r="A269">
        <f>計算表!A270</f>
        <v>269</v>
      </c>
      <c r="B269">
        <f>計算表!B270</f>
        <v>0</v>
      </c>
      <c r="C269" t="str">
        <f>計算表!C270</f>
        <v>8-寶店刷出數量</v>
      </c>
      <c r="D269" t="str">
        <f>計算表!D270</f>
        <v>商店 Lv.7</v>
      </c>
      <c r="E269" t="str">
        <f>計算表!E270</f>
        <v>刷出數量=機率%（每格獨立）</v>
      </c>
      <c r="F269" t="str">
        <f>計算表!F270</f>
        <v>格式「刷出數量=機率%」，機率總和 100。</v>
      </c>
      <c r="G269" t="str">
        <f>計算表!G270</f>
        <v>6=35</v>
      </c>
      <c r="H269" t="str">
        <f>計算表!H270</f>
        <v>7=30</v>
      </c>
      <c r="I269" t="str">
        <f>計算表!I270</f>
        <v>8=15</v>
      </c>
      <c r="J269" t="str">
        <f>計算表!J270</f>
        <v>9=15</v>
      </c>
      <c r="K269" t="str">
        <f>計算表!K270</f>
        <v>10=5</v>
      </c>
      <c r="L269">
        <f>計算表!L270</f>
        <v>0</v>
      </c>
      <c r="M269">
        <f>計算表!M270</f>
        <v>0</v>
      </c>
      <c r="N269">
        <f>計算表!N270</f>
        <v>0</v>
      </c>
      <c r="O269">
        <f>計算表!O270</f>
        <v>0</v>
      </c>
      <c r="P269">
        <f>計算表!P270</f>
        <v>0</v>
      </c>
      <c r="Q269">
        <f>計算表!Q270</f>
        <v>0</v>
      </c>
      <c r="R269">
        <f>計算表!R270</f>
        <v>0</v>
      </c>
    </row>
    <row r="270" spans="1:18" x14ac:dyDescent="0.25">
      <c r="A270">
        <f>計算表!A271</f>
        <v>270</v>
      </c>
      <c r="B270">
        <f>計算表!B271</f>
        <v>0</v>
      </c>
      <c r="C270" t="str">
        <f>計算表!C271</f>
        <v>8-寶店刷出數量</v>
      </c>
      <c r="D270" t="str">
        <f>計算表!D271</f>
        <v>商店 Lv.8</v>
      </c>
      <c r="E270" t="str">
        <f>計算表!E271</f>
        <v>刷出數量=機率%（每格獨立）</v>
      </c>
      <c r="F270" t="str">
        <f>計算表!F271</f>
        <v>格式「刷出數量=機率%」，機率總和 100。</v>
      </c>
      <c r="G270" t="str">
        <f>計算表!G271</f>
        <v>6=30</v>
      </c>
      <c r="H270" t="str">
        <f>計算表!H271</f>
        <v>7=30</v>
      </c>
      <c r="I270" t="str">
        <f>計算表!I271</f>
        <v>8=15</v>
      </c>
      <c r="J270" t="str">
        <f>計算表!J271</f>
        <v>9=15</v>
      </c>
      <c r="K270" t="str">
        <f>計算表!K271</f>
        <v>10=10</v>
      </c>
      <c r="L270">
        <f>計算表!L271</f>
        <v>0</v>
      </c>
      <c r="M270">
        <f>計算表!M271</f>
        <v>0</v>
      </c>
      <c r="N270">
        <f>計算表!N271</f>
        <v>0</v>
      </c>
      <c r="O270">
        <f>計算表!O271</f>
        <v>0</v>
      </c>
      <c r="P270">
        <f>計算表!P271</f>
        <v>0</v>
      </c>
      <c r="Q270">
        <f>計算表!Q271</f>
        <v>0</v>
      </c>
      <c r="R270">
        <f>計算表!R271</f>
        <v>0</v>
      </c>
    </row>
    <row r="271" spans="1:18" x14ac:dyDescent="0.25">
      <c r="A271">
        <f>計算表!A272</f>
        <v>271</v>
      </c>
      <c r="B271">
        <f>計算表!B272</f>
        <v>0</v>
      </c>
      <c r="C271" t="str">
        <f>計算表!C272</f>
        <v>8-寶店刷出數量</v>
      </c>
      <c r="D271" t="str">
        <f>計算表!D272</f>
        <v>商店 Lv.9</v>
      </c>
      <c r="E271" t="str">
        <f>計算表!E272</f>
        <v>刷出數量=機率%（每格獨立）</v>
      </c>
      <c r="F271" t="str">
        <f>計算表!F272</f>
        <v>格式「刷出數量=機率%」，機率總和 100。</v>
      </c>
      <c r="G271" t="str">
        <f>計算表!G272</f>
        <v>7=30</v>
      </c>
      <c r="H271" t="str">
        <f>計算表!H272</f>
        <v>8=30</v>
      </c>
      <c r="I271" t="str">
        <f>計算表!I272</f>
        <v>9=15</v>
      </c>
      <c r="J271" t="str">
        <f>計算表!J272</f>
        <v>10=15</v>
      </c>
      <c r="K271" t="str">
        <f>計算表!K272</f>
        <v>11=10</v>
      </c>
      <c r="L271">
        <f>計算表!L272</f>
        <v>0</v>
      </c>
      <c r="M271">
        <f>計算表!M272</f>
        <v>0</v>
      </c>
      <c r="N271">
        <f>計算表!N272</f>
        <v>0</v>
      </c>
      <c r="O271">
        <f>計算表!O272</f>
        <v>0</v>
      </c>
      <c r="P271">
        <f>計算表!P272</f>
        <v>0</v>
      </c>
      <c r="Q271">
        <f>計算表!Q272</f>
        <v>0</v>
      </c>
      <c r="R271">
        <f>計算表!R272</f>
        <v>0</v>
      </c>
    </row>
    <row r="272" spans="1:18" x14ac:dyDescent="0.25">
      <c r="A272">
        <f>計算表!A273</f>
        <v>272</v>
      </c>
      <c r="B272">
        <f>計算表!B273</f>
        <v>0</v>
      </c>
      <c r="C272" t="str">
        <f>計算表!C273</f>
        <v>8-寶店刷出數量</v>
      </c>
      <c r="D272" t="str">
        <f>計算表!D273</f>
        <v>商店 Lv.10</v>
      </c>
      <c r="E272" t="str">
        <f>計算表!E273</f>
        <v>刷出數量=機率%（每格獨立）</v>
      </c>
      <c r="F272" t="str">
        <f>計算表!F273</f>
        <v>格式「刷出數量=機率%」，機率總和 100。</v>
      </c>
      <c r="G272" t="str">
        <f>計算表!G273</f>
        <v>8=30</v>
      </c>
      <c r="H272" t="str">
        <f>計算表!H273</f>
        <v>9=30</v>
      </c>
      <c r="I272" t="str">
        <f>計算表!I273</f>
        <v>10=15</v>
      </c>
      <c r="J272" t="str">
        <f>計算表!J273</f>
        <v>11=15</v>
      </c>
      <c r="K272" t="str">
        <f>計算表!K273</f>
        <v>12=10</v>
      </c>
      <c r="L272">
        <f>計算表!L273</f>
        <v>0</v>
      </c>
      <c r="M272">
        <f>計算表!M273</f>
        <v>0</v>
      </c>
      <c r="N272">
        <f>計算表!N273</f>
        <v>0</v>
      </c>
      <c r="O272">
        <f>計算表!O273</f>
        <v>0</v>
      </c>
      <c r="P272">
        <f>計算表!P273</f>
        <v>0</v>
      </c>
      <c r="Q272">
        <f>計算表!Q273</f>
        <v>0</v>
      </c>
      <c r="R272">
        <f>計算表!R273</f>
        <v>0</v>
      </c>
    </row>
    <row r="273" spans="1:18" x14ac:dyDescent="0.25">
      <c r="A273">
        <f>計算表!A274</f>
        <v>273</v>
      </c>
      <c r="B273">
        <f>計算表!B274</f>
        <v>0</v>
      </c>
      <c r="C273" t="str">
        <f>計算表!C274</f>
        <v>8-寶店刷出數量</v>
      </c>
      <c r="D273" t="str">
        <f>計算表!D274</f>
        <v>商店 Lv.11</v>
      </c>
      <c r="E273" t="str">
        <f>計算表!E274</f>
        <v>刷出數量=機率%（每格獨立）</v>
      </c>
      <c r="F273" t="str">
        <f>計算表!F274</f>
        <v>格式「刷出數量=機率%」，機率總和 100。</v>
      </c>
      <c r="G273" t="str">
        <f>計算表!G274</f>
        <v>9=30</v>
      </c>
      <c r="H273" t="str">
        <f>計算表!H274</f>
        <v>10=30</v>
      </c>
      <c r="I273" t="str">
        <f>計算表!I274</f>
        <v>11=15</v>
      </c>
      <c r="J273" t="str">
        <f>計算表!J274</f>
        <v>12=15</v>
      </c>
      <c r="K273" t="str">
        <f>計算表!K274</f>
        <v>13=10</v>
      </c>
      <c r="L273">
        <f>計算表!L274</f>
        <v>0</v>
      </c>
      <c r="M273">
        <f>計算表!M274</f>
        <v>0</v>
      </c>
      <c r="N273">
        <f>計算表!N274</f>
        <v>0</v>
      </c>
      <c r="O273">
        <f>計算表!O274</f>
        <v>0</v>
      </c>
      <c r="P273">
        <f>計算表!P274</f>
        <v>0</v>
      </c>
      <c r="Q273">
        <f>計算表!Q274</f>
        <v>0</v>
      </c>
      <c r="R273">
        <f>計算表!R274</f>
        <v>0</v>
      </c>
    </row>
    <row r="274" spans="1:18" x14ac:dyDescent="0.25">
      <c r="A274">
        <f>計算表!A275</f>
        <v>274</v>
      </c>
      <c r="B274">
        <f>計算表!B275</f>
        <v>0</v>
      </c>
      <c r="C274" t="str">
        <f>計算表!C275</f>
        <v>8-寶店刷出數量</v>
      </c>
      <c r="D274" t="str">
        <f>計算表!D275</f>
        <v>商店 Lv.12</v>
      </c>
      <c r="E274" t="str">
        <f>計算表!E275</f>
        <v>刷出數量=機率%（每格獨立）</v>
      </c>
      <c r="F274" t="str">
        <f>計算表!F275</f>
        <v>格式「刷出數量=機率%」，機率總和 100。</v>
      </c>
      <c r="G274" t="str">
        <f>計算表!G275</f>
        <v>10=30</v>
      </c>
      <c r="H274" t="str">
        <f>計算表!H275</f>
        <v>11=30</v>
      </c>
      <c r="I274" t="str">
        <f>計算表!I275</f>
        <v>12=15</v>
      </c>
      <c r="J274" t="str">
        <f>計算表!J275</f>
        <v>13=15</v>
      </c>
      <c r="K274" t="str">
        <f>計算表!K275</f>
        <v>14=10</v>
      </c>
      <c r="L274">
        <f>計算表!L275</f>
        <v>0</v>
      </c>
      <c r="M274">
        <f>計算表!M275</f>
        <v>0</v>
      </c>
      <c r="N274">
        <f>計算表!N275</f>
        <v>0</v>
      </c>
      <c r="O274">
        <f>計算表!O275</f>
        <v>0</v>
      </c>
      <c r="P274">
        <f>計算表!P275</f>
        <v>0</v>
      </c>
      <c r="Q274">
        <f>計算表!Q275</f>
        <v>0</v>
      </c>
      <c r="R274">
        <f>計算表!R275</f>
        <v>0</v>
      </c>
    </row>
    <row r="275" spans="1:18" x14ac:dyDescent="0.25">
      <c r="A275">
        <f>計算表!A276</f>
        <v>275</v>
      </c>
      <c r="B275">
        <f>計算表!B276</f>
        <v>0</v>
      </c>
      <c r="C275" t="str">
        <f>計算表!C276</f>
        <v>8-寶店刷出數量</v>
      </c>
      <c r="D275" t="str">
        <f>計算表!D276</f>
        <v>商店 Lv.13</v>
      </c>
      <c r="E275" t="str">
        <f>計算表!E276</f>
        <v>刷出數量=機率%（每格獨立）</v>
      </c>
      <c r="F275" t="str">
        <f>計算表!F276</f>
        <v>格式「刷出數量=機率%」，機率總和 100。</v>
      </c>
      <c r="G275" t="str">
        <f>計算表!G276</f>
        <v>11=30</v>
      </c>
      <c r="H275" t="str">
        <f>計算表!H276</f>
        <v>12=30</v>
      </c>
      <c r="I275" t="str">
        <f>計算表!I276</f>
        <v>13=15</v>
      </c>
      <c r="J275" t="str">
        <f>計算表!J276</f>
        <v>14=15</v>
      </c>
      <c r="K275" t="str">
        <f>計算表!K276</f>
        <v>15=10</v>
      </c>
      <c r="L275">
        <f>計算表!L276</f>
        <v>0</v>
      </c>
      <c r="M275">
        <f>計算表!M276</f>
        <v>0</v>
      </c>
      <c r="N275">
        <f>計算表!N276</f>
        <v>0</v>
      </c>
      <c r="O275">
        <f>計算表!O276</f>
        <v>0</v>
      </c>
      <c r="P275">
        <f>計算表!P276</f>
        <v>0</v>
      </c>
      <c r="Q275">
        <f>計算表!Q276</f>
        <v>0</v>
      </c>
      <c r="R275">
        <f>計算表!R276</f>
        <v>0</v>
      </c>
    </row>
    <row r="276" spans="1:18" x14ac:dyDescent="0.25">
      <c r="A276">
        <f>計算表!A277</f>
        <v>276</v>
      </c>
      <c r="B276">
        <f>計算表!B277</f>
        <v>0</v>
      </c>
      <c r="C276" t="str">
        <f>計算表!C277</f>
        <v>8-寶店刷出數量</v>
      </c>
      <c r="D276" t="str">
        <f>計算表!D277</f>
        <v>商店 Lv.14</v>
      </c>
      <c r="E276" t="str">
        <f>計算表!E277</f>
        <v>刷出數量=機率%（每格獨立）</v>
      </c>
      <c r="F276" t="str">
        <f>計算表!F277</f>
        <v>格式「刷出數量=機率%」，機率總和 100。</v>
      </c>
      <c r="G276" t="str">
        <f>計算表!G277</f>
        <v>12=30</v>
      </c>
      <c r="H276" t="str">
        <f>計算表!H277</f>
        <v>13=30</v>
      </c>
      <c r="I276" t="str">
        <f>計算表!I277</f>
        <v>14=15</v>
      </c>
      <c r="J276" t="str">
        <f>計算表!J277</f>
        <v>15=15</v>
      </c>
      <c r="K276" t="str">
        <f>計算表!K277</f>
        <v>16=10</v>
      </c>
      <c r="L276">
        <f>計算表!L277</f>
        <v>0</v>
      </c>
      <c r="M276">
        <f>計算表!M277</f>
        <v>0</v>
      </c>
      <c r="N276">
        <f>計算表!N277</f>
        <v>0</v>
      </c>
      <c r="O276">
        <f>計算表!O277</f>
        <v>0</v>
      </c>
      <c r="P276">
        <f>計算表!P277</f>
        <v>0</v>
      </c>
      <c r="Q276">
        <f>計算表!Q277</f>
        <v>0</v>
      </c>
      <c r="R276">
        <f>計算表!R277</f>
        <v>0</v>
      </c>
    </row>
    <row r="277" spans="1:18" x14ac:dyDescent="0.25">
      <c r="A277">
        <f>計算表!A278</f>
        <v>277</v>
      </c>
      <c r="B277">
        <f>計算表!B278</f>
        <v>0</v>
      </c>
      <c r="C277" t="str">
        <f>計算表!C278</f>
        <v>8-寶店刷出數量</v>
      </c>
      <c r="D277" t="str">
        <f>計算表!D278</f>
        <v>商店 Lv.15</v>
      </c>
      <c r="E277" t="str">
        <f>計算表!E278</f>
        <v>刷出數量=機率%（每格獨立）</v>
      </c>
      <c r="F277" t="str">
        <f>計算表!F278</f>
        <v>格式「刷出數量=機率%」，機率總和 100。</v>
      </c>
      <c r="G277" t="str">
        <f>計算表!G278</f>
        <v>13=30</v>
      </c>
      <c r="H277" t="str">
        <f>計算表!H278</f>
        <v>14=30</v>
      </c>
      <c r="I277" t="str">
        <f>計算表!I278</f>
        <v>15=15</v>
      </c>
      <c r="J277" t="str">
        <f>計算表!J278</f>
        <v>16=15</v>
      </c>
      <c r="K277" t="str">
        <f>計算表!K278</f>
        <v>17=10</v>
      </c>
      <c r="L277">
        <f>計算表!L278</f>
        <v>0</v>
      </c>
      <c r="M277">
        <f>計算表!M278</f>
        <v>0</v>
      </c>
      <c r="N277">
        <f>計算表!N278</f>
        <v>0</v>
      </c>
      <c r="O277">
        <f>計算表!O278</f>
        <v>0</v>
      </c>
      <c r="P277">
        <f>計算表!P278</f>
        <v>0</v>
      </c>
      <c r="Q277">
        <f>計算表!Q278</f>
        <v>0</v>
      </c>
      <c r="R277">
        <f>計算表!R278</f>
        <v>0</v>
      </c>
    </row>
    <row r="278" spans="1:18" x14ac:dyDescent="0.25">
      <c r="A278">
        <f>計算表!A279</f>
        <v>278</v>
      </c>
      <c r="B278">
        <f>計算表!B279</f>
        <v>0</v>
      </c>
      <c r="C278" t="str">
        <f>計算表!C279</f>
        <v>8-寶店刷出數量</v>
      </c>
      <c r="D278" t="str">
        <f>計算表!D279</f>
        <v>商店 Lv.16</v>
      </c>
      <c r="E278" t="str">
        <f>計算表!E279</f>
        <v>刷出數量=機率%（每格獨立）</v>
      </c>
      <c r="F278" t="str">
        <f>計算表!F279</f>
        <v>格式「刷出數量=機率%」，機率總和 100。</v>
      </c>
      <c r="G278" t="str">
        <f>計算表!G279</f>
        <v>14=30</v>
      </c>
      <c r="H278" t="str">
        <f>計算表!H279</f>
        <v>15=30</v>
      </c>
      <c r="I278" t="str">
        <f>計算表!I279</f>
        <v>16=15</v>
      </c>
      <c r="J278" t="str">
        <f>計算表!J279</f>
        <v>17=15</v>
      </c>
      <c r="K278" t="str">
        <f>計算表!K279</f>
        <v>18=10</v>
      </c>
      <c r="L278">
        <f>計算表!L279</f>
        <v>0</v>
      </c>
      <c r="M278">
        <f>計算表!M279</f>
        <v>0</v>
      </c>
      <c r="N278">
        <f>計算表!N279</f>
        <v>0</v>
      </c>
      <c r="O278">
        <f>計算表!O279</f>
        <v>0</v>
      </c>
      <c r="P278">
        <f>計算表!P279</f>
        <v>0</v>
      </c>
      <c r="Q278">
        <f>計算表!Q279</f>
        <v>0</v>
      </c>
      <c r="R278">
        <f>計算表!R279</f>
        <v>0</v>
      </c>
    </row>
    <row r="279" spans="1:18" x14ac:dyDescent="0.25">
      <c r="A279">
        <f>計算表!A280</f>
        <v>279</v>
      </c>
      <c r="B279">
        <f>計算表!B280</f>
        <v>0</v>
      </c>
      <c r="C279" t="str">
        <f>計算表!C280</f>
        <v>8-寶店刷出數量</v>
      </c>
      <c r="D279" t="str">
        <f>計算表!D280</f>
        <v>商店 Lv.17</v>
      </c>
      <c r="E279" t="str">
        <f>計算表!E280</f>
        <v>刷出數量=機率%（每格獨立）</v>
      </c>
      <c r="F279" t="str">
        <f>計算表!F280</f>
        <v>格式「刷出數量=機率%」，機率總和 100。</v>
      </c>
      <c r="G279" t="str">
        <f>計算表!G280</f>
        <v>15=30</v>
      </c>
      <c r="H279" t="str">
        <f>計算表!H280</f>
        <v>16=30</v>
      </c>
      <c r="I279" t="str">
        <f>計算表!I280</f>
        <v>17=15</v>
      </c>
      <c r="J279" t="str">
        <f>計算表!J280</f>
        <v>18=15</v>
      </c>
      <c r="K279" t="str">
        <f>計算表!K280</f>
        <v>19=10</v>
      </c>
      <c r="L279">
        <f>計算表!L280</f>
        <v>0</v>
      </c>
      <c r="M279">
        <f>計算表!M280</f>
        <v>0</v>
      </c>
      <c r="N279">
        <f>計算表!N280</f>
        <v>0</v>
      </c>
      <c r="O279">
        <f>計算表!O280</f>
        <v>0</v>
      </c>
      <c r="P279">
        <f>計算表!P280</f>
        <v>0</v>
      </c>
      <c r="Q279">
        <f>計算表!Q280</f>
        <v>0</v>
      </c>
      <c r="R279">
        <f>計算表!R280</f>
        <v>0</v>
      </c>
    </row>
    <row r="280" spans="1:18" x14ac:dyDescent="0.25">
      <c r="A280">
        <f>計算表!A281</f>
        <v>280</v>
      </c>
      <c r="B280">
        <f>計算表!B281</f>
        <v>0</v>
      </c>
      <c r="C280" t="str">
        <f>計算表!C281</f>
        <v>8-寶店刷出數量</v>
      </c>
      <c r="D280" t="str">
        <f>計算表!D281</f>
        <v>商店 Lv.18</v>
      </c>
      <c r="E280" t="str">
        <f>計算表!E281</f>
        <v>刷出數量=機率%（每格獨立）</v>
      </c>
      <c r="F280" t="str">
        <f>計算表!F281</f>
        <v>格式「刷出數量=機率%」，機率總和 100。</v>
      </c>
      <c r="G280" t="str">
        <f>計算表!G281</f>
        <v>15=10</v>
      </c>
      <c r="H280" t="str">
        <f>計算表!H281</f>
        <v>16=20</v>
      </c>
      <c r="I280" t="str">
        <f>計算表!I281</f>
        <v>17=30</v>
      </c>
      <c r="J280" t="str">
        <f>計算表!J281</f>
        <v>18=15</v>
      </c>
      <c r="K280" t="str">
        <f>計算表!K281</f>
        <v>19=15</v>
      </c>
      <c r="L280" t="str">
        <f>計算表!L281</f>
        <v>20=10</v>
      </c>
      <c r="M280">
        <f>計算表!M281</f>
        <v>0</v>
      </c>
      <c r="N280">
        <f>計算表!N281</f>
        <v>0</v>
      </c>
      <c r="O280">
        <f>計算表!O281</f>
        <v>0</v>
      </c>
      <c r="P280">
        <f>計算表!P281</f>
        <v>0</v>
      </c>
      <c r="Q280">
        <f>計算表!Q281</f>
        <v>0</v>
      </c>
      <c r="R280">
        <f>計算表!R281</f>
        <v>0</v>
      </c>
    </row>
    <row r="281" spans="1:18" x14ac:dyDescent="0.25">
      <c r="A281">
        <f>計算表!A282</f>
        <v>281</v>
      </c>
      <c r="B281">
        <f>計算表!B282</f>
        <v>0</v>
      </c>
      <c r="C281" t="str">
        <f>計算表!C282</f>
        <v>8-寶店刷出數量</v>
      </c>
      <c r="D281" t="str">
        <f>計算表!D282</f>
        <v>商店 Lv.19</v>
      </c>
      <c r="E281" t="str">
        <f>計算表!E282</f>
        <v>刷出數量=機率%（每格獨立）</v>
      </c>
      <c r="F281" t="str">
        <f>計算表!F282</f>
        <v>格式「刷出數量=機率%」，機率總和 100。</v>
      </c>
      <c r="G281" t="str">
        <f>計算表!G282</f>
        <v>15=10</v>
      </c>
      <c r="H281" t="str">
        <f>計算表!H282</f>
        <v>16=20</v>
      </c>
      <c r="I281" t="str">
        <f>計算表!I282</f>
        <v>17=30</v>
      </c>
      <c r="J281" t="str">
        <f>計算表!J282</f>
        <v>18=15</v>
      </c>
      <c r="K281" t="str">
        <f>計算表!K282</f>
        <v>19=15</v>
      </c>
      <c r="L281" t="str">
        <f>計算表!L282</f>
        <v>20=10</v>
      </c>
      <c r="M281">
        <f>計算表!M282</f>
        <v>0</v>
      </c>
      <c r="N281">
        <f>計算表!N282</f>
        <v>0</v>
      </c>
      <c r="O281">
        <f>計算表!O282</f>
        <v>0</v>
      </c>
      <c r="P281">
        <f>計算表!P282</f>
        <v>0</v>
      </c>
      <c r="Q281">
        <f>計算表!Q282</f>
        <v>0</v>
      </c>
      <c r="R281">
        <f>計算表!R282</f>
        <v>0</v>
      </c>
    </row>
    <row r="282" spans="1:18" x14ac:dyDescent="0.25">
      <c r="A282">
        <f>計算表!A283</f>
        <v>282</v>
      </c>
      <c r="B282">
        <f>計算表!B283</f>
        <v>0</v>
      </c>
      <c r="C282" t="str">
        <f>計算表!C283</f>
        <v>8-寶店刷出數量</v>
      </c>
      <c r="D282" t="str">
        <f>計算表!D283</f>
        <v>商店 Lv.20</v>
      </c>
      <c r="E282" t="str">
        <f>計算表!E283</f>
        <v>刷出數量=機率%（每格獨立）</v>
      </c>
      <c r="F282" t="str">
        <f>計算表!F283</f>
        <v>格式「刷出數量=機率%」，機率總和 100。</v>
      </c>
      <c r="G282" t="str">
        <f>計算表!G283</f>
        <v>15=10</v>
      </c>
      <c r="H282" t="str">
        <f>計算表!H283</f>
        <v>16=20</v>
      </c>
      <c r="I282" t="str">
        <f>計算表!I283</f>
        <v>17=30</v>
      </c>
      <c r="J282" t="str">
        <f>計算表!J283</f>
        <v>18=15</v>
      </c>
      <c r="K282" t="str">
        <f>計算表!K283</f>
        <v>19=15</v>
      </c>
      <c r="L282" t="str">
        <f>計算表!L283</f>
        <v>20=10</v>
      </c>
      <c r="M282">
        <f>計算表!M283</f>
        <v>0</v>
      </c>
      <c r="N282">
        <f>計算表!N283</f>
        <v>0</v>
      </c>
      <c r="O282">
        <f>計算表!O283</f>
        <v>0</v>
      </c>
      <c r="P282">
        <f>計算表!P283</f>
        <v>0</v>
      </c>
      <c r="Q282">
        <f>計算表!Q283</f>
        <v>0</v>
      </c>
      <c r="R282">
        <f>計算表!R283</f>
        <v>0</v>
      </c>
    </row>
    <row r="283" spans="1:18" x14ac:dyDescent="0.25">
      <c r="A283">
        <f>計算表!A287</f>
        <v>286</v>
      </c>
      <c r="B283">
        <f>計算表!B287</f>
        <v>0</v>
      </c>
      <c r="C283" t="str">
        <f>計算表!C287</f>
        <v>9-技能</v>
      </c>
      <c r="D283" t="str">
        <f>計算表!D287</f>
        <v>實際冷卻</v>
      </c>
      <c r="E283" t="str">
        <f>計算表!E287</f>
        <v>技能冷卻 × (1 - 冷卻縮減%)</v>
      </c>
      <c r="F283" t="str">
        <f>計算表!F287</f>
        <v>規則寫死：技能CD×(1-冷卻縮減%)。</v>
      </c>
      <c r="G283">
        <f>計算表!G287</f>
        <v>0</v>
      </c>
      <c r="H283">
        <f>計算表!H287</f>
        <v>0</v>
      </c>
      <c r="I283">
        <f>計算表!I287</f>
        <v>0</v>
      </c>
      <c r="J283">
        <f>計算表!J287</f>
        <v>0</v>
      </c>
      <c r="K283">
        <f>計算表!K287</f>
        <v>0</v>
      </c>
      <c r="L283">
        <f>計算表!L287</f>
        <v>0</v>
      </c>
      <c r="M283">
        <f>計算表!M287</f>
        <v>0</v>
      </c>
      <c r="N283">
        <f>計算表!N287</f>
        <v>0</v>
      </c>
      <c r="O283">
        <f>計算表!O287</f>
        <v>0</v>
      </c>
      <c r="P283">
        <f>計算表!P287</f>
        <v>0</v>
      </c>
      <c r="Q283">
        <f>計算表!Q287</f>
        <v>0</v>
      </c>
      <c r="R283">
        <f>計算表!R287</f>
        <v>0</v>
      </c>
    </row>
    <row r="284" spans="1:18" x14ac:dyDescent="0.25">
      <c r="A284">
        <f>計算表!A288</f>
        <v>287</v>
      </c>
      <c r="B284">
        <f>計算表!B288</f>
        <v>0</v>
      </c>
      <c r="C284" t="str">
        <f>計算表!C288</f>
        <v>9-技能</v>
      </c>
      <c r="D284" t="str">
        <f>計算表!D288</f>
        <v>施放硬直</v>
      </c>
      <c r="E284" t="str">
        <f>計算表!E288</f>
        <v>0 秒</v>
      </c>
      <c r="F284" t="str">
        <f>計算表!F288</f>
        <v>普攻與技能並行；技能施放間隔由技能共用冷卻（GCD）控制。</v>
      </c>
      <c r="G284">
        <f>計算表!G288</f>
        <v>0.2</v>
      </c>
      <c r="H284">
        <f>計算表!H288</f>
        <v>0</v>
      </c>
      <c r="I284">
        <f>計算表!I288</f>
        <v>0</v>
      </c>
      <c r="J284">
        <f>計算表!J288</f>
        <v>0</v>
      </c>
      <c r="K284">
        <f>計算表!K288</f>
        <v>0</v>
      </c>
      <c r="L284">
        <f>計算表!L288</f>
        <v>0</v>
      </c>
      <c r="M284">
        <f>計算表!M288</f>
        <v>0</v>
      </c>
      <c r="N284">
        <f>計算表!N288</f>
        <v>0</v>
      </c>
      <c r="O284">
        <f>計算表!O288</f>
        <v>0</v>
      </c>
      <c r="P284">
        <f>計算表!P288</f>
        <v>0</v>
      </c>
      <c r="Q284">
        <f>計算表!Q288</f>
        <v>0</v>
      </c>
      <c r="R284">
        <f>計算表!R288</f>
        <v>0</v>
      </c>
    </row>
    <row r="285" spans="1:18" x14ac:dyDescent="0.25">
      <c r="A285">
        <f>計算表!A289</f>
        <v>288</v>
      </c>
      <c r="B285">
        <f>計算表!B289</f>
        <v>0</v>
      </c>
      <c r="C285" t="str">
        <f>計算表!C289</f>
        <v>9-技能</v>
      </c>
      <c r="D285" t="str">
        <f>計算表!D289</f>
        <v>技能施放最短間隔</v>
      </c>
      <c r="E285" t="str">
        <f>計算表!E289</f>
        <v>a 秒（固定，不受冷卻縮減影響）</v>
      </c>
      <c r="F285" t="str">
        <f>計算表!F289</f>
        <v>技能最短施放間隔；普攻擊殺後換目標也沿用此間隔。</v>
      </c>
      <c r="G285">
        <f>計算表!G289</f>
        <v>0.5</v>
      </c>
      <c r="H285">
        <f>計算表!H289</f>
        <v>0</v>
      </c>
      <c r="I285">
        <f>計算表!I289</f>
        <v>0</v>
      </c>
      <c r="J285">
        <f>計算表!J289</f>
        <v>0</v>
      </c>
      <c r="K285">
        <f>計算表!K289</f>
        <v>0</v>
      </c>
      <c r="L285">
        <f>計算表!L289</f>
        <v>0</v>
      </c>
      <c r="M285">
        <f>計算表!M289</f>
        <v>0</v>
      </c>
      <c r="N285">
        <f>計算表!N289</f>
        <v>0</v>
      </c>
      <c r="O285">
        <f>計算表!O289</f>
        <v>0</v>
      </c>
      <c r="P285">
        <f>計算表!P289</f>
        <v>0</v>
      </c>
      <c r="Q285">
        <f>計算表!Q289</f>
        <v>0</v>
      </c>
      <c r="R285">
        <f>計算表!R289</f>
        <v>0</v>
      </c>
    </row>
    <row r="286" spans="1:18" x14ac:dyDescent="0.25">
      <c r="A286">
        <f>計算表!A290</f>
        <v>289</v>
      </c>
      <c r="B286">
        <f>計算表!B290</f>
        <v>0</v>
      </c>
      <c r="C286" t="str">
        <f>計算表!C290</f>
        <v>9-技能</v>
      </c>
      <c r="D286" t="str">
        <f>計算表!D290</f>
        <v>升級費用</v>
      </c>
      <c r="E286" t="str">
        <f>計算表!E290</f>
        <v>a×當前等級 + b^(1 + 當前等級/c)</v>
      </c>
      <c r="F286" t="str">
        <f>計算表!F290</f>
        <v>上限 5,000,000；降級全額退還。</v>
      </c>
      <c r="G286">
        <f>計算表!G290</f>
        <v>1000</v>
      </c>
      <c r="H286">
        <f>計算表!H290</f>
        <v>20</v>
      </c>
      <c r="I286">
        <f>計算表!I290</f>
        <v>10</v>
      </c>
      <c r="J286">
        <f>計算表!J290</f>
        <v>0</v>
      </c>
      <c r="K286">
        <f>計算表!K290</f>
        <v>0</v>
      </c>
      <c r="L286">
        <f>計算表!L290</f>
        <v>0</v>
      </c>
      <c r="M286">
        <f>計算表!M290</f>
        <v>0</v>
      </c>
      <c r="N286">
        <f>計算表!N290</f>
        <v>0</v>
      </c>
      <c r="O286">
        <f>計算表!O290</f>
        <v>0</v>
      </c>
      <c r="P286">
        <f>計算表!P290</f>
        <v>0</v>
      </c>
      <c r="Q286">
        <f>計算表!Q290</f>
        <v>0</v>
      </c>
      <c r="R286">
        <f>計算表!R290</f>
        <v>0</v>
      </c>
    </row>
    <row r="287" spans="1:18" x14ac:dyDescent="0.25">
      <c r="A287">
        <f>計算表!A291</f>
        <v>290</v>
      </c>
      <c r="B287">
        <f>計算表!B291</f>
        <v>0</v>
      </c>
      <c r="C287" t="str">
        <f>計算表!C291</f>
        <v>9-技能</v>
      </c>
      <c r="D287" t="str">
        <f>計算表!D291</f>
        <v>等級上限</v>
      </c>
      <c r="E287" s="7" t="s">
        <v>1053</v>
      </c>
      <c r="F287" s="7" t="s">
        <v>1054</v>
      </c>
      <c r="G287">
        <f>計算表!G291</f>
        <v>0</v>
      </c>
      <c r="H287">
        <f>計算表!H291</f>
        <v>0</v>
      </c>
      <c r="I287">
        <f>計算表!I291</f>
        <v>0</v>
      </c>
      <c r="J287">
        <f>計算表!J291</f>
        <v>0</v>
      </c>
      <c r="K287">
        <f>計算表!K291</f>
        <v>0</v>
      </c>
      <c r="L287">
        <f>計算表!L291</f>
        <v>0</v>
      </c>
      <c r="M287">
        <f>計算表!M291</f>
        <v>0</v>
      </c>
      <c r="N287">
        <f>計算表!N291</f>
        <v>0</v>
      </c>
      <c r="O287">
        <f>計算表!O291</f>
        <v>0</v>
      </c>
      <c r="P287">
        <f>計算表!P291</f>
        <v>0</v>
      </c>
      <c r="Q287">
        <f>計算表!Q291</f>
        <v>0</v>
      </c>
      <c r="R287">
        <f>計算表!R291</f>
        <v>0</v>
      </c>
    </row>
    <row r="288" spans="1:18" x14ac:dyDescent="0.25">
      <c r="A288">
        <f>計算表!A304</f>
        <v>303</v>
      </c>
      <c r="B288">
        <f>計算表!B304</f>
        <v>0</v>
      </c>
      <c r="C288" t="str">
        <f>計算表!C304</f>
        <v>表-自動機組零件</v>
      </c>
      <c r="D288" t="str">
        <f>計算表!D304</f>
        <v>加速齒輪</v>
      </c>
      <c r="E288" t="str">
        <f>計算表!E304</f>
        <v>效果值 = a + b × (等級-1)</v>
      </c>
      <c r="F288" t="str">
        <f>計算表!F304</f>
        <v>a=基礎值 b=每級增加值；節點為 salvage。分解速度另固定+50個百分點。</v>
      </c>
      <c r="G288">
        <f>計算表!G304</f>
        <v>25</v>
      </c>
      <c r="H288">
        <f>計算表!H304</f>
        <v>25</v>
      </c>
      <c r="I288" t="str">
        <f>計算表!I304</f>
        <v>salvage</v>
      </c>
      <c r="J288">
        <f>計算表!J304</f>
        <v>0</v>
      </c>
      <c r="K288">
        <f>計算表!K304</f>
        <v>0</v>
      </c>
      <c r="L288">
        <f>計算表!L304</f>
        <v>0</v>
      </c>
      <c r="M288">
        <f>計算表!M304</f>
        <v>0</v>
      </c>
      <c r="N288">
        <f>計算表!N304</f>
        <v>0</v>
      </c>
      <c r="O288">
        <f>計算表!O304</f>
        <v>0</v>
      </c>
      <c r="P288">
        <f>計算表!P304</f>
        <v>0</v>
      </c>
      <c r="Q288">
        <f>計算表!Q304</f>
        <v>0</v>
      </c>
      <c r="R288">
        <f>計算表!R304</f>
        <v>0</v>
      </c>
    </row>
    <row r="289" spans="1:18" x14ac:dyDescent="0.25">
      <c r="A289">
        <f>計算表!A305</f>
        <v>304</v>
      </c>
      <c r="B289">
        <f>計算表!B305</f>
        <v>0</v>
      </c>
      <c r="C289" t="str">
        <f>計算表!C305</f>
        <v>表-自動機組零件</v>
      </c>
      <c r="D289" t="str">
        <f>計算表!D305</f>
        <v>碎片熔煉爐</v>
      </c>
      <c r="E289" t="str">
        <f>計算表!E305</f>
        <v>效果值 = a + b × (等級-1)</v>
      </c>
      <c r="F289" t="str">
        <f>計算表!F305</f>
        <v>a=基礎值 b=每級增加值；節點為 salvage。分解碎片產量加成。</v>
      </c>
      <c r="G289">
        <f>計算表!G305</f>
        <v>20</v>
      </c>
      <c r="H289">
        <f>計算表!H305</f>
        <v>20</v>
      </c>
      <c r="I289" t="str">
        <f>計算表!I305</f>
        <v>salvage</v>
      </c>
      <c r="J289">
        <f>計算表!J305</f>
        <v>0</v>
      </c>
      <c r="K289">
        <f>計算表!K305</f>
        <v>0</v>
      </c>
      <c r="L289">
        <f>計算表!L305</f>
        <v>0</v>
      </c>
      <c r="M289">
        <f>計算表!M305</f>
        <v>0</v>
      </c>
      <c r="N289">
        <f>計算表!N305</f>
        <v>0</v>
      </c>
      <c r="O289">
        <f>計算表!O305</f>
        <v>0</v>
      </c>
      <c r="P289">
        <f>計算表!P305</f>
        <v>0</v>
      </c>
      <c r="Q289">
        <f>計算表!Q305</f>
        <v>0</v>
      </c>
      <c r="R289">
        <f>計算表!R305</f>
        <v>0</v>
      </c>
    </row>
    <row r="290" spans="1:18" x14ac:dyDescent="0.25">
      <c r="A290">
        <f>計算表!A306</f>
        <v>305</v>
      </c>
      <c r="B290">
        <f>計算表!B306</f>
        <v>0</v>
      </c>
      <c r="C290" t="str">
        <f>計算表!C306</f>
        <v>表-自動機組零件</v>
      </c>
      <c r="D290" t="str">
        <f>計算表!D306</f>
        <v>淘金濾網</v>
      </c>
      <c r="E290" t="str">
        <f>計算表!E306</f>
        <v>效果值 = a + b × (等級-1)</v>
      </c>
      <c r="F290" t="str">
        <f>計算表!F306</f>
        <v>a=基礎值 b=每級增加值；分解時獲得當前關卡敵人金幣的 a%。</v>
      </c>
      <c r="G290">
        <f>計算表!G306</f>
        <v>3</v>
      </c>
      <c r="H290">
        <f>計算表!H306</f>
        <v>1.5</v>
      </c>
      <c r="I290" t="str">
        <f>計算表!I306</f>
        <v>salvage</v>
      </c>
      <c r="J290">
        <f>計算表!J306</f>
        <v>0</v>
      </c>
      <c r="K290">
        <f>計算表!K306</f>
        <v>0</v>
      </c>
      <c r="L290">
        <f>計算表!L306</f>
        <v>0</v>
      </c>
      <c r="M290">
        <f>計算表!M306</f>
        <v>0</v>
      </c>
      <c r="N290">
        <f>計算表!N306</f>
        <v>0</v>
      </c>
      <c r="O290">
        <f>計算表!O306</f>
        <v>0</v>
      </c>
      <c r="P290">
        <f>計算表!P306</f>
        <v>0</v>
      </c>
      <c r="Q290">
        <f>計算表!Q306</f>
        <v>0</v>
      </c>
      <c r="R290">
        <f>計算表!R306</f>
        <v>0</v>
      </c>
    </row>
    <row r="291" spans="1:18" x14ac:dyDescent="0.25">
      <c r="A291">
        <f>計算表!A307</f>
        <v>306</v>
      </c>
      <c r="B291">
        <f>計算表!B307</f>
        <v>0</v>
      </c>
      <c r="C291" t="str">
        <f>計算表!C307</f>
        <v>表-自動機組零件</v>
      </c>
      <c r="D291" t="str">
        <f>計算表!D307</f>
        <v>精粹透鏡</v>
      </c>
      <c r="E291" t="str">
        <f>計算表!E307</f>
        <v>效果值 = a + b × (等級-1)</v>
      </c>
      <c r="F291" t="str">
        <f>計算表!F307</f>
        <v>a=基礎值 b=每級增加值；節點為 salvage。附魔精華拆解產出率加成。</v>
      </c>
      <c r="G291">
        <f>計算表!G307</f>
        <v>20</v>
      </c>
      <c r="H291">
        <f>計算表!H307</f>
        <v>20</v>
      </c>
      <c r="I291" t="str">
        <f>計算表!I307</f>
        <v>salvage</v>
      </c>
      <c r="J291">
        <f>計算表!J307</f>
        <v>0</v>
      </c>
      <c r="K291">
        <f>計算表!K307</f>
        <v>0</v>
      </c>
      <c r="L291">
        <f>計算表!L307</f>
        <v>0</v>
      </c>
      <c r="M291">
        <f>計算表!M307</f>
        <v>0</v>
      </c>
      <c r="N291">
        <f>計算表!N307</f>
        <v>0</v>
      </c>
      <c r="O291">
        <f>計算表!O307</f>
        <v>0</v>
      </c>
      <c r="P291">
        <f>計算表!P307</f>
        <v>0</v>
      </c>
      <c r="Q291">
        <f>計算表!Q307</f>
        <v>0</v>
      </c>
      <c r="R291">
        <f>計算表!R307</f>
        <v>0</v>
      </c>
    </row>
    <row r="292" spans="1:18" x14ac:dyDescent="0.25">
      <c r="A292">
        <f>計算表!A308</f>
        <v>307</v>
      </c>
      <c r="B292">
        <f>計算表!B308</f>
        <v>0</v>
      </c>
      <c r="C292" t="str">
        <f>計算表!C308</f>
        <v>表-自動機組零件</v>
      </c>
      <c r="D292" t="str">
        <f>計算表!D308</f>
        <v>知識核心</v>
      </c>
      <c r="E292" t="str">
        <f>計算表!E308</f>
        <v>效果值 = a + b × (等級-1)</v>
      </c>
      <c r="F292" t="str">
        <f>計算表!F308</f>
        <v>a=基礎值 b=每級增加值；分解時獲得當前關卡敵人經驗的 a%。</v>
      </c>
      <c r="G292">
        <f>計算表!G308</f>
        <v>3</v>
      </c>
      <c r="H292">
        <f>計算表!H308</f>
        <v>1.5</v>
      </c>
      <c r="I292" t="str">
        <f>計算表!I308</f>
        <v>salvage</v>
      </c>
      <c r="J292">
        <f>計算表!J308</f>
        <v>0</v>
      </c>
      <c r="K292">
        <f>計算表!K308</f>
        <v>0</v>
      </c>
      <c r="L292">
        <f>計算表!L308</f>
        <v>0</v>
      </c>
      <c r="M292">
        <f>計算表!M308</f>
        <v>0</v>
      </c>
      <c r="N292">
        <f>計算表!N308</f>
        <v>0</v>
      </c>
      <c r="O292">
        <f>計算表!O308</f>
        <v>0</v>
      </c>
      <c r="P292">
        <f>計算表!P308</f>
        <v>0</v>
      </c>
      <c r="Q292">
        <f>計算表!Q308</f>
        <v>0</v>
      </c>
      <c r="R292">
        <f>計算表!R308</f>
        <v>0</v>
      </c>
    </row>
    <row r="293" spans="1:18" x14ac:dyDescent="0.25">
      <c r="A293">
        <f>計算表!A309</f>
        <v>308</v>
      </c>
      <c r="B293">
        <f>計算表!B309</f>
        <v>0</v>
      </c>
      <c r="C293" t="str">
        <f>計算表!C309</f>
        <v>表-自動機組零件</v>
      </c>
      <c r="D293" t="str">
        <f>計算表!D309</f>
        <v>寶石採集器</v>
      </c>
      <c r="E293" t="str">
        <f>計算表!E309</f>
        <v>效果值 = a + b × (等級-1)</v>
      </c>
      <c r="F293" t="str">
        <f>計算表!F309</f>
        <v>a=基礎值 b=每級增加值；分解時有 a% 機率獲得 1 級寶石。</v>
      </c>
      <c r="G293">
        <f>計算表!G309</f>
        <v>3</v>
      </c>
      <c r="H293">
        <f>計算表!H309</f>
        <v>1.5</v>
      </c>
      <c r="I293" t="str">
        <f>計算表!I309</f>
        <v>salvage</v>
      </c>
      <c r="J293">
        <f>計算表!J309</f>
        <v>0</v>
      </c>
      <c r="K293">
        <f>計算表!K309</f>
        <v>0</v>
      </c>
      <c r="L293">
        <f>計算表!L309</f>
        <v>0</v>
      </c>
      <c r="M293">
        <f>計算表!M309</f>
        <v>0</v>
      </c>
      <c r="N293">
        <f>計算表!N309</f>
        <v>0</v>
      </c>
      <c r="O293">
        <f>計算表!O309</f>
        <v>0</v>
      </c>
      <c r="P293">
        <f>計算表!P309</f>
        <v>0</v>
      </c>
      <c r="Q293">
        <f>計算表!Q309</f>
        <v>0</v>
      </c>
      <c r="R293">
        <f>計算表!R309</f>
        <v>0</v>
      </c>
    </row>
    <row r="294" spans="1:18" x14ac:dyDescent="0.25">
      <c r="A294">
        <f>計算表!A310</f>
        <v>309</v>
      </c>
      <c r="B294">
        <f>計算表!B310</f>
        <v>0</v>
      </c>
      <c r="C294" t="str">
        <f>計算表!C310</f>
        <v>表-自動機組零件</v>
      </c>
      <c r="D294" t="str">
        <f>計算表!D310</f>
        <v>幸運之心</v>
      </c>
      <c r="E294" t="str">
        <f>計算表!E310</f>
        <v>效果值 = a + b × (等級-1)</v>
      </c>
      <c r="F294" t="str">
        <f>計算表!F310</f>
        <v>a=基礎值 b=每級增加值；分解時有 a% 機率使所有產物變為 3 倍。</v>
      </c>
      <c r="G294">
        <f>計算表!G310</f>
        <v>3</v>
      </c>
      <c r="H294">
        <f>計算表!H310</f>
        <v>1.5</v>
      </c>
      <c r="I294" t="str">
        <f>計算表!I310</f>
        <v>salvage</v>
      </c>
      <c r="J294">
        <f>計算表!J310</f>
        <v>0</v>
      </c>
      <c r="K294">
        <f>計算表!K310</f>
        <v>0</v>
      </c>
      <c r="L294">
        <f>計算表!L310</f>
        <v>0</v>
      </c>
      <c r="M294">
        <f>計算表!M310</f>
        <v>0</v>
      </c>
      <c r="N294">
        <f>計算表!N310</f>
        <v>0</v>
      </c>
      <c r="O294">
        <f>計算表!O310</f>
        <v>0</v>
      </c>
      <c r="P294">
        <f>計算表!P310</f>
        <v>0</v>
      </c>
      <c r="Q294">
        <f>計算表!Q310</f>
        <v>0</v>
      </c>
      <c r="R294">
        <f>計算表!R310</f>
        <v>0</v>
      </c>
    </row>
    <row r="295" spans="1:18" x14ac:dyDescent="0.25">
      <c r="A295">
        <f>計算表!A311</f>
        <v>310</v>
      </c>
      <c r="B295">
        <f>計算表!B311</f>
        <v>0</v>
      </c>
      <c r="C295" t="str">
        <f>計算表!C311</f>
        <v>表-自動機組零件</v>
      </c>
      <c r="D295" t="str">
        <f>計算表!D311</f>
        <v>太古精華萃取器</v>
      </c>
      <c r="E295" t="str">
        <f>計算表!E311</f>
        <v>效果值 = a + b × (等級-1)</v>
      </c>
      <c r="F295" t="str">
        <f>計算表!F311</f>
        <v>a=基礎值 b=每級增加值；分解太古精華掉落率加成。</v>
      </c>
      <c r="G295">
        <f>計算表!G311</f>
        <v>25</v>
      </c>
      <c r="H295">
        <f>計算表!H311</f>
        <v>25</v>
      </c>
      <c r="I295" t="str">
        <f>計算表!I311</f>
        <v>salvage</v>
      </c>
      <c r="J295">
        <f>計算表!J311</f>
        <v>0</v>
      </c>
      <c r="K295">
        <f>計算表!K311</f>
        <v>0</v>
      </c>
      <c r="L295">
        <f>計算表!L311</f>
        <v>0</v>
      </c>
      <c r="M295">
        <f>計算表!M311</f>
        <v>0</v>
      </c>
      <c r="N295">
        <f>計算表!N311</f>
        <v>0</v>
      </c>
      <c r="O295">
        <f>計算表!O311</f>
        <v>0</v>
      </c>
      <c r="P295">
        <f>計算表!P311</f>
        <v>0</v>
      </c>
      <c r="Q295">
        <f>計算表!Q311</f>
        <v>0</v>
      </c>
      <c r="R295">
        <f>計算表!R311</f>
        <v>0</v>
      </c>
    </row>
    <row r="296" spans="1:18" x14ac:dyDescent="0.25">
      <c r="A296">
        <f>計算表!A312</f>
        <v>311</v>
      </c>
      <c r="B296">
        <f>計算表!B312</f>
        <v>0</v>
      </c>
      <c r="C296" t="str">
        <f>計算表!C312</f>
        <v>表-自動機組零件</v>
      </c>
      <c r="D296" t="str">
        <f>計算表!D312</f>
        <v>熔爐核心</v>
      </c>
      <c r="E296" t="str">
        <f>計算表!E312</f>
        <v>效果值 = a + b × (等級-1)</v>
      </c>
      <c r="F296" t="str">
        <f>計算表!F312</f>
        <v>a=基礎值 b=每級增加值；熔爐上的其他零件效果額外提升 a%，多個核心直接疊加。</v>
      </c>
      <c r="G296">
        <f>計算表!G312</f>
        <v>5</v>
      </c>
      <c r="H296">
        <f>計算表!H312</f>
        <v>2.5</v>
      </c>
      <c r="I296" t="str">
        <f>計算表!I312</f>
        <v>salvage</v>
      </c>
      <c r="J296">
        <f>計算表!J312</f>
        <v>0</v>
      </c>
      <c r="K296">
        <f>計算表!K312</f>
        <v>0</v>
      </c>
      <c r="L296">
        <f>計算表!L312</f>
        <v>0</v>
      </c>
      <c r="M296">
        <f>計算表!M312</f>
        <v>0</v>
      </c>
      <c r="N296">
        <f>計算表!N312</f>
        <v>0</v>
      </c>
      <c r="O296">
        <f>計算表!O312</f>
        <v>0</v>
      </c>
      <c r="P296">
        <f>計算表!P312</f>
        <v>0</v>
      </c>
      <c r="Q296">
        <f>計算表!Q312</f>
        <v>0</v>
      </c>
      <c r="R296">
        <f>計算表!R312</f>
        <v>0</v>
      </c>
    </row>
    <row r="297" spans="1:18" x14ac:dyDescent="0.25">
      <c r="A297">
        <f>計算表!A313</f>
        <v>312</v>
      </c>
      <c r="B297">
        <f>計算表!B313</f>
        <v>0</v>
      </c>
      <c r="C297" t="str">
        <f>計算表!C313</f>
        <v>表-固定參數</v>
      </c>
      <c r="D297" t="str">
        <f>計算表!D313</f>
        <v>出怪間隔</v>
      </c>
      <c r="E297" t="str">
        <f>計算表!E313</f>
        <v>a 秒</v>
      </c>
      <c r="F297" t="str">
        <f>計算表!F313</f>
        <v>RESPAWN_DELAY。</v>
      </c>
      <c r="G297" t="str">
        <f>計算表!G313</f>
        <v>{0.75,1,1.5,1.75,2,2,2,3,3,3,4,5}</v>
      </c>
      <c r="H297">
        <f>計算表!H313</f>
        <v>3</v>
      </c>
      <c r="I297">
        <f>計算表!I313</f>
        <v>0</v>
      </c>
      <c r="J297">
        <f>計算表!J313</f>
        <v>0</v>
      </c>
      <c r="K297">
        <f>計算表!K313</f>
        <v>0</v>
      </c>
      <c r="L297">
        <f>計算表!L313</f>
        <v>0</v>
      </c>
      <c r="M297">
        <f>計算表!M313</f>
        <v>0</v>
      </c>
      <c r="N297">
        <f>計算表!N313</f>
        <v>0</v>
      </c>
      <c r="O297">
        <f>計算表!O313</f>
        <v>0</v>
      </c>
      <c r="P297">
        <f>計算表!P313</f>
        <v>0</v>
      </c>
      <c r="Q297">
        <f>計算表!Q313</f>
        <v>0</v>
      </c>
      <c r="R297">
        <f>計算表!R313</f>
        <v>0</v>
      </c>
    </row>
    <row r="298" spans="1:18" x14ac:dyDescent="0.25">
      <c r="A298">
        <f>計算表!A314</f>
        <v>313</v>
      </c>
      <c r="B298">
        <f>計算表!B314</f>
        <v>0</v>
      </c>
      <c r="C298" t="str">
        <f>計算表!C314</f>
        <v>表-固定參數</v>
      </c>
      <c r="D298" t="str">
        <f>計算表!D314</f>
        <v>死亡復活時間</v>
      </c>
      <c r="E298" t="str">
        <f>計算表!E314</f>
        <v>a 秒</v>
      </c>
      <c r="F298" t="str">
        <f>計算表!F314</f>
        <v>REVIVE_DELAY。</v>
      </c>
      <c r="G298">
        <f>計算表!G314</f>
        <v>5</v>
      </c>
      <c r="H298">
        <f>計算表!H314</f>
        <v>0</v>
      </c>
      <c r="I298">
        <f>計算表!I314</f>
        <v>0</v>
      </c>
      <c r="J298">
        <f>計算表!J314</f>
        <v>0</v>
      </c>
      <c r="K298">
        <f>計算表!K314</f>
        <v>0</v>
      </c>
      <c r="L298">
        <f>計算表!L314</f>
        <v>0</v>
      </c>
      <c r="M298">
        <f>計算表!M314</f>
        <v>0</v>
      </c>
      <c r="N298">
        <f>計算表!N314</f>
        <v>0</v>
      </c>
      <c r="O298">
        <f>計算表!O314</f>
        <v>0</v>
      </c>
      <c r="P298">
        <f>計算表!P314</f>
        <v>0</v>
      </c>
      <c r="Q298">
        <f>計算表!Q314</f>
        <v>0</v>
      </c>
      <c r="R298">
        <f>計算表!R314</f>
        <v>0</v>
      </c>
    </row>
    <row r="299" spans="1:18" x14ac:dyDescent="0.25">
      <c r="A299">
        <f>計算表!A315</f>
        <v>314</v>
      </c>
      <c r="B299">
        <f>計算表!B315</f>
        <v>0</v>
      </c>
      <c r="C299" t="str">
        <f>計算表!C315</f>
        <v>表-固定參數</v>
      </c>
      <c r="D299" t="str">
        <f>計算表!D315</f>
        <v>零件階級上限</v>
      </c>
      <c r="E299" t="str">
        <f>計算表!E315</f>
        <v>T a</v>
      </c>
      <c r="F299" t="str">
        <f>計算表!F315</f>
        <v>PART_MAX_TIER。</v>
      </c>
      <c r="G299">
        <f>計算表!G315</f>
        <v>10</v>
      </c>
      <c r="H299">
        <f>計算表!H315</f>
        <v>0</v>
      </c>
      <c r="I299">
        <f>計算表!I315</f>
        <v>0</v>
      </c>
      <c r="J299">
        <f>計算表!J315</f>
        <v>0</v>
      </c>
      <c r="K299">
        <f>計算表!K315</f>
        <v>0</v>
      </c>
      <c r="L299">
        <f>計算表!L315</f>
        <v>0</v>
      </c>
      <c r="M299">
        <f>計算表!M315</f>
        <v>0</v>
      </c>
      <c r="N299">
        <f>計算表!N315</f>
        <v>0</v>
      </c>
      <c r="O299">
        <f>計算表!O315</f>
        <v>0</v>
      </c>
      <c r="P299">
        <f>計算表!P315</f>
        <v>0</v>
      </c>
      <c r="Q299">
        <f>計算表!Q315</f>
        <v>0</v>
      </c>
      <c r="R299">
        <f>計算表!R315</f>
        <v>0</v>
      </c>
    </row>
    <row r="300" spans="1:18" x14ac:dyDescent="0.25">
      <c r="A300">
        <f>計算表!A316</f>
        <v>315</v>
      </c>
      <c r="B300">
        <f>計算表!B316</f>
        <v>0</v>
      </c>
      <c r="C300" t="str">
        <f>計算表!C316</f>
        <v>表-固定參數</v>
      </c>
      <c r="D300" t="str">
        <f>計算表!D316</f>
        <v>零件庫存保留</v>
      </c>
      <c r="E300" t="str">
        <f>計算表!E316</f>
        <v>每種未安裝最多保留 a 顆</v>
      </c>
      <c r="F300" t="str">
        <f>計算表!F316</f>
        <v>PART_KEEP_PER_KEY，多餘自動分解。</v>
      </c>
      <c r="G300">
        <f>計算表!G316</f>
        <v>10</v>
      </c>
      <c r="H300">
        <f>計算表!H316</f>
        <v>0</v>
      </c>
      <c r="I300">
        <f>計算表!I316</f>
        <v>0</v>
      </c>
      <c r="J300">
        <f>計算表!J316</f>
        <v>0</v>
      </c>
      <c r="K300">
        <f>計算表!K316</f>
        <v>0</v>
      </c>
      <c r="L300">
        <f>計算表!L316</f>
        <v>0</v>
      </c>
      <c r="M300">
        <f>計算表!M316</f>
        <v>0</v>
      </c>
      <c r="N300">
        <f>計算表!N316</f>
        <v>0</v>
      </c>
      <c r="O300">
        <f>計算表!O316</f>
        <v>0</v>
      </c>
      <c r="P300">
        <f>計算表!P316</f>
        <v>0</v>
      </c>
      <c r="Q300">
        <f>計算表!Q316</f>
        <v>0</v>
      </c>
      <c r="R300">
        <f>計算表!R316</f>
        <v>0</v>
      </c>
    </row>
    <row r="301" spans="1:18" x14ac:dyDescent="0.25">
      <c r="A301">
        <f>計算表!A317</f>
        <v>316</v>
      </c>
      <c r="B301">
        <f>計算表!B317</f>
        <v>0</v>
      </c>
      <c r="C301" t="str">
        <f>計算表!C317</f>
        <v>表-固定參數</v>
      </c>
      <c r="D301" t="str">
        <f>計算表!D317</f>
        <v>合成節點槽位</v>
      </c>
      <c r="E301" t="str">
        <f>計算表!E317</f>
        <v>a 格</v>
      </c>
      <c r="F301" t="str">
        <f>計算表!F317</f>
        <v>分解槽為金幣解鎖 10~20 格。　※合成功能已停用，本列未生效。</v>
      </c>
      <c r="G301">
        <f>計算表!G317</f>
        <v>2</v>
      </c>
      <c r="H301">
        <f>計算表!H317</f>
        <v>0</v>
      </c>
      <c r="I301">
        <f>計算表!I317</f>
        <v>0</v>
      </c>
      <c r="J301">
        <f>計算表!J317</f>
        <v>0</v>
      </c>
      <c r="K301">
        <f>計算表!K317</f>
        <v>0</v>
      </c>
      <c r="L301">
        <f>計算表!L317</f>
        <v>0</v>
      </c>
      <c r="M301">
        <f>計算表!M317</f>
        <v>0</v>
      </c>
      <c r="N301">
        <f>計算表!N317</f>
        <v>0</v>
      </c>
      <c r="O301">
        <f>計算表!O317</f>
        <v>0</v>
      </c>
      <c r="P301">
        <f>計算表!P317</f>
        <v>0</v>
      </c>
      <c r="Q301">
        <f>計算表!Q317</f>
        <v>0</v>
      </c>
      <c r="R301">
        <f>計算表!R317</f>
        <v>0</v>
      </c>
    </row>
    <row r="302" spans="1:18" x14ac:dyDescent="0.25">
      <c r="A302">
        <f>計算表!A318</f>
        <v>317</v>
      </c>
      <c r="B302">
        <f>計算表!B318</f>
        <v>0</v>
      </c>
      <c r="C302" t="str">
        <f>計算表!C318</f>
        <v>表-固定參數</v>
      </c>
      <c r="D302" t="str">
        <f>計算表!D318</f>
        <v>寶石一般上限 / 神鑄上限</v>
      </c>
      <c r="E302" t="str">
        <f>計算表!E318</f>
        <v>一般 a 階；神鑄可到 b 階</v>
      </c>
      <c r="F302" t="str">
        <f>計算表!F318</f>
        <v>GEM_MAX_LEVEL / GEM_FORGE_MAX_LEVEL。</v>
      </c>
      <c r="G302">
        <f>計算表!G318</f>
        <v>5</v>
      </c>
      <c r="H302">
        <f>計算表!H318</f>
        <v>10</v>
      </c>
      <c r="I302">
        <f>計算表!I318</f>
        <v>0</v>
      </c>
      <c r="J302">
        <f>計算表!J318</f>
        <v>0</v>
      </c>
      <c r="K302">
        <f>計算表!K318</f>
        <v>0</v>
      </c>
      <c r="L302">
        <f>計算表!L318</f>
        <v>0</v>
      </c>
      <c r="M302">
        <f>計算表!M318</f>
        <v>0</v>
      </c>
      <c r="N302">
        <f>計算表!N318</f>
        <v>0</v>
      </c>
      <c r="O302">
        <f>計算表!O318</f>
        <v>0</v>
      </c>
      <c r="P302">
        <f>計算表!P318</f>
        <v>0</v>
      </c>
      <c r="Q302">
        <f>計算表!Q318</f>
        <v>0</v>
      </c>
      <c r="R302">
        <f>計算表!R318</f>
        <v>0</v>
      </c>
    </row>
    <row r="303" spans="1:18" x14ac:dyDescent="0.25">
      <c r="A303">
        <f>計算表!A319</f>
        <v>318</v>
      </c>
      <c r="B303">
        <f>計算表!B319</f>
        <v>0</v>
      </c>
      <c r="C303" t="str">
        <f>計算表!C319</f>
        <v>表-固定參數</v>
      </c>
      <c r="D303" t="str">
        <f>計算表!D319</f>
        <v>詞條數硬上限</v>
      </c>
      <c r="E303" t="str">
        <f>計算表!E319</f>
        <v>a 條</v>
      </c>
      <c r="F303" t="str">
        <f>計算表!F319</f>
        <v>MAX_AFFIXES = 單件裝備詞條數的安全硬上限；目前稀有度表最高 10 條。</v>
      </c>
      <c r="G303">
        <f>計算表!G319</f>
        <v>10</v>
      </c>
      <c r="H303">
        <f>計算表!H319</f>
        <v>0</v>
      </c>
      <c r="I303">
        <f>計算表!I319</f>
        <v>0</v>
      </c>
      <c r="J303">
        <f>計算表!J319</f>
        <v>0</v>
      </c>
      <c r="K303">
        <f>計算表!K319</f>
        <v>0</v>
      </c>
      <c r="L303">
        <f>計算表!L319</f>
        <v>0</v>
      </c>
      <c r="M303">
        <f>計算表!M319</f>
        <v>0</v>
      </c>
      <c r="N303">
        <f>計算表!N319</f>
        <v>0</v>
      </c>
      <c r="O303">
        <f>計算表!O319</f>
        <v>0</v>
      </c>
      <c r="P303">
        <f>計算表!P319</f>
        <v>0</v>
      </c>
      <c r="Q303">
        <f>計算表!Q319</f>
        <v>0</v>
      </c>
      <c r="R303">
        <f>計算表!R319</f>
        <v>0</v>
      </c>
    </row>
    <row r="304" spans="1:18" x14ac:dyDescent="0.25">
      <c r="A304">
        <f>計算表!A320</f>
        <v>319</v>
      </c>
      <c r="B304">
        <f>計算表!B320</f>
        <v>0</v>
      </c>
      <c r="C304" t="str">
        <f>計算表!C320</f>
        <v>表-固定參數</v>
      </c>
      <c r="D304" t="str">
        <f>計算表!D320</f>
        <v>零件升級金錢消耗</v>
      </c>
      <c r="E304" t="str">
        <f>計算表!E320</f>
        <v>a + b × c^升級後等級</v>
      </c>
      <c r="F304" t="str">
        <f>計算表!F320</f>
        <v>零件升級至下一級的金幣消耗；指數中的零件等級是升級後目標等級，例如 T5→T6 代入 6。</v>
      </c>
      <c r="G304">
        <f>計算表!G320</f>
        <v>20000</v>
      </c>
      <c r="H304">
        <f>計算表!H320</f>
        <v>10000</v>
      </c>
      <c r="I304">
        <f>計算表!I320</f>
        <v>6</v>
      </c>
      <c r="J304">
        <f>計算表!J320</f>
        <v>0</v>
      </c>
      <c r="K304">
        <f>計算表!K320</f>
        <v>0</v>
      </c>
      <c r="L304">
        <f>計算表!L320</f>
        <v>0</v>
      </c>
      <c r="M304">
        <f>計算表!M320</f>
        <v>0</v>
      </c>
      <c r="N304">
        <f>計算表!N320</f>
        <v>0</v>
      </c>
      <c r="O304">
        <f>計算表!O320</f>
        <v>0</v>
      </c>
      <c r="P304">
        <f>計算表!P320</f>
        <v>0</v>
      </c>
      <c r="Q304">
        <f>計算表!Q320</f>
        <v>0</v>
      </c>
      <c r="R304">
        <f>計算表!R320</f>
        <v>0</v>
      </c>
    </row>
    <row r="305" spans="1:18" x14ac:dyDescent="0.25">
      <c r="A305">
        <f>計算表!A321</f>
        <v>320</v>
      </c>
      <c r="B305">
        <f>計算表!B321</f>
        <v>0</v>
      </c>
      <c r="C305" t="str">
        <f>計算表!C321</f>
        <v>表-固定參數</v>
      </c>
      <c r="D305" t="str">
        <f>計算表!D321</f>
        <v>換目標間隔</v>
      </c>
      <c r="E305" t="str">
        <f>計算表!E321</f>
        <v>公式 a 秒</v>
      </c>
      <c r="F305" t="str">
        <f>計算表!F321</f>
        <v>轉頭打下一隻敵人的間隔時間</v>
      </c>
      <c r="G305">
        <f>計算表!G321</f>
        <v>0.35</v>
      </c>
      <c r="H305">
        <f>計算表!H321</f>
        <v>0</v>
      </c>
      <c r="I305">
        <f>計算表!I321</f>
        <v>0</v>
      </c>
      <c r="J305">
        <f>計算表!J321</f>
        <v>0</v>
      </c>
      <c r="K305">
        <f>計算表!K321</f>
        <v>0</v>
      </c>
      <c r="L305">
        <f>計算表!L321</f>
        <v>0</v>
      </c>
      <c r="M305">
        <f>計算表!M321</f>
        <v>0</v>
      </c>
      <c r="N305">
        <f>計算表!N321</f>
        <v>0</v>
      </c>
      <c r="O305">
        <f>計算表!O321</f>
        <v>0</v>
      </c>
      <c r="P305">
        <f>計算表!P321</f>
        <v>0</v>
      </c>
      <c r="Q305">
        <f>計算表!Q321</f>
        <v>0</v>
      </c>
      <c r="R305">
        <f>計算表!R321</f>
        <v>0</v>
      </c>
    </row>
    <row r="306" spans="1:18" x14ac:dyDescent="0.25">
      <c r="A306">
        <f>計算表!A322</f>
        <v>321</v>
      </c>
      <c r="B306">
        <f>計算表!B322</f>
        <v>0</v>
      </c>
      <c r="C306" t="str">
        <f>計算表!C322</f>
        <v>表-稀有度</v>
      </c>
      <c r="D306" t="str">
        <f>計算表!D322</f>
        <v>普通</v>
      </c>
      <c r="E306" t="str">
        <f>計算表!E322</f>
        <v>（查表）</v>
      </c>
      <c r="F306" t="str">
        <f>計算表!F322</f>
        <v>a=詞條數值倍率 b=詞條數下限 c=詞條數上限 d=寶石插槽 e=附魔欄位 f=分解係數 g=符文孔數（0＝沒有符文孔；上限與雙手武器加成見 Runes 表）。</v>
      </c>
      <c r="G306">
        <f>計算表!G322</f>
        <v>1</v>
      </c>
      <c r="H306">
        <f>計算表!H322</f>
        <v>1</v>
      </c>
      <c r="I306">
        <f>計算表!I322</f>
        <v>1</v>
      </c>
      <c r="J306">
        <f>計算表!J322</f>
        <v>0</v>
      </c>
      <c r="K306">
        <f>計算表!K322</f>
        <v>0</v>
      </c>
      <c r="L306">
        <f>計算表!L322</f>
        <v>1</v>
      </c>
      <c r="M306">
        <f>計算表!M322</f>
        <v>0</v>
      </c>
      <c r="N306">
        <f>計算表!N322</f>
        <v>0</v>
      </c>
      <c r="O306">
        <f>計算表!O322</f>
        <v>0</v>
      </c>
      <c r="P306">
        <f>計算表!P322</f>
        <v>0</v>
      </c>
      <c r="Q306">
        <f>計算表!Q322</f>
        <v>0</v>
      </c>
      <c r="R306">
        <f>計算表!R322</f>
        <v>0</v>
      </c>
    </row>
    <row r="307" spans="1:18" x14ac:dyDescent="0.25">
      <c r="A307">
        <f>計算表!A323</f>
        <v>322</v>
      </c>
      <c r="B307">
        <f>計算表!B323</f>
        <v>0</v>
      </c>
      <c r="C307" t="str">
        <f>計算表!C323</f>
        <v>表-稀有度</v>
      </c>
      <c r="D307" t="str">
        <f>計算表!D323</f>
        <v>精良</v>
      </c>
      <c r="E307" t="str">
        <f>計算表!E323</f>
        <v>（查表）</v>
      </c>
      <c r="F307" t="str">
        <f>計算表!F323</f>
        <v>a=詞條數值倍率 b=詞條數下限 c=詞條數上限 d=寶石插槽 e=附魔欄位 f=分解係數 g=符文孔數（0＝沒有符文孔；上限與雙手武器加成見 Runes 表）。</v>
      </c>
      <c r="G307">
        <f>計算表!G323</f>
        <v>1.35</v>
      </c>
      <c r="H307">
        <f>計算表!H323</f>
        <v>2</v>
      </c>
      <c r="I307">
        <f>計算表!I323</f>
        <v>2</v>
      </c>
      <c r="J307">
        <f>計算表!J323</f>
        <v>1</v>
      </c>
      <c r="K307">
        <f>計算表!K323</f>
        <v>1</v>
      </c>
      <c r="L307">
        <f>計算表!L323</f>
        <v>1.7</v>
      </c>
      <c r="M307">
        <f>計算表!M323</f>
        <v>1</v>
      </c>
      <c r="N307">
        <f>計算表!N323</f>
        <v>0</v>
      </c>
      <c r="O307">
        <f>計算表!O323</f>
        <v>0</v>
      </c>
      <c r="P307">
        <f>計算表!P323</f>
        <v>0</v>
      </c>
      <c r="Q307">
        <f>計算表!Q323</f>
        <v>0</v>
      </c>
      <c r="R307">
        <f>計算表!R323</f>
        <v>0</v>
      </c>
    </row>
    <row r="308" spans="1:18" x14ac:dyDescent="0.25">
      <c r="A308">
        <f>計算表!A324</f>
        <v>323</v>
      </c>
      <c r="B308">
        <f>計算表!B324</f>
        <v>0</v>
      </c>
      <c r="C308" t="str">
        <f>計算表!C324</f>
        <v>表-稀有度</v>
      </c>
      <c r="D308" t="str">
        <f>計算表!D324</f>
        <v>稀有</v>
      </c>
      <c r="E308" t="str">
        <f>計算表!E324</f>
        <v>（查表）</v>
      </c>
      <c r="F308" t="str">
        <f>計算表!F324</f>
        <v>a=詞條數值倍率 b=詞條數下限 c=詞條數上限 d=寶石插槽 e=附魔欄位 f=分解係數 g=符文孔數（0＝沒有符文孔；上限與雙手武器加成見 Runes 表）。</v>
      </c>
      <c r="G308">
        <f>計算表!G324</f>
        <v>1.75</v>
      </c>
      <c r="H308">
        <f>計算表!H324</f>
        <v>2</v>
      </c>
      <c r="I308">
        <f>計算表!I324</f>
        <v>2</v>
      </c>
      <c r="J308">
        <f>計算表!J324</f>
        <v>1</v>
      </c>
      <c r="K308">
        <f>計算表!K324</f>
        <v>1</v>
      </c>
      <c r="L308">
        <f>計算表!L324</f>
        <v>2.8</v>
      </c>
      <c r="M308">
        <f>計算表!M324</f>
        <v>1</v>
      </c>
      <c r="N308">
        <f>計算表!N324</f>
        <v>0</v>
      </c>
      <c r="O308">
        <f>計算表!O324</f>
        <v>0</v>
      </c>
      <c r="P308">
        <f>計算表!P324</f>
        <v>0</v>
      </c>
      <c r="Q308">
        <f>計算表!Q324</f>
        <v>0</v>
      </c>
      <c r="R308">
        <f>計算表!R324</f>
        <v>0</v>
      </c>
    </row>
    <row r="309" spans="1:18" x14ac:dyDescent="0.25">
      <c r="A309">
        <f>計算表!A325</f>
        <v>324</v>
      </c>
      <c r="B309">
        <f>計算表!B325</f>
        <v>0</v>
      </c>
      <c r="C309" t="str">
        <f>計算表!C325</f>
        <v>表-稀有度</v>
      </c>
      <c r="D309" t="str">
        <f>計算表!D325</f>
        <v>獨特</v>
      </c>
      <c r="E309" t="str">
        <f>計算表!E325</f>
        <v>（查表）</v>
      </c>
      <c r="F309" t="str">
        <f>計算表!F325</f>
        <v>a=詞條數值倍率 b=詞條數下限 c=詞條數上限 d=寶石插槽 e=附魔欄位 f=分解係數 g=符文孔數（0＝沒有符文孔；上限與雙手武器加成見 Runes 表）。</v>
      </c>
      <c r="G309" s="7" t="s">
        <v>1055</v>
      </c>
      <c r="H309">
        <f>計算表!H325</f>
        <v>3</v>
      </c>
      <c r="I309">
        <f>計算表!I325</f>
        <v>3</v>
      </c>
      <c r="J309">
        <f>計算表!J325</f>
        <v>1</v>
      </c>
      <c r="K309">
        <f>計算表!K325</f>
        <v>1</v>
      </c>
      <c r="L309">
        <f>計算表!L325</f>
        <v>4.5</v>
      </c>
      <c r="M309">
        <f>計算表!M325</f>
        <v>1</v>
      </c>
      <c r="N309">
        <f>計算表!N325</f>
        <v>0</v>
      </c>
      <c r="O309">
        <f>計算表!O325</f>
        <v>0</v>
      </c>
      <c r="P309">
        <f>計算表!P325</f>
        <v>0</v>
      </c>
      <c r="Q309">
        <f>計算表!Q325</f>
        <v>0</v>
      </c>
      <c r="R309">
        <f>計算表!R325</f>
        <v>0</v>
      </c>
    </row>
    <row r="310" spans="1:18" x14ac:dyDescent="0.25">
      <c r="A310">
        <f>計算表!A326</f>
        <v>325</v>
      </c>
      <c r="B310">
        <f>計算表!B326</f>
        <v>0</v>
      </c>
      <c r="C310" t="str">
        <f>計算表!C326</f>
        <v>表-稀有度</v>
      </c>
      <c r="D310" t="str">
        <f>計算表!D326</f>
        <v>史詩</v>
      </c>
      <c r="E310" t="str">
        <f>計算表!E326</f>
        <v>（查表）</v>
      </c>
      <c r="F310" t="str">
        <f>計算表!F326</f>
        <v>a=詞條數值倍率 b=詞條數下限 c=詞條數上限 d=寶石插槽 e=附魔欄位 f=分解係數 g=符文孔數（0＝沒有符文孔；上限與雙手武器加成見 Runes 表）。</v>
      </c>
      <c r="G310">
        <f>計算表!G326</f>
        <v>3</v>
      </c>
      <c r="H310">
        <f>計算表!H326</f>
        <v>4</v>
      </c>
      <c r="I310">
        <f>計算表!I326</f>
        <v>4</v>
      </c>
      <c r="J310">
        <f>計算表!J326</f>
        <v>2</v>
      </c>
      <c r="K310">
        <f>計算表!K326</f>
        <v>2</v>
      </c>
      <c r="L310">
        <f>計算表!L326</f>
        <v>7.5</v>
      </c>
      <c r="M310">
        <f>計算表!M326</f>
        <v>2</v>
      </c>
      <c r="N310">
        <f>計算表!N326</f>
        <v>0</v>
      </c>
      <c r="O310">
        <f>計算表!O326</f>
        <v>0</v>
      </c>
      <c r="P310">
        <f>計算表!P326</f>
        <v>0</v>
      </c>
      <c r="Q310">
        <f>計算表!Q326</f>
        <v>0</v>
      </c>
      <c r="R310">
        <f>計算表!R326</f>
        <v>0</v>
      </c>
    </row>
    <row r="311" spans="1:18" x14ac:dyDescent="0.25">
      <c r="A311">
        <f>計算表!A327</f>
        <v>326</v>
      </c>
      <c r="B311">
        <f>計算表!B327</f>
        <v>0</v>
      </c>
      <c r="C311" t="str">
        <f>計算表!C327</f>
        <v>表-稀有度</v>
      </c>
      <c r="D311" t="str">
        <f>計算表!D327</f>
        <v>傳說</v>
      </c>
      <c r="E311" t="str">
        <f>計算表!E327</f>
        <v>（查表）</v>
      </c>
      <c r="F311" t="str">
        <f>計算表!F327</f>
        <v>a=詞條數值倍率 b=詞條數下限 c=詞條數上限 d=寶石插槽 e=附魔欄位 f=分解係數 g=符文孔數（0＝沒有符文孔；上限與雙手武器加成見 Runes 表）。</v>
      </c>
      <c r="G311">
        <f>計算表!G327</f>
        <v>4</v>
      </c>
      <c r="H311">
        <f>計算表!H327</f>
        <v>5</v>
      </c>
      <c r="I311">
        <f>計算表!I327</f>
        <v>5</v>
      </c>
      <c r="J311">
        <f>計算表!J327</f>
        <v>2</v>
      </c>
      <c r="K311">
        <f>計算表!K327</f>
        <v>2</v>
      </c>
      <c r="L311">
        <f>計算表!L327</f>
        <v>12</v>
      </c>
      <c r="M311">
        <f>計算表!M327</f>
        <v>2</v>
      </c>
      <c r="N311">
        <f>計算表!N327</f>
        <v>0</v>
      </c>
      <c r="O311">
        <f>計算表!O327</f>
        <v>0</v>
      </c>
      <c r="P311">
        <f>計算表!P327</f>
        <v>0</v>
      </c>
      <c r="Q311">
        <f>計算表!Q327</f>
        <v>0</v>
      </c>
      <c r="R311">
        <f>計算表!R327</f>
        <v>0</v>
      </c>
    </row>
    <row r="312" spans="1:18" x14ac:dyDescent="0.25">
      <c r="A312">
        <f>計算表!A328</f>
        <v>327</v>
      </c>
      <c r="B312">
        <f>計算表!B328</f>
        <v>0</v>
      </c>
      <c r="C312" t="str">
        <f>計算表!C328</f>
        <v>表-稀有度</v>
      </c>
      <c r="D312" t="str">
        <f>計算表!D328</f>
        <v>神話</v>
      </c>
      <c r="E312" t="str">
        <f>計算表!E328</f>
        <v>（查表）</v>
      </c>
      <c r="F312" t="str">
        <f>計算表!F328</f>
        <v>a=詞條數值倍率 b=詞條數下限 c=詞條數上限 d=寶石插槽 e=附魔欄位 f=分解係數 g=符文孔數（0＝沒有符文孔；上限與雙手武器加成見 Runes 表）。</v>
      </c>
      <c r="G312">
        <f>計算表!G328</f>
        <v>5.2</v>
      </c>
      <c r="H312">
        <f>計算表!H328</f>
        <v>6</v>
      </c>
      <c r="I312">
        <f>計算表!I328</f>
        <v>6</v>
      </c>
      <c r="J312">
        <f>計算表!J328</f>
        <v>2</v>
      </c>
      <c r="K312">
        <f>計算表!K328</f>
        <v>2</v>
      </c>
      <c r="L312">
        <f>計算表!L328</f>
        <v>19</v>
      </c>
      <c r="M312">
        <f>計算表!M328</f>
        <v>2</v>
      </c>
      <c r="N312">
        <f>計算表!N328</f>
        <v>0</v>
      </c>
      <c r="O312">
        <f>計算表!O328</f>
        <v>0</v>
      </c>
      <c r="P312">
        <f>計算表!P328</f>
        <v>0</v>
      </c>
      <c r="Q312">
        <f>計算表!Q328</f>
        <v>0</v>
      </c>
      <c r="R312">
        <f>計算表!R328</f>
        <v>0</v>
      </c>
    </row>
    <row r="313" spans="1:18" x14ac:dyDescent="0.25">
      <c r="A313">
        <f>計算表!A329</f>
        <v>328</v>
      </c>
      <c r="B313">
        <f>計算表!B329</f>
        <v>0</v>
      </c>
      <c r="C313" t="str">
        <f>計算表!C329</f>
        <v>表-稀有度</v>
      </c>
      <c r="D313" t="str">
        <f>計算表!D329</f>
        <v>創世</v>
      </c>
      <c r="E313" t="str">
        <f>計算表!E329</f>
        <v>（查表）</v>
      </c>
      <c r="F313" t="str">
        <f>計算表!F329</f>
        <v>a=詞條數值倍率 b=詞條數下限 c=詞條數上限 d=寶石插槽 e=附魔欄位 f=分解係數 g=符文孔數（0＝沒有符文孔；上限與雙手武器加成見 Runes 表）。</v>
      </c>
      <c r="G313">
        <f>計算表!G329</f>
        <v>6.8</v>
      </c>
      <c r="H313">
        <f>計算表!H329</f>
        <v>7</v>
      </c>
      <c r="I313">
        <f>計算表!I329</f>
        <v>7</v>
      </c>
      <c r="J313">
        <f>計算表!J329</f>
        <v>3</v>
      </c>
      <c r="K313">
        <f>計算表!K329</f>
        <v>3</v>
      </c>
      <c r="L313">
        <f>計算表!L329</f>
        <v>30</v>
      </c>
      <c r="M313">
        <f>計算表!M329</f>
        <v>3</v>
      </c>
      <c r="N313">
        <f>計算表!N329</f>
        <v>0</v>
      </c>
      <c r="O313">
        <f>計算表!O329</f>
        <v>0</v>
      </c>
      <c r="P313">
        <f>計算表!P329</f>
        <v>0</v>
      </c>
      <c r="Q313">
        <f>計算表!Q329</f>
        <v>0</v>
      </c>
      <c r="R313">
        <f>計算表!R329</f>
        <v>0</v>
      </c>
    </row>
    <row r="314" spans="1:18" x14ac:dyDescent="0.25">
      <c r="A314">
        <f>計算表!A330</f>
        <v>329</v>
      </c>
      <c r="B314">
        <f>計算表!B330</f>
        <v>0</v>
      </c>
      <c r="C314" t="str">
        <f>計算表!C330</f>
        <v>表-稀有度</v>
      </c>
      <c r="D314" t="str">
        <f>計算表!D330</f>
        <v>神鑄創世</v>
      </c>
      <c r="E314" t="str">
        <f>計算表!E330</f>
        <v>（查表）</v>
      </c>
      <c r="F314" t="str">
        <f>計算表!F330</f>
        <v>a=詞條數值倍率 b=詞條數下限 c=詞條數上限 d=寶石插槽 e=附魔欄位 f=分解係數 g=符文孔數（0＝沒有符文孔；上限與雙手武器加成見 Runes 表）。</v>
      </c>
      <c r="G314" s="7" t="s">
        <v>1056</v>
      </c>
      <c r="H314">
        <f>計算表!H330</f>
        <v>8</v>
      </c>
      <c r="I314">
        <f>計算表!I330</f>
        <v>8</v>
      </c>
      <c r="J314">
        <f>計算表!J330</f>
        <v>3</v>
      </c>
      <c r="K314">
        <f>計算表!K330</f>
        <v>3</v>
      </c>
      <c r="L314">
        <f>計算表!L330</f>
        <v>45</v>
      </c>
      <c r="M314">
        <f>計算表!M330</f>
        <v>3</v>
      </c>
      <c r="N314">
        <f>計算表!N330</f>
        <v>0</v>
      </c>
      <c r="O314">
        <f>計算表!O330</f>
        <v>0</v>
      </c>
      <c r="P314">
        <f>計算表!P330</f>
        <v>0</v>
      </c>
      <c r="Q314">
        <f>計算表!Q330</f>
        <v>0</v>
      </c>
      <c r="R314">
        <f>計算表!R330</f>
        <v>0</v>
      </c>
    </row>
    <row r="315" spans="1:18" x14ac:dyDescent="0.25">
      <c r="A315">
        <f>計算表!A331</f>
        <v>330</v>
      </c>
      <c r="B315">
        <f>計算表!B331</f>
        <v>0</v>
      </c>
      <c r="C315" t="str">
        <f>計算表!C331</f>
        <v>表-稀有度</v>
      </c>
      <c r="D315" t="str">
        <f>計算表!D331</f>
        <v>混沌</v>
      </c>
      <c r="E315" t="str">
        <f>計算表!E331</f>
        <v>（查表）</v>
      </c>
      <c r="F315" t="str">
        <f>計算表!F331</f>
        <v>a=詞條數值倍率 b=詞條數下限 c=詞條數上限 d=寶石插槽 e=附魔欄位 f=分解係數 g=符文孔數（0＝沒有符文孔；上限與雙手武器加成見 Runes 表）；倍率與分解係數為暫定值，可調整。</v>
      </c>
      <c r="G315">
        <f>計算表!G331</f>
        <v>15.3</v>
      </c>
      <c r="H315">
        <f>計算表!H331</f>
        <v>9</v>
      </c>
      <c r="I315">
        <f>計算表!I331</f>
        <v>9</v>
      </c>
      <c r="J315">
        <f>計算表!J331</f>
        <v>4</v>
      </c>
      <c r="K315">
        <f>計算表!K331</f>
        <v>3</v>
      </c>
      <c r="L315">
        <f>計算表!L331</f>
        <v>67.5</v>
      </c>
      <c r="M315">
        <f>計算表!M331</f>
        <v>4</v>
      </c>
      <c r="N315">
        <f>計算表!N331</f>
        <v>0</v>
      </c>
      <c r="O315">
        <f>計算表!O331</f>
        <v>0</v>
      </c>
      <c r="P315">
        <f>計算表!P331</f>
        <v>0</v>
      </c>
      <c r="Q315">
        <f>計算表!Q331</f>
        <v>0</v>
      </c>
      <c r="R315">
        <f>計算表!R331</f>
        <v>0</v>
      </c>
    </row>
    <row r="316" spans="1:18" x14ac:dyDescent="0.25">
      <c r="A316">
        <f>計算表!A332</f>
        <v>331</v>
      </c>
      <c r="B316">
        <f>計算表!B332</f>
        <v>0</v>
      </c>
      <c r="C316" t="str">
        <f>計算表!C332</f>
        <v>表-稀有度</v>
      </c>
      <c r="D316" t="str">
        <f>計算表!D332</f>
        <v>神鑄混沌</v>
      </c>
      <c r="E316" t="str">
        <f>計算表!E332</f>
        <v>（查表）</v>
      </c>
      <c r="F316" t="str">
        <f>計算表!F332</f>
        <v>a=詞條數值倍率 b=詞條數下限 c=詞條數上限 d=寶石插槽 e=附魔欄位 f=分解係數 g=符文孔數（0＝沒有符文孔；上限與雙手武器加成見 Runes 表）；倍率與分解係數為暫定值，可調整。</v>
      </c>
      <c r="G316">
        <f>計算表!G332</f>
        <v>22.95</v>
      </c>
      <c r="H316">
        <f>計算表!H332</f>
        <v>10</v>
      </c>
      <c r="I316">
        <f>計算表!I332</f>
        <v>10</v>
      </c>
      <c r="J316">
        <f>計算表!J332</f>
        <v>4</v>
      </c>
      <c r="K316">
        <f>計算表!K332</f>
        <v>3</v>
      </c>
      <c r="L316">
        <f>計算表!L332</f>
        <v>101.25</v>
      </c>
      <c r="M316">
        <f>計算表!M332</f>
        <v>4</v>
      </c>
      <c r="N316">
        <f>計算表!N332</f>
        <v>0</v>
      </c>
      <c r="O316">
        <f>計算表!O332</f>
        <v>0</v>
      </c>
      <c r="P316">
        <f>計算表!P332</f>
        <v>0</v>
      </c>
      <c r="Q316">
        <f>計算表!Q332</f>
        <v>0</v>
      </c>
      <c r="R316">
        <f>計算表!R332</f>
        <v>0</v>
      </c>
    </row>
    <row r="317" spans="1:18" x14ac:dyDescent="0.25">
      <c r="A317">
        <f>計算表!A333</f>
        <v>332</v>
      </c>
      <c r="B317">
        <f>計算表!B333</f>
        <v>0</v>
      </c>
      <c r="C317" t="str">
        <f>計算表!C333</f>
        <v>6-裝備</v>
      </c>
      <c r="D317" t="str">
        <f>計算表!D333</f>
        <v>等級前不出現的屬性</v>
      </c>
      <c r="E317" t="str">
        <f>計算表!E333</f>
        <v>裝備等級（或角色等級）≤ 等級 時，陣列內的詞條不出現</v>
      </c>
      <c r="F317" t="str">
        <f>計算表!F333</f>
        <v>屬性解鎖門檻（2026-10-05）。成對填寫：a＝等級、b＝該等級（含）以前不出現的詞條陣列；c／d＝第二組、e／f＝第三組…（最多六組，不用的組留空或填 0）。判斷基準：裝備掉落的詞條隨機、洗煉、詞條池提示看「裝備等級」；角色屬性面板看「角色等級」，≤ 等級就不顯示該列。已經在裝備上的詞條不受影響、照常生效。陣列寫法 {詞條鍵,詞條鍵…}，鍵見 Equipment_Affix 表「詞條池」的 id 欄：elemDmgFire／Ice／Lightning／Poison／Light／Dark／Earth／Wind＝火冰雷毒聖暗地風屬性傷害提升；resFire／Ice／Lightning／Poison／Light／Dark／Earth／Wind＝各屬性抗性；resAll＝全屬性抗性。同一個鍵出現在多組時取最高的等級；打錯鍵套用參數會中止並指出是哪一個。</v>
      </c>
      <c r="G317">
        <f>計算表!G333</f>
        <v>200</v>
      </c>
      <c r="H317" t="str">
        <f>計算表!H333</f>
        <v>{elemDmgFire,elemDmgIce,elemDmgLightning,elemDmgPoison,elemDmgLight,elemDmgDark,elemDmgEarth,elemDmgWind,resFire,resIce,resLightning,resPoison,resLight,resDark,resEarth,resWind,resAll}</v>
      </c>
      <c r="I317">
        <f>計算表!I333</f>
        <v>0</v>
      </c>
      <c r="J317">
        <f>計算表!J333</f>
        <v>0</v>
      </c>
      <c r="K317">
        <f>計算表!K333</f>
        <v>0</v>
      </c>
      <c r="L317">
        <f>計算表!L333</f>
        <v>0</v>
      </c>
      <c r="M317">
        <f>計算表!M333</f>
        <v>0</v>
      </c>
      <c r="N317">
        <f>計算表!N333</f>
        <v>0</v>
      </c>
      <c r="O317">
        <f>計算表!O333</f>
        <v>0</v>
      </c>
      <c r="P317">
        <f>計算表!P333</f>
        <v>0</v>
      </c>
      <c r="Q317">
        <f>計算表!Q333</f>
        <v>0</v>
      </c>
      <c r="R317">
        <f>計算表!R333</f>
        <v>0</v>
      </c>
    </row>
    <row r="318" spans="1:18" x14ac:dyDescent="0.25">
      <c r="A318">
        <f>計算表!A334</f>
        <v>333</v>
      </c>
      <c r="B318">
        <f>計算表!B334</f>
        <v>0</v>
      </c>
      <c r="C318" t="str">
        <f>計算表!C334</f>
        <v>4-菁英群組</v>
      </c>
      <c r="D318" t="str">
        <f>計算表!D334</f>
        <v>普通關菁英機率(荒漠)</v>
      </c>
      <c r="E318" t="str">
        <f>計算表!E334</f>
        <v>每波有 x% 機率改出菁英群</v>
      </c>
      <c r="F318" t="str">
        <f>計算表!F334</f>
        <v>普通關（階段不是 10 的倍數）每一波補怪時，改出一群菁英的機率（%）。寫法 {最低關~最高關,機率%}。每一格寫一個關卡區間；同一關落在多格時取最前面那一格；留空或 0 的格子略過，關卡沒被任何區間涵蓋就視為 0。「其他地圖」是神界三圖（沒有專屬一列的地圖）共用的一列。菁英關（10 的倍數）每一波都是菁英群，不看這一列。</v>
      </c>
      <c r="G318" s="7" t="str">
        <f>計算表!G334</f>
        <v>{1~10,1}</v>
      </c>
      <c r="H318" s="7" t="str">
        <f>計算表!H334</f>
        <v>{11~50,3}</v>
      </c>
      <c r="I318" s="7" t="str">
        <f>計算表!I334</f>
        <v>{51~100,5}</v>
      </c>
      <c r="J318" s="7" t="str">
        <f>計算表!J334</f>
        <v>{101~9999,7}</v>
      </c>
      <c r="K318">
        <f>計算表!K334</f>
        <v>0</v>
      </c>
      <c r="L318">
        <f>計算表!L334</f>
        <v>0</v>
      </c>
      <c r="M318">
        <f>計算表!M334</f>
        <v>0</v>
      </c>
      <c r="N318">
        <f>計算表!N334</f>
        <v>0</v>
      </c>
      <c r="O318">
        <f>計算表!O334</f>
        <v>0</v>
      </c>
      <c r="P318">
        <f>計算表!P334</f>
        <v>0</v>
      </c>
      <c r="Q318">
        <f>計算表!Q334</f>
        <v>0</v>
      </c>
      <c r="R318">
        <f>計算表!R334</f>
        <v>0</v>
      </c>
    </row>
    <row r="319" spans="1:18" x14ac:dyDescent="0.25">
      <c r="A319">
        <f>計算表!A335</f>
        <v>334</v>
      </c>
      <c r="B319">
        <f>計算表!B335</f>
        <v>0</v>
      </c>
      <c r="C319" t="str">
        <f>計算表!C335</f>
        <v>4-菁英群組</v>
      </c>
      <c r="D319" t="str">
        <f>計算表!D335</f>
        <v>普通關菁英機率(冰原)</v>
      </c>
      <c r="E319" t="str">
        <f>計算表!E335</f>
        <v>每波有 x% 機率改出菁英群</v>
      </c>
      <c r="F319" t="str">
        <f>計算表!F335</f>
        <v>普通關（階段不是 10 的倍數）每一波補怪時，改出一群菁英的機率（%）。寫法 {最低關~最高關,機率%}。每一格寫一個關卡區間；同一關落在多格時取最前面那一格；留空或 0 的格子略過，關卡沒被任何區間涵蓋就視為 0。「其他地圖」是神界三圖（沒有專屬一列的地圖）共用的一列。菁英關（10 的倍數）每一波都是菁英群，不看這一列。</v>
      </c>
      <c r="G319" s="7" t="str">
        <f>計算表!G335</f>
        <v>{1~100,6}</v>
      </c>
      <c r="H319" s="7" t="str">
        <f>計算表!H335</f>
        <v>{101~9999,9}</v>
      </c>
      <c r="I319">
        <f>計算表!I335</f>
        <v>0</v>
      </c>
      <c r="J319">
        <f>計算表!J335</f>
        <v>0</v>
      </c>
      <c r="K319">
        <f>計算表!K335</f>
        <v>0</v>
      </c>
      <c r="L319">
        <f>計算表!L335</f>
        <v>0</v>
      </c>
      <c r="M319">
        <f>計算表!M335</f>
        <v>0</v>
      </c>
      <c r="N319">
        <f>計算表!N335</f>
        <v>0</v>
      </c>
      <c r="O319">
        <f>計算表!O335</f>
        <v>0</v>
      </c>
      <c r="P319">
        <f>計算表!P335</f>
        <v>0</v>
      </c>
      <c r="Q319">
        <f>計算表!Q335</f>
        <v>0</v>
      </c>
      <c r="R319">
        <f>計算表!R335</f>
        <v>0</v>
      </c>
    </row>
    <row r="320" spans="1:18" x14ac:dyDescent="0.25">
      <c r="A320">
        <f>計算表!A336</f>
        <v>335</v>
      </c>
      <c r="B320">
        <f>計算表!B336</f>
        <v>0</v>
      </c>
      <c r="C320" t="str">
        <f>計算表!C336</f>
        <v>4-菁英群組</v>
      </c>
      <c r="D320" t="str">
        <f>計算表!D336</f>
        <v>普通關菁英機率(沼澤)</v>
      </c>
      <c r="E320" t="str">
        <f>計算表!E336</f>
        <v>每波有 x% 機率改出菁英群</v>
      </c>
      <c r="F320" t="str">
        <f>計算表!F336</f>
        <v>普通關（階段不是 10 的倍數）每一波補怪時，改出一群菁英的機率（%）。寫法 {最低關~最高關,機率%}。每一格寫一個關卡區間；同一關落在多格時取最前面那一格；留空或 0 的格子略過，關卡沒被任何區間涵蓋就視為 0。「其他地圖」是神界三圖（沒有專屬一列的地圖）共用的一列。菁英關（10 的倍數）每一波都是菁英群，不看這一列。</v>
      </c>
      <c r="G320" s="7" t="str">
        <f>計算表!G336</f>
        <v>{1~100,8}</v>
      </c>
      <c r="H320" s="7" t="str">
        <f>計算表!H336</f>
        <v>{101~9999,11}</v>
      </c>
      <c r="I320">
        <f>計算表!I336</f>
        <v>0</v>
      </c>
      <c r="J320">
        <f>計算表!J336</f>
        <v>0</v>
      </c>
      <c r="K320">
        <f>計算表!K336</f>
        <v>0</v>
      </c>
      <c r="L320">
        <f>計算表!L336</f>
        <v>0</v>
      </c>
      <c r="M320">
        <f>計算表!M336</f>
        <v>0</v>
      </c>
      <c r="N320">
        <f>計算表!N336</f>
        <v>0</v>
      </c>
      <c r="O320">
        <f>計算表!O336</f>
        <v>0</v>
      </c>
      <c r="P320">
        <f>計算表!P336</f>
        <v>0</v>
      </c>
      <c r="Q320">
        <f>計算表!Q336</f>
        <v>0</v>
      </c>
      <c r="R320">
        <f>計算表!R336</f>
        <v>0</v>
      </c>
    </row>
    <row r="321" spans="1:18" x14ac:dyDescent="0.25">
      <c r="A321">
        <f>計算表!A337</f>
        <v>336</v>
      </c>
      <c r="B321">
        <f>計算表!B337</f>
        <v>0</v>
      </c>
      <c r="C321" t="str">
        <f>計算表!C337</f>
        <v>4-菁英群組</v>
      </c>
      <c r="D321" t="str">
        <f>計算表!D337</f>
        <v>普通關菁英機率(亡靈山脈)</v>
      </c>
      <c r="E321" t="str">
        <f>計算表!E337</f>
        <v>每波有 x% 機率改出菁英群</v>
      </c>
      <c r="F321" t="str">
        <f>計算表!F337</f>
        <v>普通關（階段不是 10 的倍數）每一波補怪時，改出一群菁英的機率（%）。寫法 {最低關~最高關,機率%}。每一格寫一個關卡區間；同一關落在多格時取最前面那一格；留空或 0 的格子略過，關卡沒被任何區間涵蓋就視為 0。「其他地圖」是神界三圖（沒有專屬一列的地圖）共用的一列。菁英關（10 的倍數）每一波都是菁英群，不看這一列。</v>
      </c>
      <c r="G321" s="7" t="str">
        <f>計算表!G337</f>
        <v>{1~200,10}</v>
      </c>
      <c r="H321" s="7" t="str">
        <f>計算表!H337</f>
        <v>{201~9999,13}</v>
      </c>
      <c r="I321">
        <f>計算表!I337</f>
        <v>0</v>
      </c>
      <c r="J321">
        <f>計算表!J337</f>
        <v>0</v>
      </c>
      <c r="K321">
        <f>計算表!K337</f>
        <v>0</v>
      </c>
      <c r="L321">
        <f>計算表!L337</f>
        <v>0</v>
      </c>
      <c r="M321">
        <f>計算表!M337</f>
        <v>0</v>
      </c>
      <c r="N321">
        <f>計算表!N337</f>
        <v>0</v>
      </c>
      <c r="O321">
        <f>計算表!O337</f>
        <v>0</v>
      </c>
      <c r="P321">
        <f>計算表!P337</f>
        <v>0</v>
      </c>
      <c r="Q321">
        <f>計算表!Q337</f>
        <v>0</v>
      </c>
      <c r="R321">
        <f>計算表!R337</f>
        <v>0</v>
      </c>
    </row>
    <row r="322" spans="1:18" x14ac:dyDescent="0.25">
      <c r="A322">
        <f>計算表!A338</f>
        <v>337</v>
      </c>
      <c r="B322">
        <f>計算表!B338</f>
        <v>0</v>
      </c>
      <c r="C322" t="str">
        <f>計算表!C338</f>
        <v>4-菁英群組</v>
      </c>
      <c r="D322" t="str">
        <f>計算表!D338</f>
        <v>普通關菁英機率(其他地圖)</v>
      </c>
      <c r="E322" t="str">
        <f>計算表!E338</f>
        <v>每波有 x% 機率改出菁英群</v>
      </c>
      <c r="F322" t="str">
        <f>計算表!F338</f>
        <v>普通關（階段不是 10 的倍數）每一波補怪時，改出一群菁英的機率（%）。寫法 {最低關~最高關,機率%}。每一格寫一個關卡區間；同一關落在多格時取最前面那一格；留空或 0 的格子略過，關卡沒被任何區間涵蓋就視為 0。「其他地圖」是神界三圖（沒有專屬一列的地圖）共用的一列。菁英關（10 的倍數）每一波都是菁英群，不看這一列。</v>
      </c>
      <c r="G322" s="7" t="str">
        <f>計算表!G338</f>
        <v>{1~9999,12}</v>
      </c>
      <c r="H322">
        <f>計算表!H338</f>
        <v>0</v>
      </c>
      <c r="I322">
        <f>計算表!I338</f>
        <v>0</v>
      </c>
      <c r="J322">
        <f>計算表!J338</f>
        <v>0</v>
      </c>
      <c r="K322">
        <f>計算表!K338</f>
        <v>0</v>
      </c>
      <c r="L322">
        <f>計算表!L338</f>
        <v>0</v>
      </c>
      <c r="M322">
        <f>計算表!M338</f>
        <v>0</v>
      </c>
      <c r="N322">
        <f>計算表!N338</f>
        <v>0</v>
      </c>
      <c r="O322">
        <f>計算表!O338</f>
        <v>0</v>
      </c>
      <c r="P322">
        <f>計算表!P338</f>
        <v>0</v>
      </c>
      <c r="Q322">
        <f>計算表!Q338</f>
        <v>0</v>
      </c>
      <c r="R322">
        <f>計算表!R338</f>
        <v>0</v>
      </c>
    </row>
    <row r="323" spans="1:18" x14ac:dyDescent="0.25">
      <c r="A323">
        <f>計算表!A339</f>
        <v>338</v>
      </c>
      <c r="B323">
        <f>計算表!B339</f>
        <v>0</v>
      </c>
      <c r="C323" t="str">
        <f>計算表!C339</f>
        <v>4-菁英群組</v>
      </c>
      <c r="D323" t="str">
        <f>計算表!D339</f>
        <v>群組成員數權重(荒漠)</v>
      </c>
      <c r="E323" t="str">
        <f>計算表!E339</f>
        <v>權重表：{關卡下限~上限,隻數,權重}</v>
      </c>
      <c r="F323" t="str">
        <f>計算表!F339</f>
        <v>一個菁英群有幾隻。寫法 {最低關~最高關,隻數,權重}：同一個關卡區間可以寫多格（2 隻、3 隻、4 隻各一格），權重只看相對大小、總和不必湊 100。每一格寫一個關卡區間；同一關落在多格時取最前面那一格；留空或 0 的格子略過，關卡沒被任何區間涵蓋就視為 0。「其他地圖」是神界三圖（沒有專屬一列的地圖）共用的一列。</v>
      </c>
      <c r="G323" s="7" t="str">
        <f>計算表!G339</f>
        <v>{1~100,2,60}</v>
      </c>
      <c r="H323" s="7" t="str">
        <f>計算表!H339</f>
        <v>{1~100,3,30}</v>
      </c>
      <c r="I323" s="7" t="str">
        <f>計算表!I339</f>
        <v>{1~100,4,10}</v>
      </c>
      <c r="J323" s="7" t="str">
        <f>計算表!J339</f>
        <v>{101~9999,2,40}</v>
      </c>
      <c r="K323" s="7" t="str">
        <f>計算表!K339</f>
        <v>{101~9999,3,40}</v>
      </c>
      <c r="L323" s="7" t="str">
        <f>計算表!L339</f>
        <v>{101~9999,4,20}</v>
      </c>
      <c r="M323">
        <f>計算表!M339</f>
        <v>0</v>
      </c>
      <c r="N323">
        <f>計算表!N339</f>
        <v>0</v>
      </c>
      <c r="O323">
        <f>計算表!O339</f>
        <v>0</v>
      </c>
      <c r="P323">
        <f>計算表!P339</f>
        <v>0</v>
      </c>
      <c r="Q323">
        <f>計算表!Q339</f>
        <v>0</v>
      </c>
      <c r="R323">
        <f>計算表!R339</f>
        <v>0</v>
      </c>
    </row>
    <row r="324" spans="1:18" x14ac:dyDescent="0.25">
      <c r="A324">
        <f>計算表!A340</f>
        <v>339</v>
      </c>
      <c r="B324">
        <f>計算表!B340</f>
        <v>0</v>
      </c>
      <c r="C324" t="str">
        <f>計算表!C340</f>
        <v>4-菁英群組</v>
      </c>
      <c r="D324" t="str">
        <f>計算表!D340</f>
        <v>群組成員數權重(冰原)</v>
      </c>
      <c r="E324" t="str">
        <f>計算表!E340</f>
        <v>權重表：{關卡下限~上限,隻數,權重}</v>
      </c>
      <c r="F324" t="str">
        <f>計算表!F340</f>
        <v>一個菁英群有幾隻。寫法 {最低關~最高關,隻數,權重}：同一個關卡區間可以寫多格（2 隻、3 隻、4 隻各一格），權重只看相對大小、總和不必湊 100。每一格寫一個關卡區間；同一關落在多格時取最前面那一格；留空或 0 的格子略過，關卡沒被任何區間涵蓋就視為 0。「其他地圖」是神界三圖（沒有專屬一列的地圖）共用的一列。</v>
      </c>
      <c r="G324" s="7" t="str">
        <f>計算表!G340</f>
        <v>{1~9999,2,50}</v>
      </c>
      <c r="H324" s="7" t="str">
        <f>計算表!H340</f>
        <v>{1~9999,3,35}</v>
      </c>
      <c r="I324" s="7" t="str">
        <f>計算表!I340</f>
        <v>{1~9999,4,15}</v>
      </c>
      <c r="J324">
        <f>計算表!J340</f>
        <v>0</v>
      </c>
      <c r="K324">
        <f>計算表!K340</f>
        <v>0</v>
      </c>
      <c r="L324">
        <f>計算表!L340</f>
        <v>0</v>
      </c>
      <c r="M324">
        <f>計算表!M340</f>
        <v>0</v>
      </c>
      <c r="N324">
        <f>計算表!N340</f>
        <v>0</v>
      </c>
      <c r="O324">
        <f>計算表!O340</f>
        <v>0</v>
      </c>
      <c r="P324">
        <f>計算表!P340</f>
        <v>0</v>
      </c>
      <c r="Q324">
        <f>計算表!Q340</f>
        <v>0</v>
      </c>
      <c r="R324">
        <f>計算表!R340</f>
        <v>0</v>
      </c>
    </row>
    <row r="325" spans="1:18" x14ac:dyDescent="0.25">
      <c r="A325">
        <f>計算表!A341</f>
        <v>340</v>
      </c>
      <c r="B325">
        <f>計算表!B341</f>
        <v>0</v>
      </c>
      <c r="C325" t="str">
        <f>計算表!C341</f>
        <v>4-菁英群組</v>
      </c>
      <c r="D325" t="str">
        <f>計算表!D341</f>
        <v>群組成員數權重(沼澤)</v>
      </c>
      <c r="E325" t="str">
        <f>計算表!E341</f>
        <v>權重表：{關卡下限~上限,隻數,權重}</v>
      </c>
      <c r="F325" t="str">
        <f>計算表!F341</f>
        <v>一個菁英群有幾隻。寫法 {最低關~最高關,隻數,權重}：同一個關卡區間可以寫多格（2 隻、3 隻、4 隻各一格），權重只看相對大小、總和不必湊 100。每一格寫一個關卡區間；同一關落在多格時取最前面那一格；留空或 0 的格子略過，關卡沒被任何區間涵蓋就視為 0。「其他地圖」是神界三圖（沒有專屬一列的地圖）共用的一列。</v>
      </c>
      <c r="G325" s="7" t="str">
        <f>計算表!G341</f>
        <v>{1~9999,2,40}</v>
      </c>
      <c r="H325" s="7" t="str">
        <f>計算表!H341</f>
        <v>{1~9999,3,40}</v>
      </c>
      <c r="I325" s="7" t="str">
        <f>計算表!I341</f>
        <v>{1~9999,4,20}</v>
      </c>
      <c r="J325">
        <f>計算表!J341</f>
        <v>0</v>
      </c>
      <c r="K325">
        <f>計算表!K341</f>
        <v>0</v>
      </c>
      <c r="L325">
        <f>計算表!L341</f>
        <v>0</v>
      </c>
      <c r="M325">
        <f>計算表!M341</f>
        <v>0</v>
      </c>
      <c r="N325">
        <f>計算表!N341</f>
        <v>0</v>
      </c>
      <c r="O325">
        <f>計算表!O341</f>
        <v>0</v>
      </c>
      <c r="P325">
        <f>計算表!P341</f>
        <v>0</v>
      </c>
      <c r="Q325">
        <f>計算表!Q341</f>
        <v>0</v>
      </c>
      <c r="R325">
        <f>計算表!R341</f>
        <v>0</v>
      </c>
    </row>
    <row r="326" spans="1:18" x14ac:dyDescent="0.25">
      <c r="A326">
        <f>計算表!A342</f>
        <v>341</v>
      </c>
      <c r="B326">
        <f>計算表!B342</f>
        <v>0</v>
      </c>
      <c r="C326" t="str">
        <f>計算表!C342</f>
        <v>4-菁英群組</v>
      </c>
      <c r="D326" t="str">
        <f>計算表!D342</f>
        <v>群組成員數權重(亡靈山脈)</v>
      </c>
      <c r="E326" t="str">
        <f>計算表!E342</f>
        <v>權重表：{關卡下限~上限,隻數,權重}</v>
      </c>
      <c r="F326" t="str">
        <f>計算表!F342</f>
        <v>一個菁英群有幾隻。寫法 {最低關~最高關,隻數,權重}：同一個關卡區間可以寫多格（2 隻、3 隻、4 隻各一格），權重只看相對大小、總和不必湊 100。每一格寫一個關卡區間；同一關落在多格時取最前面那一格；留空或 0 的格子略過，關卡沒被任何區間涵蓋就視為 0。「其他地圖」是神界三圖（沒有專屬一列的地圖）共用的一列。</v>
      </c>
      <c r="G326" s="7" t="str">
        <f>計算表!G342</f>
        <v>{1~9999,2,30}</v>
      </c>
      <c r="H326" s="7" t="str">
        <f>計算表!H342</f>
        <v>{1~9999,3,40}</v>
      </c>
      <c r="I326" s="7" t="str">
        <f>計算表!I342</f>
        <v>{1~9999,4,30}</v>
      </c>
      <c r="J326">
        <f>計算表!J342</f>
        <v>0</v>
      </c>
      <c r="K326">
        <f>計算表!K342</f>
        <v>0</v>
      </c>
      <c r="L326">
        <f>計算表!L342</f>
        <v>0</v>
      </c>
      <c r="M326">
        <f>計算表!M342</f>
        <v>0</v>
      </c>
      <c r="N326">
        <f>計算表!N342</f>
        <v>0</v>
      </c>
      <c r="O326">
        <f>計算表!O342</f>
        <v>0</v>
      </c>
      <c r="P326">
        <f>計算表!P342</f>
        <v>0</v>
      </c>
      <c r="Q326">
        <f>計算表!Q342</f>
        <v>0</v>
      </c>
      <c r="R326">
        <f>計算表!R342</f>
        <v>0</v>
      </c>
    </row>
    <row r="327" spans="1:18" x14ac:dyDescent="0.25">
      <c r="A327">
        <f>計算表!A343</f>
        <v>342</v>
      </c>
      <c r="B327">
        <f>計算表!B343</f>
        <v>0</v>
      </c>
      <c r="C327" t="str">
        <f>計算表!C343</f>
        <v>4-菁英群組</v>
      </c>
      <c r="D327" t="str">
        <f>計算表!D343</f>
        <v>群組成員數權重(其他地圖)</v>
      </c>
      <c r="E327" t="str">
        <f>計算表!E343</f>
        <v>權重表：{關卡下限~上限,隻數,權重}</v>
      </c>
      <c r="F327" t="str">
        <f>計算表!F343</f>
        <v>一個菁英群有幾隻。寫法 {最低關~最高關,隻數,權重}：同一個關卡區間可以寫多格（2 隻、3 隻、4 隻各一格），權重只看相對大小、總和不必湊 100。每一格寫一個關卡區間；同一關落在多格時取最前面那一格；留空或 0 的格子略過，關卡沒被任何區間涵蓋就視為 0。「其他地圖」是神界三圖（沒有專屬一列的地圖）共用的一列。</v>
      </c>
      <c r="G327" s="7" t="str">
        <f>計算表!G343</f>
        <v>{1~9999,2,25}</v>
      </c>
      <c r="H327" s="7" t="str">
        <f>計算表!H343</f>
        <v>{1~9999,3,40}</v>
      </c>
      <c r="I327" s="7" t="str">
        <f>計算表!I343</f>
        <v>{1~9999,4,35}</v>
      </c>
      <c r="J327">
        <f>計算表!J343</f>
        <v>0</v>
      </c>
      <c r="K327">
        <f>計算表!K343</f>
        <v>0</v>
      </c>
      <c r="L327">
        <f>計算表!L343</f>
        <v>0</v>
      </c>
      <c r="M327">
        <f>計算表!M343</f>
        <v>0</v>
      </c>
      <c r="N327">
        <f>計算表!N343</f>
        <v>0</v>
      </c>
      <c r="O327">
        <f>計算表!O343</f>
        <v>0</v>
      </c>
      <c r="P327">
        <f>計算表!P343</f>
        <v>0</v>
      </c>
      <c r="Q327">
        <f>計算表!Q343</f>
        <v>0</v>
      </c>
      <c r="R327">
        <f>計算表!R343</f>
        <v>0</v>
      </c>
    </row>
    <row r="328" spans="1:18" x14ac:dyDescent="0.25">
      <c r="A328">
        <f>計算表!A344</f>
        <v>343</v>
      </c>
      <c r="B328">
        <f>計算表!B344</f>
        <v>0</v>
      </c>
      <c r="C328" t="str">
        <f>計算表!C344</f>
        <v>4-菁英群組</v>
      </c>
      <c r="D328" t="str">
        <f>計算表!D344</f>
        <v>純菁英群機率(荒漠)</v>
      </c>
      <c r="E328" t="str">
        <f>計算表!E344</f>
        <v>全員菁英的機率 x%，其餘為菁英帶小兵</v>
      </c>
      <c r="F328" t="str">
        <f>計算表!F344</f>
        <v>一個菁英群是「全員菁英」的機率（%）；沒中的就是「菁英帶小兵」——帶隊的菁英數見「混合群與小兵」。寫法 {最低關~最高關,機率%}。每一格寫一個關卡區間；同一關落在多格時取最前面那一格；留空或 0 的格子略過，關卡沒被任何區間涵蓋就視為 0。「其他地圖」是神界三圖（沒有專屬一列的地圖）共用的一列。</v>
      </c>
      <c r="G328" s="7" t="str">
        <f>計算表!G344</f>
        <v>{1~100,15}</v>
      </c>
      <c r="H328" s="7" t="str">
        <f>計算表!H344</f>
        <v>{101~9999,30}</v>
      </c>
      <c r="I328">
        <f>計算表!I344</f>
        <v>0</v>
      </c>
      <c r="J328">
        <f>計算表!J344</f>
        <v>0</v>
      </c>
      <c r="K328">
        <f>計算表!K344</f>
        <v>0</v>
      </c>
      <c r="L328">
        <f>計算表!L344</f>
        <v>0</v>
      </c>
      <c r="M328">
        <f>計算表!M344</f>
        <v>0</v>
      </c>
      <c r="N328">
        <f>計算表!N344</f>
        <v>0</v>
      </c>
      <c r="O328">
        <f>計算表!O344</f>
        <v>0</v>
      </c>
      <c r="P328">
        <f>計算表!P344</f>
        <v>0</v>
      </c>
      <c r="Q328">
        <f>計算表!Q344</f>
        <v>0</v>
      </c>
      <c r="R328">
        <f>計算表!R344</f>
        <v>0</v>
      </c>
    </row>
    <row r="329" spans="1:18" x14ac:dyDescent="0.25">
      <c r="A329">
        <f>計算表!A345</f>
        <v>344</v>
      </c>
      <c r="B329">
        <f>計算表!B345</f>
        <v>0</v>
      </c>
      <c r="C329" t="str">
        <f>計算表!C345</f>
        <v>4-菁英群組</v>
      </c>
      <c r="D329" t="str">
        <f>計算表!D345</f>
        <v>純菁英群機率(冰原)</v>
      </c>
      <c r="E329" t="str">
        <f>計算表!E345</f>
        <v>全員菁英的機率 x%，其餘為菁英帶小兵</v>
      </c>
      <c r="F329" t="str">
        <f>計算表!F345</f>
        <v>一個菁英群是「全員菁英」的機率（%）；沒中的就是「菁英帶小兵」——帶隊的菁英數見「混合群與小兵」。寫法 {最低關~最高關,機率%}。每一格寫一個關卡區間；同一關落在多格時取最前面那一格；留空或 0 的格子略過，關卡沒被任何區間涵蓋就視為 0。「其他地圖」是神界三圖（沒有專屬一列的地圖）共用的一列。</v>
      </c>
      <c r="G329" s="7" t="str">
        <f>計算表!G345</f>
        <v>{1~100,25}</v>
      </c>
      <c r="H329" s="7" t="str">
        <f>計算表!H345</f>
        <v>{101~9999,35}</v>
      </c>
      <c r="I329">
        <f>計算表!I345</f>
        <v>0</v>
      </c>
      <c r="J329">
        <f>計算表!J345</f>
        <v>0</v>
      </c>
      <c r="K329">
        <f>計算表!K345</f>
        <v>0</v>
      </c>
      <c r="L329">
        <f>計算表!L345</f>
        <v>0</v>
      </c>
      <c r="M329">
        <f>計算表!M345</f>
        <v>0</v>
      </c>
      <c r="N329">
        <f>計算表!N345</f>
        <v>0</v>
      </c>
      <c r="O329">
        <f>計算表!O345</f>
        <v>0</v>
      </c>
      <c r="P329">
        <f>計算表!P345</f>
        <v>0</v>
      </c>
      <c r="Q329">
        <f>計算表!Q345</f>
        <v>0</v>
      </c>
      <c r="R329">
        <f>計算表!R345</f>
        <v>0</v>
      </c>
    </row>
    <row r="330" spans="1:18" x14ac:dyDescent="0.25">
      <c r="A330">
        <f>計算表!A346</f>
        <v>345</v>
      </c>
      <c r="B330">
        <f>計算表!B346</f>
        <v>0</v>
      </c>
      <c r="C330" t="str">
        <f>計算表!C346</f>
        <v>4-菁英群組</v>
      </c>
      <c r="D330" t="str">
        <f>計算表!D346</f>
        <v>純菁英群機率(沼澤)</v>
      </c>
      <c r="E330" t="str">
        <f>計算表!E346</f>
        <v>全員菁英的機率 x%，其餘為菁英帶小兵</v>
      </c>
      <c r="F330" t="str">
        <f>計算表!F346</f>
        <v>一個菁英群是「全員菁英」的機率（%）；沒中的就是「菁英帶小兵」——帶隊的菁英數見「混合群與小兵」。寫法 {最低關~最高關,機率%}。每一格寫一個關卡區間；同一關落在多格時取最前面那一格；留空或 0 的格子略過，關卡沒被任何區間涵蓋就視為 0。「其他地圖」是神界三圖（沒有專屬一列的地圖）共用的一列。</v>
      </c>
      <c r="G330" s="7" t="str">
        <f>計算表!G346</f>
        <v>{1~9999,35}</v>
      </c>
      <c r="H330">
        <f>計算表!H346</f>
        <v>0</v>
      </c>
      <c r="I330">
        <f>計算表!I346</f>
        <v>0</v>
      </c>
      <c r="J330">
        <f>計算表!J346</f>
        <v>0</v>
      </c>
      <c r="K330">
        <f>計算表!K346</f>
        <v>0</v>
      </c>
      <c r="L330">
        <f>計算表!L346</f>
        <v>0</v>
      </c>
      <c r="M330">
        <f>計算表!M346</f>
        <v>0</v>
      </c>
      <c r="N330">
        <f>計算表!N346</f>
        <v>0</v>
      </c>
      <c r="O330">
        <f>計算表!O346</f>
        <v>0</v>
      </c>
      <c r="P330">
        <f>計算表!P346</f>
        <v>0</v>
      </c>
      <c r="Q330">
        <f>計算表!Q346</f>
        <v>0</v>
      </c>
      <c r="R330">
        <f>計算表!R346</f>
        <v>0</v>
      </c>
    </row>
    <row r="331" spans="1:18" x14ac:dyDescent="0.25">
      <c r="A331">
        <f>計算表!A347</f>
        <v>346</v>
      </c>
      <c r="B331">
        <f>計算表!B347</f>
        <v>0</v>
      </c>
      <c r="C331" t="str">
        <f>計算表!C347</f>
        <v>4-菁英群組</v>
      </c>
      <c r="D331" t="str">
        <f>計算表!D347</f>
        <v>純菁英群機率(亡靈山脈)</v>
      </c>
      <c r="E331" t="str">
        <f>計算表!E347</f>
        <v>全員菁英的機率 x%，其餘為菁英帶小兵</v>
      </c>
      <c r="F331" t="str">
        <f>計算表!F347</f>
        <v>一個菁英群是「全員菁英」的機率（%）；沒中的就是「菁英帶小兵」——帶隊的菁英數見「混合群與小兵」。寫法 {最低關~最高關,機率%}。每一格寫一個關卡區間；同一關落在多格時取最前面那一格；留空或 0 的格子略過，關卡沒被任何區間涵蓋就視為 0。「其他地圖」是神界三圖（沒有專屬一列的地圖）共用的一列。</v>
      </c>
      <c r="G331" s="7" t="str">
        <f>計算表!G347</f>
        <v>{1~9999,45}</v>
      </c>
      <c r="H331">
        <f>計算表!H347</f>
        <v>0</v>
      </c>
      <c r="I331">
        <f>計算表!I347</f>
        <v>0</v>
      </c>
      <c r="J331">
        <f>計算表!J347</f>
        <v>0</v>
      </c>
      <c r="K331">
        <f>計算表!K347</f>
        <v>0</v>
      </c>
      <c r="L331">
        <f>計算表!L347</f>
        <v>0</v>
      </c>
      <c r="M331">
        <f>計算表!M347</f>
        <v>0</v>
      </c>
      <c r="N331">
        <f>計算表!N347</f>
        <v>0</v>
      </c>
      <c r="O331">
        <f>計算表!O347</f>
        <v>0</v>
      </c>
      <c r="P331">
        <f>計算表!P347</f>
        <v>0</v>
      </c>
      <c r="Q331">
        <f>計算表!Q347</f>
        <v>0</v>
      </c>
      <c r="R331">
        <f>計算表!R347</f>
        <v>0</v>
      </c>
    </row>
    <row r="332" spans="1:18" x14ac:dyDescent="0.25">
      <c r="A332">
        <f>計算表!A348</f>
        <v>347</v>
      </c>
      <c r="B332">
        <f>計算表!B348</f>
        <v>0</v>
      </c>
      <c r="C332" t="str">
        <f>計算表!C348</f>
        <v>4-菁英群組</v>
      </c>
      <c r="D332" t="str">
        <f>計算表!D348</f>
        <v>純菁英群機率(其他地圖)</v>
      </c>
      <c r="E332" t="str">
        <f>計算表!E348</f>
        <v>全員菁英的機率 x%，其餘為菁英帶小兵</v>
      </c>
      <c r="F332" t="str">
        <f>計算表!F348</f>
        <v>一個菁英群是「全員菁英」的機率（%）；沒中的就是「菁英帶小兵」——帶隊的菁英數見「混合群與小兵」。寫法 {最低關~最高關,機率%}。每一格寫一個關卡區間；同一關落在多格時取最前面那一格；留空或 0 的格子略過，關卡沒被任何區間涵蓋就視為 0。「其他地圖」是神界三圖（沒有專屬一列的地圖）共用的一列。</v>
      </c>
      <c r="G332" s="7" t="str">
        <f>計算表!G348</f>
        <v>{1~9999,55}</v>
      </c>
      <c r="H332">
        <f>計算表!H348</f>
        <v>0</v>
      </c>
      <c r="I332">
        <f>計算表!I348</f>
        <v>0</v>
      </c>
      <c r="J332">
        <f>計算表!J348</f>
        <v>0</v>
      </c>
      <c r="K332">
        <f>計算表!K348</f>
        <v>0</v>
      </c>
      <c r="L332">
        <f>計算表!L348</f>
        <v>0</v>
      </c>
      <c r="M332">
        <f>計算表!M348</f>
        <v>0</v>
      </c>
      <c r="N332">
        <f>計算表!N348</f>
        <v>0</v>
      </c>
      <c r="O332">
        <f>計算表!O348</f>
        <v>0</v>
      </c>
      <c r="P332">
        <f>計算表!P348</f>
        <v>0</v>
      </c>
      <c r="Q332">
        <f>計算表!Q348</f>
        <v>0</v>
      </c>
      <c r="R332">
        <f>計算表!R348</f>
        <v>0</v>
      </c>
    </row>
    <row r="333" spans="1:18" x14ac:dyDescent="0.25">
      <c r="A333">
        <f>計算表!A349</f>
        <v>348</v>
      </c>
      <c r="B333">
        <f>計算表!B349</f>
        <v>0</v>
      </c>
      <c r="C333" t="str">
        <f>計算表!C349</f>
        <v>4-菁英群組</v>
      </c>
      <c r="D333" t="str">
        <f>計算表!D349</f>
        <v>普通關菁英群數量權重</v>
      </c>
      <c r="E333" t="str">
        <f>計算表!E349</f>
        <v>權重表：{群數,權重}</v>
      </c>
      <c r="F333" t="str">
        <f>計算表!F349</f>
        <v>普通關遇到菁英時一次出幾「群」。菁英關（10 的倍數）的群數則沿用「4-敵人數量」的各張「菁英 數量權重」列（那幾列現在的意思是群數，不再是隻數）。寫法 {群數,權重} 或 {下限~上限,權重}；權重只看相對大小；填 0 或留空＝不會被抽中。</v>
      </c>
      <c r="G333" s="7" t="str">
        <f>計算表!G349</f>
        <v>{1,75}</v>
      </c>
      <c r="H333" s="7" t="str">
        <f>計算表!H349</f>
        <v>{2,22}</v>
      </c>
      <c r="I333" s="7" t="str">
        <f>計算表!I349</f>
        <v>{3,3}</v>
      </c>
      <c r="J333">
        <f>計算表!J349</f>
        <v>0</v>
      </c>
      <c r="K333">
        <f>計算表!K349</f>
        <v>0</v>
      </c>
      <c r="L333">
        <f>計算表!L349</f>
        <v>0</v>
      </c>
      <c r="M333">
        <f>計算表!M349</f>
        <v>0</v>
      </c>
      <c r="N333">
        <f>計算表!N349</f>
        <v>0</v>
      </c>
      <c r="O333">
        <f>計算表!O349</f>
        <v>0</v>
      </c>
      <c r="P333">
        <f>計算表!P349</f>
        <v>0</v>
      </c>
      <c r="Q333">
        <f>計算表!Q349</f>
        <v>0</v>
      </c>
      <c r="R333">
        <f>計算表!R349</f>
        <v>0</v>
      </c>
    </row>
    <row r="334" spans="1:18" x14ac:dyDescent="0.25">
      <c r="A334">
        <f>計算表!A350</f>
        <v>349</v>
      </c>
      <c r="B334">
        <f>計算表!B350</f>
        <v>0</v>
      </c>
      <c r="C334" t="str">
        <f>計算表!C350</f>
        <v>4-菁英群組</v>
      </c>
      <c r="D334" t="str">
        <f>計算表!D350</f>
        <v>菁英技能數量權重</v>
      </c>
      <c r="E334" t="str">
        <f>計算表!E350</f>
        <v>權重表：{關卡下限~上限,1個,2個,3個}</v>
      </c>
      <c r="F334" t="str">
        <f>計算表!F350</f>
        <v>【已停用】敵人的技能數量改由 NPC 表決定（專屬技能＋隨機技能數量上下限，依敵人類型：菁英、高級菁英、野外BOSS、封魔塔BOSS 各一列）；這一列的數值不再被讀取，保留僅供對照舊設定。</v>
      </c>
      <c r="G334" s="7" t="str">
        <f>計算表!G350</f>
        <v>{1~100,70,28,2}</v>
      </c>
      <c r="H334" s="7" t="str">
        <f>計算表!H350</f>
        <v>{101~300,45,45,10}</v>
      </c>
      <c r="I334" s="7" t="str">
        <f>計算表!I350</f>
        <v>{301~9999,25,50,25}</v>
      </c>
      <c r="J334">
        <f>計算表!J350</f>
        <v>0</v>
      </c>
      <c r="K334">
        <f>計算表!K350</f>
        <v>0</v>
      </c>
      <c r="L334">
        <f>計算表!L350</f>
        <v>0</v>
      </c>
      <c r="M334">
        <f>計算表!M350</f>
        <v>0</v>
      </c>
      <c r="N334">
        <f>計算表!N350</f>
        <v>0</v>
      </c>
      <c r="O334">
        <f>計算表!O350</f>
        <v>0</v>
      </c>
      <c r="P334">
        <f>計算表!P350</f>
        <v>0</v>
      </c>
      <c r="Q334">
        <f>計算表!Q350</f>
        <v>0</v>
      </c>
      <c r="R334">
        <f>計算表!R350</f>
        <v>0</v>
      </c>
    </row>
    <row r="335" spans="1:18" x14ac:dyDescent="0.25">
      <c r="A335">
        <f>計算表!A351</f>
        <v>350</v>
      </c>
      <c r="B335">
        <f>計算表!B351</f>
        <v>0</v>
      </c>
      <c r="C335" t="str">
        <f>計算表!C351</f>
        <v>4-菁英群組</v>
      </c>
      <c r="D335" t="str">
        <f>計算表!D351</f>
        <v>混合群與小兵</v>
      </c>
      <c r="E335" t="str">
        <f>計算表!E351</f>
        <v>帶隊菁英 a 隻；小兵生命×b 攻擊×c 金幣經驗×d</v>
      </c>
      <c r="F335" t="str">
        <f>計算表!F351</f>
        <v>「菁英帶小兵」的群：a＝帶隊的菁英隻數（群內其餘都是小兵，數量不夠時全員菁英）；小兵是普通怪，b／c＝生命與攻擊相對普通怪的倍率，d＝金幣與經驗倍率。</v>
      </c>
      <c r="G335">
        <f>計算表!G351</f>
        <v>1</v>
      </c>
      <c r="H335">
        <f>計算表!H351</f>
        <v>1</v>
      </c>
      <c r="I335">
        <f>計算表!I351</f>
        <v>1</v>
      </c>
      <c r="J335">
        <f>計算表!J351</f>
        <v>1</v>
      </c>
      <c r="K335">
        <f>計算表!K351</f>
        <v>0</v>
      </c>
      <c r="L335">
        <f>計算表!L351</f>
        <v>0</v>
      </c>
      <c r="M335">
        <f>計算表!M351</f>
        <v>0</v>
      </c>
      <c r="N335">
        <f>計算表!N351</f>
        <v>0</v>
      </c>
      <c r="O335">
        <f>計算表!O351</f>
        <v>0</v>
      </c>
      <c r="P335">
        <f>計算表!P351</f>
        <v>0</v>
      </c>
      <c r="Q335">
        <f>計算表!Q351</f>
        <v>0</v>
      </c>
      <c r="R335">
        <f>計算表!R351</f>
        <v>0</v>
      </c>
    </row>
    <row r="336" spans="1:18" x14ac:dyDescent="0.25">
      <c r="A336">
        <f>計算表!A352</f>
        <v>351</v>
      </c>
      <c r="B336">
        <f>計算表!B352</f>
        <v>0</v>
      </c>
      <c r="C336" t="str">
        <f>計算表!C352</f>
        <v>4-菁英群組</v>
      </c>
      <c r="D336" t="str">
        <f>計算表!D352</f>
        <v>菁英技能全域設定</v>
      </c>
      <c r="E336" t="str">
        <f>計算表!E352</f>
        <v>傷害×a% 冷卻×b%；首次施放≤c 秒；場域上限 d；召喚上限 e；鏈結連線 f</v>
      </c>
      <c r="F336" t="str">
        <f>計算表!F352</f>
        <v>a＝所有敵人技能傷害的總倍率（%）；b＝所有敵人技能冷卻的總倍率（%，數字越大施放越慢）；c＝進場後第一次施放技能最久等幾秒；d＝場上同時存在的敵人場域（毒窪、火徑、毒十字、冰球…）上限；e＝每隻怪物一生最多能召喚幾隻小兵；f＝是否畫「生命鏈結」的連線（1＝畫、0＝不畫）。每個技能自己的冷卻、半徑、傷害倍率寫在 Skills2 表（類別＝enemy）；每種敵人帶哪些技能寫在 NPC 表。</v>
      </c>
      <c r="G336">
        <f>計算表!G352</f>
        <v>100</v>
      </c>
      <c r="H336">
        <f>計算表!H352</f>
        <v>100</v>
      </c>
      <c r="I336">
        <f>計算表!I352</f>
        <v>3.5</v>
      </c>
      <c r="J336">
        <f>計算表!J352</f>
        <v>48</v>
      </c>
      <c r="K336">
        <f>計算表!K352</f>
        <v>10</v>
      </c>
      <c r="L336">
        <f>計算表!L352</f>
        <v>1</v>
      </c>
      <c r="M336">
        <f>計算表!M352</f>
        <v>0</v>
      </c>
      <c r="N336">
        <f>計算表!N352</f>
        <v>0</v>
      </c>
      <c r="O336">
        <f>計算表!O352</f>
        <v>0</v>
      </c>
      <c r="P336">
        <f>計算表!P352</f>
        <v>0</v>
      </c>
      <c r="Q336">
        <f>計算表!Q352</f>
        <v>0</v>
      </c>
      <c r="R336">
        <f>計算表!R352</f>
        <v>0</v>
      </c>
    </row>
    <row r="337" spans="1:18" x14ac:dyDescent="0.25">
      <c r="A337">
        <f>計算表!A353</f>
        <v>352</v>
      </c>
      <c r="B337">
        <f>計算表!B353</f>
        <v>0</v>
      </c>
      <c r="C337" t="str">
        <f>計算表!C353</f>
        <v>8-戰鬥畫面</v>
      </c>
      <c r="D337" t="str">
        <f>計算表!D353</f>
        <v>戰鬥鏡頭距離</v>
      </c>
      <c r="E337" t="str">
        <f>計算表!E353</f>
        <v>鏡頭距離=a%；畫面縮放=100÷a</v>
      </c>
      <c r="F337" t="str">
        <f>計算表!F353</f>
        <v>a＝相對原鏡頭距離（%）。100＝原距離；125＝拉遠25%；數值越大視野越廣。套用後重載遊戲，影響野外與BOSS畫面。</v>
      </c>
      <c r="G337">
        <f>計算表!G353</f>
        <v>125</v>
      </c>
      <c r="H337">
        <f>計算表!H353</f>
        <v>0</v>
      </c>
      <c r="I337">
        <f>計算表!I353</f>
        <v>0</v>
      </c>
      <c r="J337">
        <f>計算表!J353</f>
        <v>0</v>
      </c>
      <c r="K337">
        <f>計算表!K353</f>
        <v>0</v>
      </c>
      <c r="L337">
        <f>計算表!L353</f>
        <v>0</v>
      </c>
      <c r="M337">
        <f>計算表!M353</f>
        <v>0</v>
      </c>
      <c r="N337">
        <f>計算表!N353</f>
        <v>0</v>
      </c>
      <c r="O337">
        <f>計算表!O353</f>
        <v>0</v>
      </c>
      <c r="P337">
        <f>計算表!P353</f>
        <v>0</v>
      </c>
      <c r="Q337">
        <f>計算表!Q353</f>
        <v>0</v>
      </c>
      <c r="R337">
        <f>計算表!R353</f>
        <v>0</v>
      </c>
    </row>
    <row r="338" spans="1:18" x14ac:dyDescent="0.25">
      <c r="A338">
        <f>計算表!A354</f>
        <v>353</v>
      </c>
      <c r="B338">
        <f>計算表!B354</f>
        <v>0</v>
      </c>
      <c r="C338" t="str">
        <f>計算表!C354</f>
        <v>4-菁英群組</v>
      </c>
      <c r="D338" t="str">
        <f>計算表!D354</f>
        <v>高級菁英機率</v>
      </c>
      <c r="E338" t="str">
        <f>計算表!E354</f>
        <v>每隻菁英有 a% 機率升級成高級菁英（普通關）；菁英關 b%</v>
      </c>
      <c r="F338" t="str">
        <f>計算表!F354</f>
        <v>每一隻要出場的菁英，先擲一次骰決定要不要升級成「高級菁英」（體型 2.2 倍、黃色光暈、3 個隨機技能，數值倍率見「高級菁英倍率」）。a＝普通關的機率（%），b＝菁英關（階段為 10 的倍數）的機率（%）。0＝不會出現高級菁英。同一群內每一隻各自擲骰，所以一群裡可能同時有菁英與高級菁英。</v>
      </c>
      <c r="G338">
        <f>計算表!G354</f>
        <v>6</v>
      </c>
      <c r="H338">
        <f>計算表!H354</f>
        <v>20</v>
      </c>
      <c r="I338">
        <f>計算表!I354</f>
        <v>0</v>
      </c>
      <c r="J338">
        <f>計算表!J354</f>
        <v>0</v>
      </c>
      <c r="K338">
        <f>計算表!K354</f>
        <v>0</v>
      </c>
      <c r="L338">
        <f>計算表!L354</f>
        <v>0</v>
      </c>
      <c r="M338">
        <f>計算表!M354</f>
        <v>0</v>
      </c>
      <c r="N338">
        <f>計算表!N354</f>
        <v>0</v>
      </c>
      <c r="O338">
        <f>計算表!O354</f>
        <v>0</v>
      </c>
      <c r="P338">
        <f>計算表!P354</f>
        <v>0</v>
      </c>
      <c r="Q338">
        <f>計算表!Q354</f>
        <v>0</v>
      </c>
      <c r="R338">
        <f>計算表!R354</f>
        <v>0</v>
      </c>
    </row>
    <row r="339" spans="1:18" x14ac:dyDescent="0.25">
      <c r="A339">
        <f>計算表!A355</f>
        <v>354</v>
      </c>
      <c r="B339">
        <f>計算表!B355</f>
        <v>0</v>
      </c>
      <c r="C339" t="str">
        <f>計算表!C355</f>
        <v>4-菁英群組</v>
      </c>
      <c r="D339" t="str">
        <f>計算表!D355</f>
        <v>高級菁英倍率</v>
      </c>
      <c r="E339" t="str">
        <f>計算表!E355</f>
        <v>生命×a 攻擊×b 金幣經驗×c（相對同階段普通怪）</v>
      </c>
      <c r="F339" t="str">
        <f>計算表!F355</f>
        <v>高級菁英的數值倍率，基準是「同階段普通怪」，與「4-野外怪物/菁英倍率」同一個算法（那一列是一般菁英：生命×4 攻擊×2）。a＝生命倍率，b＝攻擊倍率，c＝金幣與經驗倍率；防禦、閃避、攻速沿用一般菁英。</v>
      </c>
      <c r="G339">
        <f>計算表!G355</f>
        <v>8</v>
      </c>
      <c r="H339">
        <f>計算表!H355</f>
        <v>3</v>
      </c>
      <c r="I339">
        <f>計算表!I355</f>
        <v>4</v>
      </c>
      <c r="J339">
        <f>計算表!J355</f>
        <v>0</v>
      </c>
      <c r="K339">
        <f>計算表!K355</f>
        <v>0</v>
      </c>
      <c r="L339">
        <f>計算表!L355</f>
        <v>0</v>
      </c>
      <c r="M339">
        <f>計算表!M355</f>
        <v>0</v>
      </c>
      <c r="N339">
        <f>計算表!N355</f>
        <v>0</v>
      </c>
      <c r="O339">
        <f>計算表!O355</f>
        <v>0</v>
      </c>
      <c r="P339">
        <f>計算表!P355</f>
        <v>0</v>
      </c>
      <c r="Q339">
        <f>計算表!Q355</f>
        <v>0</v>
      </c>
      <c r="R339">
        <f>計算表!R355</f>
        <v>0</v>
      </c>
    </row>
    <row r="340" spans="1:18" x14ac:dyDescent="0.25">
      <c r="A340">
        <f>計算表!A356</f>
        <v>355</v>
      </c>
      <c r="B340">
        <f>計算表!B356</f>
        <v>0</v>
      </c>
      <c r="C340" t="str">
        <f>計算表!C356</f>
        <v>4-菁英群組</v>
      </c>
      <c r="D340" t="str">
        <f>計算表!D356</f>
        <v>敵人體型倍率</v>
      </c>
      <c r="E340" t="str">
        <f>計算表!E356</f>
        <v>菁英×a 高級菁英×b 野外BOSS×c 封魔塔BOSS d~e（相對普通敵人）</v>
      </c>
      <c r="F340" t="str">
        <f>計算表!F356</f>
        <v>畫面上各種高級敵人相對普通敵人的大小：a＝菁英（泛淡藍色光暈）、b＝高級菁英（黃色光暈）、c＝野外 BOSS（光暈顏色隨屬性）、d~e＝封魔塔 BOSS（依 BOSS 順序從 d 線性長到 e）。體型同時影響碰撞半徑（大隻的邊緣先碰到你），不影響技能傷害範圍。</v>
      </c>
      <c r="G340">
        <f>計算表!G356</f>
        <v>1.6</v>
      </c>
      <c r="H340">
        <f>計算表!H356</f>
        <v>2.2000000000000002</v>
      </c>
      <c r="I340">
        <f>計算表!I356</f>
        <v>3.4</v>
      </c>
      <c r="J340">
        <f>計算表!J356</f>
        <v>5</v>
      </c>
      <c r="K340">
        <f>計算表!K356</f>
        <v>7</v>
      </c>
      <c r="L340">
        <f>計算表!L356</f>
        <v>0</v>
      </c>
      <c r="M340">
        <f>計算表!M356</f>
        <v>0</v>
      </c>
      <c r="N340">
        <f>計算表!N356</f>
        <v>0</v>
      </c>
      <c r="O340">
        <f>計算表!O356</f>
        <v>0</v>
      </c>
      <c r="P340">
        <f>計算表!P356</f>
        <v>0</v>
      </c>
      <c r="Q340">
        <f>計算表!Q356</f>
        <v>0</v>
      </c>
      <c r="R340">
        <f>計算表!R356</f>
        <v>0</v>
      </c>
    </row>
    <row r="341" spans="1:18" x14ac:dyDescent="0.25">
      <c r="A341">
        <f>計算表!A357</f>
        <v>356</v>
      </c>
      <c r="B341">
        <f>計算表!B357</f>
        <v>0</v>
      </c>
      <c r="C341" t="str">
        <f>計算表!C357</f>
        <v>4-菁英群組</v>
      </c>
      <c r="D341" t="str">
        <f>計算表!D357</f>
        <v>跑位設定</v>
      </c>
      <c r="E341" t="str">
        <f>計算表!E357</f>
        <v>菁英、高級菁英、野外 BOSS、封魔塔 BOSS 每 a~b 秒換一次位置</v>
      </c>
      <c r="F341" t="str">
        <f>計算表!F357</f>
        <v>這四種高級敵人不再從頭到尾站在原地：每隔 a~b 秒（隨機）會跑到新的位置，目標點以「跑位結束後仍可直接攻擊到玩家」為主（近戰貼在你身邊繞一個角度，遠程在射程內換一個方位）。跑位期間仍會攻擊。c＝跑位時的移動速度倍率（乘上該敵人的跑速；預設 1.6：玩家一直在動，敵人要跑得比平常快才追得上目標點，不會跑到一半被甩開而放棄）。個別技能（火鏈、瘟疫、秘法加持…）有自己的跑位節奏，寫在 Skills2 敵人技能的效果參數裡。</v>
      </c>
      <c r="G341">
        <f>計算表!G357</f>
        <v>4</v>
      </c>
      <c r="H341">
        <f>計算表!H357</f>
        <v>8</v>
      </c>
      <c r="I341">
        <f>計算表!I357</f>
        <v>1.6</v>
      </c>
      <c r="J341">
        <f>計算表!J357</f>
        <v>0</v>
      </c>
      <c r="K341">
        <f>計算表!K357</f>
        <v>0</v>
      </c>
      <c r="L341">
        <f>計算表!L357</f>
        <v>0</v>
      </c>
      <c r="M341">
        <f>計算表!M357</f>
        <v>0</v>
      </c>
      <c r="N341">
        <f>計算表!N357</f>
        <v>0</v>
      </c>
      <c r="O341">
        <f>計算表!O357</f>
        <v>0</v>
      </c>
      <c r="P341">
        <f>計算表!P357</f>
        <v>0</v>
      </c>
      <c r="Q341">
        <f>計算表!Q357</f>
        <v>0</v>
      </c>
      <c r="R341">
        <f>計算表!R357</f>
        <v>0</v>
      </c>
    </row>
    <row r="342" spans="1:18" x14ac:dyDescent="0.25">
      <c r="A342" s="7" t="s">
        <v>1200</v>
      </c>
      <c r="B342" s="7" t="s">
        <v>1173</v>
      </c>
      <c r="C342" s="7" t="s">
        <v>1201</v>
      </c>
      <c r="D342" s="7" t="s">
        <v>1202</v>
      </c>
      <c r="E342" s="7" t="s">
        <v>1212</v>
      </c>
      <c r="F342" s="7" t="s">
        <v>1213</v>
      </c>
      <c r="G342" s="7" t="s">
        <v>1203</v>
      </c>
      <c r="H342" s="7" t="s">
        <v>1204</v>
      </c>
      <c r="I342" s="7" t="s">
        <v>1205</v>
      </c>
      <c r="J342" s="7" t="s">
        <v>1214</v>
      </c>
      <c r="K342" s="7" t="s">
        <v>1199</v>
      </c>
      <c r="L342" s="7" t="s">
        <v>1215</v>
      </c>
      <c r="M342" s="7" t="s">
        <v>1173</v>
      </c>
      <c r="N342" s="7" t="s">
        <v>1173</v>
      </c>
      <c r="O342" s="7" t="s">
        <v>1173</v>
      </c>
      <c r="P342" s="7" t="s">
        <v>1173</v>
      </c>
      <c r="Q342" s="7" t="s">
        <v>1173</v>
      </c>
      <c r="R342" s="7" t="s">
        <v>1173</v>
      </c>
    </row>
    <row r="343" spans="1:18" x14ac:dyDescent="0.25">
      <c r="A343" s="7" t="s">
        <v>1206</v>
      </c>
      <c r="B343" s="7" t="s">
        <v>1173</v>
      </c>
      <c r="C343" s="7" t="s">
        <v>1201</v>
      </c>
      <c r="D343" s="7" t="s">
        <v>1207</v>
      </c>
      <c r="E343" s="7" t="s">
        <v>1208</v>
      </c>
      <c r="F343" s="7" t="s">
        <v>1216</v>
      </c>
      <c r="G343" s="7" t="s">
        <v>1209</v>
      </c>
      <c r="H343" s="7" t="s">
        <v>1210</v>
      </c>
      <c r="I343" s="7" t="s">
        <v>1186</v>
      </c>
      <c r="J343" s="7" t="s">
        <v>1211</v>
      </c>
      <c r="K343" s="7" t="s">
        <v>1173</v>
      </c>
      <c r="L343" s="7" t="s">
        <v>1173</v>
      </c>
      <c r="M343" s="7" t="s">
        <v>1173</v>
      </c>
      <c r="N343" s="7" t="s">
        <v>1173</v>
      </c>
      <c r="O343" s="7" t="s">
        <v>1173</v>
      </c>
      <c r="P343" s="7" t="s">
        <v>1173</v>
      </c>
      <c r="Q343" s="7" t="s">
        <v>1173</v>
      </c>
      <c r="R343" s="7" t="s">
        <v>1173</v>
      </c>
    </row>
    <row r="344" spans="1:18" x14ac:dyDescent="0.25">
      <c r="A344" s="7" t="s">
        <v>1190</v>
      </c>
      <c r="B344" s="7" t="s">
        <v>1173</v>
      </c>
      <c r="C344" s="7" t="s">
        <v>1070</v>
      </c>
      <c r="D344" s="7" t="s">
        <v>1191</v>
      </c>
      <c r="E344" s="7" t="s">
        <v>1192</v>
      </c>
      <c r="F344" s="7" t="s">
        <v>1193</v>
      </c>
      <c r="G344" s="7" t="s">
        <v>1183</v>
      </c>
      <c r="H344" s="7" t="s">
        <v>1194</v>
      </c>
      <c r="I344" s="7" t="s">
        <v>1195</v>
      </c>
      <c r="J344" s="7" t="s">
        <v>1183</v>
      </c>
      <c r="K344" s="7" t="s">
        <v>1196</v>
      </c>
      <c r="L344" s="7" t="s">
        <v>1197</v>
      </c>
      <c r="M344" s="7" t="s">
        <v>1198</v>
      </c>
      <c r="N344" s="7" t="s">
        <v>1199</v>
      </c>
      <c r="O344" s="7" t="s">
        <v>1173</v>
      </c>
      <c r="P344" s="7" t="s">
        <v>1173</v>
      </c>
      <c r="Q344" s="7" t="s">
        <v>1173</v>
      </c>
      <c r="R344" s="7" t="s">
        <v>1173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57"/>
  <sheetViews>
    <sheetView tabSelected="1" topLeftCell="A333" workbookViewId="0">
      <selection activeCell="A357" sqref="A357:XFD357"/>
    </sheetView>
  </sheetViews>
  <sheetFormatPr defaultRowHeight="15" x14ac:dyDescent="0.25"/>
  <cols>
    <col min="3" max="3" width="23.42578125" customWidth="1"/>
    <col min="4" max="4" width="30" customWidth="1"/>
    <col min="5" max="5" width="25.140625" customWidth="1"/>
    <col min="6" max="6" width="23.42578125" customWidth="1"/>
    <col min="21" max="21" width="17.7109375" customWidth="1"/>
    <col min="22" max="28" width="14.5703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0</v>
      </c>
      <c r="C2" t="s">
        <v>938</v>
      </c>
      <c r="D2" t="s">
        <v>939</v>
      </c>
      <c r="E2" t="s">
        <v>940</v>
      </c>
      <c r="F2" t="s">
        <v>941</v>
      </c>
      <c r="G2">
        <v>50000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25">
      <c r="A3">
        <f>A2+1</f>
        <v>2</v>
      </c>
      <c r="B3">
        <v>0</v>
      </c>
      <c r="C3" t="s">
        <v>938</v>
      </c>
      <c r="D3" t="s">
        <v>942</v>
      </c>
      <c r="E3" t="s">
        <v>940</v>
      </c>
      <c r="F3" t="s">
        <v>943</v>
      </c>
      <c r="G3">
        <v>500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25">
      <c r="A4">
        <f t="shared" ref="A4:A67" si="0">A3+1</f>
        <v>3</v>
      </c>
      <c r="B4">
        <v>0</v>
      </c>
      <c r="C4" t="s">
        <v>938</v>
      </c>
      <c r="D4" t="s">
        <v>944</v>
      </c>
      <c r="E4" t="s">
        <v>940</v>
      </c>
      <c r="F4" t="s">
        <v>945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25">
      <c r="A5">
        <f t="shared" si="0"/>
        <v>4</v>
      </c>
      <c r="B5">
        <v>0</v>
      </c>
      <c r="C5" t="s">
        <v>833</v>
      </c>
      <c r="D5" t="s">
        <v>834</v>
      </c>
      <c r="E5" t="s">
        <v>835</v>
      </c>
      <c r="F5" t="s">
        <v>836</v>
      </c>
      <c r="G5">
        <v>24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25">
      <c r="A6">
        <f t="shared" si="0"/>
        <v>5</v>
      </c>
      <c r="B6">
        <v>0</v>
      </c>
      <c r="C6" t="s">
        <v>833</v>
      </c>
      <c r="D6" t="s">
        <v>837</v>
      </c>
      <c r="E6" t="s">
        <v>838</v>
      </c>
      <c r="F6" t="s">
        <v>839</v>
      </c>
      <c r="G6">
        <v>10</v>
      </c>
      <c r="H6">
        <v>10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25">
      <c r="A7">
        <f t="shared" si="0"/>
        <v>6</v>
      </c>
      <c r="B7">
        <v>0</v>
      </c>
      <c r="C7" t="s">
        <v>833</v>
      </c>
      <c r="D7" t="s">
        <v>840</v>
      </c>
      <c r="E7" t="s">
        <v>841</v>
      </c>
      <c r="F7" t="s">
        <v>842</v>
      </c>
      <c r="G7">
        <v>10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25">
      <c r="A8">
        <f t="shared" si="0"/>
        <v>7</v>
      </c>
      <c r="B8">
        <v>0</v>
      </c>
      <c r="C8" t="s">
        <v>833</v>
      </c>
      <c r="D8" t="s">
        <v>843</v>
      </c>
      <c r="E8" t="s">
        <v>844</v>
      </c>
      <c r="F8" t="s">
        <v>845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25">
      <c r="A9">
        <f t="shared" si="0"/>
        <v>8</v>
      </c>
      <c r="B9">
        <v>0</v>
      </c>
      <c r="C9" t="s">
        <v>18</v>
      </c>
      <c r="D9" t="s">
        <v>19</v>
      </c>
      <c r="E9" t="s">
        <v>20</v>
      </c>
      <c r="F9" t="s">
        <v>21</v>
      </c>
      <c r="G9">
        <v>20</v>
      </c>
      <c r="H9">
        <v>3</v>
      </c>
      <c r="I9">
        <v>40</v>
      </c>
      <c r="J9">
        <v>1000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25">
      <c r="A10">
        <f t="shared" si="0"/>
        <v>9</v>
      </c>
      <c r="B10">
        <v>0</v>
      </c>
      <c r="C10" t="s">
        <v>18</v>
      </c>
      <c r="D10" t="s">
        <v>22</v>
      </c>
      <c r="E10" t="s">
        <v>23</v>
      </c>
      <c r="F10" t="s">
        <v>24</v>
      </c>
      <c r="G10">
        <v>5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25">
      <c r="A11">
        <f t="shared" si="0"/>
        <v>10</v>
      </c>
      <c r="B11">
        <v>0</v>
      </c>
      <c r="C11" t="s">
        <v>18</v>
      </c>
      <c r="D11" t="s">
        <v>25</v>
      </c>
      <c r="E11" t="s">
        <v>26</v>
      </c>
      <c r="F11" t="s">
        <v>27</v>
      </c>
      <c r="G11">
        <v>3</v>
      </c>
      <c r="H11">
        <v>1</v>
      </c>
      <c r="I11">
        <v>10000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25">
      <c r="A12">
        <f t="shared" si="0"/>
        <v>11</v>
      </c>
      <c r="B12">
        <v>0</v>
      </c>
      <c r="C12" t="s">
        <v>18</v>
      </c>
      <c r="D12" t="s">
        <v>28</v>
      </c>
      <c r="E12" t="s">
        <v>29</v>
      </c>
      <c r="F12" t="s">
        <v>30</v>
      </c>
      <c r="G12">
        <v>50</v>
      </c>
      <c r="H12">
        <v>4</v>
      </c>
      <c r="I12">
        <v>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25">
      <c r="A13">
        <f t="shared" si="0"/>
        <v>12</v>
      </c>
      <c r="B13">
        <v>0</v>
      </c>
      <c r="C13" t="s">
        <v>18</v>
      </c>
      <c r="D13" t="s">
        <v>31</v>
      </c>
      <c r="E13" t="s">
        <v>32</v>
      </c>
      <c r="F13" t="s">
        <v>33</v>
      </c>
      <c r="G13">
        <v>1000</v>
      </c>
      <c r="H13">
        <v>20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25">
      <c r="A14">
        <f t="shared" si="0"/>
        <v>13</v>
      </c>
      <c r="B14">
        <v>0</v>
      </c>
      <c r="C14" t="s">
        <v>18</v>
      </c>
      <c r="D14" t="s">
        <v>34</v>
      </c>
      <c r="E14" t="s">
        <v>35</v>
      </c>
      <c r="F14" t="s">
        <v>36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25">
      <c r="A15">
        <f t="shared" si="0"/>
        <v>14</v>
      </c>
      <c r="B15">
        <v>0</v>
      </c>
      <c r="C15" t="s">
        <v>18</v>
      </c>
      <c r="D15" t="s">
        <v>912</v>
      </c>
      <c r="E15" t="s">
        <v>913</v>
      </c>
      <c r="F15" t="s">
        <v>914</v>
      </c>
      <c r="G15">
        <v>30</v>
      </c>
      <c r="H15">
        <v>3</v>
      </c>
      <c r="I15">
        <v>20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25">
      <c r="A16">
        <f t="shared" si="0"/>
        <v>15</v>
      </c>
      <c r="B16">
        <v>0</v>
      </c>
      <c r="C16" t="s">
        <v>18</v>
      </c>
      <c r="D16" t="s">
        <v>915</v>
      </c>
      <c r="E16" t="s">
        <v>916</v>
      </c>
      <c r="F16" t="s">
        <v>917</v>
      </c>
      <c r="G16">
        <v>1000</v>
      </c>
      <c r="H16">
        <v>90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25">
      <c r="A17">
        <f t="shared" si="0"/>
        <v>16</v>
      </c>
      <c r="B17">
        <v>0</v>
      </c>
      <c r="C17" t="s">
        <v>37</v>
      </c>
      <c r="D17" t="s">
        <v>38</v>
      </c>
      <c r="E17" t="s">
        <v>39</v>
      </c>
      <c r="F17" t="s">
        <v>40</v>
      </c>
      <c r="G17">
        <v>1</v>
      </c>
      <c r="H17" t="s">
        <v>41</v>
      </c>
      <c r="I17">
        <v>0</v>
      </c>
      <c r="J17" t="s">
        <v>42</v>
      </c>
      <c r="K17">
        <v>10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25">
      <c r="A18">
        <f t="shared" si="0"/>
        <v>17</v>
      </c>
      <c r="B18">
        <v>0</v>
      </c>
      <c r="C18" t="s">
        <v>37</v>
      </c>
      <c r="D18" t="s">
        <v>43</v>
      </c>
      <c r="E18" t="s">
        <v>39</v>
      </c>
      <c r="F18" t="s">
        <v>40</v>
      </c>
      <c r="G18">
        <v>1.5</v>
      </c>
      <c r="H18" t="s">
        <v>44</v>
      </c>
      <c r="I18">
        <v>500000</v>
      </c>
      <c r="J18" t="s">
        <v>45</v>
      </c>
      <c r="K18">
        <v>12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25">
      <c r="A19">
        <f t="shared" si="0"/>
        <v>18</v>
      </c>
      <c r="B19">
        <v>0</v>
      </c>
      <c r="C19" t="s">
        <v>37</v>
      </c>
      <c r="D19" t="s">
        <v>46</v>
      </c>
      <c r="E19" t="s">
        <v>39</v>
      </c>
      <c r="F19" t="s">
        <v>40</v>
      </c>
      <c r="G19">
        <v>2.5</v>
      </c>
      <c r="H19" t="s">
        <v>47</v>
      </c>
      <c r="I19">
        <v>1500000</v>
      </c>
      <c r="J19" t="s">
        <v>48</v>
      </c>
      <c r="K19">
        <v>14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25">
      <c r="A20">
        <f t="shared" si="0"/>
        <v>19</v>
      </c>
      <c r="B20">
        <v>0</v>
      </c>
      <c r="C20" t="s">
        <v>37</v>
      </c>
      <c r="D20" t="s">
        <v>49</v>
      </c>
      <c r="E20" t="s">
        <v>39</v>
      </c>
      <c r="F20" t="s">
        <v>40</v>
      </c>
      <c r="G20">
        <v>3.5</v>
      </c>
      <c r="H20" t="s">
        <v>50</v>
      </c>
      <c r="I20">
        <v>3000000</v>
      </c>
      <c r="J20" t="s">
        <v>51</v>
      </c>
      <c r="K20">
        <v>16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25">
      <c r="A21">
        <f t="shared" si="0"/>
        <v>20</v>
      </c>
      <c r="B21">
        <v>0</v>
      </c>
      <c r="C21" t="s">
        <v>37</v>
      </c>
      <c r="D21" t="s">
        <v>52</v>
      </c>
      <c r="E21" t="s">
        <v>39</v>
      </c>
      <c r="F21" t="s">
        <v>40</v>
      </c>
      <c r="G21">
        <v>5</v>
      </c>
      <c r="H21" t="s">
        <v>53</v>
      </c>
      <c r="I21">
        <v>6000000</v>
      </c>
      <c r="J21" t="s">
        <v>54</v>
      </c>
      <c r="K21">
        <v>18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25">
      <c r="A22">
        <f t="shared" si="0"/>
        <v>21</v>
      </c>
      <c r="B22">
        <v>0</v>
      </c>
      <c r="C22" t="s">
        <v>37</v>
      </c>
      <c r="D22" t="s">
        <v>55</v>
      </c>
      <c r="E22" t="s">
        <v>39</v>
      </c>
      <c r="F22" t="s">
        <v>40</v>
      </c>
      <c r="G22">
        <v>7</v>
      </c>
      <c r="H22" t="s">
        <v>56</v>
      </c>
      <c r="I22">
        <v>12000000</v>
      </c>
      <c r="J22" t="s">
        <v>57</v>
      </c>
      <c r="K22">
        <v>20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25">
      <c r="A23">
        <f t="shared" si="0"/>
        <v>22</v>
      </c>
      <c r="B23">
        <v>0</v>
      </c>
      <c r="C23" t="s">
        <v>37</v>
      </c>
      <c r="D23" t="s">
        <v>58</v>
      </c>
      <c r="E23" t="s">
        <v>39</v>
      </c>
      <c r="F23" t="s">
        <v>40</v>
      </c>
      <c r="G23">
        <v>10</v>
      </c>
      <c r="H23" t="s">
        <v>59</v>
      </c>
      <c r="I23">
        <v>24000000</v>
      </c>
      <c r="J23" t="s">
        <v>60</v>
      </c>
      <c r="K23">
        <v>22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25">
      <c r="A24">
        <f t="shared" si="0"/>
        <v>23</v>
      </c>
      <c r="B24">
        <v>0</v>
      </c>
      <c r="C24" t="s">
        <v>37</v>
      </c>
      <c r="D24" t="s">
        <v>61</v>
      </c>
      <c r="E24" t="s">
        <v>39</v>
      </c>
      <c r="F24" t="s">
        <v>40</v>
      </c>
      <c r="G24">
        <v>14</v>
      </c>
      <c r="H24" t="s">
        <v>62</v>
      </c>
      <c r="I24">
        <v>48000000</v>
      </c>
      <c r="J24" t="s">
        <v>63</v>
      </c>
      <c r="K24">
        <v>24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25">
      <c r="A25">
        <f t="shared" si="0"/>
        <v>24</v>
      </c>
      <c r="B25">
        <v>0</v>
      </c>
      <c r="C25" t="s">
        <v>37</v>
      </c>
      <c r="D25" t="s">
        <v>64</v>
      </c>
      <c r="E25" t="s">
        <v>39</v>
      </c>
      <c r="F25" t="s">
        <v>40</v>
      </c>
      <c r="G25">
        <v>18</v>
      </c>
      <c r="H25" t="s">
        <v>65</v>
      </c>
      <c r="I25">
        <v>96000000</v>
      </c>
      <c r="J25" t="s">
        <v>66</v>
      </c>
      <c r="K25">
        <v>26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25">
      <c r="A26">
        <f t="shared" si="0"/>
        <v>25</v>
      </c>
      <c r="B26">
        <v>0</v>
      </c>
      <c r="C26" t="s">
        <v>37</v>
      </c>
      <c r="D26" t="s">
        <v>67</v>
      </c>
      <c r="E26" t="s">
        <v>39</v>
      </c>
      <c r="F26" t="s">
        <v>40</v>
      </c>
      <c r="G26">
        <v>24</v>
      </c>
      <c r="H26" t="s">
        <v>68</v>
      </c>
      <c r="I26">
        <v>192000000</v>
      </c>
      <c r="J26" t="s">
        <v>69</v>
      </c>
      <c r="K26">
        <v>28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25">
      <c r="A27">
        <f t="shared" si="0"/>
        <v>26</v>
      </c>
      <c r="B27">
        <v>0</v>
      </c>
      <c r="C27" t="s">
        <v>37</v>
      </c>
      <c r="D27" t="s">
        <v>70</v>
      </c>
      <c r="E27" t="s">
        <v>39</v>
      </c>
      <c r="F27" t="s">
        <v>40</v>
      </c>
      <c r="G27">
        <v>30</v>
      </c>
      <c r="H27" t="s">
        <v>71</v>
      </c>
      <c r="I27">
        <v>384000000</v>
      </c>
      <c r="J27" t="s">
        <v>72</v>
      </c>
      <c r="K27">
        <v>30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25">
      <c r="A28">
        <f t="shared" si="0"/>
        <v>27</v>
      </c>
      <c r="B28">
        <v>0</v>
      </c>
      <c r="C28" t="s">
        <v>37</v>
      </c>
      <c r="D28" t="s">
        <v>73</v>
      </c>
      <c r="E28" t="s">
        <v>39</v>
      </c>
      <c r="F28" t="s">
        <v>40</v>
      </c>
      <c r="G28">
        <v>60</v>
      </c>
      <c r="H28" t="s">
        <v>74</v>
      </c>
      <c r="I28">
        <v>768000000</v>
      </c>
      <c r="J28" t="s">
        <v>75</v>
      </c>
      <c r="K28">
        <v>30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25">
      <c r="A29">
        <f t="shared" si="0"/>
        <v>28</v>
      </c>
      <c r="B29">
        <v>0</v>
      </c>
      <c r="C29" t="s">
        <v>37</v>
      </c>
      <c r="D29" t="s">
        <v>76</v>
      </c>
      <c r="E29" t="s">
        <v>39</v>
      </c>
      <c r="F29" t="s">
        <v>40</v>
      </c>
      <c r="G29">
        <v>100</v>
      </c>
      <c r="H29" t="s">
        <v>77</v>
      </c>
      <c r="I29">
        <v>1536000000</v>
      </c>
      <c r="J29" t="s">
        <v>78</v>
      </c>
      <c r="K29">
        <v>30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25">
      <c r="A30">
        <f t="shared" si="0"/>
        <v>29</v>
      </c>
      <c r="B30">
        <v>0</v>
      </c>
      <c r="C30" t="s">
        <v>37</v>
      </c>
      <c r="D30" t="s">
        <v>79</v>
      </c>
      <c r="E30" t="s">
        <v>39</v>
      </c>
      <c r="F30" t="s">
        <v>40</v>
      </c>
      <c r="G30">
        <v>150</v>
      </c>
      <c r="H30" t="s">
        <v>80</v>
      </c>
      <c r="I30">
        <v>3072000000</v>
      </c>
      <c r="J30" t="s">
        <v>81</v>
      </c>
      <c r="K30">
        <v>30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25">
      <c r="A31">
        <f t="shared" si="0"/>
        <v>30</v>
      </c>
      <c r="B31">
        <v>0</v>
      </c>
      <c r="C31" t="s">
        <v>37</v>
      </c>
      <c r="D31" t="s">
        <v>82</v>
      </c>
      <c r="E31" t="s">
        <v>39</v>
      </c>
      <c r="F31" t="s">
        <v>40</v>
      </c>
      <c r="G31">
        <v>200</v>
      </c>
      <c r="H31" t="s">
        <v>83</v>
      </c>
      <c r="I31">
        <v>6144000000</v>
      </c>
      <c r="J31" t="s">
        <v>84</v>
      </c>
      <c r="K31">
        <v>30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25">
      <c r="A32">
        <f t="shared" si="0"/>
        <v>31</v>
      </c>
      <c r="B32">
        <v>0</v>
      </c>
      <c r="C32" t="s">
        <v>37</v>
      </c>
      <c r="D32" t="s">
        <v>85</v>
      </c>
      <c r="E32" t="s">
        <v>39</v>
      </c>
      <c r="F32" t="s">
        <v>40</v>
      </c>
      <c r="G32">
        <v>300</v>
      </c>
      <c r="H32" t="s">
        <v>86</v>
      </c>
      <c r="I32">
        <v>12288000000</v>
      </c>
      <c r="J32" t="s">
        <v>87</v>
      </c>
      <c r="K32">
        <v>30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25">
      <c r="A33">
        <f t="shared" si="0"/>
        <v>32</v>
      </c>
      <c r="B33">
        <v>0</v>
      </c>
      <c r="C33" t="s">
        <v>37</v>
      </c>
      <c r="D33" t="s">
        <v>88</v>
      </c>
      <c r="E33" t="s">
        <v>39</v>
      </c>
      <c r="F33" t="s">
        <v>40</v>
      </c>
      <c r="G33">
        <v>450</v>
      </c>
      <c r="H33" t="s">
        <v>89</v>
      </c>
      <c r="I33">
        <v>24576000000</v>
      </c>
      <c r="J33" t="s">
        <v>90</v>
      </c>
      <c r="K33">
        <v>30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25">
      <c r="A34">
        <f t="shared" si="0"/>
        <v>33</v>
      </c>
      <c r="B34">
        <v>0</v>
      </c>
      <c r="C34" t="s">
        <v>37</v>
      </c>
      <c r="D34" t="s">
        <v>91</v>
      </c>
      <c r="E34" t="s">
        <v>39</v>
      </c>
      <c r="F34" t="s">
        <v>40</v>
      </c>
      <c r="G34">
        <v>650</v>
      </c>
      <c r="H34" t="s">
        <v>92</v>
      </c>
      <c r="I34">
        <v>49152000000</v>
      </c>
      <c r="J34" t="s">
        <v>93</v>
      </c>
      <c r="K34">
        <v>30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25">
      <c r="A35">
        <f t="shared" si="0"/>
        <v>34</v>
      </c>
      <c r="B35">
        <v>0</v>
      </c>
      <c r="C35" t="s">
        <v>37</v>
      </c>
      <c r="D35" t="s">
        <v>94</v>
      </c>
      <c r="E35" t="s">
        <v>39</v>
      </c>
      <c r="F35" t="s">
        <v>40</v>
      </c>
      <c r="G35">
        <v>800</v>
      </c>
      <c r="H35" t="s">
        <v>95</v>
      </c>
      <c r="I35">
        <v>98304000000</v>
      </c>
      <c r="J35" t="s">
        <v>96</v>
      </c>
      <c r="K35">
        <v>30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25">
      <c r="A36">
        <f t="shared" si="0"/>
        <v>35</v>
      </c>
      <c r="B36">
        <v>0</v>
      </c>
      <c r="C36" t="s">
        <v>37</v>
      </c>
      <c r="D36" t="s">
        <v>97</v>
      </c>
      <c r="E36" t="s">
        <v>39</v>
      </c>
      <c r="F36" t="s">
        <v>40</v>
      </c>
      <c r="G36">
        <v>1200</v>
      </c>
      <c r="H36" t="s">
        <v>98</v>
      </c>
      <c r="I36">
        <v>196608000000</v>
      </c>
      <c r="J36" t="s">
        <v>99</v>
      </c>
      <c r="K36">
        <v>30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25">
      <c r="A37">
        <f t="shared" si="0"/>
        <v>36</v>
      </c>
      <c r="B37">
        <v>0</v>
      </c>
      <c r="C37" t="s">
        <v>37</v>
      </c>
      <c r="D37" t="s">
        <v>100</v>
      </c>
      <c r="E37" t="s">
        <v>39</v>
      </c>
      <c r="F37" t="s">
        <v>40</v>
      </c>
      <c r="G37">
        <v>2500</v>
      </c>
      <c r="H37" t="s">
        <v>101</v>
      </c>
      <c r="I37">
        <v>393216000000</v>
      </c>
      <c r="J37" t="s">
        <v>102</v>
      </c>
      <c r="K37">
        <v>30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25">
      <c r="A38">
        <f t="shared" si="0"/>
        <v>37</v>
      </c>
      <c r="B38">
        <v>0</v>
      </c>
      <c r="C38" t="s">
        <v>147</v>
      </c>
      <c r="D38" t="s">
        <v>148</v>
      </c>
      <c r="E38" t="s">
        <v>149</v>
      </c>
      <c r="F38" t="s">
        <v>150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25">
      <c r="A39">
        <f t="shared" si="0"/>
        <v>38</v>
      </c>
      <c r="B39">
        <v>0</v>
      </c>
      <c r="C39" t="s">
        <v>147</v>
      </c>
      <c r="D39" t="s">
        <v>151</v>
      </c>
      <c r="E39" t="s">
        <v>149</v>
      </c>
      <c r="F39" t="s">
        <v>152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25">
      <c r="A40">
        <f t="shared" si="0"/>
        <v>39</v>
      </c>
      <c r="B40">
        <v>0</v>
      </c>
      <c r="C40" t="s">
        <v>147</v>
      </c>
      <c r="D40" t="s">
        <v>153</v>
      </c>
      <c r="E40" t="s">
        <v>149</v>
      </c>
      <c r="F40" t="s">
        <v>154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25">
      <c r="A41">
        <f t="shared" si="0"/>
        <v>40</v>
      </c>
      <c r="B41">
        <v>0</v>
      </c>
      <c r="C41" t="s">
        <v>147</v>
      </c>
      <c r="D41" t="s">
        <v>155</v>
      </c>
      <c r="E41" t="s">
        <v>149</v>
      </c>
      <c r="F41" t="s">
        <v>156</v>
      </c>
      <c r="G41">
        <v>60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25">
      <c r="A42">
        <f t="shared" si="0"/>
        <v>41</v>
      </c>
      <c r="B42">
        <v>0</v>
      </c>
      <c r="C42" t="s">
        <v>147</v>
      </c>
      <c r="D42" t="s">
        <v>157</v>
      </c>
      <c r="E42" t="s">
        <v>149</v>
      </c>
      <c r="F42" t="s">
        <v>158</v>
      </c>
      <c r="G42">
        <v>50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25">
      <c r="A43">
        <f t="shared" si="0"/>
        <v>42</v>
      </c>
      <c r="B43">
        <v>0</v>
      </c>
      <c r="C43" t="s">
        <v>147</v>
      </c>
      <c r="D43" t="s">
        <v>159</v>
      </c>
      <c r="E43" t="s">
        <v>149</v>
      </c>
      <c r="F43" s="7" t="s">
        <v>1057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25">
      <c r="A44">
        <f t="shared" si="0"/>
        <v>43</v>
      </c>
      <c r="B44">
        <v>0</v>
      </c>
      <c r="C44" t="s">
        <v>147</v>
      </c>
      <c r="D44" t="s">
        <v>160</v>
      </c>
      <c r="E44" t="s">
        <v>149</v>
      </c>
      <c r="F44" s="7" t="s">
        <v>1058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25">
      <c r="A45">
        <f t="shared" si="0"/>
        <v>44</v>
      </c>
      <c r="B45">
        <v>0</v>
      </c>
      <c r="C45" t="s">
        <v>147</v>
      </c>
      <c r="D45" t="s">
        <v>161</v>
      </c>
      <c r="E45" t="s">
        <v>149</v>
      </c>
      <c r="F45" t="s">
        <v>162</v>
      </c>
      <c r="G45">
        <v>50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25">
      <c r="A46">
        <f t="shared" si="0"/>
        <v>45</v>
      </c>
      <c r="B46">
        <v>0</v>
      </c>
      <c r="C46" t="s">
        <v>147</v>
      </c>
      <c r="D46" t="s">
        <v>163</v>
      </c>
      <c r="E46" t="s">
        <v>149</v>
      </c>
      <c r="F46" t="s">
        <v>164</v>
      </c>
      <c r="G46">
        <v>50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25">
      <c r="A47">
        <f t="shared" si="0"/>
        <v>46</v>
      </c>
      <c r="B47">
        <v>0</v>
      </c>
      <c r="C47" t="s">
        <v>147</v>
      </c>
      <c r="D47" t="s">
        <v>165</v>
      </c>
      <c r="E47" t="s">
        <v>149</v>
      </c>
      <c r="F47" t="s">
        <v>166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25">
      <c r="A48">
        <f t="shared" si="0"/>
        <v>47</v>
      </c>
      <c r="B48">
        <v>0</v>
      </c>
      <c r="C48" t="s">
        <v>147</v>
      </c>
      <c r="D48" t="s">
        <v>167</v>
      </c>
      <c r="E48" t="s">
        <v>149</v>
      </c>
      <c r="F48" t="s">
        <v>168</v>
      </c>
      <c r="G48">
        <v>80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25">
      <c r="A49">
        <f t="shared" si="0"/>
        <v>48</v>
      </c>
      <c r="B49">
        <v>0</v>
      </c>
      <c r="C49" t="s">
        <v>147</v>
      </c>
      <c r="D49" t="s">
        <v>169</v>
      </c>
      <c r="E49" t="s">
        <v>149</v>
      </c>
      <c r="F49" t="s">
        <v>170</v>
      </c>
      <c r="G49">
        <v>80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25">
      <c r="A50">
        <f t="shared" si="0"/>
        <v>49</v>
      </c>
      <c r="B50">
        <v>0</v>
      </c>
      <c r="C50" t="s">
        <v>147</v>
      </c>
      <c r="D50" t="s">
        <v>171</v>
      </c>
      <c r="E50" t="s">
        <v>149</v>
      </c>
      <c r="F50" t="s">
        <v>172</v>
      </c>
      <c r="G50">
        <v>60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25">
      <c r="A51">
        <f t="shared" si="0"/>
        <v>50</v>
      </c>
      <c r="B51">
        <v>0</v>
      </c>
      <c r="C51" t="s">
        <v>147</v>
      </c>
      <c r="D51" t="s">
        <v>173</v>
      </c>
      <c r="E51" t="s">
        <v>149</v>
      </c>
      <c r="F51" t="s">
        <v>174</v>
      </c>
      <c r="G51">
        <v>50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25">
      <c r="A52">
        <f t="shared" si="0"/>
        <v>51</v>
      </c>
      <c r="B52">
        <v>0</v>
      </c>
      <c r="C52" t="s">
        <v>147</v>
      </c>
      <c r="D52" t="s">
        <v>175</v>
      </c>
      <c r="E52" t="s">
        <v>149</v>
      </c>
      <c r="F52" t="s">
        <v>176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25">
      <c r="A53">
        <f t="shared" si="0"/>
        <v>52</v>
      </c>
      <c r="B53">
        <v>0</v>
      </c>
      <c r="C53" t="s">
        <v>147</v>
      </c>
      <c r="D53" t="s">
        <v>177</v>
      </c>
      <c r="E53" t="s">
        <v>149</v>
      </c>
      <c r="F53" t="s">
        <v>178</v>
      </c>
      <c r="G53">
        <v>60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25">
      <c r="A54">
        <f t="shared" si="0"/>
        <v>53</v>
      </c>
      <c r="B54">
        <v>0</v>
      </c>
      <c r="C54" t="s">
        <v>147</v>
      </c>
      <c r="D54" t="s">
        <v>179</v>
      </c>
      <c r="E54" t="s">
        <v>149</v>
      </c>
      <c r="F54" t="s">
        <v>180</v>
      </c>
      <c r="G54">
        <v>30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25">
      <c r="A55">
        <f t="shared" si="0"/>
        <v>54</v>
      </c>
      <c r="B55">
        <v>0</v>
      </c>
      <c r="C55" t="s">
        <v>147</v>
      </c>
      <c r="D55" t="s">
        <v>181</v>
      </c>
      <c r="E55" t="s">
        <v>182</v>
      </c>
      <c r="F55" t="s">
        <v>183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25">
      <c r="A56">
        <f t="shared" si="0"/>
        <v>55</v>
      </c>
      <c r="B56">
        <v>0</v>
      </c>
      <c r="C56" t="s">
        <v>147</v>
      </c>
      <c r="D56" t="s">
        <v>184</v>
      </c>
      <c r="E56" t="s">
        <v>149</v>
      </c>
      <c r="F56" t="s">
        <v>185</v>
      </c>
      <c r="G56">
        <v>45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25">
      <c r="A57">
        <f t="shared" si="0"/>
        <v>56</v>
      </c>
      <c r="B57">
        <v>0</v>
      </c>
      <c r="C57" t="s">
        <v>147</v>
      </c>
      <c r="D57" t="s">
        <v>186</v>
      </c>
      <c r="E57" t="s">
        <v>149</v>
      </c>
      <c r="F57" t="s">
        <v>187</v>
      </c>
      <c r="G57">
        <v>30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25">
      <c r="A58">
        <f t="shared" si="0"/>
        <v>57</v>
      </c>
      <c r="B58">
        <v>0</v>
      </c>
      <c r="C58" t="s">
        <v>103</v>
      </c>
      <c r="D58" t="s">
        <v>104</v>
      </c>
      <c r="E58" t="s">
        <v>105</v>
      </c>
      <c r="F58" t="s">
        <v>106</v>
      </c>
      <c r="G58">
        <v>500</v>
      </c>
      <c r="H58">
        <v>50</v>
      </c>
      <c r="I58">
        <v>10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25">
      <c r="A59">
        <f t="shared" si="0"/>
        <v>58</v>
      </c>
      <c r="B59">
        <v>0</v>
      </c>
      <c r="C59" t="s">
        <v>103</v>
      </c>
      <c r="D59" t="s">
        <v>107</v>
      </c>
      <c r="E59" t="s">
        <v>108</v>
      </c>
      <c r="F59" t="s">
        <v>109</v>
      </c>
      <c r="G59">
        <v>100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25">
      <c r="A60">
        <f t="shared" si="0"/>
        <v>59</v>
      </c>
      <c r="B60">
        <v>0</v>
      </c>
      <c r="C60" t="s">
        <v>103</v>
      </c>
      <c r="D60" t="s">
        <v>110</v>
      </c>
      <c r="E60" t="s">
        <v>111</v>
      </c>
      <c r="F60" t="s">
        <v>112</v>
      </c>
      <c r="G60">
        <v>1</v>
      </c>
      <c r="H60">
        <v>4.0000000000000001E-3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25">
      <c r="A61">
        <f t="shared" si="0"/>
        <v>60</v>
      </c>
      <c r="B61">
        <v>0</v>
      </c>
      <c r="C61" t="s">
        <v>103</v>
      </c>
      <c r="D61" t="s">
        <v>113</v>
      </c>
      <c r="E61" t="s">
        <v>114</v>
      </c>
      <c r="F61" t="s">
        <v>115</v>
      </c>
      <c r="G61">
        <v>20</v>
      </c>
      <c r="H61">
        <v>1.2</v>
      </c>
      <c r="I61">
        <v>2.5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25">
      <c r="A62">
        <f t="shared" si="0"/>
        <v>61</v>
      </c>
      <c r="B62">
        <v>0</v>
      </c>
      <c r="C62" t="s">
        <v>103</v>
      </c>
      <c r="D62" t="s">
        <v>116</v>
      </c>
      <c r="E62" t="s">
        <v>117</v>
      </c>
      <c r="F62" t="s">
        <v>118</v>
      </c>
      <c r="G62">
        <v>16</v>
      </c>
      <c r="H62">
        <v>1.2</v>
      </c>
      <c r="I62">
        <v>2.5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25">
      <c r="A63">
        <f t="shared" si="0"/>
        <v>62</v>
      </c>
      <c r="B63">
        <v>0</v>
      </c>
      <c r="C63" t="s">
        <v>103</v>
      </c>
      <c r="D63" t="s">
        <v>119</v>
      </c>
      <c r="E63" t="s">
        <v>120</v>
      </c>
      <c r="F63" t="s">
        <v>121</v>
      </c>
      <c r="G63">
        <v>3</v>
      </c>
      <c r="H63">
        <v>0.75</v>
      </c>
      <c r="I63">
        <v>2.4</v>
      </c>
      <c r="J63">
        <v>0.35</v>
      </c>
      <c r="K63">
        <v>0.65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25">
      <c r="A64">
        <f t="shared" si="0"/>
        <v>63</v>
      </c>
      <c r="B64">
        <v>0</v>
      </c>
      <c r="C64" t="s">
        <v>103</v>
      </c>
      <c r="D64" t="s">
        <v>122</v>
      </c>
      <c r="E64" t="s">
        <v>123</v>
      </c>
      <c r="F64" t="s">
        <v>124</v>
      </c>
      <c r="G64">
        <v>2</v>
      </c>
      <c r="H64">
        <v>0.75</v>
      </c>
      <c r="I64">
        <v>2.4</v>
      </c>
      <c r="J64">
        <v>0.35</v>
      </c>
      <c r="K64">
        <v>0.65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25">
      <c r="A65">
        <f t="shared" si="0"/>
        <v>64</v>
      </c>
      <c r="B65">
        <v>0</v>
      </c>
      <c r="C65" t="s">
        <v>103</v>
      </c>
      <c r="D65" t="s">
        <v>125</v>
      </c>
      <c r="E65" t="s">
        <v>126</v>
      </c>
      <c r="F65" t="s">
        <v>127</v>
      </c>
      <c r="G65">
        <v>5</v>
      </c>
      <c r="H65">
        <v>1.0000000000000001E-5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25">
      <c r="A66">
        <f t="shared" si="0"/>
        <v>65</v>
      </c>
      <c r="B66">
        <v>0</v>
      </c>
      <c r="C66" t="s">
        <v>103</v>
      </c>
      <c r="D66" t="s">
        <v>128</v>
      </c>
      <c r="E66" t="s">
        <v>129</v>
      </c>
      <c r="F66" t="s">
        <v>130</v>
      </c>
      <c r="G66">
        <v>0.875</v>
      </c>
      <c r="H66">
        <v>2.5000000000000001E-3</v>
      </c>
      <c r="I66">
        <v>0.05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25">
      <c r="A67">
        <f t="shared" si="0"/>
        <v>66</v>
      </c>
      <c r="B67">
        <v>0</v>
      </c>
      <c r="C67" t="s">
        <v>103</v>
      </c>
      <c r="D67" t="s">
        <v>131</v>
      </c>
      <c r="E67" t="s">
        <v>132</v>
      </c>
      <c r="F67" t="s">
        <v>133</v>
      </c>
      <c r="G67">
        <v>150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ht="15.75" x14ac:dyDescent="0.25">
      <c r="A68">
        <f t="shared" ref="A68:A133" si="1">A67+1</f>
        <v>67</v>
      </c>
      <c r="B68">
        <v>0</v>
      </c>
      <c r="C68" t="s">
        <v>103</v>
      </c>
      <c r="D68" t="s">
        <v>134</v>
      </c>
      <c r="E68" s="6" t="s">
        <v>1004</v>
      </c>
      <c r="F68" s="3" t="s">
        <v>1005</v>
      </c>
      <c r="G68">
        <v>0.86</v>
      </c>
      <c r="H68">
        <v>0.2</v>
      </c>
      <c r="I68">
        <v>1.4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25">
      <c r="A69">
        <f t="shared" si="1"/>
        <v>68</v>
      </c>
      <c r="B69">
        <v>0</v>
      </c>
      <c r="C69" t="s">
        <v>103</v>
      </c>
      <c r="D69" t="s">
        <v>135</v>
      </c>
      <c r="E69" t="s">
        <v>136</v>
      </c>
      <c r="F69" t="s">
        <v>137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25">
      <c r="A70">
        <f t="shared" si="1"/>
        <v>69</v>
      </c>
      <c r="B70">
        <v>0</v>
      </c>
      <c r="C70" t="s">
        <v>103</v>
      </c>
      <c r="D70" t="s">
        <v>138</v>
      </c>
      <c r="E70" t="s">
        <v>136</v>
      </c>
      <c r="F70" t="s">
        <v>139</v>
      </c>
      <c r="G70">
        <v>3.4999999999999999E-6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25">
      <c r="A71">
        <f t="shared" si="1"/>
        <v>70</v>
      </c>
      <c r="B71">
        <v>0</v>
      </c>
      <c r="C71" t="s">
        <v>103</v>
      </c>
      <c r="D71" t="s">
        <v>140</v>
      </c>
      <c r="E71" t="s">
        <v>141</v>
      </c>
      <c r="F71" t="s">
        <v>142</v>
      </c>
      <c r="G71">
        <v>0.5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25">
      <c r="A72">
        <f t="shared" si="1"/>
        <v>71</v>
      </c>
      <c r="B72">
        <v>0</v>
      </c>
      <c r="C72" t="s">
        <v>103</v>
      </c>
      <c r="D72" t="s">
        <v>143</v>
      </c>
      <c r="E72" t="s">
        <v>1059</v>
      </c>
      <c r="F72" t="s">
        <v>1060</v>
      </c>
      <c r="G72">
        <v>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25">
      <c r="A73">
        <f t="shared" si="1"/>
        <v>72</v>
      </c>
      <c r="B73">
        <v>0</v>
      </c>
      <c r="C73" t="s">
        <v>103</v>
      </c>
      <c r="D73" t="s">
        <v>144</v>
      </c>
      <c r="E73" t="s">
        <v>145</v>
      </c>
      <c r="F73" t="s">
        <v>146</v>
      </c>
      <c r="G73">
        <v>100</v>
      </c>
      <c r="H73">
        <v>2500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25">
      <c r="A74">
        <f t="shared" si="1"/>
        <v>73</v>
      </c>
      <c r="B74">
        <v>0</v>
      </c>
      <c r="C74" t="s">
        <v>233</v>
      </c>
      <c r="D74" t="s">
        <v>234</v>
      </c>
      <c r="E74" t="s">
        <v>235</v>
      </c>
      <c r="F74" t="s">
        <v>236</v>
      </c>
      <c r="G74">
        <v>15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25">
      <c r="A75">
        <f t="shared" si="1"/>
        <v>74</v>
      </c>
      <c r="B75">
        <v>0</v>
      </c>
      <c r="C75" t="s">
        <v>233</v>
      </c>
      <c r="D75" t="s">
        <v>237</v>
      </c>
      <c r="E75" t="s">
        <v>235</v>
      </c>
      <c r="F75" t="s">
        <v>238</v>
      </c>
      <c r="G75">
        <v>10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25">
      <c r="A76">
        <f t="shared" si="1"/>
        <v>75</v>
      </c>
      <c r="B76">
        <v>0</v>
      </c>
      <c r="C76" t="s">
        <v>233</v>
      </c>
      <c r="D76" t="s">
        <v>239</v>
      </c>
      <c r="E76" t="s">
        <v>235</v>
      </c>
      <c r="F76" t="s">
        <v>240</v>
      </c>
      <c r="G76">
        <v>25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25">
      <c r="A77">
        <f t="shared" si="1"/>
        <v>76</v>
      </c>
      <c r="B77">
        <v>0</v>
      </c>
      <c r="C77" t="s">
        <v>233</v>
      </c>
      <c r="D77" t="s">
        <v>241</v>
      </c>
      <c r="E77" t="s">
        <v>235</v>
      </c>
      <c r="F77" t="s">
        <v>242</v>
      </c>
      <c r="G77">
        <v>20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25">
      <c r="A78">
        <f t="shared" si="1"/>
        <v>77</v>
      </c>
      <c r="B78">
        <v>0</v>
      </c>
      <c r="C78" t="s">
        <v>233</v>
      </c>
      <c r="D78" t="s">
        <v>243</v>
      </c>
      <c r="E78" t="s">
        <v>235</v>
      </c>
      <c r="F78" t="s">
        <v>244</v>
      </c>
      <c r="G78">
        <v>100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25">
      <c r="A79">
        <f t="shared" si="1"/>
        <v>78</v>
      </c>
      <c r="B79">
        <v>0</v>
      </c>
      <c r="C79" t="s">
        <v>188</v>
      </c>
      <c r="D79" t="s">
        <v>189</v>
      </c>
      <c r="E79" t="s">
        <v>190</v>
      </c>
      <c r="F79" t="s">
        <v>191</v>
      </c>
      <c r="G79">
        <v>10000</v>
      </c>
      <c r="H79">
        <v>100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25">
      <c r="A80">
        <f t="shared" si="1"/>
        <v>79</v>
      </c>
      <c r="B80">
        <v>0</v>
      </c>
      <c r="C80" t="s">
        <v>188</v>
      </c>
      <c r="D80" t="s">
        <v>192</v>
      </c>
      <c r="E80" t="s">
        <v>193</v>
      </c>
      <c r="F80" t="s">
        <v>194</v>
      </c>
      <c r="G80">
        <v>0.95</v>
      </c>
      <c r="H80">
        <v>4000</v>
      </c>
      <c r="I80">
        <v>1.4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25">
      <c r="A81">
        <f t="shared" si="1"/>
        <v>80</v>
      </c>
      <c r="B81">
        <v>0</v>
      </c>
      <c r="C81" t="s">
        <v>188</v>
      </c>
      <c r="D81" t="s">
        <v>195</v>
      </c>
      <c r="E81" t="s">
        <v>193</v>
      </c>
      <c r="F81" t="s">
        <v>196</v>
      </c>
      <c r="G81">
        <v>0.95</v>
      </c>
      <c r="H81">
        <v>18</v>
      </c>
      <c r="I81">
        <v>1.4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25">
      <c r="A82">
        <f t="shared" si="1"/>
        <v>81</v>
      </c>
      <c r="B82">
        <v>0</v>
      </c>
      <c r="C82" t="s">
        <v>188</v>
      </c>
      <c r="D82" t="s">
        <v>197</v>
      </c>
      <c r="E82" t="s">
        <v>193</v>
      </c>
      <c r="F82" t="s">
        <v>196</v>
      </c>
      <c r="G82">
        <v>0.95</v>
      </c>
      <c r="H82">
        <v>18</v>
      </c>
      <c r="I82">
        <v>1.4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25">
      <c r="A83">
        <f t="shared" si="1"/>
        <v>82</v>
      </c>
      <c r="B83">
        <v>0</v>
      </c>
      <c r="C83" t="s">
        <v>188</v>
      </c>
      <c r="D83" t="s">
        <v>198</v>
      </c>
      <c r="E83" t="s">
        <v>193</v>
      </c>
      <c r="F83" t="s">
        <v>199</v>
      </c>
      <c r="G83">
        <v>0.95</v>
      </c>
      <c r="H83">
        <v>18</v>
      </c>
      <c r="I83">
        <v>1.4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25">
      <c r="A84">
        <f t="shared" si="1"/>
        <v>83</v>
      </c>
      <c r="B84">
        <v>0</v>
      </c>
      <c r="C84" t="s">
        <v>188</v>
      </c>
      <c r="D84" t="s">
        <v>200</v>
      </c>
      <c r="E84" t="s">
        <v>201</v>
      </c>
      <c r="F84" t="s">
        <v>202</v>
      </c>
      <c r="G84">
        <v>0.8</v>
      </c>
      <c r="H84">
        <v>1.2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25">
      <c r="A85">
        <f t="shared" si="1"/>
        <v>84</v>
      </c>
      <c r="B85">
        <v>0</v>
      </c>
      <c r="C85" t="s">
        <v>188</v>
      </c>
      <c r="D85" t="s">
        <v>203</v>
      </c>
      <c r="E85" t="s">
        <v>204</v>
      </c>
      <c r="F85" t="s">
        <v>205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25">
      <c r="A86">
        <f t="shared" si="1"/>
        <v>85</v>
      </c>
      <c r="B86">
        <v>0</v>
      </c>
      <c r="C86" t="s">
        <v>188</v>
      </c>
      <c r="D86" t="s">
        <v>206</v>
      </c>
      <c r="E86" t="s">
        <v>207</v>
      </c>
      <c r="F86" t="s">
        <v>208</v>
      </c>
      <c r="G86">
        <v>0.7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25">
      <c r="A87">
        <f t="shared" si="1"/>
        <v>86</v>
      </c>
      <c r="B87">
        <v>0</v>
      </c>
      <c r="C87" t="s">
        <v>188</v>
      </c>
      <c r="D87" t="s">
        <v>209</v>
      </c>
      <c r="E87" s="7" t="s">
        <v>1065</v>
      </c>
      <c r="F87" s="7" t="s">
        <v>1066</v>
      </c>
      <c r="G87">
        <v>10</v>
      </c>
      <c r="H87">
        <v>10</v>
      </c>
      <c r="I87">
        <v>10</v>
      </c>
      <c r="J87">
        <v>0.5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25">
      <c r="A88">
        <f t="shared" si="1"/>
        <v>87</v>
      </c>
      <c r="B88">
        <v>0</v>
      </c>
      <c r="C88" t="s">
        <v>188</v>
      </c>
      <c r="D88" t="s">
        <v>210</v>
      </c>
      <c r="E88" t="s">
        <v>211</v>
      </c>
      <c r="F88" t="s">
        <v>212</v>
      </c>
      <c r="G88">
        <v>12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25">
      <c r="A89">
        <f t="shared" si="1"/>
        <v>88</v>
      </c>
      <c r="B89">
        <v>0</v>
      </c>
      <c r="C89" t="s">
        <v>188</v>
      </c>
      <c r="D89" t="s">
        <v>213</v>
      </c>
      <c r="E89" t="s">
        <v>214</v>
      </c>
      <c r="F89" t="s">
        <v>215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25">
      <c r="A90">
        <f t="shared" si="1"/>
        <v>89</v>
      </c>
      <c r="B90">
        <v>0</v>
      </c>
      <c r="C90" t="s">
        <v>188</v>
      </c>
      <c r="D90" t="s">
        <v>216</v>
      </c>
      <c r="E90" t="s">
        <v>217</v>
      </c>
      <c r="F90" t="s">
        <v>218</v>
      </c>
      <c r="G90">
        <v>10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25">
      <c r="A91">
        <f t="shared" si="1"/>
        <v>90</v>
      </c>
      <c r="B91">
        <v>0</v>
      </c>
      <c r="C91" t="s">
        <v>188</v>
      </c>
      <c r="D91" t="s">
        <v>219</v>
      </c>
      <c r="E91" t="s">
        <v>211</v>
      </c>
      <c r="F91" t="s">
        <v>220</v>
      </c>
      <c r="G91">
        <v>1000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25">
      <c r="A92">
        <f t="shared" si="1"/>
        <v>91</v>
      </c>
      <c r="B92">
        <v>0</v>
      </c>
      <c r="C92" t="s">
        <v>188</v>
      </c>
      <c r="D92" t="s">
        <v>221</v>
      </c>
      <c r="E92" t="s">
        <v>222</v>
      </c>
      <c r="F92" t="s">
        <v>223</v>
      </c>
      <c r="G92">
        <v>50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25">
      <c r="A93">
        <f t="shared" si="1"/>
        <v>92</v>
      </c>
      <c r="B93">
        <v>0</v>
      </c>
      <c r="C93" t="s">
        <v>188</v>
      </c>
      <c r="D93" t="s">
        <v>224</v>
      </c>
      <c r="E93" t="s">
        <v>225</v>
      </c>
      <c r="F93" t="s">
        <v>226</v>
      </c>
      <c r="G93">
        <v>30</v>
      </c>
      <c r="H93">
        <v>60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25">
      <c r="A94">
        <f t="shared" si="1"/>
        <v>93</v>
      </c>
      <c r="B94">
        <v>0</v>
      </c>
      <c r="C94" t="s">
        <v>188</v>
      </c>
      <c r="D94" t="s">
        <v>227</v>
      </c>
      <c r="E94" t="s">
        <v>228</v>
      </c>
      <c r="F94" t="s">
        <v>229</v>
      </c>
      <c r="G94">
        <v>100</v>
      </c>
      <c r="H94">
        <v>0.75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25">
      <c r="A95">
        <f t="shared" si="1"/>
        <v>94</v>
      </c>
      <c r="B95">
        <v>0</v>
      </c>
      <c r="C95" t="s">
        <v>188</v>
      </c>
      <c r="D95" t="s">
        <v>230</v>
      </c>
      <c r="E95" t="s">
        <v>231</v>
      </c>
      <c r="F95" t="s">
        <v>232</v>
      </c>
      <c r="G95">
        <v>5</v>
      </c>
      <c r="H95">
        <v>3</v>
      </c>
      <c r="I95">
        <v>2</v>
      </c>
      <c r="J95">
        <v>300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ht="15.75" x14ac:dyDescent="0.25">
      <c r="A96">
        <f t="shared" si="1"/>
        <v>95</v>
      </c>
      <c r="B96">
        <v>0</v>
      </c>
      <c r="C96" t="s">
        <v>188</v>
      </c>
      <c r="D96" s="1" t="s">
        <v>946</v>
      </c>
      <c r="E96" s="2" t="s">
        <v>947</v>
      </c>
      <c r="F96" s="2" t="s">
        <v>948</v>
      </c>
      <c r="G96">
        <v>0.75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25">
      <c r="A97">
        <f t="shared" si="1"/>
        <v>96</v>
      </c>
      <c r="B97">
        <v>0</v>
      </c>
      <c r="C97" t="s">
        <v>312</v>
      </c>
      <c r="D97" t="s">
        <v>313</v>
      </c>
      <c r="E97" t="s">
        <v>314</v>
      </c>
      <c r="F97" t="s">
        <v>315</v>
      </c>
      <c r="G97">
        <v>4</v>
      </c>
      <c r="H97">
        <v>5</v>
      </c>
      <c r="I97">
        <v>4</v>
      </c>
      <c r="J97">
        <v>5</v>
      </c>
      <c r="K97">
        <v>4</v>
      </c>
      <c r="L97">
        <v>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25">
      <c r="A98">
        <f t="shared" si="1"/>
        <v>97</v>
      </c>
      <c r="B98">
        <v>0</v>
      </c>
      <c r="C98" t="s">
        <v>312</v>
      </c>
      <c r="D98" t="s">
        <v>316</v>
      </c>
      <c r="E98" t="s">
        <v>317</v>
      </c>
      <c r="F98" t="s">
        <v>318</v>
      </c>
      <c r="G98">
        <v>3</v>
      </c>
      <c r="H98">
        <v>3</v>
      </c>
      <c r="I98">
        <v>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25">
      <c r="A99">
        <f t="shared" si="1"/>
        <v>98</v>
      </c>
      <c r="B99">
        <v>0</v>
      </c>
      <c r="C99" t="s">
        <v>312</v>
      </c>
      <c r="D99" t="s">
        <v>135</v>
      </c>
      <c r="E99" t="s">
        <v>319</v>
      </c>
      <c r="F99" t="s">
        <v>320</v>
      </c>
      <c r="G99">
        <v>200</v>
      </c>
      <c r="H99">
        <v>70</v>
      </c>
      <c r="I99">
        <v>200</v>
      </c>
      <c r="J99">
        <v>70</v>
      </c>
      <c r="K99">
        <v>200</v>
      </c>
      <c r="L99">
        <v>70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25">
      <c r="A100">
        <f t="shared" si="1"/>
        <v>99</v>
      </c>
      <c r="B100">
        <v>0</v>
      </c>
      <c r="C100" t="s">
        <v>312</v>
      </c>
      <c r="D100" t="s">
        <v>321</v>
      </c>
      <c r="E100" t="s">
        <v>322</v>
      </c>
      <c r="F100" t="s">
        <v>323</v>
      </c>
      <c r="G100" t="s">
        <v>324</v>
      </c>
      <c r="H100" t="s">
        <v>325</v>
      </c>
      <c r="I100" t="s">
        <v>326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25">
      <c r="A101">
        <f t="shared" si="1"/>
        <v>100</v>
      </c>
      <c r="B101">
        <v>0</v>
      </c>
      <c r="C101" t="s">
        <v>312</v>
      </c>
      <c r="D101" t="s">
        <v>246</v>
      </c>
      <c r="E101" t="s">
        <v>327</v>
      </c>
      <c r="F101" t="s">
        <v>328</v>
      </c>
      <c r="G101">
        <v>20</v>
      </c>
      <c r="H101">
        <v>400</v>
      </c>
      <c r="I101">
        <v>4000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25">
      <c r="A102">
        <f t="shared" si="1"/>
        <v>101</v>
      </c>
      <c r="B102">
        <v>0</v>
      </c>
      <c r="C102" t="s">
        <v>312</v>
      </c>
      <c r="D102" t="s">
        <v>249</v>
      </c>
      <c r="E102" t="s">
        <v>329</v>
      </c>
      <c r="F102" t="s">
        <v>330</v>
      </c>
      <c r="G102">
        <v>3</v>
      </c>
      <c r="H102">
        <v>15</v>
      </c>
      <c r="I102">
        <v>75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25">
      <c r="A103">
        <f t="shared" si="1"/>
        <v>102</v>
      </c>
      <c r="B103">
        <v>0</v>
      </c>
      <c r="C103" t="s">
        <v>312</v>
      </c>
      <c r="D103" t="s">
        <v>331</v>
      </c>
      <c r="E103" t="s">
        <v>332</v>
      </c>
      <c r="F103" t="s">
        <v>333</v>
      </c>
      <c r="G103">
        <v>10</v>
      </c>
      <c r="H103">
        <v>10</v>
      </c>
      <c r="I103">
        <v>10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25">
      <c r="A104">
        <f t="shared" si="1"/>
        <v>103</v>
      </c>
      <c r="B104">
        <v>0</v>
      </c>
      <c r="C104" t="s">
        <v>312</v>
      </c>
      <c r="D104" t="s">
        <v>334</v>
      </c>
      <c r="E104" t="s">
        <v>335</v>
      </c>
      <c r="F104" t="s">
        <v>336</v>
      </c>
      <c r="G104">
        <v>3</v>
      </c>
      <c r="H104">
        <v>70</v>
      </c>
      <c r="I104">
        <v>3</v>
      </c>
      <c r="J104">
        <v>70</v>
      </c>
      <c r="K104">
        <v>3</v>
      </c>
      <c r="L104">
        <v>70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25">
      <c r="A105">
        <f t="shared" si="1"/>
        <v>104</v>
      </c>
      <c r="B105">
        <v>0</v>
      </c>
      <c r="C105" t="s">
        <v>312</v>
      </c>
      <c r="D105" t="s">
        <v>138</v>
      </c>
      <c r="E105" t="s">
        <v>337</v>
      </c>
      <c r="F105" t="s">
        <v>338</v>
      </c>
      <c r="G105">
        <v>8</v>
      </c>
      <c r="H105">
        <v>10000000</v>
      </c>
      <c r="I105">
        <v>15</v>
      </c>
      <c r="J105">
        <v>8</v>
      </c>
      <c r="K105">
        <v>10000000</v>
      </c>
      <c r="L105">
        <v>17</v>
      </c>
      <c r="M105">
        <v>8</v>
      </c>
      <c r="N105">
        <v>10000000</v>
      </c>
      <c r="O105">
        <v>20</v>
      </c>
      <c r="P105">
        <v>0</v>
      </c>
      <c r="Q105">
        <v>0</v>
      </c>
      <c r="R105">
        <v>0</v>
      </c>
    </row>
    <row r="106" spans="1:18" x14ac:dyDescent="0.25">
      <c r="A106">
        <f t="shared" si="1"/>
        <v>105</v>
      </c>
      <c r="B106">
        <v>0</v>
      </c>
      <c r="C106" t="s">
        <v>312</v>
      </c>
      <c r="D106" t="s">
        <v>339</v>
      </c>
      <c r="E106" t="s">
        <v>340</v>
      </c>
      <c r="F106" t="s">
        <v>341</v>
      </c>
      <c r="G106">
        <v>3</v>
      </c>
      <c r="H106">
        <v>3</v>
      </c>
      <c r="I106">
        <v>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25">
      <c r="A107">
        <f t="shared" si="1"/>
        <v>106</v>
      </c>
      <c r="B107">
        <v>0</v>
      </c>
      <c r="C107" t="s">
        <v>312</v>
      </c>
      <c r="D107" t="s">
        <v>252</v>
      </c>
      <c r="E107" t="s">
        <v>342</v>
      </c>
      <c r="F107" t="s">
        <v>343</v>
      </c>
      <c r="G107">
        <v>2</v>
      </c>
      <c r="H107">
        <v>2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25">
      <c r="A108">
        <f t="shared" si="1"/>
        <v>107</v>
      </c>
      <c r="B108">
        <v>0</v>
      </c>
      <c r="C108" t="s">
        <v>312</v>
      </c>
      <c r="D108" t="s">
        <v>344</v>
      </c>
      <c r="E108" t="s">
        <v>345</v>
      </c>
      <c r="F108" t="s">
        <v>346</v>
      </c>
      <c r="G108">
        <v>60</v>
      </c>
      <c r="H108">
        <v>40</v>
      </c>
      <c r="I108">
        <v>3</v>
      </c>
      <c r="J108">
        <v>8</v>
      </c>
      <c r="K108">
        <v>60</v>
      </c>
      <c r="L108">
        <v>40</v>
      </c>
      <c r="M108">
        <v>3</v>
      </c>
      <c r="N108">
        <v>8</v>
      </c>
      <c r="O108">
        <v>60</v>
      </c>
      <c r="P108">
        <v>40</v>
      </c>
      <c r="Q108">
        <v>3</v>
      </c>
      <c r="R108">
        <v>8</v>
      </c>
    </row>
    <row r="109" spans="1:18" x14ac:dyDescent="0.25">
      <c r="A109">
        <f t="shared" si="1"/>
        <v>108</v>
      </c>
      <c r="B109">
        <v>0</v>
      </c>
      <c r="C109" t="s">
        <v>312</v>
      </c>
      <c r="D109" t="s">
        <v>347</v>
      </c>
      <c r="E109" t="s">
        <v>348</v>
      </c>
      <c r="F109" t="s">
        <v>349</v>
      </c>
      <c r="G109">
        <v>51</v>
      </c>
      <c r="H109">
        <v>100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25">
      <c r="A110">
        <f t="shared" si="1"/>
        <v>109</v>
      </c>
      <c r="B110">
        <v>0</v>
      </c>
      <c r="C110" t="s">
        <v>312</v>
      </c>
      <c r="D110" t="s">
        <v>350</v>
      </c>
      <c r="E110" t="s">
        <v>348</v>
      </c>
      <c r="F110" t="s">
        <v>351</v>
      </c>
      <c r="G110">
        <v>1</v>
      </c>
      <c r="H110">
        <v>50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25">
      <c r="A111">
        <f t="shared" si="1"/>
        <v>110</v>
      </c>
      <c r="B111">
        <v>0</v>
      </c>
      <c r="C111" t="s">
        <v>312</v>
      </c>
      <c r="D111" t="s">
        <v>352</v>
      </c>
      <c r="E111" t="s">
        <v>353</v>
      </c>
      <c r="F111" t="s">
        <v>354</v>
      </c>
      <c r="G111">
        <v>5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25">
      <c r="A112">
        <f t="shared" si="1"/>
        <v>111</v>
      </c>
      <c r="B112">
        <v>0</v>
      </c>
      <c r="C112" t="s">
        <v>312</v>
      </c>
      <c r="D112" t="s">
        <v>355</v>
      </c>
      <c r="E112" t="s">
        <v>356</v>
      </c>
      <c r="F112" t="s">
        <v>357</v>
      </c>
      <c r="G112">
        <v>100</v>
      </c>
      <c r="H112">
        <v>10</v>
      </c>
      <c r="I112">
        <v>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25">
      <c r="A113">
        <f t="shared" si="1"/>
        <v>112</v>
      </c>
      <c r="B113">
        <v>0</v>
      </c>
      <c r="C113" t="s">
        <v>312</v>
      </c>
      <c r="D113" t="s">
        <v>358</v>
      </c>
      <c r="E113" t="s">
        <v>359</v>
      </c>
      <c r="F113" t="s">
        <v>360</v>
      </c>
      <c r="G113">
        <v>30</v>
      </c>
      <c r="H113">
        <v>2</v>
      </c>
      <c r="I113">
        <v>0.2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25">
      <c r="A114">
        <f t="shared" si="1"/>
        <v>113</v>
      </c>
      <c r="B114">
        <v>0</v>
      </c>
      <c r="C114" t="s">
        <v>312</v>
      </c>
      <c r="D114" t="s">
        <v>361</v>
      </c>
      <c r="E114" t="s">
        <v>362</v>
      </c>
      <c r="F114" t="s">
        <v>351</v>
      </c>
      <c r="G114" t="s">
        <v>363</v>
      </c>
      <c r="H114" t="s">
        <v>364</v>
      </c>
      <c r="I114" t="s">
        <v>365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25">
      <c r="A115">
        <f t="shared" si="1"/>
        <v>114</v>
      </c>
      <c r="B115">
        <v>0</v>
      </c>
      <c r="C115" t="s">
        <v>302</v>
      </c>
      <c r="D115" t="s">
        <v>303</v>
      </c>
      <c r="E115" t="s">
        <v>304</v>
      </c>
      <c r="F115" t="s">
        <v>305</v>
      </c>
      <c r="G115">
        <v>50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25">
      <c r="A116">
        <f t="shared" si="1"/>
        <v>115</v>
      </c>
      <c r="B116">
        <v>0</v>
      </c>
      <c r="C116" t="s">
        <v>302</v>
      </c>
      <c r="D116" t="s">
        <v>306</v>
      </c>
      <c r="E116" t="s">
        <v>307</v>
      </c>
      <c r="F116" t="s">
        <v>308</v>
      </c>
      <c r="G116">
        <v>15</v>
      </c>
      <c r="H116">
        <v>4</v>
      </c>
      <c r="I116">
        <v>2</v>
      </c>
      <c r="J116">
        <v>10</v>
      </c>
      <c r="K116">
        <v>2</v>
      </c>
      <c r="L116">
        <v>1.5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25">
      <c r="A117">
        <f t="shared" si="1"/>
        <v>116</v>
      </c>
      <c r="B117">
        <v>0</v>
      </c>
      <c r="C117" t="s">
        <v>302</v>
      </c>
      <c r="D117" t="s">
        <v>309</v>
      </c>
      <c r="E117" t="s">
        <v>271</v>
      </c>
      <c r="F117" t="s">
        <v>310</v>
      </c>
      <c r="G117">
        <v>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25">
      <c r="A118">
        <f t="shared" si="1"/>
        <v>117</v>
      </c>
      <c r="B118">
        <v>0</v>
      </c>
      <c r="C118" t="s">
        <v>245</v>
      </c>
      <c r="D118" t="s">
        <v>246</v>
      </c>
      <c r="E118" t="s">
        <v>247</v>
      </c>
      <c r="F118" t="s">
        <v>248</v>
      </c>
      <c r="G118">
        <v>20</v>
      </c>
      <c r="H118">
        <v>16</v>
      </c>
      <c r="I118">
        <v>1.06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25">
      <c r="A119">
        <f t="shared" si="1"/>
        <v>118</v>
      </c>
      <c r="B119">
        <v>0</v>
      </c>
      <c r="C119" t="s">
        <v>245</v>
      </c>
      <c r="D119" t="s">
        <v>249</v>
      </c>
      <c r="E119" t="s">
        <v>247</v>
      </c>
      <c r="F119" t="s">
        <v>248</v>
      </c>
      <c r="G119">
        <v>2</v>
      </c>
      <c r="H119">
        <v>2</v>
      </c>
      <c r="I119">
        <v>1.04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25">
      <c r="A120">
        <f t="shared" si="1"/>
        <v>119</v>
      </c>
      <c r="B120">
        <v>0</v>
      </c>
      <c r="C120" t="s">
        <v>245</v>
      </c>
      <c r="D120" t="s">
        <v>119</v>
      </c>
      <c r="E120" t="s">
        <v>247</v>
      </c>
      <c r="F120" t="s">
        <v>250</v>
      </c>
      <c r="G120">
        <v>2</v>
      </c>
      <c r="H120">
        <v>0.5</v>
      </c>
      <c r="I120">
        <v>1.0449999999999999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25">
      <c r="A121">
        <f t="shared" si="1"/>
        <v>120</v>
      </c>
      <c r="B121">
        <v>0</v>
      </c>
      <c r="C121" t="s">
        <v>245</v>
      </c>
      <c r="D121" t="s">
        <v>251</v>
      </c>
      <c r="E121" t="s">
        <v>247</v>
      </c>
      <c r="F121" t="s">
        <v>248</v>
      </c>
      <c r="G121">
        <v>250</v>
      </c>
      <c r="H121">
        <v>1</v>
      </c>
      <c r="I121">
        <v>1.018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25">
      <c r="A122">
        <f t="shared" si="1"/>
        <v>121</v>
      </c>
      <c r="B122">
        <v>0</v>
      </c>
      <c r="C122" t="s">
        <v>245</v>
      </c>
      <c r="D122" t="s">
        <v>252</v>
      </c>
      <c r="E122" t="s">
        <v>247</v>
      </c>
      <c r="F122" t="s">
        <v>248</v>
      </c>
      <c r="G122">
        <v>120</v>
      </c>
      <c r="H122">
        <v>2</v>
      </c>
      <c r="I122">
        <v>1.06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25">
      <c r="A123">
        <f t="shared" si="1"/>
        <v>122</v>
      </c>
      <c r="B123">
        <v>0</v>
      </c>
      <c r="C123" t="s">
        <v>245</v>
      </c>
      <c r="D123" t="s">
        <v>134</v>
      </c>
      <c r="E123" t="s">
        <v>253</v>
      </c>
      <c r="F123" t="s">
        <v>254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25">
      <c r="A124">
        <f t="shared" si="1"/>
        <v>123</v>
      </c>
      <c r="B124">
        <v>0</v>
      </c>
      <c r="C124" t="s">
        <v>245</v>
      </c>
      <c r="D124" t="s">
        <v>135</v>
      </c>
      <c r="E124" t="s">
        <v>255</v>
      </c>
      <c r="F124" t="s">
        <v>256</v>
      </c>
      <c r="G124">
        <v>100</v>
      </c>
      <c r="H124" t="s">
        <v>257</v>
      </c>
      <c r="I124" t="s">
        <v>258</v>
      </c>
      <c r="J124" t="s">
        <v>259</v>
      </c>
      <c r="K124" t="s">
        <v>260</v>
      </c>
      <c r="L124" t="s">
        <v>261</v>
      </c>
      <c r="M124" t="s">
        <v>262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25">
      <c r="A125">
        <f t="shared" si="1"/>
        <v>124</v>
      </c>
      <c r="B125">
        <v>0</v>
      </c>
      <c r="C125" t="s">
        <v>245</v>
      </c>
      <c r="D125" t="s">
        <v>138</v>
      </c>
      <c r="E125" t="s">
        <v>255</v>
      </c>
      <c r="F125" t="s">
        <v>263</v>
      </c>
      <c r="G125">
        <v>5</v>
      </c>
      <c r="H125" t="s">
        <v>257</v>
      </c>
      <c r="I125" t="s">
        <v>264</v>
      </c>
      <c r="J125" t="s">
        <v>265</v>
      </c>
      <c r="K125" t="s">
        <v>266</v>
      </c>
      <c r="L125" t="s">
        <v>267</v>
      </c>
      <c r="M125" t="s">
        <v>268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25">
      <c r="A126">
        <f t="shared" si="1"/>
        <v>125</v>
      </c>
      <c r="B126">
        <v>0</v>
      </c>
      <c r="C126" t="s">
        <v>245</v>
      </c>
      <c r="D126" t="s">
        <v>269</v>
      </c>
      <c r="E126" t="s">
        <v>270</v>
      </c>
      <c r="F126" t="s">
        <v>1143</v>
      </c>
      <c r="G126">
        <v>4</v>
      </c>
      <c r="H126">
        <v>2</v>
      </c>
      <c r="I126">
        <v>2</v>
      </c>
      <c r="J126">
        <v>1.5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25">
      <c r="A127">
        <f t="shared" si="1"/>
        <v>126</v>
      </c>
      <c r="B127">
        <v>0</v>
      </c>
      <c r="C127" t="s">
        <v>245</v>
      </c>
      <c r="D127" s="1" t="s">
        <v>967</v>
      </c>
      <c r="E127" t="s">
        <v>271</v>
      </c>
      <c r="F127" t="s">
        <v>272</v>
      </c>
      <c r="G127">
        <v>1.5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25">
      <c r="A128">
        <f t="shared" si="1"/>
        <v>127</v>
      </c>
      <c r="B128">
        <v>0</v>
      </c>
      <c r="C128" t="s">
        <v>273</v>
      </c>
      <c r="D128" s="2" t="s">
        <v>953</v>
      </c>
      <c r="E128" t="s">
        <v>274</v>
      </c>
      <c r="F128" t="s">
        <v>275</v>
      </c>
      <c r="G128" t="s">
        <v>276</v>
      </c>
      <c r="H128" t="s">
        <v>277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25">
      <c r="A129">
        <f t="shared" si="1"/>
        <v>128</v>
      </c>
      <c r="B129">
        <v>0</v>
      </c>
      <c r="C129" t="s">
        <v>273</v>
      </c>
      <c r="D129" t="s">
        <v>949</v>
      </c>
      <c r="E129" t="s">
        <v>274</v>
      </c>
      <c r="F129" t="s">
        <v>275</v>
      </c>
      <c r="G129" t="s">
        <v>278</v>
      </c>
      <c r="H129" t="s">
        <v>279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25">
      <c r="A130">
        <f t="shared" si="1"/>
        <v>129</v>
      </c>
      <c r="B130">
        <v>0</v>
      </c>
      <c r="C130" t="s">
        <v>273</v>
      </c>
      <c r="D130" t="s">
        <v>950</v>
      </c>
      <c r="E130" t="s">
        <v>274</v>
      </c>
      <c r="F130" t="s">
        <v>275</v>
      </c>
      <c r="G130" t="s">
        <v>280</v>
      </c>
      <c r="H130" t="s">
        <v>281</v>
      </c>
      <c r="I130" t="s">
        <v>282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25">
      <c r="A131">
        <f t="shared" si="1"/>
        <v>130</v>
      </c>
      <c r="B131">
        <v>0</v>
      </c>
      <c r="C131" t="s">
        <v>273</v>
      </c>
      <c r="D131" t="s">
        <v>951</v>
      </c>
      <c r="E131" t="s">
        <v>274</v>
      </c>
      <c r="F131" t="s">
        <v>275</v>
      </c>
      <c r="G131" t="s">
        <v>283</v>
      </c>
      <c r="H131" t="s">
        <v>284</v>
      </c>
      <c r="I131" t="s">
        <v>285</v>
      </c>
      <c r="J131" t="s">
        <v>286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25">
      <c r="A132">
        <f t="shared" ref="A132:A196" si="2">A131+1</f>
        <v>131</v>
      </c>
      <c r="B132">
        <v>0</v>
      </c>
      <c r="C132" t="s">
        <v>273</v>
      </c>
      <c r="D132" t="s">
        <v>952</v>
      </c>
      <c r="E132" t="s">
        <v>274</v>
      </c>
      <c r="F132" t="s">
        <v>275</v>
      </c>
      <c r="G132" s="3" t="s">
        <v>998</v>
      </c>
      <c r="H132" t="s">
        <v>287</v>
      </c>
      <c r="I132" t="s">
        <v>288</v>
      </c>
      <c r="J132" s="3" t="s">
        <v>992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25">
      <c r="A133">
        <f t="shared" si="1"/>
        <v>132</v>
      </c>
      <c r="B133">
        <v>0</v>
      </c>
      <c r="C133" t="s">
        <v>273</v>
      </c>
      <c r="D133" s="2" t="s">
        <v>991</v>
      </c>
      <c r="E133" t="s">
        <v>274</v>
      </c>
      <c r="F133" t="s">
        <v>275</v>
      </c>
      <c r="G133" s="3" t="s">
        <v>994</v>
      </c>
      <c r="H133" s="3" t="s">
        <v>995</v>
      </c>
      <c r="I133" s="3" t="s">
        <v>993</v>
      </c>
      <c r="J133" s="3" t="s">
        <v>996</v>
      </c>
      <c r="K133" s="3" t="s">
        <v>997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ht="15.75" x14ac:dyDescent="0.25">
      <c r="A134">
        <f t="shared" si="2"/>
        <v>133</v>
      </c>
      <c r="B134">
        <v>0</v>
      </c>
      <c r="C134" t="s">
        <v>273</v>
      </c>
      <c r="D134" s="2" t="s">
        <v>999</v>
      </c>
      <c r="E134" t="s">
        <v>274</v>
      </c>
      <c r="F134" t="s">
        <v>275</v>
      </c>
      <c r="G134" s="3" t="s">
        <v>990</v>
      </c>
      <c r="H134" s="3" t="s">
        <v>963</v>
      </c>
      <c r="I134" s="3" t="s">
        <v>1000</v>
      </c>
      <c r="J134" s="3" t="s">
        <v>1001</v>
      </c>
      <c r="K134" s="3" t="s">
        <v>988</v>
      </c>
      <c r="L134" s="3" t="s">
        <v>989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25">
      <c r="A135">
        <f t="shared" si="2"/>
        <v>134</v>
      </c>
      <c r="B135">
        <v>0</v>
      </c>
      <c r="C135" t="s">
        <v>273</v>
      </c>
      <c r="D135" s="2" t="s">
        <v>954</v>
      </c>
      <c r="E135" t="s">
        <v>274</v>
      </c>
      <c r="F135" t="s">
        <v>1142</v>
      </c>
      <c r="G135" t="s">
        <v>276</v>
      </c>
      <c r="H135" t="s">
        <v>277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25">
      <c r="A136">
        <f t="shared" si="2"/>
        <v>135</v>
      </c>
      <c r="B136">
        <v>0</v>
      </c>
      <c r="C136" t="s">
        <v>273</v>
      </c>
      <c r="D136" s="2" t="s">
        <v>955</v>
      </c>
      <c r="E136" t="s">
        <v>274</v>
      </c>
      <c r="F136" t="s">
        <v>1142</v>
      </c>
      <c r="G136" s="3" t="s">
        <v>960</v>
      </c>
      <c r="H136" s="3" t="s">
        <v>958</v>
      </c>
      <c r="I136" s="3" t="s">
        <v>959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25">
      <c r="A137">
        <f t="shared" si="2"/>
        <v>136</v>
      </c>
      <c r="B137">
        <v>0</v>
      </c>
      <c r="C137" t="s">
        <v>273</v>
      </c>
      <c r="D137" s="2" t="s">
        <v>956</v>
      </c>
      <c r="E137" t="s">
        <v>274</v>
      </c>
      <c r="F137" t="s">
        <v>1142</v>
      </c>
      <c r="G137" s="3" t="s">
        <v>961</v>
      </c>
      <c r="H137" s="3" t="s">
        <v>962</v>
      </c>
      <c r="I137" s="3" t="s">
        <v>963</v>
      </c>
      <c r="J137" s="3" t="s">
        <v>965</v>
      </c>
      <c r="K137" s="3" t="s">
        <v>964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25">
      <c r="A138">
        <f t="shared" si="2"/>
        <v>137</v>
      </c>
      <c r="B138">
        <v>0</v>
      </c>
      <c r="C138" t="s">
        <v>273</v>
      </c>
      <c r="D138" s="2" t="s">
        <v>957</v>
      </c>
      <c r="E138" t="s">
        <v>274</v>
      </c>
      <c r="F138" t="s">
        <v>1142</v>
      </c>
      <c r="G138" s="3" t="s">
        <v>976</v>
      </c>
      <c r="H138" s="3" t="s">
        <v>977</v>
      </c>
      <c r="I138" s="3" t="s">
        <v>978</v>
      </c>
      <c r="J138" s="3" t="s">
        <v>979</v>
      </c>
      <c r="K138" s="3" t="s">
        <v>980</v>
      </c>
      <c r="L138" s="3" t="s">
        <v>981</v>
      </c>
      <c r="M138" s="3" t="s">
        <v>982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ht="15.75" x14ac:dyDescent="0.25">
      <c r="A139">
        <f t="shared" si="2"/>
        <v>138</v>
      </c>
      <c r="B139">
        <v>0</v>
      </c>
      <c r="C139" t="s">
        <v>273</v>
      </c>
      <c r="D139" s="2" t="s">
        <v>966</v>
      </c>
      <c r="E139" t="s">
        <v>274</v>
      </c>
      <c r="F139" t="s">
        <v>1142</v>
      </c>
      <c r="G139" s="3" t="s">
        <v>969</v>
      </c>
      <c r="H139" s="3" t="s">
        <v>970</v>
      </c>
      <c r="I139" s="3" t="s">
        <v>968</v>
      </c>
      <c r="J139" s="3" t="s">
        <v>971</v>
      </c>
      <c r="K139" s="3" t="s">
        <v>972</v>
      </c>
      <c r="L139" s="3" t="s">
        <v>973</v>
      </c>
      <c r="M139" s="3" t="s">
        <v>974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25">
      <c r="A140">
        <f t="shared" si="2"/>
        <v>139</v>
      </c>
      <c r="B140">
        <v>0</v>
      </c>
      <c r="C140" t="s">
        <v>273</v>
      </c>
      <c r="D140" t="s">
        <v>289</v>
      </c>
      <c r="E140" t="s">
        <v>274</v>
      </c>
      <c r="F140" t="s">
        <v>290</v>
      </c>
      <c r="G140" t="s">
        <v>291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25">
      <c r="A141">
        <f t="shared" si="2"/>
        <v>140</v>
      </c>
      <c r="B141">
        <v>0</v>
      </c>
      <c r="C141" t="s">
        <v>292</v>
      </c>
      <c r="D141" t="s">
        <v>293</v>
      </c>
      <c r="E141" t="s">
        <v>294</v>
      </c>
      <c r="F141" t="s">
        <v>295</v>
      </c>
      <c r="G141">
        <v>10</v>
      </c>
      <c r="H141">
        <v>10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25">
      <c r="A142">
        <f t="shared" si="2"/>
        <v>141</v>
      </c>
      <c r="B142">
        <v>0</v>
      </c>
      <c r="C142" t="s">
        <v>292</v>
      </c>
      <c r="D142" t="s">
        <v>296</v>
      </c>
      <c r="E142" t="s">
        <v>297</v>
      </c>
      <c r="F142" t="s">
        <v>298</v>
      </c>
      <c r="G142">
        <v>1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25">
      <c r="A143">
        <f t="shared" si="2"/>
        <v>142</v>
      </c>
      <c r="B143">
        <v>0</v>
      </c>
      <c r="C143" t="s">
        <v>292</v>
      </c>
      <c r="D143" t="s">
        <v>299</v>
      </c>
      <c r="E143" t="s">
        <v>300</v>
      </c>
      <c r="F143" t="s">
        <v>301</v>
      </c>
      <c r="G143">
        <v>2</v>
      </c>
      <c r="H143">
        <v>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25">
      <c r="A144">
        <f t="shared" si="2"/>
        <v>143</v>
      </c>
      <c r="B144">
        <v>0</v>
      </c>
      <c r="C144" t="s">
        <v>396</v>
      </c>
      <c r="D144" t="s">
        <v>397</v>
      </c>
      <c r="E144" t="s">
        <v>398</v>
      </c>
      <c r="F144" t="s">
        <v>399</v>
      </c>
      <c r="G144">
        <v>100</v>
      </c>
      <c r="H144">
        <v>10</v>
      </c>
      <c r="I144">
        <v>40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25">
      <c r="A145">
        <f t="shared" si="2"/>
        <v>144</v>
      </c>
      <c r="B145">
        <v>0</v>
      </c>
      <c r="C145" t="s">
        <v>396</v>
      </c>
      <c r="D145" t="s">
        <v>400</v>
      </c>
      <c r="E145" t="s">
        <v>401</v>
      </c>
      <c r="F145" t="s">
        <v>402</v>
      </c>
      <c r="G145">
        <v>92</v>
      </c>
      <c r="H145">
        <v>7.5</v>
      </c>
      <c r="I145">
        <v>0.5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25">
      <c r="A146">
        <f t="shared" si="2"/>
        <v>145</v>
      </c>
      <c r="B146">
        <v>0</v>
      </c>
      <c r="C146" t="s">
        <v>396</v>
      </c>
      <c r="D146" t="s">
        <v>403</v>
      </c>
      <c r="E146" t="s">
        <v>404</v>
      </c>
      <c r="F146" t="s">
        <v>405</v>
      </c>
      <c r="G146">
        <v>78.100000000000009</v>
      </c>
      <c r="H146">
        <v>19.2</v>
      </c>
      <c r="I146">
        <v>2.4</v>
      </c>
      <c r="J146">
        <v>0.3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25">
      <c r="A147">
        <f t="shared" si="2"/>
        <v>146</v>
      </c>
      <c r="B147">
        <v>0</v>
      </c>
      <c r="C147" t="s">
        <v>396</v>
      </c>
      <c r="D147" t="s">
        <v>406</v>
      </c>
      <c r="E147" t="s">
        <v>407</v>
      </c>
      <c r="F147" t="s">
        <v>408</v>
      </c>
      <c r="G147">
        <v>72.113600000000005</v>
      </c>
      <c r="H147">
        <v>22.118399999999998</v>
      </c>
      <c r="I147">
        <v>4.6079999999999997</v>
      </c>
      <c r="J147">
        <v>0.96</v>
      </c>
      <c r="K147">
        <v>0.2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25">
      <c r="A148">
        <f t="shared" si="2"/>
        <v>147</v>
      </c>
      <c r="B148">
        <v>0</v>
      </c>
      <c r="C148" t="s">
        <v>396</v>
      </c>
      <c r="D148" t="s">
        <v>409</v>
      </c>
      <c r="E148" t="s">
        <v>410</v>
      </c>
      <c r="F148" t="s">
        <v>411</v>
      </c>
      <c r="G148">
        <v>53.837361999999999</v>
      </c>
      <c r="H148">
        <v>33.734898000000001</v>
      </c>
      <c r="I148">
        <v>9.11754</v>
      </c>
      <c r="J148">
        <v>2.4641999999999999</v>
      </c>
      <c r="K148">
        <v>0.66600000000000004</v>
      </c>
      <c r="L148">
        <v>0.18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25">
      <c r="A149">
        <f t="shared" si="2"/>
        <v>148</v>
      </c>
      <c r="B149">
        <v>0</v>
      </c>
      <c r="C149" t="s">
        <v>396</v>
      </c>
      <c r="D149" t="s">
        <v>412</v>
      </c>
      <c r="E149" t="s">
        <v>413</v>
      </c>
      <c r="F149" t="s">
        <v>414</v>
      </c>
      <c r="G149">
        <v>49.993825599999994</v>
      </c>
      <c r="H149">
        <v>32.817838399999999</v>
      </c>
      <c r="I149">
        <v>11.316495999999999</v>
      </c>
      <c r="J149">
        <v>3.9022399999999999</v>
      </c>
      <c r="K149">
        <v>1.3455999999999999</v>
      </c>
      <c r="L149">
        <v>0.46400000000000002</v>
      </c>
      <c r="M149">
        <v>0.16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x14ac:dyDescent="0.25">
      <c r="A150">
        <f t="shared" si="2"/>
        <v>149</v>
      </c>
      <c r="B150">
        <v>0</v>
      </c>
      <c r="C150" t="s">
        <v>396</v>
      </c>
      <c r="D150" t="s">
        <v>415</v>
      </c>
      <c r="E150" t="s">
        <v>416</v>
      </c>
      <c r="F150" t="s">
        <v>417</v>
      </c>
      <c r="G150">
        <v>36.76497232906253</v>
      </c>
      <c r="H150">
        <v>38.491879564687487</v>
      </c>
      <c r="I150">
        <v>15.094854731249995</v>
      </c>
      <c r="J150">
        <v>5.9195508749999988</v>
      </c>
      <c r="K150">
        <v>2.3213924999999995</v>
      </c>
      <c r="L150">
        <v>0.91034999999999988</v>
      </c>
      <c r="M150">
        <v>0.35699999999999998</v>
      </c>
      <c r="N150">
        <v>0.13999999999999999</v>
      </c>
      <c r="O150">
        <v>0</v>
      </c>
      <c r="P150">
        <v>0</v>
      </c>
      <c r="Q150">
        <v>0</v>
      </c>
      <c r="R150">
        <v>0</v>
      </c>
    </row>
    <row r="151" spans="1:18" x14ac:dyDescent="0.25">
      <c r="A151">
        <f t="shared" si="2"/>
        <v>150</v>
      </c>
      <c r="B151">
        <v>0</v>
      </c>
      <c r="C151" t="s">
        <v>396</v>
      </c>
      <c r="D151" t="s">
        <v>418</v>
      </c>
      <c r="E151" t="s">
        <v>419</v>
      </c>
      <c r="F151" t="s">
        <v>420</v>
      </c>
      <c r="G151">
        <v>31.631675870386633</v>
      </c>
      <c r="H151">
        <v>38.434848634168908</v>
      </c>
      <c r="I151">
        <v>16.857389751828471</v>
      </c>
      <c r="J151">
        <v>7.3935919964159975</v>
      </c>
      <c r="K151">
        <v>3.2428035071999992</v>
      </c>
      <c r="L151">
        <v>1.4222822399999997</v>
      </c>
      <c r="M151">
        <v>0.62380799999999992</v>
      </c>
      <c r="N151">
        <v>0.27359999999999995</v>
      </c>
      <c r="O151">
        <v>0.12</v>
      </c>
      <c r="P151">
        <v>0</v>
      </c>
      <c r="Q151">
        <v>0</v>
      </c>
      <c r="R151">
        <v>0</v>
      </c>
    </row>
    <row r="152" spans="1:18" x14ac:dyDescent="0.25">
      <c r="A152">
        <f t="shared" si="2"/>
        <v>151</v>
      </c>
      <c r="B152">
        <v>0</v>
      </c>
      <c r="C152" t="s">
        <v>396</v>
      </c>
      <c r="D152" t="s">
        <v>421</v>
      </c>
      <c r="E152" t="s">
        <v>422</v>
      </c>
      <c r="F152" t="s">
        <v>423</v>
      </c>
      <c r="G152">
        <v>25.407543428799851</v>
      </c>
      <c r="H152">
        <v>39.287974783901511</v>
      </c>
      <c r="I152">
        <v>18.619893262512562</v>
      </c>
      <c r="J152">
        <v>8.8245939632760972</v>
      </c>
      <c r="K152">
        <v>4.1822720205099984</v>
      </c>
      <c r="L152">
        <v>1.9821194409999996</v>
      </c>
      <c r="M152">
        <v>0.93939309999999998</v>
      </c>
      <c r="N152">
        <v>0.44520999999999994</v>
      </c>
      <c r="O152">
        <v>0.21099999999999999</v>
      </c>
      <c r="P152">
        <v>0.1</v>
      </c>
      <c r="Q152">
        <v>0</v>
      </c>
      <c r="R152">
        <v>0</v>
      </c>
    </row>
    <row r="153" spans="1:18" x14ac:dyDescent="0.25">
      <c r="A153">
        <f t="shared" si="2"/>
        <v>152</v>
      </c>
      <c r="B153">
        <v>0</v>
      </c>
      <c r="C153" t="s">
        <v>396</v>
      </c>
      <c r="D153" t="s">
        <v>424</v>
      </c>
      <c r="E153" t="s">
        <v>425</v>
      </c>
      <c r="F153" t="s">
        <v>426</v>
      </c>
      <c r="G153">
        <v>18.159999999999986</v>
      </c>
      <c r="H153">
        <v>40.96</v>
      </c>
      <c r="I153">
        <v>20.48</v>
      </c>
      <c r="J153">
        <v>10.24</v>
      </c>
      <c r="K153">
        <v>5.12</v>
      </c>
      <c r="L153">
        <v>2.56</v>
      </c>
      <c r="M153">
        <v>1.28</v>
      </c>
      <c r="N153">
        <v>0.64</v>
      </c>
      <c r="O153">
        <v>0.32</v>
      </c>
      <c r="P153">
        <v>0.16</v>
      </c>
      <c r="Q153">
        <v>0.08</v>
      </c>
      <c r="R153">
        <v>0</v>
      </c>
    </row>
    <row r="154" spans="1:18" x14ac:dyDescent="0.25">
      <c r="A154">
        <f t="shared" si="2"/>
        <v>153</v>
      </c>
      <c r="B154">
        <v>0</v>
      </c>
      <c r="C154" t="s">
        <v>396</v>
      </c>
      <c r="D154" t="s">
        <v>427</v>
      </c>
      <c r="E154" t="s">
        <v>428</v>
      </c>
      <c r="F154" t="s">
        <v>429</v>
      </c>
      <c r="G154">
        <v>1.35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25">
      <c r="A155">
        <f t="shared" si="2"/>
        <v>154</v>
      </c>
      <c r="B155">
        <v>0</v>
      </c>
      <c r="C155" t="s">
        <v>396</v>
      </c>
      <c r="D155" t="s">
        <v>430</v>
      </c>
      <c r="E155" t="s">
        <v>431</v>
      </c>
      <c r="F155" t="s">
        <v>432</v>
      </c>
      <c r="G155">
        <v>0.5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25">
      <c r="A156">
        <f t="shared" si="2"/>
        <v>155</v>
      </c>
      <c r="B156">
        <v>0</v>
      </c>
      <c r="C156" t="s">
        <v>396</v>
      </c>
      <c r="D156" t="s">
        <v>433</v>
      </c>
      <c r="E156" t="s">
        <v>434</v>
      </c>
      <c r="F156" t="s">
        <v>435</v>
      </c>
      <c r="G156">
        <v>4000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25">
      <c r="A157">
        <f t="shared" si="2"/>
        <v>156</v>
      </c>
      <c r="B157">
        <v>0</v>
      </c>
      <c r="C157" t="s">
        <v>451</v>
      </c>
      <c r="D157" t="s">
        <v>452</v>
      </c>
      <c r="E157" t="s">
        <v>453</v>
      </c>
      <c r="F157" t="s">
        <v>454</v>
      </c>
      <c r="G157" t="s">
        <v>455</v>
      </c>
      <c r="H157" t="s">
        <v>456</v>
      </c>
      <c r="I157" t="s">
        <v>457</v>
      </c>
      <c r="J157" t="s">
        <v>458</v>
      </c>
      <c r="K157" t="s">
        <v>459</v>
      </c>
      <c r="L157" t="s">
        <v>460</v>
      </c>
      <c r="M157" t="s">
        <v>461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25">
      <c r="A158">
        <f t="shared" si="2"/>
        <v>157</v>
      </c>
      <c r="B158">
        <v>0</v>
      </c>
      <c r="C158" t="s">
        <v>451</v>
      </c>
      <c r="D158" t="s">
        <v>462</v>
      </c>
      <c r="E158" t="s">
        <v>453</v>
      </c>
      <c r="F158" t="s">
        <v>454</v>
      </c>
      <c r="G158" t="s">
        <v>455</v>
      </c>
      <c r="H158" t="s">
        <v>456</v>
      </c>
      <c r="I158" t="s">
        <v>457</v>
      </c>
      <c r="J158" t="s">
        <v>458</v>
      </c>
      <c r="K158" t="s">
        <v>459</v>
      </c>
      <c r="L158" t="s">
        <v>460</v>
      </c>
      <c r="M158" t="s">
        <v>461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25">
      <c r="A159">
        <f t="shared" si="2"/>
        <v>158</v>
      </c>
      <c r="B159">
        <v>0</v>
      </c>
      <c r="C159" t="s">
        <v>451</v>
      </c>
      <c r="D159" t="s">
        <v>463</v>
      </c>
      <c r="E159" t="s">
        <v>453</v>
      </c>
      <c r="F159" t="s">
        <v>454</v>
      </c>
      <c r="G159" t="s">
        <v>464</v>
      </c>
      <c r="H159" t="s">
        <v>465</v>
      </c>
      <c r="I159" t="s">
        <v>457</v>
      </c>
      <c r="J159" t="s">
        <v>458</v>
      </c>
      <c r="K159" t="s">
        <v>459</v>
      </c>
      <c r="L159" t="s">
        <v>460</v>
      </c>
      <c r="M159" t="s">
        <v>461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25">
      <c r="A160">
        <f t="shared" si="2"/>
        <v>159</v>
      </c>
      <c r="B160">
        <v>0</v>
      </c>
      <c r="C160" t="s">
        <v>451</v>
      </c>
      <c r="D160" t="s">
        <v>466</v>
      </c>
      <c r="E160" t="s">
        <v>453</v>
      </c>
      <c r="F160" t="s">
        <v>454</v>
      </c>
      <c r="G160" t="s">
        <v>467</v>
      </c>
      <c r="H160" t="s">
        <v>465</v>
      </c>
      <c r="I160" t="s">
        <v>468</v>
      </c>
      <c r="J160" t="s">
        <v>469</v>
      </c>
      <c r="K160" t="s">
        <v>459</v>
      </c>
      <c r="L160" t="s">
        <v>460</v>
      </c>
      <c r="M160" t="s">
        <v>461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25">
      <c r="A161">
        <f t="shared" si="2"/>
        <v>160</v>
      </c>
      <c r="B161">
        <v>0</v>
      </c>
      <c r="C161" t="s">
        <v>451</v>
      </c>
      <c r="D161" t="s">
        <v>470</v>
      </c>
      <c r="E161" t="s">
        <v>453</v>
      </c>
      <c r="F161" t="s">
        <v>454</v>
      </c>
      <c r="G161" t="s">
        <v>471</v>
      </c>
      <c r="H161" t="s">
        <v>472</v>
      </c>
      <c r="I161" t="s">
        <v>468</v>
      </c>
      <c r="J161" t="s">
        <v>469</v>
      </c>
      <c r="K161" t="s">
        <v>473</v>
      </c>
      <c r="L161" t="s">
        <v>474</v>
      </c>
      <c r="M161" t="s">
        <v>475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25">
      <c r="A162">
        <f t="shared" si="2"/>
        <v>161</v>
      </c>
      <c r="B162">
        <v>0</v>
      </c>
      <c r="C162" t="s">
        <v>451</v>
      </c>
      <c r="D162" t="s">
        <v>476</v>
      </c>
      <c r="E162" t="s">
        <v>453</v>
      </c>
      <c r="F162" t="s">
        <v>454</v>
      </c>
      <c r="G162" t="s">
        <v>477</v>
      </c>
      <c r="H162" t="s">
        <v>478</v>
      </c>
      <c r="I162" t="s">
        <v>479</v>
      </c>
      <c r="J162" t="s">
        <v>480</v>
      </c>
      <c r="K162" t="s">
        <v>481</v>
      </c>
      <c r="L162" t="s">
        <v>482</v>
      </c>
      <c r="M162" t="s">
        <v>483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25">
      <c r="A163">
        <f t="shared" si="2"/>
        <v>162</v>
      </c>
      <c r="B163">
        <v>0</v>
      </c>
      <c r="C163" t="s">
        <v>451</v>
      </c>
      <c r="D163" t="s">
        <v>484</v>
      </c>
      <c r="E163" t="s">
        <v>453</v>
      </c>
      <c r="F163" t="s">
        <v>454</v>
      </c>
      <c r="G163" t="s">
        <v>485</v>
      </c>
      <c r="H163" t="s">
        <v>486</v>
      </c>
      <c r="I163" t="s">
        <v>487</v>
      </c>
      <c r="J163" t="s">
        <v>488</v>
      </c>
      <c r="K163" t="s">
        <v>489</v>
      </c>
      <c r="L163" t="s">
        <v>490</v>
      </c>
      <c r="M163" t="s">
        <v>491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25">
      <c r="A164">
        <f t="shared" si="2"/>
        <v>163</v>
      </c>
      <c r="B164">
        <v>0</v>
      </c>
      <c r="C164" t="s">
        <v>451</v>
      </c>
      <c r="D164" t="s">
        <v>492</v>
      </c>
      <c r="E164" t="s">
        <v>453</v>
      </c>
      <c r="F164" t="s">
        <v>454</v>
      </c>
      <c r="G164" t="s">
        <v>485</v>
      </c>
      <c r="H164" t="s">
        <v>456</v>
      </c>
      <c r="I164" t="s">
        <v>457</v>
      </c>
      <c r="J164" t="s">
        <v>458</v>
      </c>
      <c r="K164" t="s">
        <v>493</v>
      </c>
      <c r="L164" t="s">
        <v>494</v>
      </c>
      <c r="M164" t="s">
        <v>495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25">
      <c r="A165">
        <f t="shared" si="2"/>
        <v>164</v>
      </c>
      <c r="B165">
        <v>0</v>
      </c>
      <c r="C165" t="s">
        <v>436</v>
      </c>
      <c r="D165" t="s">
        <v>437</v>
      </c>
      <c r="E165" t="s">
        <v>438</v>
      </c>
      <c r="F165" t="s">
        <v>439</v>
      </c>
      <c r="G165">
        <v>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25">
      <c r="A166">
        <f t="shared" si="2"/>
        <v>165</v>
      </c>
      <c r="B166">
        <v>0</v>
      </c>
      <c r="C166" t="s">
        <v>436</v>
      </c>
      <c r="D166" t="s">
        <v>251</v>
      </c>
      <c r="E166" t="s">
        <v>440</v>
      </c>
      <c r="F166" t="s">
        <v>441</v>
      </c>
      <c r="G166">
        <v>200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25">
      <c r="A167">
        <f t="shared" si="2"/>
        <v>166</v>
      </c>
      <c r="B167">
        <v>0</v>
      </c>
      <c r="C167" t="s">
        <v>436</v>
      </c>
      <c r="D167" t="s">
        <v>442</v>
      </c>
      <c r="E167" t="s">
        <v>443</v>
      </c>
      <c r="F167" t="s">
        <v>444</v>
      </c>
      <c r="G167">
        <v>4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25">
      <c r="A168">
        <f t="shared" si="2"/>
        <v>167</v>
      </c>
      <c r="B168">
        <v>0</v>
      </c>
      <c r="C168" t="s">
        <v>436</v>
      </c>
      <c r="D168" t="s">
        <v>445</v>
      </c>
      <c r="E168" t="s">
        <v>446</v>
      </c>
      <c r="F168" t="s">
        <v>447</v>
      </c>
      <c r="G168">
        <v>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25">
      <c r="A169">
        <f t="shared" si="2"/>
        <v>168</v>
      </c>
      <c r="B169">
        <v>0</v>
      </c>
      <c r="C169" t="s">
        <v>436</v>
      </c>
      <c r="D169" t="s">
        <v>448</v>
      </c>
      <c r="E169" t="s">
        <v>449</v>
      </c>
      <c r="F169" t="s">
        <v>450</v>
      </c>
      <c r="G169">
        <v>4</v>
      </c>
      <c r="H169">
        <v>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25">
      <c r="A170">
        <f t="shared" si="2"/>
        <v>169</v>
      </c>
      <c r="B170">
        <v>0</v>
      </c>
      <c r="C170" t="s">
        <v>366</v>
      </c>
      <c r="D170" t="s">
        <v>367</v>
      </c>
      <c r="E170" t="s">
        <v>368</v>
      </c>
      <c r="F170" t="s">
        <v>369</v>
      </c>
      <c r="G170">
        <v>0.5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25">
      <c r="A171">
        <f t="shared" si="2"/>
        <v>170</v>
      </c>
      <c r="B171">
        <v>0</v>
      </c>
      <c r="C171" t="s">
        <v>366</v>
      </c>
      <c r="D171" t="s">
        <v>370</v>
      </c>
      <c r="E171" t="s">
        <v>371</v>
      </c>
      <c r="F171" t="s">
        <v>372</v>
      </c>
      <c r="G171">
        <v>50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25">
      <c r="A172">
        <f t="shared" si="2"/>
        <v>171</v>
      </c>
      <c r="B172">
        <v>0</v>
      </c>
      <c r="C172" t="s">
        <v>366</v>
      </c>
      <c r="D172" t="s">
        <v>373</v>
      </c>
      <c r="E172" t="s">
        <v>374</v>
      </c>
      <c r="F172" t="s">
        <v>375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25">
      <c r="A173">
        <f t="shared" si="2"/>
        <v>172</v>
      </c>
      <c r="B173">
        <v>0</v>
      </c>
      <c r="C173" t="s">
        <v>376</v>
      </c>
      <c r="D173" t="s">
        <v>377</v>
      </c>
      <c r="E173" t="s">
        <v>378</v>
      </c>
      <c r="F173" t="s">
        <v>379</v>
      </c>
      <c r="G173">
        <v>200</v>
      </c>
      <c r="H173">
        <v>6.0000000000000001E-3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25">
      <c r="A174">
        <f t="shared" si="2"/>
        <v>173</v>
      </c>
      <c r="B174">
        <v>0</v>
      </c>
      <c r="C174" t="s">
        <v>376</v>
      </c>
      <c r="D174" t="s">
        <v>380</v>
      </c>
      <c r="E174" t="s">
        <v>381</v>
      </c>
      <c r="F174" t="s">
        <v>382</v>
      </c>
      <c r="G174">
        <v>55</v>
      </c>
      <c r="H174" t="s">
        <v>383</v>
      </c>
      <c r="I174" t="s">
        <v>384</v>
      </c>
      <c r="J174" t="s">
        <v>311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25">
      <c r="A175">
        <f t="shared" si="2"/>
        <v>174</v>
      </c>
      <c r="B175">
        <v>0</v>
      </c>
      <c r="C175" t="s">
        <v>376</v>
      </c>
      <c r="D175" t="s">
        <v>385</v>
      </c>
      <c r="E175" t="s">
        <v>381</v>
      </c>
      <c r="F175" t="s">
        <v>382</v>
      </c>
      <c r="G175">
        <v>25</v>
      </c>
      <c r="H175" t="s">
        <v>383</v>
      </c>
      <c r="I175">
        <v>2</v>
      </c>
      <c r="J175" t="s">
        <v>311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25">
      <c r="A176">
        <f t="shared" si="2"/>
        <v>175</v>
      </c>
      <c r="B176">
        <v>0</v>
      </c>
      <c r="C176" t="s">
        <v>376</v>
      </c>
      <c r="D176" t="s">
        <v>386</v>
      </c>
      <c r="E176" t="s">
        <v>381</v>
      </c>
      <c r="F176" t="s">
        <v>382</v>
      </c>
      <c r="G176">
        <v>12</v>
      </c>
      <c r="H176" t="s">
        <v>383</v>
      </c>
      <c r="I176">
        <v>2.5</v>
      </c>
      <c r="J176" t="s">
        <v>311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25">
      <c r="A177">
        <f t="shared" si="2"/>
        <v>176</v>
      </c>
      <c r="B177">
        <v>0</v>
      </c>
      <c r="C177" t="s">
        <v>376</v>
      </c>
      <c r="D177" t="s">
        <v>387</v>
      </c>
      <c r="E177" t="s">
        <v>381</v>
      </c>
      <c r="F177" t="s">
        <v>382</v>
      </c>
      <c r="G177">
        <v>5.5</v>
      </c>
      <c r="H177" t="s">
        <v>383</v>
      </c>
      <c r="I177">
        <v>3</v>
      </c>
      <c r="J177" t="s">
        <v>311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25">
      <c r="A178">
        <f t="shared" si="2"/>
        <v>177</v>
      </c>
      <c r="B178">
        <v>0</v>
      </c>
      <c r="C178" t="s">
        <v>376</v>
      </c>
      <c r="D178" t="s">
        <v>388</v>
      </c>
      <c r="E178" t="s">
        <v>381</v>
      </c>
      <c r="F178" t="s">
        <v>382</v>
      </c>
      <c r="G178">
        <v>1.8</v>
      </c>
      <c r="H178" t="s">
        <v>383</v>
      </c>
      <c r="I178">
        <v>3.5</v>
      </c>
      <c r="J178" t="s">
        <v>389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25">
      <c r="A179">
        <f t="shared" si="2"/>
        <v>178</v>
      </c>
      <c r="B179">
        <v>0</v>
      </c>
      <c r="C179" t="s">
        <v>376</v>
      </c>
      <c r="D179" t="s">
        <v>390</v>
      </c>
      <c r="E179" t="s">
        <v>381</v>
      </c>
      <c r="F179" t="s">
        <v>382</v>
      </c>
      <c r="G179">
        <v>0.35</v>
      </c>
      <c r="H179" t="s">
        <v>383</v>
      </c>
      <c r="I179">
        <v>4</v>
      </c>
      <c r="J179" t="s">
        <v>391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25">
      <c r="A180">
        <f t="shared" si="2"/>
        <v>179</v>
      </c>
      <c r="B180">
        <v>0</v>
      </c>
      <c r="C180" t="s">
        <v>376</v>
      </c>
      <c r="D180" t="s">
        <v>392</v>
      </c>
      <c r="E180" t="s">
        <v>381</v>
      </c>
      <c r="F180" t="s">
        <v>382</v>
      </c>
      <c r="G180">
        <v>0.08</v>
      </c>
      <c r="H180" t="s">
        <v>383</v>
      </c>
      <c r="I180">
        <v>4.5</v>
      </c>
      <c r="J180" t="s">
        <v>393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25">
      <c r="A181">
        <f t="shared" si="2"/>
        <v>180</v>
      </c>
      <c r="B181">
        <v>0</v>
      </c>
      <c r="C181" t="s">
        <v>376</v>
      </c>
      <c r="D181" t="s">
        <v>394</v>
      </c>
      <c r="E181" t="s">
        <v>381</v>
      </c>
      <c r="F181" t="s">
        <v>382</v>
      </c>
      <c r="G181">
        <v>1.4999999999999999E-2</v>
      </c>
      <c r="H181" t="s">
        <v>383</v>
      </c>
      <c r="I181">
        <v>5</v>
      </c>
      <c r="J181" t="s">
        <v>395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25">
      <c r="A182">
        <f t="shared" si="2"/>
        <v>181</v>
      </c>
      <c r="B182">
        <v>0</v>
      </c>
      <c r="C182" t="s">
        <v>530</v>
      </c>
      <c r="D182" t="s">
        <v>531</v>
      </c>
      <c r="E182" t="s">
        <v>532</v>
      </c>
      <c r="F182" t="s">
        <v>533</v>
      </c>
      <c r="G182">
        <v>5</v>
      </c>
      <c r="H182">
        <v>7.5</v>
      </c>
      <c r="I182">
        <v>10</v>
      </c>
      <c r="J182">
        <v>15</v>
      </c>
      <c r="K182">
        <v>20</v>
      </c>
      <c r="L182">
        <v>25</v>
      </c>
      <c r="M182">
        <v>30</v>
      </c>
      <c r="N182">
        <v>100</v>
      </c>
      <c r="O182">
        <v>100</v>
      </c>
      <c r="P182">
        <v>0</v>
      </c>
      <c r="Q182">
        <v>0</v>
      </c>
      <c r="R182">
        <v>0</v>
      </c>
    </row>
    <row r="183" spans="1:18" x14ac:dyDescent="0.25">
      <c r="A183">
        <f t="shared" si="2"/>
        <v>182</v>
      </c>
      <c r="B183">
        <v>0</v>
      </c>
      <c r="C183" t="s">
        <v>530</v>
      </c>
      <c r="D183" t="s">
        <v>534</v>
      </c>
      <c r="E183" t="s">
        <v>535</v>
      </c>
      <c r="F183" t="s">
        <v>536</v>
      </c>
      <c r="G183">
        <v>0</v>
      </c>
      <c r="H183">
        <v>0</v>
      </c>
      <c r="I183">
        <v>0</v>
      </c>
      <c r="J183">
        <v>0.1</v>
      </c>
      <c r="K183">
        <v>0.5</v>
      </c>
      <c r="L183">
        <v>1</v>
      </c>
      <c r="M183">
        <v>10</v>
      </c>
      <c r="N183">
        <v>100</v>
      </c>
      <c r="O183">
        <v>100</v>
      </c>
      <c r="P183">
        <v>0</v>
      </c>
      <c r="Q183">
        <v>0</v>
      </c>
      <c r="R183">
        <v>0</v>
      </c>
    </row>
    <row r="184" spans="1:18" x14ac:dyDescent="0.25">
      <c r="A184">
        <f t="shared" si="2"/>
        <v>183</v>
      </c>
      <c r="B184">
        <v>0</v>
      </c>
      <c r="C184" t="s">
        <v>530</v>
      </c>
      <c r="D184" t="s">
        <v>935</v>
      </c>
      <c r="E184" t="s">
        <v>936</v>
      </c>
      <c r="F184" t="s">
        <v>937</v>
      </c>
      <c r="G184">
        <v>0.1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x14ac:dyDescent="0.25">
      <c r="A185">
        <f t="shared" si="2"/>
        <v>184</v>
      </c>
      <c r="B185">
        <v>0</v>
      </c>
      <c r="C185" t="s">
        <v>537</v>
      </c>
      <c r="D185" t="s">
        <v>538</v>
      </c>
      <c r="E185" t="s">
        <v>539</v>
      </c>
      <c r="F185" t="s">
        <v>540</v>
      </c>
      <c r="G185">
        <v>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25">
      <c r="A186">
        <f t="shared" si="2"/>
        <v>185</v>
      </c>
      <c r="B186">
        <v>0</v>
      </c>
      <c r="C186" t="s">
        <v>537</v>
      </c>
      <c r="D186" t="s">
        <v>541</v>
      </c>
      <c r="E186" t="s">
        <v>542</v>
      </c>
      <c r="F186" t="s">
        <v>543</v>
      </c>
      <c r="G186">
        <v>55</v>
      </c>
      <c r="H186">
        <v>40</v>
      </c>
      <c r="I186">
        <v>25</v>
      </c>
      <c r="J186">
        <v>20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25">
      <c r="A187">
        <f t="shared" si="2"/>
        <v>186</v>
      </c>
      <c r="B187">
        <v>0</v>
      </c>
      <c r="C187" t="s">
        <v>537</v>
      </c>
      <c r="D187" t="s">
        <v>544</v>
      </c>
      <c r="E187" t="s">
        <v>545</v>
      </c>
      <c r="F187" t="s">
        <v>546</v>
      </c>
      <c r="G187">
        <v>5000000</v>
      </c>
      <c r="H187">
        <v>20000000</v>
      </c>
      <c r="I187">
        <v>100000000</v>
      </c>
      <c r="J187">
        <v>500000000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25">
      <c r="A188">
        <f t="shared" si="2"/>
        <v>187</v>
      </c>
      <c r="B188">
        <v>0</v>
      </c>
      <c r="C188" t="s">
        <v>537</v>
      </c>
      <c r="D188" t="s">
        <v>547</v>
      </c>
      <c r="E188" t="s">
        <v>545</v>
      </c>
      <c r="F188">
        <v>0</v>
      </c>
      <c r="G188">
        <v>3</v>
      </c>
      <c r="H188">
        <v>5</v>
      </c>
      <c r="I188">
        <v>8</v>
      </c>
      <c r="J188">
        <v>13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25">
      <c r="A189">
        <f t="shared" si="2"/>
        <v>188</v>
      </c>
      <c r="B189">
        <v>0</v>
      </c>
      <c r="C189" t="s">
        <v>537</v>
      </c>
      <c r="D189" t="s">
        <v>548</v>
      </c>
      <c r="E189" t="s">
        <v>549</v>
      </c>
      <c r="F189" t="s">
        <v>550</v>
      </c>
      <c r="G189">
        <v>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25">
      <c r="A190">
        <f t="shared" si="2"/>
        <v>189</v>
      </c>
      <c r="B190">
        <v>0</v>
      </c>
      <c r="C190" t="s">
        <v>537</v>
      </c>
      <c r="D190" t="s">
        <v>557</v>
      </c>
      <c r="E190" t="s">
        <v>539</v>
      </c>
      <c r="F190" t="s">
        <v>558</v>
      </c>
      <c r="G190">
        <v>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25">
      <c r="A191">
        <f t="shared" si="2"/>
        <v>190</v>
      </c>
      <c r="B191">
        <v>0</v>
      </c>
      <c r="C191" t="s">
        <v>537</v>
      </c>
      <c r="D191" t="s">
        <v>559</v>
      </c>
      <c r="E191" t="s">
        <v>560</v>
      </c>
      <c r="F191" t="s">
        <v>561</v>
      </c>
      <c r="G191">
        <v>50</v>
      </c>
      <c r="H191">
        <v>40</v>
      </c>
      <c r="I191">
        <v>35</v>
      </c>
      <c r="J191">
        <v>25</v>
      </c>
      <c r="K191">
        <v>15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25">
      <c r="A192">
        <f t="shared" si="2"/>
        <v>191</v>
      </c>
      <c r="B192">
        <v>0</v>
      </c>
      <c r="C192" t="s">
        <v>537</v>
      </c>
      <c r="D192" t="s">
        <v>562</v>
      </c>
      <c r="E192" t="s">
        <v>563</v>
      </c>
      <c r="F192" t="s">
        <v>564</v>
      </c>
      <c r="G192">
        <v>1000000</v>
      </c>
      <c r="H192">
        <v>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 x14ac:dyDescent="0.25">
      <c r="A193">
        <f t="shared" si="2"/>
        <v>192</v>
      </c>
      <c r="B193">
        <v>0</v>
      </c>
      <c r="C193" t="s">
        <v>537</v>
      </c>
      <c r="D193" t="s">
        <v>565</v>
      </c>
      <c r="E193" t="s">
        <v>566</v>
      </c>
      <c r="F193">
        <v>0</v>
      </c>
      <c r="G193">
        <v>1</v>
      </c>
      <c r="H193">
        <v>2</v>
      </c>
      <c r="I193">
        <v>3</v>
      </c>
      <c r="J193">
        <v>4</v>
      </c>
      <c r="K193">
        <v>6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 x14ac:dyDescent="0.25">
      <c r="A194">
        <f t="shared" si="2"/>
        <v>193</v>
      </c>
      <c r="B194">
        <v>0</v>
      </c>
      <c r="C194" t="s">
        <v>537</v>
      </c>
      <c r="D194" t="s">
        <v>567</v>
      </c>
      <c r="E194" t="s">
        <v>568</v>
      </c>
      <c r="F194" t="s">
        <v>569</v>
      </c>
      <c r="G194">
        <v>3</v>
      </c>
      <c r="H194">
        <v>3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25">
      <c r="A195">
        <f t="shared" si="2"/>
        <v>194</v>
      </c>
      <c r="B195">
        <v>0</v>
      </c>
      <c r="C195" t="s">
        <v>537</v>
      </c>
      <c r="D195" t="s">
        <v>570</v>
      </c>
      <c r="E195" t="s">
        <v>571</v>
      </c>
      <c r="F195" t="s">
        <v>572</v>
      </c>
      <c r="G195">
        <v>6</v>
      </c>
      <c r="H195">
        <v>6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x14ac:dyDescent="0.25">
      <c r="A196">
        <f t="shared" si="2"/>
        <v>195</v>
      </c>
      <c r="B196">
        <v>0</v>
      </c>
      <c r="C196" t="s">
        <v>537</v>
      </c>
      <c r="D196" t="s">
        <v>903</v>
      </c>
      <c r="E196" t="s">
        <v>904</v>
      </c>
      <c r="F196" t="s">
        <v>905</v>
      </c>
      <c r="G196">
        <v>20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 x14ac:dyDescent="0.25">
      <c r="A197">
        <f t="shared" ref="A197:A260" si="3">A196+1</f>
        <v>196</v>
      </c>
      <c r="B197">
        <v>0</v>
      </c>
      <c r="C197" t="s">
        <v>537</v>
      </c>
      <c r="D197" t="s">
        <v>906</v>
      </c>
      <c r="E197" t="s">
        <v>907</v>
      </c>
      <c r="F197" t="s">
        <v>908</v>
      </c>
      <c r="G197">
        <v>500000000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25">
      <c r="A198">
        <f t="shared" si="3"/>
        <v>197</v>
      </c>
      <c r="B198">
        <v>0</v>
      </c>
      <c r="C198" t="s">
        <v>537</v>
      </c>
      <c r="D198" t="s">
        <v>909</v>
      </c>
      <c r="E198" t="s">
        <v>910</v>
      </c>
      <c r="F198" t="s">
        <v>911</v>
      </c>
      <c r="G198">
        <v>13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25">
      <c r="A199">
        <f t="shared" si="3"/>
        <v>198</v>
      </c>
      <c r="B199">
        <v>0</v>
      </c>
      <c r="C199" t="s">
        <v>496</v>
      </c>
      <c r="D199" t="s">
        <v>497</v>
      </c>
      <c r="E199" t="s">
        <v>498</v>
      </c>
      <c r="F199" t="s">
        <v>499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25">
      <c r="A200">
        <f t="shared" si="3"/>
        <v>199</v>
      </c>
      <c r="B200">
        <v>0</v>
      </c>
      <c r="C200" t="s">
        <v>496</v>
      </c>
      <c r="D200" t="s">
        <v>500</v>
      </c>
      <c r="E200" t="s">
        <v>501</v>
      </c>
      <c r="F200" t="s">
        <v>502</v>
      </c>
      <c r="G200">
        <v>1.35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25">
      <c r="A201">
        <f t="shared" si="3"/>
        <v>200</v>
      </c>
      <c r="B201">
        <v>0</v>
      </c>
      <c r="C201" t="s">
        <v>496</v>
      </c>
      <c r="D201" t="s">
        <v>503</v>
      </c>
      <c r="E201" t="s">
        <v>504</v>
      </c>
      <c r="F201" t="s">
        <v>505</v>
      </c>
      <c r="G201">
        <v>0.05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25">
      <c r="A202">
        <f t="shared" si="3"/>
        <v>201</v>
      </c>
      <c r="B202">
        <v>0</v>
      </c>
      <c r="C202" t="s">
        <v>496</v>
      </c>
      <c r="D202" t="s">
        <v>506</v>
      </c>
      <c r="E202" t="s">
        <v>507</v>
      </c>
      <c r="F202" t="s">
        <v>508</v>
      </c>
      <c r="G202">
        <v>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25">
      <c r="A203">
        <f t="shared" si="3"/>
        <v>202</v>
      </c>
      <c r="B203">
        <v>0</v>
      </c>
      <c r="C203" t="s">
        <v>496</v>
      </c>
      <c r="D203" t="s">
        <v>509</v>
      </c>
      <c r="E203" t="s">
        <v>510</v>
      </c>
      <c r="F203" t="s">
        <v>511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25">
      <c r="A204">
        <f t="shared" si="3"/>
        <v>203</v>
      </c>
      <c r="B204">
        <v>0</v>
      </c>
      <c r="C204" t="s">
        <v>496</v>
      </c>
      <c r="D204" t="s">
        <v>512</v>
      </c>
      <c r="E204" t="s">
        <v>513</v>
      </c>
      <c r="F204" t="s">
        <v>514</v>
      </c>
      <c r="G204">
        <v>5</v>
      </c>
      <c r="H204">
        <v>1.2</v>
      </c>
      <c r="I204">
        <v>0.15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25">
      <c r="A205">
        <f t="shared" si="3"/>
        <v>204</v>
      </c>
      <c r="B205">
        <v>0</v>
      </c>
      <c r="C205" t="s">
        <v>496</v>
      </c>
      <c r="D205" t="s">
        <v>515</v>
      </c>
      <c r="E205" t="s">
        <v>516</v>
      </c>
      <c r="F205" t="s">
        <v>517</v>
      </c>
      <c r="G205">
        <v>8</v>
      </c>
      <c r="H205">
        <v>4</v>
      </c>
      <c r="I205">
        <v>3</v>
      </c>
      <c r="J205">
        <v>60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25">
      <c r="A206">
        <f t="shared" si="3"/>
        <v>205</v>
      </c>
      <c r="B206">
        <v>0</v>
      </c>
      <c r="C206" t="s">
        <v>496</v>
      </c>
      <c r="D206" t="s">
        <v>518</v>
      </c>
      <c r="E206" t="s">
        <v>519</v>
      </c>
      <c r="F206" t="s">
        <v>520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25">
      <c r="A207">
        <f t="shared" si="3"/>
        <v>206</v>
      </c>
      <c r="B207">
        <v>0</v>
      </c>
      <c r="C207" t="s">
        <v>496</v>
      </c>
      <c r="D207" t="s">
        <v>521</v>
      </c>
      <c r="E207" t="s">
        <v>522</v>
      </c>
      <c r="F207" t="s">
        <v>523</v>
      </c>
      <c r="G207">
        <v>0.15</v>
      </c>
      <c r="H207">
        <v>0.06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25">
      <c r="A208">
        <f t="shared" si="3"/>
        <v>207</v>
      </c>
      <c r="B208">
        <v>0</v>
      </c>
      <c r="C208" t="s">
        <v>496</v>
      </c>
      <c r="D208" t="s">
        <v>524</v>
      </c>
      <c r="E208" t="s">
        <v>525</v>
      </c>
      <c r="F208" t="s">
        <v>526</v>
      </c>
      <c r="G208">
        <v>2</v>
      </c>
      <c r="H208">
        <v>0.6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28" x14ac:dyDescent="0.25">
      <c r="A209">
        <f t="shared" si="3"/>
        <v>208</v>
      </c>
      <c r="B209">
        <v>0</v>
      </c>
      <c r="C209" t="s">
        <v>496</v>
      </c>
      <c r="D209" t="s">
        <v>527</v>
      </c>
      <c r="E209" t="s">
        <v>528</v>
      </c>
      <c r="F209" t="s">
        <v>529</v>
      </c>
      <c r="G209">
        <v>3</v>
      </c>
      <c r="H209">
        <v>10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28" x14ac:dyDescent="0.25">
      <c r="A210">
        <f t="shared" si="3"/>
        <v>209</v>
      </c>
      <c r="B210">
        <v>0</v>
      </c>
      <c r="C210" t="s">
        <v>602</v>
      </c>
      <c r="D210" t="s">
        <v>603</v>
      </c>
      <c r="E210" t="s">
        <v>604</v>
      </c>
      <c r="F210" t="s">
        <v>605</v>
      </c>
      <c r="G210">
        <v>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U210">
        <v>10000</v>
      </c>
      <c r="V210">
        <v>2</v>
      </c>
      <c r="W210">
        <v>10000</v>
      </c>
      <c r="X210">
        <v>3</v>
      </c>
    </row>
    <row r="211" spans="1:28" x14ac:dyDescent="0.25">
      <c r="A211">
        <f t="shared" si="3"/>
        <v>210</v>
      </c>
      <c r="B211">
        <v>0</v>
      </c>
      <c r="C211" t="s">
        <v>606</v>
      </c>
      <c r="D211" t="s">
        <v>607</v>
      </c>
      <c r="E211" s="3" t="s">
        <v>975</v>
      </c>
      <c r="F211" t="s">
        <v>608</v>
      </c>
      <c r="G211">
        <v>10000</v>
      </c>
      <c r="H211">
        <v>10000</v>
      </c>
      <c r="I211">
        <v>2</v>
      </c>
      <c r="J211">
        <v>3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U211">
        <v>1</v>
      </c>
      <c r="V211">
        <v>2</v>
      </c>
      <c r="W211">
        <v>3</v>
      </c>
      <c r="X211">
        <v>4</v>
      </c>
      <c r="Y211">
        <v>5</v>
      </c>
      <c r="Z211">
        <v>6</v>
      </c>
      <c r="AA211">
        <v>7</v>
      </c>
      <c r="AB211">
        <v>8</v>
      </c>
    </row>
    <row r="212" spans="1:28" x14ac:dyDescent="0.25">
      <c r="A212">
        <f t="shared" si="3"/>
        <v>211</v>
      </c>
      <c r="B212">
        <v>0</v>
      </c>
      <c r="C212" t="s">
        <v>590</v>
      </c>
      <c r="D212" t="s">
        <v>591</v>
      </c>
      <c r="E212" t="s">
        <v>592</v>
      </c>
      <c r="F212" t="s">
        <v>593</v>
      </c>
      <c r="G212">
        <v>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T212">
        <v>1</v>
      </c>
      <c r="U212" s="4">
        <f t="shared" ref="U212:U231" si="4">($U$210+(U$211-1)^$V$210*$W$210)*$T212^$X$210</f>
        <v>10000</v>
      </c>
      <c r="V212" s="4">
        <f t="shared" ref="V212:AB212" si="5">($U$210+(V$211-1)^$V$210*$W$210)*$T212^$X$210</f>
        <v>20000</v>
      </c>
      <c r="W212" s="4">
        <f t="shared" si="5"/>
        <v>50000</v>
      </c>
      <c r="X212" s="4">
        <f t="shared" si="5"/>
        <v>100000</v>
      </c>
      <c r="Y212" s="4">
        <f t="shared" si="5"/>
        <v>170000</v>
      </c>
      <c r="Z212" s="4">
        <f t="shared" si="5"/>
        <v>260000</v>
      </c>
      <c r="AA212" s="4">
        <f t="shared" si="5"/>
        <v>370000</v>
      </c>
      <c r="AB212" s="4">
        <f t="shared" si="5"/>
        <v>500000</v>
      </c>
    </row>
    <row r="213" spans="1:28" x14ac:dyDescent="0.25">
      <c r="A213">
        <f t="shared" si="3"/>
        <v>212</v>
      </c>
      <c r="B213">
        <v>0</v>
      </c>
      <c r="C213" t="s">
        <v>590</v>
      </c>
      <c r="D213" t="s">
        <v>594</v>
      </c>
      <c r="E213" t="s">
        <v>595</v>
      </c>
      <c r="F213" t="s">
        <v>596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T213">
        <v>2</v>
      </c>
      <c r="U213" s="4">
        <f t="shared" si="4"/>
        <v>80000</v>
      </c>
      <c r="V213" s="4">
        <f t="shared" ref="V213:AB222" si="6">($U$210+(V$211-1)^$V$210*$W$210)*$T213^$X$210</f>
        <v>160000</v>
      </c>
      <c r="W213" s="4">
        <f t="shared" si="6"/>
        <v>400000</v>
      </c>
      <c r="X213" s="4">
        <f t="shared" si="6"/>
        <v>800000</v>
      </c>
      <c r="Y213" s="4">
        <f t="shared" si="6"/>
        <v>1360000</v>
      </c>
      <c r="Z213" s="4">
        <f t="shared" si="6"/>
        <v>2080000</v>
      </c>
      <c r="AA213" s="4">
        <f t="shared" si="6"/>
        <v>2960000</v>
      </c>
      <c r="AB213" s="4">
        <f t="shared" si="6"/>
        <v>4000000</v>
      </c>
    </row>
    <row r="214" spans="1:28" x14ac:dyDescent="0.25">
      <c r="A214">
        <f t="shared" si="3"/>
        <v>213</v>
      </c>
      <c r="B214">
        <v>0</v>
      </c>
      <c r="C214" t="s">
        <v>590</v>
      </c>
      <c r="D214" t="s">
        <v>597</v>
      </c>
      <c r="E214" t="s">
        <v>598</v>
      </c>
      <c r="F214" t="s">
        <v>599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T214">
        <v>3</v>
      </c>
      <c r="U214" s="4">
        <f t="shared" si="4"/>
        <v>270000</v>
      </c>
      <c r="V214" s="4">
        <f t="shared" si="6"/>
        <v>540000</v>
      </c>
      <c r="W214" s="4">
        <f t="shared" si="6"/>
        <v>1350000</v>
      </c>
      <c r="X214" s="4">
        <f t="shared" si="6"/>
        <v>2700000</v>
      </c>
      <c r="Y214" s="4">
        <f t="shared" si="6"/>
        <v>4590000</v>
      </c>
      <c r="Z214" s="4">
        <f t="shared" si="6"/>
        <v>7020000</v>
      </c>
      <c r="AA214" s="4">
        <f t="shared" si="6"/>
        <v>9990000</v>
      </c>
      <c r="AB214" s="4">
        <f t="shared" si="6"/>
        <v>13500000</v>
      </c>
    </row>
    <row r="215" spans="1:28" x14ac:dyDescent="0.25">
      <c r="A215">
        <f t="shared" si="3"/>
        <v>214</v>
      </c>
      <c r="B215">
        <v>0</v>
      </c>
      <c r="C215" t="s">
        <v>590</v>
      </c>
      <c r="D215" t="s">
        <v>600</v>
      </c>
      <c r="E215" t="s">
        <v>601</v>
      </c>
      <c r="F215" t="s">
        <v>599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T215">
        <v>4</v>
      </c>
      <c r="U215" s="4">
        <f t="shared" si="4"/>
        <v>640000</v>
      </c>
      <c r="V215" s="4">
        <f t="shared" si="6"/>
        <v>1280000</v>
      </c>
      <c r="W215" s="4">
        <f t="shared" si="6"/>
        <v>3200000</v>
      </c>
      <c r="X215" s="4">
        <f t="shared" si="6"/>
        <v>6400000</v>
      </c>
      <c r="Y215" s="4">
        <f t="shared" si="6"/>
        <v>10880000</v>
      </c>
      <c r="Z215" s="4">
        <f t="shared" si="6"/>
        <v>16640000</v>
      </c>
      <c r="AA215" s="4">
        <f t="shared" si="6"/>
        <v>23680000</v>
      </c>
      <c r="AB215" s="4">
        <f t="shared" si="6"/>
        <v>32000000</v>
      </c>
    </row>
    <row r="216" spans="1:28" x14ac:dyDescent="0.25">
      <c r="A216">
        <f t="shared" si="3"/>
        <v>215</v>
      </c>
      <c r="B216">
        <v>0</v>
      </c>
      <c r="C216" t="s">
        <v>551</v>
      </c>
      <c r="D216" t="s">
        <v>552</v>
      </c>
      <c r="E216" t="s">
        <v>553</v>
      </c>
      <c r="F216" t="s">
        <v>554</v>
      </c>
      <c r="G216">
        <v>27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T216">
        <v>5</v>
      </c>
      <c r="U216" s="4">
        <f t="shared" si="4"/>
        <v>1250000</v>
      </c>
      <c r="V216" s="4">
        <f t="shared" si="6"/>
        <v>2500000</v>
      </c>
      <c r="W216" s="4">
        <f t="shared" si="6"/>
        <v>6250000</v>
      </c>
      <c r="X216" s="4">
        <f t="shared" si="6"/>
        <v>12500000</v>
      </c>
      <c r="Y216" s="4">
        <f t="shared" si="6"/>
        <v>21250000</v>
      </c>
      <c r="Z216" s="4">
        <f t="shared" si="6"/>
        <v>32500000</v>
      </c>
      <c r="AA216" s="4">
        <f t="shared" si="6"/>
        <v>46250000</v>
      </c>
      <c r="AB216" s="4">
        <f t="shared" si="6"/>
        <v>62500000</v>
      </c>
    </row>
    <row r="217" spans="1:28" x14ac:dyDescent="0.25">
      <c r="A217">
        <f t="shared" si="3"/>
        <v>216</v>
      </c>
      <c r="B217">
        <v>0</v>
      </c>
      <c r="C217" t="s">
        <v>551</v>
      </c>
      <c r="D217" t="s">
        <v>555</v>
      </c>
      <c r="E217" t="s">
        <v>556</v>
      </c>
      <c r="F217" t="s">
        <v>554</v>
      </c>
      <c r="G217">
        <v>36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T217">
        <v>6</v>
      </c>
      <c r="U217" s="4">
        <f t="shared" si="4"/>
        <v>2160000</v>
      </c>
      <c r="V217" s="4">
        <f t="shared" si="6"/>
        <v>4320000</v>
      </c>
      <c r="W217" s="4">
        <f t="shared" si="6"/>
        <v>10800000</v>
      </c>
      <c r="X217" s="4">
        <f t="shared" si="6"/>
        <v>21600000</v>
      </c>
      <c r="Y217" s="4">
        <f t="shared" si="6"/>
        <v>36720000</v>
      </c>
      <c r="Z217" s="4">
        <f t="shared" si="6"/>
        <v>56160000</v>
      </c>
      <c r="AA217" s="4">
        <f t="shared" si="6"/>
        <v>79920000</v>
      </c>
      <c r="AB217" s="4">
        <f t="shared" si="6"/>
        <v>108000000</v>
      </c>
    </row>
    <row r="218" spans="1:28" x14ac:dyDescent="0.25">
      <c r="A218">
        <f t="shared" si="3"/>
        <v>217</v>
      </c>
      <c r="B218">
        <v>0</v>
      </c>
      <c r="C218" t="s">
        <v>551</v>
      </c>
      <c r="D218" t="s">
        <v>577</v>
      </c>
      <c r="E218" t="s">
        <v>583</v>
      </c>
      <c r="F218">
        <v>0</v>
      </c>
      <c r="G218">
        <v>40</v>
      </c>
      <c r="H218">
        <v>1.7</v>
      </c>
      <c r="I218">
        <v>0.15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T218">
        <v>7</v>
      </c>
      <c r="U218" s="4">
        <f t="shared" si="4"/>
        <v>3430000</v>
      </c>
      <c r="V218" s="4">
        <f t="shared" si="6"/>
        <v>6860000</v>
      </c>
      <c r="W218" s="4">
        <f t="shared" si="6"/>
        <v>17150000</v>
      </c>
      <c r="X218" s="4">
        <f t="shared" si="6"/>
        <v>34300000</v>
      </c>
      <c r="Y218" s="4">
        <f t="shared" si="6"/>
        <v>58310000</v>
      </c>
      <c r="Z218" s="4">
        <f t="shared" si="6"/>
        <v>89180000</v>
      </c>
      <c r="AA218" s="4">
        <f t="shared" si="6"/>
        <v>126910000</v>
      </c>
      <c r="AB218" s="4">
        <f t="shared" si="6"/>
        <v>171500000</v>
      </c>
    </row>
    <row r="219" spans="1:28" x14ac:dyDescent="0.25">
      <c r="A219">
        <f t="shared" si="3"/>
        <v>218</v>
      </c>
      <c r="B219">
        <v>0</v>
      </c>
      <c r="C219" t="s">
        <v>551</v>
      </c>
      <c r="D219" t="s">
        <v>584</v>
      </c>
      <c r="E219" t="s">
        <v>585</v>
      </c>
      <c r="F219" t="s">
        <v>586</v>
      </c>
      <c r="G219">
        <v>9</v>
      </c>
      <c r="H219">
        <v>14</v>
      </c>
      <c r="I219">
        <v>20</v>
      </c>
      <c r="J219">
        <v>50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T219">
        <v>8</v>
      </c>
      <c r="U219" s="4">
        <f t="shared" si="4"/>
        <v>5120000</v>
      </c>
      <c r="V219" s="4">
        <f t="shared" si="6"/>
        <v>10240000</v>
      </c>
      <c r="W219" s="4">
        <f t="shared" si="6"/>
        <v>25600000</v>
      </c>
      <c r="X219" s="4">
        <f t="shared" si="6"/>
        <v>51200000</v>
      </c>
      <c r="Y219" s="4">
        <f t="shared" si="6"/>
        <v>87040000</v>
      </c>
      <c r="Z219" s="4">
        <f t="shared" si="6"/>
        <v>133120000</v>
      </c>
      <c r="AA219" s="4">
        <f t="shared" si="6"/>
        <v>189440000</v>
      </c>
      <c r="AB219" s="4">
        <f t="shared" si="6"/>
        <v>256000000</v>
      </c>
    </row>
    <row r="220" spans="1:28" x14ac:dyDescent="0.25">
      <c r="A220">
        <f t="shared" si="3"/>
        <v>219</v>
      </c>
      <c r="B220">
        <v>0</v>
      </c>
      <c r="C220" t="s">
        <v>551</v>
      </c>
      <c r="D220" t="s">
        <v>587</v>
      </c>
      <c r="E220" t="s">
        <v>588</v>
      </c>
      <c r="F220" t="s">
        <v>589</v>
      </c>
      <c r="G220">
        <v>1</v>
      </c>
      <c r="H220">
        <v>1</v>
      </c>
      <c r="I220">
        <v>0.33329999999999999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T220">
        <v>9</v>
      </c>
      <c r="U220" s="4">
        <f t="shared" si="4"/>
        <v>7290000</v>
      </c>
      <c r="V220" s="4">
        <f t="shared" si="6"/>
        <v>14580000</v>
      </c>
      <c r="W220" s="4">
        <f t="shared" si="6"/>
        <v>36450000</v>
      </c>
      <c r="X220" s="4">
        <f t="shared" si="6"/>
        <v>72900000</v>
      </c>
      <c r="Y220" s="4">
        <f t="shared" si="6"/>
        <v>123930000</v>
      </c>
      <c r="Z220" s="4">
        <f t="shared" si="6"/>
        <v>189540000</v>
      </c>
      <c r="AA220" s="4">
        <f t="shared" si="6"/>
        <v>269730000</v>
      </c>
      <c r="AB220" s="4">
        <f t="shared" si="6"/>
        <v>364500000</v>
      </c>
    </row>
    <row r="221" spans="1:28" x14ac:dyDescent="0.25">
      <c r="A221">
        <f t="shared" si="3"/>
        <v>220</v>
      </c>
      <c r="B221">
        <v>0</v>
      </c>
      <c r="C221" t="s">
        <v>609</v>
      </c>
      <c r="D221" t="s">
        <v>610</v>
      </c>
      <c r="E221" t="s">
        <v>611</v>
      </c>
      <c r="F221" t="s">
        <v>612</v>
      </c>
      <c r="G221">
        <v>20000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T221">
        <v>10</v>
      </c>
      <c r="U221" s="4">
        <f t="shared" si="4"/>
        <v>10000000</v>
      </c>
      <c r="V221" s="4">
        <f t="shared" si="6"/>
        <v>20000000</v>
      </c>
      <c r="W221" s="4">
        <f t="shared" si="6"/>
        <v>50000000</v>
      </c>
      <c r="X221" s="4">
        <f t="shared" si="6"/>
        <v>100000000</v>
      </c>
      <c r="Y221" s="4">
        <f t="shared" si="6"/>
        <v>170000000</v>
      </c>
      <c r="Z221" s="4">
        <f t="shared" si="6"/>
        <v>260000000</v>
      </c>
      <c r="AA221" s="4">
        <f t="shared" si="6"/>
        <v>370000000</v>
      </c>
      <c r="AB221" s="4">
        <f t="shared" si="6"/>
        <v>500000000</v>
      </c>
    </row>
    <row r="222" spans="1:28" x14ac:dyDescent="0.25">
      <c r="A222">
        <f t="shared" si="3"/>
        <v>221</v>
      </c>
      <c r="B222">
        <v>0</v>
      </c>
      <c r="C222" t="s">
        <v>609</v>
      </c>
      <c r="D222" t="s">
        <v>613</v>
      </c>
      <c r="E222" t="s">
        <v>614</v>
      </c>
      <c r="F222">
        <v>0</v>
      </c>
      <c r="G222">
        <v>30</v>
      </c>
      <c r="H222">
        <v>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T222">
        <v>11</v>
      </c>
      <c r="U222" s="4">
        <f t="shared" si="4"/>
        <v>13310000</v>
      </c>
      <c r="V222" s="4">
        <f t="shared" si="6"/>
        <v>26620000</v>
      </c>
      <c r="W222" s="4">
        <f t="shared" si="6"/>
        <v>66550000</v>
      </c>
      <c r="X222" s="4">
        <f t="shared" si="6"/>
        <v>133100000</v>
      </c>
      <c r="Y222" s="4">
        <f t="shared" si="6"/>
        <v>226270000</v>
      </c>
      <c r="Z222" s="4">
        <f t="shared" si="6"/>
        <v>346060000</v>
      </c>
      <c r="AA222" s="4">
        <f t="shared" si="6"/>
        <v>492470000</v>
      </c>
      <c r="AB222" s="4">
        <f t="shared" si="6"/>
        <v>665500000</v>
      </c>
    </row>
    <row r="223" spans="1:28" x14ac:dyDescent="0.25">
      <c r="A223">
        <f t="shared" si="3"/>
        <v>222</v>
      </c>
      <c r="B223">
        <v>0</v>
      </c>
      <c r="C223" t="s">
        <v>609</v>
      </c>
      <c r="D223" t="s">
        <v>615</v>
      </c>
      <c r="E223" t="s">
        <v>616</v>
      </c>
      <c r="F223" t="s">
        <v>617</v>
      </c>
      <c r="G223">
        <v>100</v>
      </c>
      <c r="H223">
        <v>1000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T223">
        <v>12</v>
      </c>
      <c r="U223" s="4">
        <f t="shared" si="4"/>
        <v>17280000</v>
      </c>
      <c r="V223" s="4">
        <f t="shared" ref="V223:AB231" si="7">($U$210+(V$211-1)^$V$210*$W$210)*$T223^$X$210</f>
        <v>34560000</v>
      </c>
      <c r="W223" s="4">
        <f t="shared" si="7"/>
        <v>86400000</v>
      </c>
      <c r="X223" s="4">
        <f t="shared" si="7"/>
        <v>172800000</v>
      </c>
      <c r="Y223" s="4">
        <f t="shared" si="7"/>
        <v>293760000</v>
      </c>
      <c r="Z223" s="4">
        <f t="shared" si="7"/>
        <v>449280000</v>
      </c>
      <c r="AA223" s="4">
        <f t="shared" si="7"/>
        <v>639360000</v>
      </c>
      <c r="AB223" s="4">
        <f t="shared" si="7"/>
        <v>864000000</v>
      </c>
    </row>
    <row r="224" spans="1:28" x14ac:dyDescent="0.25">
      <c r="A224">
        <f t="shared" si="3"/>
        <v>223</v>
      </c>
      <c r="B224">
        <v>0</v>
      </c>
      <c r="C224" t="s">
        <v>609</v>
      </c>
      <c r="D224" t="s">
        <v>618</v>
      </c>
      <c r="E224" t="s">
        <v>619</v>
      </c>
      <c r="F224" t="s">
        <v>620</v>
      </c>
      <c r="G224">
        <v>10000</v>
      </c>
      <c r="H224">
        <v>10000</v>
      </c>
      <c r="I224">
        <v>1.02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T224">
        <v>13</v>
      </c>
      <c r="U224" s="4">
        <f t="shared" si="4"/>
        <v>21970000</v>
      </c>
      <c r="V224" s="4">
        <f t="shared" si="7"/>
        <v>43940000</v>
      </c>
      <c r="W224" s="4">
        <f t="shared" si="7"/>
        <v>109850000</v>
      </c>
      <c r="X224" s="4">
        <f t="shared" si="7"/>
        <v>219700000</v>
      </c>
      <c r="Y224" s="4">
        <f t="shared" si="7"/>
        <v>373490000</v>
      </c>
      <c r="Z224" s="4">
        <f t="shared" si="7"/>
        <v>571220000</v>
      </c>
      <c r="AA224" s="4">
        <f t="shared" si="7"/>
        <v>812890000</v>
      </c>
      <c r="AB224" s="4">
        <f t="shared" si="7"/>
        <v>1098500000</v>
      </c>
    </row>
    <row r="225" spans="1:28" x14ac:dyDescent="0.25">
      <c r="A225">
        <f t="shared" si="3"/>
        <v>224</v>
      </c>
      <c r="B225">
        <v>0</v>
      </c>
      <c r="C225" t="s">
        <v>609</v>
      </c>
      <c r="D225" t="s">
        <v>621</v>
      </c>
      <c r="E225" t="s">
        <v>622</v>
      </c>
      <c r="F225">
        <v>0</v>
      </c>
      <c r="G225">
        <v>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T225">
        <v>14</v>
      </c>
      <c r="U225" s="4">
        <f t="shared" si="4"/>
        <v>27440000</v>
      </c>
      <c r="V225" s="4">
        <f t="shared" si="7"/>
        <v>54880000</v>
      </c>
      <c r="W225" s="4">
        <f t="shared" si="7"/>
        <v>137200000</v>
      </c>
      <c r="X225" s="4">
        <f t="shared" si="7"/>
        <v>274400000</v>
      </c>
      <c r="Y225" s="4">
        <f t="shared" si="7"/>
        <v>466480000</v>
      </c>
      <c r="Z225" s="4">
        <f t="shared" si="7"/>
        <v>713440000</v>
      </c>
      <c r="AA225" s="4">
        <f t="shared" si="7"/>
        <v>1015280000</v>
      </c>
      <c r="AB225" s="4">
        <f t="shared" si="7"/>
        <v>1372000000</v>
      </c>
    </row>
    <row r="226" spans="1:28" x14ac:dyDescent="0.25">
      <c r="A226">
        <f t="shared" si="3"/>
        <v>225</v>
      </c>
      <c r="B226">
        <v>0</v>
      </c>
      <c r="C226" t="s">
        <v>573</v>
      </c>
      <c r="D226" t="s">
        <v>574</v>
      </c>
      <c r="E226" t="s">
        <v>575</v>
      </c>
      <c r="F226" t="s">
        <v>576</v>
      </c>
      <c r="G226">
        <v>30</v>
      </c>
      <c r="H226">
        <v>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T226">
        <v>15</v>
      </c>
      <c r="U226" s="4">
        <f t="shared" si="4"/>
        <v>33750000</v>
      </c>
      <c r="V226" s="4">
        <f t="shared" si="7"/>
        <v>67500000</v>
      </c>
      <c r="W226" s="4">
        <f t="shared" si="7"/>
        <v>168750000</v>
      </c>
      <c r="X226" s="4">
        <f t="shared" si="7"/>
        <v>337500000</v>
      </c>
      <c r="Y226" s="4">
        <f t="shared" si="7"/>
        <v>573750000</v>
      </c>
      <c r="Z226" s="4">
        <f t="shared" si="7"/>
        <v>877500000</v>
      </c>
      <c r="AA226" s="4">
        <f t="shared" si="7"/>
        <v>1248750000</v>
      </c>
      <c r="AB226" s="4">
        <f t="shared" si="7"/>
        <v>1687500000</v>
      </c>
    </row>
    <row r="227" spans="1:28" x14ac:dyDescent="0.25">
      <c r="A227">
        <f t="shared" si="3"/>
        <v>226</v>
      </c>
      <c r="B227">
        <v>0</v>
      </c>
      <c r="C227" t="s">
        <v>573</v>
      </c>
      <c r="D227" t="s">
        <v>577</v>
      </c>
      <c r="E227" t="s">
        <v>578</v>
      </c>
      <c r="F227">
        <v>0</v>
      </c>
      <c r="G227">
        <v>25</v>
      </c>
      <c r="H227">
        <v>1.3</v>
      </c>
      <c r="I227">
        <v>0.2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T227">
        <v>16</v>
      </c>
      <c r="U227" s="4">
        <f t="shared" si="4"/>
        <v>40960000</v>
      </c>
      <c r="V227" s="4">
        <f t="shared" si="7"/>
        <v>81920000</v>
      </c>
      <c r="W227" s="4">
        <f t="shared" si="7"/>
        <v>204800000</v>
      </c>
      <c r="X227" s="4">
        <f t="shared" si="7"/>
        <v>409600000</v>
      </c>
      <c r="Y227" s="4">
        <f t="shared" si="7"/>
        <v>696320000</v>
      </c>
      <c r="Z227" s="4">
        <f t="shared" si="7"/>
        <v>1064960000</v>
      </c>
      <c r="AA227" s="4">
        <f t="shared" si="7"/>
        <v>1515520000</v>
      </c>
      <c r="AB227" s="4">
        <f t="shared" si="7"/>
        <v>2048000000</v>
      </c>
    </row>
    <row r="228" spans="1:28" x14ac:dyDescent="0.25">
      <c r="A228">
        <f t="shared" si="3"/>
        <v>227</v>
      </c>
      <c r="B228">
        <v>0</v>
      </c>
      <c r="C228" t="s">
        <v>573</v>
      </c>
      <c r="D228" t="s">
        <v>579</v>
      </c>
      <c r="E228" t="s">
        <v>578</v>
      </c>
      <c r="F228">
        <v>0</v>
      </c>
      <c r="G228">
        <v>8</v>
      </c>
      <c r="H228">
        <v>1.35</v>
      </c>
      <c r="I228">
        <v>0.04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T228">
        <v>17</v>
      </c>
      <c r="U228" s="4">
        <f t="shared" si="4"/>
        <v>49130000</v>
      </c>
      <c r="V228" s="4">
        <f t="shared" si="7"/>
        <v>98260000</v>
      </c>
      <c r="W228" s="4">
        <f t="shared" si="7"/>
        <v>245650000</v>
      </c>
      <c r="X228" s="4">
        <f t="shared" si="7"/>
        <v>491300000</v>
      </c>
      <c r="Y228" s="4">
        <f t="shared" si="7"/>
        <v>835210000</v>
      </c>
      <c r="Z228" s="4">
        <f t="shared" si="7"/>
        <v>1277380000</v>
      </c>
      <c r="AA228" s="4">
        <f t="shared" si="7"/>
        <v>1817810000</v>
      </c>
      <c r="AB228" s="4">
        <f t="shared" si="7"/>
        <v>2456500000</v>
      </c>
    </row>
    <row r="229" spans="1:28" x14ac:dyDescent="0.25">
      <c r="A229">
        <f t="shared" si="3"/>
        <v>228</v>
      </c>
      <c r="B229">
        <v>0</v>
      </c>
      <c r="C229" t="s">
        <v>573</v>
      </c>
      <c r="D229" t="s">
        <v>580</v>
      </c>
      <c r="E229" t="s">
        <v>581</v>
      </c>
      <c r="F229" t="s">
        <v>582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T229">
        <v>18</v>
      </c>
      <c r="U229" s="4">
        <f t="shared" si="4"/>
        <v>58320000</v>
      </c>
      <c r="V229" s="4">
        <f t="shared" si="7"/>
        <v>116640000</v>
      </c>
      <c r="W229" s="4">
        <f t="shared" si="7"/>
        <v>291600000</v>
      </c>
      <c r="X229" s="4">
        <f t="shared" si="7"/>
        <v>583200000</v>
      </c>
      <c r="Y229" s="4">
        <f t="shared" si="7"/>
        <v>991440000</v>
      </c>
      <c r="Z229" s="4">
        <f t="shared" si="7"/>
        <v>1516320000</v>
      </c>
      <c r="AA229" s="4">
        <f t="shared" si="7"/>
        <v>2157840000</v>
      </c>
      <c r="AB229" s="4">
        <f t="shared" si="7"/>
        <v>2916000000</v>
      </c>
    </row>
    <row r="230" spans="1:28" x14ac:dyDescent="0.25">
      <c r="A230">
        <f t="shared" si="3"/>
        <v>229</v>
      </c>
      <c r="B230">
        <v>0</v>
      </c>
      <c r="C230" t="s">
        <v>623</v>
      </c>
      <c r="D230" t="s">
        <v>624</v>
      </c>
      <c r="E230" t="s">
        <v>625</v>
      </c>
      <c r="F230" t="s">
        <v>626</v>
      </c>
      <c r="G230">
        <v>0.2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T230">
        <v>19</v>
      </c>
      <c r="U230" s="4">
        <f t="shared" si="4"/>
        <v>68590000</v>
      </c>
      <c r="V230" s="4">
        <f t="shared" si="7"/>
        <v>137180000</v>
      </c>
      <c r="W230" s="4">
        <f t="shared" si="7"/>
        <v>342950000</v>
      </c>
      <c r="X230" s="4">
        <f t="shared" si="7"/>
        <v>685900000</v>
      </c>
      <c r="Y230" s="4">
        <f t="shared" si="7"/>
        <v>1166030000</v>
      </c>
      <c r="Z230" s="4">
        <f t="shared" si="7"/>
        <v>1783340000</v>
      </c>
      <c r="AA230" s="4">
        <f t="shared" si="7"/>
        <v>2537830000</v>
      </c>
      <c r="AB230" s="4">
        <f t="shared" si="7"/>
        <v>3429500000</v>
      </c>
    </row>
    <row r="231" spans="1:28" x14ac:dyDescent="0.25">
      <c r="A231">
        <f t="shared" si="3"/>
        <v>230</v>
      </c>
      <c r="B231">
        <v>0</v>
      </c>
      <c r="C231" t="s">
        <v>623</v>
      </c>
      <c r="D231" t="s">
        <v>627</v>
      </c>
      <c r="E231" t="s">
        <v>628</v>
      </c>
      <c r="F231" t="s">
        <v>629</v>
      </c>
      <c r="G231">
        <v>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T231">
        <v>20</v>
      </c>
      <c r="U231" s="4">
        <f t="shared" si="4"/>
        <v>80000000</v>
      </c>
      <c r="V231" s="4">
        <f t="shared" si="7"/>
        <v>160000000</v>
      </c>
      <c r="W231" s="4">
        <f t="shared" si="7"/>
        <v>400000000</v>
      </c>
      <c r="X231" s="4">
        <f t="shared" si="7"/>
        <v>800000000</v>
      </c>
      <c r="Y231" s="4">
        <f t="shared" si="7"/>
        <v>1360000000</v>
      </c>
      <c r="Z231" s="4">
        <f t="shared" si="7"/>
        <v>2080000000</v>
      </c>
      <c r="AA231" s="4">
        <f t="shared" si="7"/>
        <v>2960000000</v>
      </c>
      <c r="AB231" s="4">
        <f t="shared" si="7"/>
        <v>4000000000</v>
      </c>
    </row>
    <row r="232" spans="1:28" x14ac:dyDescent="0.25">
      <c r="A232">
        <f t="shared" si="3"/>
        <v>231</v>
      </c>
      <c r="B232">
        <v>0</v>
      </c>
      <c r="C232" t="s">
        <v>623</v>
      </c>
      <c r="D232" t="s">
        <v>630</v>
      </c>
      <c r="E232" t="s">
        <v>631</v>
      </c>
      <c r="F232" t="s">
        <v>632</v>
      </c>
      <c r="G232">
        <v>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U232" s="4">
        <f>SUM(U212:AB231)</f>
        <v>65268000000</v>
      </c>
    </row>
    <row r="233" spans="1:28" x14ac:dyDescent="0.25">
      <c r="A233">
        <f t="shared" si="3"/>
        <v>232</v>
      </c>
      <c r="B233">
        <v>0</v>
      </c>
      <c r="C233" t="s">
        <v>623</v>
      </c>
      <c r="D233" t="s">
        <v>633</v>
      </c>
      <c r="E233" t="s">
        <v>1217</v>
      </c>
      <c r="F233" t="s">
        <v>1218</v>
      </c>
      <c r="G233">
        <v>3</v>
      </c>
      <c r="H233">
        <v>4</v>
      </c>
      <c r="I233">
        <v>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28" x14ac:dyDescent="0.25">
      <c r="A234">
        <f t="shared" si="3"/>
        <v>233</v>
      </c>
      <c r="B234">
        <v>0</v>
      </c>
      <c r="C234" t="s">
        <v>623</v>
      </c>
      <c r="D234" t="s">
        <v>634</v>
      </c>
      <c r="E234" t="s">
        <v>1219</v>
      </c>
      <c r="F234" t="s">
        <v>1220</v>
      </c>
      <c r="G234">
        <v>100</v>
      </c>
      <c r="H234">
        <v>300</v>
      </c>
      <c r="I234">
        <v>900</v>
      </c>
      <c r="J234">
        <v>2700</v>
      </c>
      <c r="K234">
        <v>8100</v>
      </c>
      <c r="L234">
        <v>24300</v>
      </c>
      <c r="M234">
        <v>72900</v>
      </c>
      <c r="N234">
        <v>218700</v>
      </c>
      <c r="O234">
        <v>656100</v>
      </c>
      <c r="P234">
        <v>0</v>
      </c>
      <c r="Q234">
        <v>0</v>
      </c>
      <c r="R234">
        <v>0</v>
      </c>
    </row>
    <row r="235" spans="1:28" x14ac:dyDescent="0.25">
      <c r="A235">
        <f t="shared" si="3"/>
        <v>234</v>
      </c>
      <c r="B235">
        <v>0</v>
      </c>
      <c r="C235" t="s">
        <v>623</v>
      </c>
      <c r="D235" t="s">
        <v>635</v>
      </c>
      <c r="E235" t="s">
        <v>1223</v>
      </c>
      <c r="F235" t="s">
        <v>1224</v>
      </c>
      <c r="G235">
        <v>9</v>
      </c>
      <c r="H235">
        <v>1000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28" x14ac:dyDescent="0.25">
      <c r="A236">
        <f t="shared" si="3"/>
        <v>235</v>
      </c>
      <c r="B236">
        <v>0</v>
      </c>
      <c r="C236" t="s">
        <v>623</v>
      </c>
      <c r="D236" t="s">
        <v>636</v>
      </c>
      <c r="E236" t="s">
        <v>1221</v>
      </c>
      <c r="F236" t="s">
        <v>1222</v>
      </c>
      <c r="G236">
        <v>0.7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28" x14ac:dyDescent="0.25">
      <c r="A237">
        <f t="shared" si="3"/>
        <v>236</v>
      </c>
      <c r="B237">
        <v>0</v>
      </c>
      <c r="C237" t="s">
        <v>623</v>
      </c>
      <c r="D237" t="s">
        <v>637</v>
      </c>
      <c r="E237" t="s">
        <v>638</v>
      </c>
      <c r="F237" t="s">
        <v>639</v>
      </c>
      <c r="G237">
        <v>0.7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28" x14ac:dyDescent="0.25">
      <c r="A238">
        <f t="shared" si="3"/>
        <v>237</v>
      </c>
      <c r="B238">
        <v>0</v>
      </c>
      <c r="C238" t="s">
        <v>623</v>
      </c>
      <c r="D238" t="s">
        <v>640</v>
      </c>
      <c r="E238" t="s">
        <v>641</v>
      </c>
      <c r="F238" t="s">
        <v>642</v>
      </c>
      <c r="G238">
        <v>10</v>
      </c>
      <c r="H238">
        <v>60</v>
      </c>
      <c r="I238">
        <v>10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28" x14ac:dyDescent="0.25">
      <c r="A239">
        <f t="shared" si="3"/>
        <v>238</v>
      </c>
      <c r="B239">
        <v>0</v>
      </c>
      <c r="C239" t="s">
        <v>623</v>
      </c>
      <c r="D239" t="s">
        <v>643</v>
      </c>
      <c r="E239" t="s">
        <v>644</v>
      </c>
      <c r="F239" t="s">
        <v>645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28" x14ac:dyDescent="0.25">
      <c r="A240">
        <f t="shared" si="3"/>
        <v>239</v>
      </c>
      <c r="B240">
        <v>0</v>
      </c>
      <c r="C240" t="s">
        <v>646</v>
      </c>
      <c r="D240" t="s">
        <v>647</v>
      </c>
      <c r="E240" t="s">
        <v>648</v>
      </c>
      <c r="F240" t="s">
        <v>649</v>
      </c>
      <c r="G240">
        <v>100000</v>
      </c>
      <c r="H240">
        <v>3.5</v>
      </c>
      <c r="I240">
        <v>4000000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25">
      <c r="A241">
        <f t="shared" si="3"/>
        <v>240</v>
      </c>
      <c r="B241">
        <v>0</v>
      </c>
      <c r="C241" t="s">
        <v>646</v>
      </c>
      <c r="D241" t="s">
        <v>650</v>
      </c>
      <c r="E241" t="s">
        <v>651</v>
      </c>
      <c r="F241" t="s">
        <v>652</v>
      </c>
      <c r="G241">
        <v>5000</v>
      </c>
      <c r="H241">
        <v>2.5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25">
      <c r="A242">
        <f t="shared" si="3"/>
        <v>241</v>
      </c>
      <c r="B242">
        <v>0</v>
      </c>
      <c r="C242" t="s">
        <v>646</v>
      </c>
      <c r="D242" t="s">
        <v>653</v>
      </c>
      <c r="E242" t="s">
        <v>654</v>
      </c>
      <c r="F242">
        <v>0</v>
      </c>
      <c r="G242">
        <v>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25">
      <c r="A243">
        <f t="shared" si="3"/>
        <v>242</v>
      </c>
      <c r="B243">
        <v>0</v>
      </c>
      <c r="C243" t="s">
        <v>646</v>
      </c>
      <c r="D243" t="s">
        <v>655</v>
      </c>
      <c r="E243" t="s">
        <v>656</v>
      </c>
      <c r="F243" t="s">
        <v>657</v>
      </c>
      <c r="G243">
        <v>10000</v>
      </c>
      <c r="H243">
        <v>100000</v>
      </c>
      <c r="I243">
        <v>500000</v>
      </c>
      <c r="J243">
        <v>2000000</v>
      </c>
      <c r="K243">
        <v>10000000</v>
      </c>
      <c r="L243">
        <v>50000000</v>
      </c>
      <c r="M243">
        <v>200000000</v>
      </c>
      <c r="N243">
        <v>1000000000</v>
      </c>
      <c r="O243">
        <v>10000000000</v>
      </c>
      <c r="P243">
        <v>1000000000000</v>
      </c>
      <c r="Q243">
        <v>0</v>
      </c>
      <c r="R243">
        <v>0</v>
      </c>
    </row>
    <row r="244" spans="1:18" x14ac:dyDescent="0.25">
      <c r="A244">
        <f t="shared" si="3"/>
        <v>243</v>
      </c>
      <c r="B244">
        <v>0</v>
      </c>
      <c r="C244" t="s">
        <v>729</v>
      </c>
      <c r="D244" t="s">
        <v>659</v>
      </c>
      <c r="E244" t="s">
        <v>730</v>
      </c>
      <c r="F244" t="s">
        <v>731</v>
      </c>
      <c r="G244" t="s">
        <v>732</v>
      </c>
      <c r="H244" t="s">
        <v>733</v>
      </c>
      <c r="I244" t="s">
        <v>734</v>
      </c>
      <c r="J244" t="s">
        <v>735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25">
      <c r="A245">
        <f t="shared" si="3"/>
        <v>244</v>
      </c>
      <c r="B245">
        <v>0</v>
      </c>
      <c r="C245" t="s">
        <v>729</v>
      </c>
      <c r="D245" t="s">
        <v>664</v>
      </c>
      <c r="E245" t="s">
        <v>730</v>
      </c>
      <c r="F245" t="s">
        <v>731</v>
      </c>
      <c r="G245" t="s">
        <v>736</v>
      </c>
      <c r="H245" t="s">
        <v>733</v>
      </c>
      <c r="I245" t="s">
        <v>737</v>
      </c>
      <c r="J245" t="s">
        <v>738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25">
      <c r="A246">
        <f t="shared" si="3"/>
        <v>245</v>
      </c>
      <c r="B246">
        <v>0</v>
      </c>
      <c r="C246" t="s">
        <v>729</v>
      </c>
      <c r="D246" t="s">
        <v>667</v>
      </c>
      <c r="E246" t="s">
        <v>730</v>
      </c>
      <c r="F246" t="s">
        <v>731</v>
      </c>
      <c r="G246" t="s">
        <v>739</v>
      </c>
      <c r="H246" t="s">
        <v>733</v>
      </c>
      <c r="I246" t="s">
        <v>740</v>
      </c>
      <c r="J246" t="s">
        <v>741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25">
      <c r="A247">
        <f t="shared" si="3"/>
        <v>246</v>
      </c>
      <c r="B247">
        <v>0</v>
      </c>
      <c r="C247" t="s">
        <v>729</v>
      </c>
      <c r="D247" t="s">
        <v>670</v>
      </c>
      <c r="E247" t="s">
        <v>730</v>
      </c>
      <c r="F247" t="s">
        <v>731</v>
      </c>
      <c r="G247" t="s">
        <v>742</v>
      </c>
      <c r="H247" t="s">
        <v>733</v>
      </c>
      <c r="I247" t="s">
        <v>740</v>
      </c>
      <c r="J247" t="s">
        <v>741</v>
      </c>
      <c r="K247" t="s">
        <v>743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25">
      <c r="A248">
        <f t="shared" si="3"/>
        <v>247</v>
      </c>
      <c r="B248">
        <v>0</v>
      </c>
      <c r="C248" t="s">
        <v>729</v>
      </c>
      <c r="D248" t="s">
        <v>673</v>
      </c>
      <c r="E248" t="s">
        <v>730</v>
      </c>
      <c r="F248" t="s">
        <v>731</v>
      </c>
      <c r="G248" t="s">
        <v>744</v>
      </c>
      <c r="H248" t="s">
        <v>733</v>
      </c>
      <c r="I248" t="s">
        <v>740</v>
      </c>
      <c r="J248" t="s">
        <v>745</v>
      </c>
      <c r="K248" t="s">
        <v>746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25">
      <c r="A249">
        <f t="shared" si="3"/>
        <v>248</v>
      </c>
      <c r="B249">
        <v>0</v>
      </c>
      <c r="C249" t="s">
        <v>729</v>
      </c>
      <c r="D249" t="s">
        <v>676</v>
      </c>
      <c r="E249" t="s">
        <v>730</v>
      </c>
      <c r="F249" t="s">
        <v>731</v>
      </c>
      <c r="G249" t="s">
        <v>747</v>
      </c>
      <c r="H249" t="s">
        <v>733</v>
      </c>
      <c r="I249" t="s">
        <v>740</v>
      </c>
      <c r="J249" t="s">
        <v>748</v>
      </c>
      <c r="K249" t="s">
        <v>749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25">
      <c r="A250">
        <f t="shared" si="3"/>
        <v>249</v>
      </c>
      <c r="B250">
        <v>0</v>
      </c>
      <c r="C250" t="s">
        <v>729</v>
      </c>
      <c r="D250" t="s">
        <v>679</v>
      </c>
      <c r="E250" t="s">
        <v>730</v>
      </c>
      <c r="F250" t="s">
        <v>731</v>
      </c>
      <c r="G250" t="s">
        <v>750</v>
      </c>
      <c r="H250" t="s">
        <v>733</v>
      </c>
      <c r="I250" t="s">
        <v>751</v>
      </c>
      <c r="J250" t="s">
        <v>752</v>
      </c>
      <c r="K250" t="s">
        <v>753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25">
      <c r="A251">
        <f t="shared" si="3"/>
        <v>250</v>
      </c>
      <c r="B251">
        <v>0</v>
      </c>
      <c r="C251" t="s">
        <v>729</v>
      </c>
      <c r="D251" t="s">
        <v>684</v>
      </c>
      <c r="E251" t="s">
        <v>730</v>
      </c>
      <c r="F251" t="s">
        <v>731</v>
      </c>
      <c r="G251" t="s">
        <v>754</v>
      </c>
      <c r="H251" t="s">
        <v>733</v>
      </c>
      <c r="I251" t="s">
        <v>755</v>
      </c>
      <c r="J251" t="s">
        <v>756</v>
      </c>
      <c r="K251" t="s">
        <v>757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25">
      <c r="A252">
        <f t="shared" si="3"/>
        <v>251</v>
      </c>
      <c r="B252">
        <v>0</v>
      </c>
      <c r="C252" t="s">
        <v>729</v>
      </c>
      <c r="D252" t="s">
        <v>686</v>
      </c>
      <c r="E252" t="s">
        <v>730</v>
      </c>
      <c r="F252" t="s">
        <v>731</v>
      </c>
      <c r="G252" t="s">
        <v>758</v>
      </c>
      <c r="H252" t="s">
        <v>733</v>
      </c>
      <c r="I252" t="s">
        <v>759</v>
      </c>
      <c r="J252" t="s">
        <v>760</v>
      </c>
      <c r="K252" t="s">
        <v>761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25">
      <c r="A253">
        <f t="shared" si="3"/>
        <v>252</v>
      </c>
      <c r="B253">
        <v>0</v>
      </c>
      <c r="C253" t="s">
        <v>729</v>
      </c>
      <c r="D253" t="s">
        <v>690</v>
      </c>
      <c r="E253" t="s">
        <v>730</v>
      </c>
      <c r="F253" t="s">
        <v>731</v>
      </c>
      <c r="G253" t="s">
        <v>762</v>
      </c>
      <c r="H253" t="s">
        <v>733</v>
      </c>
      <c r="I253" t="s">
        <v>759</v>
      </c>
      <c r="J253" t="s">
        <v>760</v>
      </c>
      <c r="K253" t="s">
        <v>763</v>
      </c>
      <c r="L253" t="s">
        <v>764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25">
      <c r="A254">
        <f t="shared" si="3"/>
        <v>253</v>
      </c>
      <c r="B254">
        <v>0</v>
      </c>
      <c r="C254" t="s">
        <v>729</v>
      </c>
      <c r="D254" t="s">
        <v>694</v>
      </c>
      <c r="E254" t="s">
        <v>730</v>
      </c>
      <c r="F254" t="s">
        <v>731</v>
      </c>
      <c r="G254" t="s">
        <v>765</v>
      </c>
      <c r="H254" t="s">
        <v>733</v>
      </c>
      <c r="I254" t="s">
        <v>759</v>
      </c>
      <c r="J254" t="s">
        <v>760</v>
      </c>
      <c r="K254" t="s">
        <v>766</v>
      </c>
      <c r="L254" t="s">
        <v>767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25">
      <c r="A255">
        <f t="shared" si="3"/>
        <v>254</v>
      </c>
      <c r="B255">
        <v>0</v>
      </c>
      <c r="C255" t="s">
        <v>729</v>
      </c>
      <c r="D255" t="s">
        <v>698</v>
      </c>
      <c r="E255" t="s">
        <v>730</v>
      </c>
      <c r="F255" t="s">
        <v>731</v>
      </c>
      <c r="G255" t="s">
        <v>768</v>
      </c>
      <c r="H255" t="s">
        <v>733</v>
      </c>
      <c r="I255" t="s">
        <v>769</v>
      </c>
      <c r="J255" t="s">
        <v>770</v>
      </c>
      <c r="K255" t="s">
        <v>771</v>
      </c>
      <c r="L255" t="s">
        <v>772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25">
      <c r="A256">
        <f t="shared" si="3"/>
        <v>255</v>
      </c>
      <c r="B256">
        <v>0</v>
      </c>
      <c r="C256" t="s">
        <v>729</v>
      </c>
      <c r="D256" t="s">
        <v>702</v>
      </c>
      <c r="E256" t="s">
        <v>730</v>
      </c>
      <c r="F256" t="s">
        <v>731</v>
      </c>
      <c r="G256" t="s">
        <v>773</v>
      </c>
      <c r="H256" t="s">
        <v>733</v>
      </c>
      <c r="I256" t="s">
        <v>769</v>
      </c>
      <c r="J256" t="s">
        <v>770</v>
      </c>
      <c r="K256" t="s">
        <v>771</v>
      </c>
      <c r="L256" t="s">
        <v>774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25">
      <c r="A257">
        <f t="shared" si="3"/>
        <v>256</v>
      </c>
      <c r="B257">
        <v>0</v>
      </c>
      <c r="C257" t="s">
        <v>729</v>
      </c>
      <c r="D257" t="s">
        <v>706</v>
      </c>
      <c r="E257" t="s">
        <v>730</v>
      </c>
      <c r="F257" t="s">
        <v>731</v>
      </c>
      <c r="G257" t="s">
        <v>775</v>
      </c>
      <c r="H257" t="s">
        <v>733</v>
      </c>
      <c r="I257" t="s">
        <v>769</v>
      </c>
      <c r="J257" t="s">
        <v>770</v>
      </c>
      <c r="K257" t="s">
        <v>771</v>
      </c>
      <c r="L257" t="s">
        <v>776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25">
      <c r="A258">
        <f t="shared" si="3"/>
        <v>257</v>
      </c>
      <c r="B258">
        <v>0</v>
      </c>
      <c r="C258" t="s">
        <v>729</v>
      </c>
      <c r="D258" t="s">
        <v>710</v>
      </c>
      <c r="E258" t="s">
        <v>730</v>
      </c>
      <c r="F258" t="s">
        <v>731</v>
      </c>
      <c r="G258" t="s">
        <v>777</v>
      </c>
      <c r="H258" t="s">
        <v>733</v>
      </c>
      <c r="I258" t="s">
        <v>769</v>
      </c>
      <c r="J258" t="s">
        <v>778</v>
      </c>
      <c r="K258" t="s">
        <v>779</v>
      </c>
      <c r="L258" t="s">
        <v>772</v>
      </c>
      <c r="M258" t="s">
        <v>780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25">
      <c r="A259">
        <f t="shared" si="3"/>
        <v>258</v>
      </c>
      <c r="B259">
        <v>0</v>
      </c>
      <c r="C259" t="s">
        <v>729</v>
      </c>
      <c r="D259" t="s">
        <v>714</v>
      </c>
      <c r="E259" t="s">
        <v>730</v>
      </c>
      <c r="F259" t="s">
        <v>731</v>
      </c>
      <c r="G259" t="s">
        <v>781</v>
      </c>
      <c r="H259" t="s">
        <v>733</v>
      </c>
      <c r="I259" t="s">
        <v>769</v>
      </c>
      <c r="J259" t="s">
        <v>778</v>
      </c>
      <c r="K259" t="s">
        <v>779</v>
      </c>
      <c r="L259" t="s">
        <v>774</v>
      </c>
      <c r="M259" t="s">
        <v>782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25">
      <c r="A260">
        <f t="shared" si="3"/>
        <v>259</v>
      </c>
      <c r="B260">
        <v>0</v>
      </c>
      <c r="C260" t="s">
        <v>729</v>
      </c>
      <c r="D260" t="s">
        <v>718</v>
      </c>
      <c r="E260" t="s">
        <v>730</v>
      </c>
      <c r="F260" t="s">
        <v>731</v>
      </c>
      <c r="G260" t="s">
        <v>783</v>
      </c>
      <c r="H260" t="s">
        <v>733</v>
      </c>
      <c r="I260" t="s">
        <v>769</v>
      </c>
      <c r="J260" t="s">
        <v>778</v>
      </c>
      <c r="K260" t="s">
        <v>779</v>
      </c>
      <c r="L260" t="s">
        <v>774</v>
      </c>
      <c r="M260" t="s">
        <v>784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25">
      <c r="A261">
        <f t="shared" ref="A261:A324" si="8">A260+1</f>
        <v>260</v>
      </c>
      <c r="B261">
        <v>0</v>
      </c>
      <c r="C261" t="s">
        <v>729</v>
      </c>
      <c r="D261" t="s">
        <v>722</v>
      </c>
      <c r="E261" t="s">
        <v>730</v>
      </c>
      <c r="F261" t="s">
        <v>731</v>
      </c>
      <c r="G261" t="s">
        <v>785</v>
      </c>
      <c r="H261" t="s">
        <v>733</v>
      </c>
      <c r="I261" t="s">
        <v>769</v>
      </c>
      <c r="J261" t="s">
        <v>778</v>
      </c>
      <c r="K261" t="s">
        <v>779</v>
      </c>
      <c r="L261" t="s">
        <v>774</v>
      </c>
      <c r="M261" t="s">
        <v>784</v>
      </c>
      <c r="N261" t="s">
        <v>786</v>
      </c>
      <c r="O261">
        <v>0</v>
      </c>
      <c r="P261">
        <v>0</v>
      </c>
      <c r="Q261">
        <v>0</v>
      </c>
      <c r="R261">
        <v>0</v>
      </c>
    </row>
    <row r="262" spans="1:18" x14ac:dyDescent="0.25">
      <c r="A262">
        <f t="shared" si="8"/>
        <v>261</v>
      </c>
      <c r="B262">
        <v>0</v>
      </c>
      <c r="C262" t="s">
        <v>729</v>
      </c>
      <c r="D262" t="s">
        <v>727</v>
      </c>
      <c r="E262" t="s">
        <v>730</v>
      </c>
      <c r="F262" t="s">
        <v>731</v>
      </c>
      <c r="G262" t="s">
        <v>787</v>
      </c>
      <c r="H262" t="s">
        <v>733</v>
      </c>
      <c r="I262" t="s">
        <v>769</v>
      </c>
      <c r="J262" t="s">
        <v>778</v>
      </c>
      <c r="K262" t="s">
        <v>779</v>
      </c>
      <c r="L262" t="s">
        <v>774</v>
      </c>
      <c r="M262" t="s">
        <v>784</v>
      </c>
      <c r="N262" t="s">
        <v>788</v>
      </c>
      <c r="O262" t="s">
        <v>789</v>
      </c>
      <c r="P262">
        <v>0</v>
      </c>
      <c r="Q262">
        <v>0</v>
      </c>
      <c r="R262">
        <v>0</v>
      </c>
    </row>
    <row r="263" spans="1:18" x14ac:dyDescent="0.25">
      <c r="A263">
        <f t="shared" si="8"/>
        <v>262</v>
      </c>
      <c r="B263">
        <v>0</v>
      </c>
      <c r="C263" t="s">
        <v>729</v>
      </c>
      <c r="D263" t="s">
        <v>728</v>
      </c>
      <c r="E263" t="s">
        <v>730</v>
      </c>
      <c r="F263" t="s">
        <v>731</v>
      </c>
      <c r="G263" t="s">
        <v>790</v>
      </c>
      <c r="H263" t="s">
        <v>733</v>
      </c>
      <c r="I263" t="s">
        <v>769</v>
      </c>
      <c r="J263" t="s">
        <v>778</v>
      </c>
      <c r="K263" t="s">
        <v>779</v>
      </c>
      <c r="L263" t="s">
        <v>774</v>
      </c>
      <c r="M263" t="s">
        <v>784</v>
      </c>
      <c r="N263" t="s">
        <v>791</v>
      </c>
      <c r="O263" t="s">
        <v>792</v>
      </c>
      <c r="P263" t="s">
        <v>793</v>
      </c>
      <c r="Q263">
        <v>0</v>
      </c>
      <c r="R263">
        <v>0</v>
      </c>
    </row>
    <row r="264" spans="1:18" x14ac:dyDescent="0.25">
      <c r="A264">
        <f t="shared" si="8"/>
        <v>263</v>
      </c>
      <c r="B264">
        <v>0</v>
      </c>
      <c r="C264" t="s">
        <v>658</v>
      </c>
      <c r="D264" t="s">
        <v>659</v>
      </c>
      <c r="E264" t="s">
        <v>660</v>
      </c>
      <c r="F264" t="s">
        <v>661</v>
      </c>
      <c r="G264" t="s">
        <v>662</v>
      </c>
      <c r="H264" t="s">
        <v>663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25">
      <c r="A265">
        <f t="shared" si="8"/>
        <v>264</v>
      </c>
      <c r="B265">
        <v>0</v>
      </c>
      <c r="C265" t="s">
        <v>658</v>
      </c>
      <c r="D265" t="s">
        <v>664</v>
      </c>
      <c r="E265" t="s">
        <v>660</v>
      </c>
      <c r="F265" t="s">
        <v>661</v>
      </c>
      <c r="G265" t="s">
        <v>662</v>
      </c>
      <c r="H265" t="s">
        <v>665</v>
      </c>
      <c r="I265" t="s">
        <v>666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25">
      <c r="A266">
        <f t="shared" si="8"/>
        <v>265</v>
      </c>
      <c r="B266">
        <v>0</v>
      </c>
      <c r="C266" t="s">
        <v>658</v>
      </c>
      <c r="D266" t="s">
        <v>667</v>
      </c>
      <c r="E266" t="s">
        <v>660</v>
      </c>
      <c r="F266" t="s">
        <v>661</v>
      </c>
      <c r="G266" t="s">
        <v>662</v>
      </c>
      <c r="H266" t="s">
        <v>668</v>
      </c>
      <c r="I266" t="s">
        <v>666</v>
      </c>
      <c r="J266" t="s">
        <v>669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25">
      <c r="A267">
        <f t="shared" si="8"/>
        <v>266</v>
      </c>
      <c r="B267">
        <v>0</v>
      </c>
      <c r="C267" t="s">
        <v>658</v>
      </c>
      <c r="D267" t="s">
        <v>670</v>
      </c>
      <c r="E267" t="s">
        <v>660</v>
      </c>
      <c r="F267" t="s">
        <v>661</v>
      </c>
      <c r="G267" t="s">
        <v>671</v>
      </c>
      <c r="H267" t="s">
        <v>668</v>
      </c>
      <c r="I267" t="s">
        <v>672</v>
      </c>
      <c r="J267" t="s">
        <v>669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25">
      <c r="A268">
        <f t="shared" si="8"/>
        <v>267</v>
      </c>
      <c r="B268">
        <v>0</v>
      </c>
      <c r="C268" t="s">
        <v>658</v>
      </c>
      <c r="D268" t="s">
        <v>673</v>
      </c>
      <c r="E268" t="s">
        <v>660</v>
      </c>
      <c r="F268" t="s">
        <v>661</v>
      </c>
      <c r="G268" t="s">
        <v>674</v>
      </c>
      <c r="H268" t="s">
        <v>668</v>
      </c>
      <c r="I268" t="s">
        <v>672</v>
      </c>
      <c r="J268" t="s">
        <v>675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25">
      <c r="A269">
        <f t="shared" si="8"/>
        <v>268</v>
      </c>
      <c r="B269">
        <v>0</v>
      </c>
      <c r="C269" t="s">
        <v>658</v>
      </c>
      <c r="D269" t="s">
        <v>676</v>
      </c>
      <c r="E269" t="s">
        <v>660</v>
      </c>
      <c r="F269" t="s">
        <v>661</v>
      </c>
      <c r="G269" t="s">
        <v>677</v>
      </c>
      <c r="H269" t="s">
        <v>668</v>
      </c>
      <c r="I269" t="s">
        <v>672</v>
      </c>
      <c r="J269" t="s">
        <v>675</v>
      </c>
      <c r="K269" t="s">
        <v>678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25">
      <c r="A270">
        <f t="shared" si="8"/>
        <v>269</v>
      </c>
      <c r="B270">
        <v>0</v>
      </c>
      <c r="C270" t="s">
        <v>658</v>
      </c>
      <c r="D270" t="s">
        <v>679</v>
      </c>
      <c r="E270" t="s">
        <v>660</v>
      </c>
      <c r="F270" t="s">
        <v>661</v>
      </c>
      <c r="G270" t="s">
        <v>680</v>
      </c>
      <c r="H270" t="s">
        <v>681</v>
      </c>
      <c r="I270" t="s">
        <v>675</v>
      </c>
      <c r="J270" t="s">
        <v>682</v>
      </c>
      <c r="K270" t="s">
        <v>683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25">
      <c r="A271">
        <f t="shared" si="8"/>
        <v>270</v>
      </c>
      <c r="B271">
        <v>0</v>
      </c>
      <c r="C271" t="s">
        <v>658</v>
      </c>
      <c r="D271" t="s">
        <v>684</v>
      </c>
      <c r="E271" t="s">
        <v>660</v>
      </c>
      <c r="F271" t="s">
        <v>661</v>
      </c>
      <c r="G271" t="s">
        <v>668</v>
      </c>
      <c r="H271" t="s">
        <v>681</v>
      </c>
      <c r="I271" t="s">
        <v>675</v>
      </c>
      <c r="J271" t="s">
        <v>682</v>
      </c>
      <c r="K271" t="s">
        <v>685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25">
      <c r="A272">
        <f t="shared" si="8"/>
        <v>271</v>
      </c>
      <c r="B272">
        <v>0</v>
      </c>
      <c r="C272" t="s">
        <v>658</v>
      </c>
      <c r="D272" t="s">
        <v>686</v>
      </c>
      <c r="E272" t="s">
        <v>660</v>
      </c>
      <c r="F272" t="s">
        <v>661</v>
      </c>
      <c r="G272" t="s">
        <v>681</v>
      </c>
      <c r="H272" t="s">
        <v>687</v>
      </c>
      <c r="I272" t="s">
        <v>682</v>
      </c>
      <c r="J272" t="s">
        <v>688</v>
      </c>
      <c r="K272" t="s">
        <v>689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25">
      <c r="A273">
        <f t="shared" si="8"/>
        <v>272</v>
      </c>
      <c r="B273">
        <v>0</v>
      </c>
      <c r="C273" t="s">
        <v>658</v>
      </c>
      <c r="D273" t="s">
        <v>690</v>
      </c>
      <c r="E273" t="s">
        <v>660</v>
      </c>
      <c r="F273" t="s">
        <v>661</v>
      </c>
      <c r="G273" t="s">
        <v>687</v>
      </c>
      <c r="H273" t="s">
        <v>691</v>
      </c>
      <c r="I273" t="s">
        <v>688</v>
      </c>
      <c r="J273" t="s">
        <v>692</v>
      </c>
      <c r="K273" t="s">
        <v>693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25">
      <c r="A274">
        <f t="shared" si="8"/>
        <v>273</v>
      </c>
      <c r="B274">
        <v>0</v>
      </c>
      <c r="C274" t="s">
        <v>658</v>
      </c>
      <c r="D274" t="s">
        <v>694</v>
      </c>
      <c r="E274" t="s">
        <v>660</v>
      </c>
      <c r="F274" t="s">
        <v>661</v>
      </c>
      <c r="G274" t="s">
        <v>691</v>
      </c>
      <c r="H274" t="s">
        <v>695</v>
      </c>
      <c r="I274" t="s">
        <v>692</v>
      </c>
      <c r="J274" t="s">
        <v>696</v>
      </c>
      <c r="K274" t="s">
        <v>697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25">
      <c r="A275">
        <f t="shared" si="8"/>
        <v>274</v>
      </c>
      <c r="B275">
        <v>0</v>
      </c>
      <c r="C275" t="s">
        <v>658</v>
      </c>
      <c r="D275" t="s">
        <v>698</v>
      </c>
      <c r="E275" t="s">
        <v>660</v>
      </c>
      <c r="F275" t="s">
        <v>661</v>
      </c>
      <c r="G275" t="s">
        <v>695</v>
      </c>
      <c r="H275" t="s">
        <v>699</v>
      </c>
      <c r="I275" t="s">
        <v>696</v>
      </c>
      <c r="J275" t="s">
        <v>700</v>
      </c>
      <c r="K275" t="s">
        <v>701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25">
      <c r="A276">
        <f t="shared" si="8"/>
        <v>275</v>
      </c>
      <c r="B276">
        <v>0</v>
      </c>
      <c r="C276" t="s">
        <v>658</v>
      </c>
      <c r="D276" t="s">
        <v>702</v>
      </c>
      <c r="E276" t="s">
        <v>660</v>
      </c>
      <c r="F276" t="s">
        <v>661</v>
      </c>
      <c r="G276" t="s">
        <v>699</v>
      </c>
      <c r="H276" t="s">
        <v>703</v>
      </c>
      <c r="I276" t="s">
        <v>700</v>
      </c>
      <c r="J276" t="s">
        <v>704</v>
      </c>
      <c r="K276" t="s">
        <v>705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25">
      <c r="A277">
        <f t="shared" si="8"/>
        <v>276</v>
      </c>
      <c r="B277">
        <v>0</v>
      </c>
      <c r="C277" t="s">
        <v>658</v>
      </c>
      <c r="D277" t="s">
        <v>706</v>
      </c>
      <c r="E277" t="s">
        <v>660</v>
      </c>
      <c r="F277" t="s">
        <v>661</v>
      </c>
      <c r="G277" t="s">
        <v>703</v>
      </c>
      <c r="H277" t="s">
        <v>707</v>
      </c>
      <c r="I277" t="s">
        <v>704</v>
      </c>
      <c r="J277" t="s">
        <v>708</v>
      </c>
      <c r="K277" t="s">
        <v>709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25">
      <c r="A278">
        <f t="shared" si="8"/>
        <v>277</v>
      </c>
      <c r="B278">
        <v>0</v>
      </c>
      <c r="C278" t="s">
        <v>658</v>
      </c>
      <c r="D278" t="s">
        <v>710</v>
      </c>
      <c r="E278" t="s">
        <v>660</v>
      </c>
      <c r="F278" t="s">
        <v>661</v>
      </c>
      <c r="G278" t="s">
        <v>707</v>
      </c>
      <c r="H278" t="s">
        <v>711</v>
      </c>
      <c r="I278" t="s">
        <v>708</v>
      </c>
      <c r="J278" t="s">
        <v>712</v>
      </c>
      <c r="K278" t="s">
        <v>713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25">
      <c r="A279">
        <f t="shared" si="8"/>
        <v>278</v>
      </c>
      <c r="B279">
        <v>0</v>
      </c>
      <c r="C279" t="s">
        <v>658</v>
      </c>
      <c r="D279" t="s">
        <v>714</v>
      </c>
      <c r="E279" t="s">
        <v>660</v>
      </c>
      <c r="F279" t="s">
        <v>661</v>
      </c>
      <c r="G279" t="s">
        <v>711</v>
      </c>
      <c r="H279" t="s">
        <v>715</v>
      </c>
      <c r="I279" t="s">
        <v>712</v>
      </c>
      <c r="J279" t="s">
        <v>716</v>
      </c>
      <c r="K279" t="s">
        <v>717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25">
      <c r="A280">
        <f t="shared" si="8"/>
        <v>279</v>
      </c>
      <c r="B280">
        <v>0</v>
      </c>
      <c r="C280" t="s">
        <v>658</v>
      </c>
      <c r="D280" t="s">
        <v>718</v>
      </c>
      <c r="E280" t="s">
        <v>660</v>
      </c>
      <c r="F280" t="s">
        <v>661</v>
      </c>
      <c r="G280" t="s">
        <v>715</v>
      </c>
      <c r="H280" t="s">
        <v>719</v>
      </c>
      <c r="I280" t="s">
        <v>716</v>
      </c>
      <c r="J280" t="s">
        <v>720</v>
      </c>
      <c r="K280" t="s">
        <v>721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25">
      <c r="A281">
        <f t="shared" si="8"/>
        <v>280</v>
      </c>
      <c r="B281">
        <v>0</v>
      </c>
      <c r="C281" t="s">
        <v>658</v>
      </c>
      <c r="D281" t="s">
        <v>722</v>
      </c>
      <c r="E281" t="s">
        <v>660</v>
      </c>
      <c r="F281" t="s">
        <v>661</v>
      </c>
      <c r="G281" t="s">
        <v>705</v>
      </c>
      <c r="H281" t="s">
        <v>723</v>
      </c>
      <c r="I281" t="s">
        <v>724</v>
      </c>
      <c r="J281" t="s">
        <v>720</v>
      </c>
      <c r="K281" t="s">
        <v>725</v>
      </c>
      <c r="L281" t="s">
        <v>726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x14ac:dyDescent="0.25">
      <c r="A282">
        <f t="shared" si="8"/>
        <v>281</v>
      </c>
      <c r="B282">
        <v>0</v>
      </c>
      <c r="C282" t="s">
        <v>658</v>
      </c>
      <c r="D282" t="s">
        <v>727</v>
      </c>
      <c r="E282" t="s">
        <v>660</v>
      </c>
      <c r="F282" t="s">
        <v>661</v>
      </c>
      <c r="G282" t="s">
        <v>705</v>
      </c>
      <c r="H282" t="s">
        <v>723</v>
      </c>
      <c r="I282" t="s">
        <v>724</v>
      </c>
      <c r="J282" t="s">
        <v>720</v>
      </c>
      <c r="K282" t="s">
        <v>725</v>
      </c>
      <c r="L282" t="s">
        <v>726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25">
      <c r="A283">
        <f t="shared" si="8"/>
        <v>282</v>
      </c>
      <c r="B283">
        <v>0</v>
      </c>
      <c r="C283" t="s">
        <v>658</v>
      </c>
      <c r="D283" t="s">
        <v>728</v>
      </c>
      <c r="E283" t="s">
        <v>660</v>
      </c>
      <c r="F283" t="s">
        <v>661</v>
      </c>
      <c r="G283" t="s">
        <v>705</v>
      </c>
      <c r="H283" t="s">
        <v>723</v>
      </c>
      <c r="I283" t="s">
        <v>724</v>
      </c>
      <c r="J283" t="s">
        <v>720</v>
      </c>
      <c r="K283" t="s">
        <v>725</v>
      </c>
      <c r="L283" t="s">
        <v>726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25">
      <c r="A284">
        <f t="shared" si="8"/>
        <v>283</v>
      </c>
      <c r="B284">
        <v>0</v>
      </c>
      <c r="C284" t="s">
        <v>794</v>
      </c>
      <c r="D284" t="s">
        <v>795</v>
      </c>
      <c r="E284" t="s">
        <v>796</v>
      </c>
      <c r="F284" t="s">
        <v>797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25">
      <c r="A285">
        <f t="shared" si="8"/>
        <v>284</v>
      </c>
      <c r="B285">
        <v>0</v>
      </c>
      <c r="C285" t="s">
        <v>794</v>
      </c>
      <c r="D285" t="s">
        <v>798</v>
      </c>
      <c r="E285" t="s">
        <v>799</v>
      </c>
      <c r="F285" t="s">
        <v>800</v>
      </c>
      <c r="G285">
        <v>0.1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25">
      <c r="A286">
        <f t="shared" si="8"/>
        <v>285</v>
      </c>
      <c r="B286">
        <v>0</v>
      </c>
      <c r="C286" t="s">
        <v>794</v>
      </c>
      <c r="D286" t="s">
        <v>801</v>
      </c>
      <c r="E286" t="s">
        <v>802</v>
      </c>
      <c r="F286" t="s">
        <v>803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25">
      <c r="A287">
        <f t="shared" si="8"/>
        <v>286</v>
      </c>
      <c r="B287">
        <v>0</v>
      </c>
      <c r="C287" t="s">
        <v>794</v>
      </c>
      <c r="D287" t="s">
        <v>804</v>
      </c>
      <c r="E287" t="s">
        <v>805</v>
      </c>
      <c r="F287" t="s">
        <v>806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25">
      <c r="A288">
        <f t="shared" si="8"/>
        <v>287</v>
      </c>
      <c r="B288">
        <v>0</v>
      </c>
      <c r="C288" t="s">
        <v>794</v>
      </c>
      <c r="D288" t="s">
        <v>807</v>
      </c>
      <c r="E288" t="s">
        <v>808</v>
      </c>
      <c r="F288" t="s">
        <v>809</v>
      </c>
      <c r="G288">
        <v>0.2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 x14ac:dyDescent="0.25">
      <c r="A289">
        <f t="shared" si="8"/>
        <v>288</v>
      </c>
      <c r="B289">
        <v>0</v>
      </c>
      <c r="C289" t="s">
        <v>794</v>
      </c>
      <c r="D289" s="1" t="s">
        <v>1002</v>
      </c>
      <c r="E289" s="3" t="s">
        <v>1003</v>
      </c>
      <c r="F289" t="s">
        <v>810</v>
      </c>
      <c r="G289">
        <v>0.5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25">
      <c r="A290">
        <f t="shared" si="8"/>
        <v>289</v>
      </c>
      <c r="B290">
        <v>0</v>
      </c>
      <c r="C290" t="s">
        <v>794</v>
      </c>
      <c r="D290" t="s">
        <v>647</v>
      </c>
      <c r="E290" t="s">
        <v>811</v>
      </c>
      <c r="F290" t="s">
        <v>812</v>
      </c>
      <c r="G290">
        <v>1000</v>
      </c>
      <c r="H290">
        <v>20</v>
      </c>
      <c r="I290">
        <v>10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 x14ac:dyDescent="0.25">
      <c r="A291">
        <f t="shared" si="8"/>
        <v>290</v>
      </c>
      <c r="B291">
        <v>0</v>
      </c>
      <c r="C291" t="s">
        <v>794</v>
      </c>
      <c r="D291" t="s">
        <v>813</v>
      </c>
      <c r="E291" t="s">
        <v>814</v>
      </c>
      <c r="F291" t="s">
        <v>815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25">
      <c r="A292">
        <f t="shared" si="8"/>
        <v>291</v>
      </c>
      <c r="B292">
        <v>0</v>
      </c>
      <c r="C292" t="s">
        <v>794</v>
      </c>
      <c r="D292" t="s">
        <v>816</v>
      </c>
      <c r="E292" t="s">
        <v>817</v>
      </c>
      <c r="F292" t="s">
        <v>818</v>
      </c>
      <c r="G292">
        <v>30</v>
      </c>
      <c r="H292">
        <v>10</v>
      </c>
      <c r="I292">
        <v>0.8</v>
      </c>
      <c r="J292">
        <v>1.5</v>
      </c>
      <c r="K292">
        <v>0.3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25">
      <c r="A293">
        <f t="shared" si="8"/>
        <v>292</v>
      </c>
      <c r="B293">
        <v>0</v>
      </c>
      <c r="C293" t="s">
        <v>819</v>
      </c>
      <c r="D293" t="s">
        <v>820</v>
      </c>
      <c r="E293" t="s">
        <v>821</v>
      </c>
      <c r="F293" t="s">
        <v>822</v>
      </c>
      <c r="G293">
        <v>0.75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25">
      <c r="A294">
        <f t="shared" si="8"/>
        <v>293</v>
      </c>
      <c r="B294">
        <v>0</v>
      </c>
      <c r="C294" t="s">
        <v>819</v>
      </c>
      <c r="D294" t="s">
        <v>823</v>
      </c>
      <c r="E294" t="s">
        <v>824</v>
      </c>
      <c r="F294">
        <v>0</v>
      </c>
      <c r="G294">
        <v>1.25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25">
      <c r="A295">
        <f t="shared" si="8"/>
        <v>294</v>
      </c>
      <c r="B295">
        <v>0</v>
      </c>
      <c r="C295" t="s">
        <v>819</v>
      </c>
      <c r="D295" t="s">
        <v>825</v>
      </c>
      <c r="E295" t="s">
        <v>592</v>
      </c>
      <c r="F295" t="s">
        <v>826</v>
      </c>
      <c r="G295">
        <v>45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25">
      <c r="A296">
        <f t="shared" si="8"/>
        <v>295</v>
      </c>
      <c r="B296">
        <v>0</v>
      </c>
      <c r="C296" t="s">
        <v>819</v>
      </c>
      <c r="D296" t="s">
        <v>827</v>
      </c>
      <c r="E296" t="s">
        <v>828</v>
      </c>
      <c r="F296" t="s">
        <v>829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25">
      <c r="A297">
        <f t="shared" si="8"/>
        <v>296</v>
      </c>
      <c r="B297">
        <v>0</v>
      </c>
      <c r="C297" t="s">
        <v>819</v>
      </c>
      <c r="D297" t="s">
        <v>830</v>
      </c>
      <c r="E297" t="s">
        <v>831</v>
      </c>
      <c r="F297" t="s">
        <v>832</v>
      </c>
      <c r="G297">
        <v>0.1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25">
      <c r="A298">
        <f t="shared" si="8"/>
        <v>297</v>
      </c>
      <c r="B298">
        <v>0</v>
      </c>
      <c r="C298" t="s">
        <v>819</v>
      </c>
      <c r="D298" t="s">
        <v>918</v>
      </c>
      <c r="E298" t="s">
        <v>919</v>
      </c>
      <c r="F298" t="s">
        <v>920</v>
      </c>
      <c r="G298">
        <v>50000</v>
      </c>
      <c r="H298">
        <v>5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25">
      <c r="A299">
        <f t="shared" si="8"/>
        <v>298</v>
      </c>
      <c r="B299">
        <v>0</v>
      </c>
      <c r="C299" t="s">
        <v>819</v>
      </c>
      <c r="D299" t="s">
        <v>921</v>
      </c>
      <c r="E299" t="s">
        <v>922</v>
      </c>
      <c r="F299" t="s">
        <v>923</v>
      </c>
      <c r="G299">
        <v>10</v>
      </c>
      <c r="H299">
        <v>0.65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x14ac:dyDescent="0.25">
      <c r="A300">
        <f t="shared" si="8"/>
        <v>299</v>
      </c>
      <c r="B300">
        <v>0</v>
      </c>
      <c r="C300" t="s">
        <v>819</v>
      </c>
      <c r="D300" t="s">
        <v>924</v>
      </c>
      <c r="E300" t="s">
        <v>925</v>
      </c>
      <c r="F300" t="s">
        <v>926</v>
      </c>
      <c r="G300">
        <v>75</v>
      </c>
      <c r="H300">
        <v>100</v>
      </c>
      <c r="I300">
        <v>125</v>
      </c>
      <c r="J300">
        <v>150</v>
      </c>
      <c r="K300">
        <v>20</v>
      </c>
      <c r="L300">
        <v>30</v>
      </c>
      <c r="M300">
        <v>30</v>
      </c>
      <c r="N300">
        <v>20</v>
      </c>
      <c r="O300">
        <v>0</v>
      </c>
      <c r="P300">
        <v>0</v>
      </c>
      <c r="Q300">
        <v>0</v>
      </c>
      <c r="R300">
        <v>0</v>
      </c>
    </row>
    <row r="301" spans="1:18" x14ac:dyDescent="0.25">
      <c r="A301">
        <f t="shared" si="8"/>
        <v>300</v>
      </c>
      <c r="B301">
        <v>0</v>
      </c>
      <c r="C301" t="s">
        <v>819</v>
      </c>
      <c r="D301" t="s">
        <v>927</v>
      </c>
      <c r="E301" t="s">
        <v>928</v>
      </c>
      <c r="F301" t="s">
        <v>929</v>
      </c>
      <c r="G301">
        <v>25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x14ac:dyDescent="0.25">
      <c r="A302">
        <f t="shared" si="8"/>
        <v>301</v>
      </c>
      <c r="B302">
        <v>0</v>
      </c>
      <c r="C302" t="s">
        <v>819</v>
      </c>
      <c r="D302" t="s">
        <v>930</v>
      </c>
      <c r="E302" t="s">
        <v>592</v>
      </c>
      <c r="F302" t="s">
        <v>931</v>
      </c>
      <c r="G302">
        <v>5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25">
      <c r="A303">
        <f t="shared" si="8"/>
        <v>302</v>
      </c>
      <c r="B303">
        <v>0</v>
      </c>
      <c r="C303" t="s">
        <v>819</v>
      </c>
      <c r="D303" t="s">
        <v>932</v>
      </c>
      <c r="E303" t="s">
        <v>933</v>
      </c>
      <c r="F303" t="s">
        <v>934</v>
      </c>
      <c r="G303">
        <v>0.6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x14ac:dyDescent="0.25">
      <c r="A304">
        <f t="shared" si="8"/>
        <v>303</v>
      </c>
      <c r="B304">
        <v>0</v>
      </c>
      <c r="C304" t="s">
        <v>856</v>
      </c>
      <c r="D304" t="s">
        <v>857</v>
      </c>
      <c r="E304" t="s">
        <v>858</v>
      </c>
      <c r="F304" t="s">
        <v>859</v>
      </c>
      <c r="G304">
        <v>25</v>
      </c>
      <c r="H304">
        <v>25</v>
      </c>
      <c r="I304" t="s">
        <v>860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25">
      <c r="A305">
        <f t="shared" si="8"/>
        <v>304</v>
      </c>
      <c r="B305">
        <v>0</v>
      </c>
      <c r="C305" t="s">
        <v>856</v>
      </c>
      <c r="D305" t="s">
        <v>861</v>
      </c>
      <c r="E305" t="s">
        <v>858</v>
      </c>
      <c r="F305" t="s">
        <v>862</v>
      </c>
      <c r="G305">
        <v>20</v>
      </c>
      <c r="H305">
        <v>20</v>
      </c>
      <c r="I305" t="s">
        <v>860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x14ac:dyDescent="0.25">
      <c r="A306">
        <f t="shared" si="8"/>
        <v>305</v>
      </c>
      <c r="B306">
        <v>0</v>
      </c>
      <c r="C306" t="s">
        <v>856</v>
      </c>
      <c r="D306" t="s">
        <v>863</v>
      </c>
      <c r="E306" t="s">
        <v>858</v>
      </c>
      <c r="F306" t="s">
        <v>864</v>
      </c>
      <c r="G306">
        <v>3</v>
      </c>
      <c r="H306">
        <v>1.5</v>
      </c>
      <c r="I306" t="s">
        <v>860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25">
      <c r="A307">
        <f t="shared" si="8"/>
        <v>306</v>
      </c>
      <c r="B307">
        <v>0</v>
      </c>
      <c r="C307" t="s">
        <v>856</v>
      </c>
      <c r="D307" t="s">
        <v>865</v>
      </c>
      <c r="E307" t="s">
        <v>858</v>
      </c>
      <c r="F307" t="s">
        <v>866</v>
      </c>
      <c r="G307">
        <v>20</v>
      </c>
      <c r="H307">
        <v>20</v>
      </c>
      <c r="I307" t="s">
        <v>860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25">
      <c r="A308">
        <f t="shared" si="8"/>
        <v>307</v>
      </c>
      <c r="B308">
        <v>0</v>
      </c>
      <c r="C308" t="s">
        <v>856</v>
      </c>
      <c r="D308" t="s">
        <v>867</v>
      </c>
      <c r="E308" t="s">
        <v>858</v>
      </c>
      <c r="F308" t="s">
        <v>868</v>
      </c>
      <c r="G308">
        <v>3</v>
      </c>
      <c r="H308">
        <v>1.5</v>
      </c>
      <c r="I308" t="s">
        <v>860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25">
      <c r="A309">
        <f t="shared" si="8"/>
        <v>308</v>
      </c>
      <c r="B309">
        <v>0</v>
      </c>
      <c r="C309" t="s">
        <v>856</v>
      </c>
      <c r="D309" t="s">
        <v>869</v>
      </c>
      <c r="E309" t="s">
        <v>858</v>
      </c>
      <c r="F309" t="s">
        <v>870</v>
      </c>
      <c r="G309">
        <v>3</v>
      </c>
      <c r="H309">
        <v>1.5</v>
      </c>
      <c r="I309" t="s">
        <v>860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25">
      <c r="A310">
        <f t="shared" si="8"/>
        <v>309</v>
      </c>
      <c r="B310">
        <v>0</v>
      </c>
      <c r="C310" t="s">
        <v>856</v>
      </c>
      <c r="D310" t="s">
        <v>871</v>
      </c>
      <c r="E310" t="s">
        <v>858</v>
      </c>
      <c r="F310" t="s">
        <v>872</v>
      </c>
      <c r="G310">
        <v>3</v>
      </c>
      <c r="H310">
        <v>1.5</v>
      </c>
      <c r="I310" t="s">
        <v>860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 x14ac:dyDescent="0.25">
      <c r="A311">
        <f t="shared" si="8"/>
        <v>310</v>
      </c>
      <c r="B311">
        <v>0</v>
      </c>
      <c r="C311" t="s">
        <v>856</v>
      </c>
      <c r="D311" t="s">
        <v>873</v>
      </c>
      <c r="E311" t="s">
        <v>858</v>
      </c>
      <c r="F311" t="s">
        <v>874</v>
      </c>
      <c r="G311">
        <v>25</v>
      </c>
      <c r="H311">
        <v>25</v>
      </c>
      <c r="I311" t="s">
        <v>860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25">
      <c r="A312">
        <f t="shared" si="8"/>
        <v>311</v>
      </c>
      <c r="B312">
        <v>0</v>
      </c>
      <c r="C312" t="s">
        <v>856</v>
      </c>
      <c r="D312" t="s">
        <v>875</v>
      </c>
      <c r="E312" t="s">
        <v>858</v>
      </c>
      <c r="F312" t="s">
        <v>876</v>
      </c>
      <c r="G312">
        <v>5</v>
      </c>
      <c r="H312">
        <v>2.5</v>
      </c>
      <c r="I312" t="s">
        <v>860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25">
      <c r="A313">
        <f t="shared" si="8"/>
        <v>312</v>
      </c>
      <c r="B313">
        <v>0</v>
      </c>
      <c r="C313" t="s">
        <v>877</v>
      </c>
      <c r="D313" t="s">
        <v>878</v>
      </c>
      <c r="E313" s="3" t="s">
        <v>983</v>
      </c>
      <c r="F313" t="s">
        <v>879</v>
      </c>
      <c r="G313" s="3" t="s">
        <v>987</v>
      </c>
      <c r="H313">
        <v>3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25">
      <c r="A314">
        <f t="shared" si="8"/>
        <v>313</v>
      </c>
      <c r="B314">
        <v>0</v>
      </c>
      <c r="C314" t="s">
        <v>877</v>
      </c>
      <c r="D314" t="s">
        <v>880</v>
      </c>
      <c r="E314" t="s">
        <v>881</v>
      </c>
      <c r="F314" t="s">
        <v>882</v>
      </c>
      <c r="G314">
        <v>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25">
      <c r="A315">
        <f t="shared" si="8"/>
        <v>314</v>
      </c>
      <c r="B315">
        <v>0</v>
      </c>
      <c r="C315" t="s">
        <v>877</v>
      </c>
      <c r="D315" t="s">
        <v>883</v>
      </c>
      <c r="E315" t="s">
        <v>884</v>
      </c>
      <c r="F315" t="s">
        <v>885</v>
      </c>
      <c r="G315">
        <v>10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25">
      <c r="A316">
        <f t="shared" si="8"/>
        <v>315</v>
      </c>
      <c r="B316">
        <v>0</v>
      </c>
      <c r="C316" t="s">
        <v>877</v>
      </c>
      <c r="D316" t="s">
        <v>886</v>
      </c>
      <c r="E316" t="s">
        <v>887</v>
      </c>
      <c r="F316" t="s">
        <v>888</v>
      </c>
      <c r="G316">
        <v>10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25">
      <c r="A317">
        <f t="shared" si="8"/>
        <v>316</v>
      </c>
      <c r="B317">
        <v>0</v>
      </c>
      <c r="C317" t="s">
        <v>877</v>
      </c>
      <c r="D317" t="s">
        <v>889</v>
      </c>
      <c r="E317" t="s">
        <v>890</v>
      </c>
      <c r="F317" t="s">
        <v>891</v>
      </c>
      <c r="G317">
        <v>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25">
      <c r="A318">
        <f t="shared" si="8"/>
        <v>317</v>
      </c>
      <c r="B318">
        <v>0</v>
      </c>
      <c r="C318" t="s">
        <v>877</v>
      </c>
      <c r="D318" t="s">
        <v>892</v>
      </c>
      <c r="E318" t="s">
        <v>893</v>
      </c>
      <c r="F318" t="s">
        <v>894</v>
      </c>
      <c r="G318">
        <v>5</v>
      </c>
      <c r="H318">
        <v>10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25">
      <c r="A319">
        <f t="shared" si="8"/>
        <v>318</v>
      </c>
      <c r="B319">
        <v>0</v>
      </c>
      <c r="C319" t="s">
        <v>877</v>
      </c>
      <c r="D319" t="s">
        <v>895</v>
      </c>
      <c r="E319" t="s">
        <v>896</v>
      </c>
      <c r="F319" t="s">
        <v>897</v>
      </c>
      <c r="G319">
        <v>10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25">
      <c r="A320">
        <f t="shared" si="8"/>
        <v>319</v>
      </c>
      <c r="B320">
        <v>0</v>
      </c>
      <c r="C320" t="s">
        <v>877</v>
      </c>
      <c r="D320" t="s">
        <v>898</v>
      </c>
      <c r="E320" t="s">
        <v>899</v>
      </c>
      <c r="F320" t="s">
        <v>900</v>
      </c>
      <c r="G320">
        <v>20000</v>
      </c>
      <c r="H320">
        <v>10000</v>
      </c>
      <c r="I320">
        <v>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ht="15.75" x14ac:dyDescent="0.25">
      <c r="A321">
        <f t="shared" si="8"/>
        <v>320</v>
      </c>
      <c r="B321">
        <v>0</v>
      </c>
      <c r="C321" t="s">
        <v>877</v>
      </c>
      <c r="D321" t="s">
        <v>984</v>
      </c>
      <c r="E321" t="s">
        <v>985</v>
      </c>
      <c r="F321" s="5" t="s">
        <v>986</v>
      </c>
      <c r="G321">
        <v>0.35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25">
      <c r="A322">
        <f t="shared" si="8"/>
        <v>321</v>
      </c>
      <c r="B322">
        <v>0</v>
      </c>
      <c r="C322" t="s">
        <v>846</v>
      </c>
      <c r="D322" t="s">
        <v>847</v>
      </c>
      <c r="E322" t="s">
        <v>39</v>
      </c>
      <c r="F322" s="7" t="s">
        <v>1068</v>
      </c>
      <c r="G322">
        <v>1</v>
      </c>
      <c r="H322">
        <v>1</v>
      </c>
      <c r="I322">
        <v>1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25">
      <c r="A323">
        <f t="shared" si="8"/>
        <v>322</v>
      </c>
      <c r="B323">
        <v>0</v>
      </c>
      <c r="C323" t="s">
        <v>846</v>
      </c>
      <c r="D323" t="s">
        <v>848</v>
      </c>
      <c r="E323" t="s">
        <v>39</v>
      </c>
      <c r="F323" s="7" t="s">
        <v>1068</v>
      </c>
      <c r="G323">
        <v>1.35</v>
      </c>
      <c r="H323">
        <v>2</v>
      </c>
      <c r="I323">
        <v>2</v>
      </c>
      <c r="J323">
        <v>1</v>
      </c>
      <c r="K323">
        <v>1</v>
      </c>
      <c r="L323">
        <v>1.7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25">
      <c r="A324">
        <f t="shared" si="8"/>
        <v>323</v>
      </c>
      <c r="B324">
        <v>0</v>
      </c>
      <c r="C324" t="s">
        <v>846</v>
      </c>
      <c r="D324" t="s">
        <v>849</v>
      </c>
      <c r="E324" t="s">
        <v>39</v>
      </c>
      <c r="F324" s="7" t="s">
        <v>1068</v>
      </c>
      <c r="G324">
        <v>1.75</v>
      </c>
      <c r="H324">
        <v>2</v>
      </c>
      <c r="I324">
        <v>2</v>
      </c>
      <c r="J324">
        <v>1</v>
      </c>
      <c r="K324">
        <v>1</v>
      </c>
      <c r="L324">
        <v>2.8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25">
      <c r="A325">
        <f t="shared" ref="A325:A333" si="9">A324+1</f>
        <v>324</v>
      </c>
      <c r="B325">
        <v>0</v>
      </c>
      <c r="C325" t="s">
        <v>846</v>
      </c>
      <c r="D325" t="s">
        <v>850</v>
      </c>
      <c r="E325" t="s">
        <v>39</v>
      </c>
      <c r="F325" s="7" t="s">
        <v>1068</v>
      </c>
      <c r="G325">
        <v>2.2999999999999998</v>
      </c>
      <c r="H325">
        <v>3</v>
      </c>
      <c r="I325">
        <v>3</v>
      </c>
      <c r="J325">
        <v>1</v>
      </c>
      <c r="K325">
        <v>1</v>
      </c>
      <c r="L325">
        <v>4.5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25">
      <c r="A326">
        <f t="shared" si="9"/>
        <v>325</v>
      </c>
      <c r="B326">
        <v>0</v>
      </c>
      <c r="C326" t="s">
        <v>846</v>
      </c>
      <c r="D326" t="s">
        <v>851</v>
      </c>
      <c r="E326" t="s">
        <v>39</v>
      </c>
      <c r="F326" s="7" t="s">
        <v>1068</v>
      </c>
      <c r="G326">
        <v>3</v>
      </c>
      <c r="H326">
        <v>4</v>
      </c>
      <c r="I326">
        <v>4</v>
      </c>
      <c r="J326">
        <v>2</v>
      </c>
      <c r="K326">
        <v>2</v>
      </c>
      <c r="L326">
        <v>7.5</v>
      </c>
      <c r="M326">
        <v>2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25">
      <c r="A327">
        <f t="shared" si="9"/>
        <v>326</v>
      </c>
      <c r="B327">
        <v>0</v>
      </c>
      <c r="C327" t="s">
        <v>846</v>
      </c>
      <c r="D327" t="s">
        <v>852</v>
      </c>
      <c r="E327" t="s">
        <v>39</v>
      </c>
      <c r="F327" s="7" t="s">
        <v>1068</v>
      </c>
      <c r="G327">
        <v>4</v>
      </c>
      <c r="H327">
        <v>5</v>
      </c>
      <c r="I327">
        <v>5</v>
      </c>
      <c r="J327">
        <v>2</v>
      </c>
      <c r="K327">
        <v>2</v>
      </c>
      <c r="L327">
        <v>12</v>
      </c>
      <c r="M327">
        <v>2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25">
      <c r="A328">
        <f t="shared" si="9"/>
        <v>327</v>
      </c>
      <c r="B328">
        <v>0</v>
      </c>
      <c r="C328" t="s">
        <v>846</v>
      </c>
      <c r="D328" t="s">
        <v>853</v>
      </c>
      <c r="E328" t="s">
        <v>39</v>
      </c>
      <c r="F328" s="7" t="s">
        <v>1068</v>
      </c>
      <c r="G328">
        <v>5.2</v>
      </c>
      <c r="H328">
        <v>6</v>
      </c>
      <c r="I328">
        <v>6</v>
      </c>
      <c r="J328">
        <v>2</v>
      </c>
      <c r="K328">
        <v>2</v>
      </c>
      <c r="L328">
        <v>19</v>
      </c>
      <c r="M328">
        <v>2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25">
      <c r="A329">
        <f t="shared" si="9"/>
        <v>328</v>
      </c>
      <c r="B329">
        <v>0</v>
      </c>
      <c r="C329" t="s">
        <v>846</v>
      </c>
      <c r="D329" t="s">
        <v>854</v>
      </c>
      <c r="E329" t="s">
        <v>39</v>
      </c>
      <c r="F329" s="7" t="s">
        <v>1068</v>
      </c>
      <c r="G329">
        <v>6.8</v>
      </c>
      <c r="H329">
        <v>7</v>
      </c>
      <c r="I329">
        <v>7</v>
      </c>
      <c r="J329">
        <v>3</v>
      </c>
      <c r="K329">
        <v>3</v>
      </c>
      <c r="L329">
        <v>30</v>
      </c>
      <c r="M329">
        <v>3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25">
      <c r="A330">
        <f t="shared" si="9"/>
        <v>329</v>
      </c>
      <c r="B330">
        <v>0</v>
      </c>
      <c r="C330" t="s">
        <v>846</v>
      </c>
      <c r="D330" t="s">
        <v>855</v>
      </c>
      <c r="E330" t="s">
        <v>39</v>
      </c>
      <c r="F330" s="7" t="s">
        <v>1068</v>
      </c>
      <c r="G330">
        <v>10.199999999999999</v>
      </c>
      <c r="H330">
        <v>8</v>
      </c>
      <c r="I330">
        <v>8</v>
      </c>
      <c r="J330">
        <v>3</v>
      </c>
      <c r="K330">
        <v>3</v>
      </c>
      <c r="L330">
        <v>45</v>
      </c>
      <c r="M330">
        <v>3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25">
      <c r="A331">
        <f t="shared" si="9"/>
        <v>330</v>
      </c>
      <c r="B331">
        <v>0</v>
      </c>
      <c r="C331" t="s">
        <v>846</v>
      </c>
      <c r="D331" t="s">
        <v>901</v>
      </c>
      <c r="E331" t="s">
        <v>39</v>
      </c>
      <c r="F331" s="7" t="s">
        <v>1069</v>
      </c>
      <c r="G331">
        <v>15.3</v>
      </c>
      <c r="H331">
        <v>9</v>
      </c>
      <c r="I331">
        <v>9</v>
      </c>
      <c r="J331">
        <v>4</v>
      </c>
      <c r="K331">
        <v>3</v>
      </c>
      <c r="L331">
        <v>67.5</v>
      </c>
      <c r="M331">
        <v>4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25">
      <c r="A332">
        <f t="shared" si="9"/>
        <v>331</v>
      </c>
      <c r="B332">
        <v>0</v>
      </c>
      <c r="C332" t="s">
        <v>846</v>
      </c>
      <c r="D332" t="s">
        <v>902</v>
      </c>
      <c r="E332" t="s">
        <v>39</v>
      </c>
      <c r="F332" s="7" t="s">
        <v>1069</v>
      </c>
      <c r="G332">
        <v>22.95</v>
      </c>
      <c r="H332">
        <v>10</v>
      </c>
      <c r="I332">
        <v>10</v>
      </c>
      <c r="J332">
        <v>4</v>
      </c>
      <c r="K332">
        <v>3</v>
      </c>
      <c r="L332">
        <v>101.25</v>
      </c>
      <c r="M332">
        <v>4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25">
      <c r="A333">
        <f t="shared" si="9"/>
        <v>332</v>
      </c>
      <c r="B333">
        <v>0</v>
      </c>
      <c r="C333" t="s">
        <v>1061</v>
      </c>
      <c r="D333" t="s">
        <v>1062</v>
      </c>
      <c r="E333" t="s">
        <v>1063</v>
      </c>
      <c r="F333" t="s">
        <v>1064</v>
      </c>
      <c r="G333">
        <v>200</v>
      </c>
      <c r="H333" s="3" t="s">
        <v>1067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25">
      <c r="A334">
        <f t="shared" ref="A334:A352" si="10">A333+1</f>
        <v>333</v>
      </c>
      <c r="B334">
        <v>0</v>
      </c>
      <c r="C334" t="s">
        <v>1070</v>
      </c>
      <c r="D334" s="2" t="s">
        <v>1071</v>
      </c>
      <c r="E334" t="s">
        <v>1072</v>
      </c>
      <c r="F334" t="s">
        <v>1073</v>
      </c>
      <c r="G334" s="7" t="s">
        <v>1074</v>
      </c>
      <c r="H334" s="7" t="s">
        <v>1075</v>
      </c>
      <c r="I334" s="7" t="s">
        <v>1076</v>
      </c>
      <c r="J334" s="7" t="s">
        <v>1077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25">
      <c r="A335">
        <f t="shared" si="10"/>
        <v>334</v>
      </c>
      <c r="B335">
        <v>0</v>
      </c>
      <c r="C335" t="s">
        <v>1070</v>
      </c>
      <c r="D335" s="2" t="s">
        <v>1078</v>
      </c>
      <c r="E335" t="s">
        <v>1072</v>
      </c>
      <c r="F335" t="s">
        <v>1073</v>
      </c>
      <c r="G335" s="7" t="s">
        <v>1079</v>
      </c>
      <c r="H335" s="7" t="s">
        <v>1080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25">
      <c r="A336">
        <f t="shared" si="10"/>
        <v>335</v>
      </c>
      <c r="B336">
        <v>0</v>
      </c>
      <c r="C336" t="s">
        <v>1070</v>
      </c>
      <c r="D336" s="2" t="s">
        <v>1081</v>
      </c>
      <c r="E336" t="s">
        <v>1072</v>
      </c>
      <c r="F336" t="s">
        <v>1073</v>
      </c>
      <c r="G336" s="7" t="s">
        <v>1082</v>
      </c>
      <c r="H336" s="7" t="s">
        <v>1083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25">
      <c r="A337">
        <f t="shared" si="10"/>
        <v>336</v>
      </c>
      <c r="B337">
        <v>0</v>
      </c>
      <c r="C337" t="s">
        <v>1070</v>
      </c>
      <c r="D337" s="2" t="s">
        <v>1084</v>
      </c>
      <c r="E337" t="s">
        <v>1072</v>
      </c>
      <c r="F337" t="s">
        <v>1073</v>
      </c>
      <c r="G337" s="7" t="s">
        <v>1085</v>
      </c>
      <c r="H337" s="7" t="s">
        <v>1086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25">
      <c r="A338">
        <f t="shared" si="10"/>
        <v>337</v>
      </c>
      <c r="B338">
        <v>0</v>
      </c>
      <c r="C338" t="s">
        <v>1070</v>
      </c>
      <c r="D338" s="2" t="s">
        <v>1087</v>
      </c>
      <c r="E338" t="s">
        <v>1072</v>
      </c>
      <c r="F338" t="s">
        <v>1073</v>
      </c>
      <c r="G338" s="7" t="s">
        <v>1088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25">
      <c r="A339">
        <f t="shared" si="10"/>
        <v>338</v>
      </c>
      <c r="B339">
        <v>0</v>
      </c>
      <c r="C339" t="s">
        <v>1070</v>
      </c>
      <c r="D339" s="2" t="s">
        <v>1089</v>
      </c>
      <c r="E339" t="s">
        <v>1090</v>
      </c>
      <c r="F339" t="s">
        <v>1091</v>
      </c>
      <c r="G339" s="7" t="s">
        <v>1092</v>
      </c>
      <c r="H339" s="7" t="s">
        <v>1093</v>
      </c>
      <c r="I339" s="7" t="s">
        <v>1094</v>
      </c>
      <c r="J339" s="7" t="s">
        <v>1095</v>
      </c>
      <c r="K339" s="7" t="s">
        <v>1096</v>
      </c>
      <c r="L339" s="7" t="s">
        <v>1097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25">
      <c r="A340">
        <f t="shared" si="10"/>
        <v>339</v>
      </c>
      <c r="B340">
        <v>0</v>
      </c>
      <c r="C340" t="s">
        <v>1070</v>
      </c>
      <c r="D340" s="2" t="s">
        <v>1098</v>
      </c>
      <c r="E340" t="s">
        <v>1090</v>
      </c>
      <c r="F340" t="s">
        <v>1091</v>
      </c>
      <c r="G340" s="7" t="s">
        <v>1099</v>
      </c>
      <c r="H340" s="7" t="s">
        <v>1100</v>
      </c>
      <c r="I340" s="7" t="s">
        <v>1101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25">
      <c r="A341">
        <f t="shared" si="10"/>
        <v>340</v>
      </c>
      <c r="B341">
        <v>0</v>
      </c>
      <c r="C341" t="s">
        <v>1070</v>
      </c>
      <c r="D341" s="2" t="s">
        <v>1102</v>
      </c>
      <c r="E341" t="s">
        <v>1090</v>
      </c>
      <c r="F341" t="s">
        <v>1091</v>
      </c>
      <c r="G341" s="7" t="s">
        <v>1103</v>
      </c>
      <c r="H341" s="7" t="s">
        <v>1104</v>
      </c>
      <c r="I341" s="7" t="s">
        <v>1105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25">
      <c r="A342">
        <f t="shared" si="10"/>
        <v>341</v>
      </c>
      <c r="B342">
        <v>0</v>
      </c>
      <c r="C342" t="s">
        <v>1070</v>
      </c>
      <c r="D342" s="2" t="s">
        <v>1106</v>
      </c>
      <c r="E342" t="s">
        <v>1090</v>
      </c>
      <c r="F342" t="s">
        <v>1091</v>
      </c>
      <c r="G342" s="7" t="s">
        <v>1107</v>
      </c>
      <c r="H342" s="7" t="s">
        <v>1104</v>
      </c>
      <c r="I342" s="7" t="s">
        <v>1108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25">
      <c r="A343">
        <f t="shared" si="10"/>
        <v>342</v>
      </c>
      <c r="B343">
        <v>0</v>
      </c>
      <c r="C343" t="s">
        <v>1070</v>
      </c>
      <c r="D343" s="2" t="s">
        <v>1109</v>
      </c>
      <c r="E343" t="s">
        <v>1090</v>
      </c>
      <c r="F343" t="s">
        <v>1091</v>
      </c>
      <c r="G343" s="7" t="s">
        <v>1110</v>
      </c>
      <c r="H343" s="7" t="s">
        <v>1104</v>
      </c>
      <c r="I343" s="7" t="s">
        <v>1111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25">
      <c r="A344">
        <f t="shared" si="10"/>
        <v>343</v>
      </c>
      <c r="B344">
        <v>0</v>
      </c>
      <c r="C344" t="s">
        <v>1070</v>
      </c>
      <c r="D344" s="2" t="s">
        <v>1112</v>
      </c>
      <c r="E344" t="s">
        <v>1113</v>
      </c>
      <c r="F344" t="s">
        <v>1114</v>
      </c>
      <c r="G344" s="7" t="s">
        <v>1115</v>
      </c>
      <c r="H344" s="7" t="s">
        <v>1116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25">
      <c r="A345">
        <f t="shared" si="10"/>
        <v>344</v>
      </c>
      <c r="B345">
        <v>0</v>
      </c>
      <c r="C345" t="s">
        <v>1070</v>
      </c>
      <c r="D345" s="2" t="s">
        <v>1117</v>
      </c>
      <c r="E345" t="s">
        <v>1113</v>
      </c>
      <c r="F345" t="s">
        <v>1114</v>
      </c>
      <c r="G345" s="7" t="s">
        <v>1118</v>
      </c>
      <c r="H345" s="7" t="s">
        <v>1119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25">
      <c r="A346">
        <f t="shared" si="10"/>
        <v>345</v>
      </c>
      <c r="B346">
        <v>0</v>
      </c>
      <c r="C346" t="s">
        <v>1070</v>
      </c>
      <c r="D346" s="2" t="s">
        <v>1120</v>
      </c>
      <c r="E346" t="s">
        <v>1113</v>
      </c>
      <c r="F346" t="s">
        <v>1114</v>
      </c>
      <c r="G346" s="7" t="s">
        <v>1121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25">
      <c r="A347">
        <f t="shared" si="10"/>
        <v>346</v>
      </c>
      <c r="B347">
        <v>0</v>
      </c>
      <c r="C347" t="s">
        <v>1070</v>
      </c>
      <c r="D347" s="2" t="s">
        <v>1122</v>
      </c>
      <c r="E347" t="s">
        <v>1113</v>
      </c>
      <c r="F347" t="s">
        <v>1114</v>
      </c>
      <c r="G347" s="7" t="s">
        <v>1123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25">
      <c r="A348">
        <f t="shared" si="10"/>
        <v>347</v>
      </c>
      <c r="B348">
        <v>0</v>
      </c>
      <c r="C348" t="s">
        <v>1070</v>
      </c>
      <c r="D348" s="2" t="s">
        <v>1124</v>
      </c>
      <c r="E348" t="s">
        <v>1113</v>
      </c>
      <c r="F348" t="s">
        <v>1114</v>
      </c>
      <c r="G348" s="7" t="s">
        <v>1125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25">
      <c r="A349">
        <f t="shared" si="10"/>
        <v>348</v>
      </c>
      <c r="B349">
        <v>0</v>
      </c>
      <c r="C349" t="s">
        <v>1070</v>
      </c>
      <c r="D349" s="2" t="s">
        <v>1126</v>
      </c>
      <c r="E349" t="s">
        <v>1127</v>
      </c>
      <c r="F349" t="s">
        <v>1128</v>
      </c>
      <c r="G349" s="7" t="s">
        <v>1129</v>
      </c>
      <c r="H349" s="7" t="s">
        <v>1130</v>
      </c>
      <c r="I349" s="7" t="s">
        <v>1131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25">
      <c r="A350">
        <f t="shared" si="10"/>
        <v>349</v>
      </c>
      <c r="B350">
        <v>0</v>
      </c>
      <c r="C350" t="s">
        <v>1070</v>
      </c>
      <c r="D350" s="2" t="s">
        <v>1132</v>
      </c>
      <c r="E350" t="s">
        <v>1133</v>
      </c>
      <c r="F350" t="s">
        <v>1160</v>
      </c>
      <c r="G350" s="7" t="s">
        <v>1134</v>
      </c>
      <c r="H350" s="7" t="s">
        <v>1135</v>
      </c>
      <c r="I350" s="7" t="s">
        <v>1136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25">
      <c r="A351">
        <f t="shared" si="10"/>
        <v>350</v>
      </c>
      <c r="B351">
        <v>0</v>
      </c>
      <c r="C351" t="s">
        <v>1070</v>
      </c>
      <c r="D351" s="2" t="s">
        <v>1137</v>
      </c>
      <c r="E351" t="s">
        <v>1138</v>
      </c>
      <c r="F351" t="s">
        <v>1139</v>
      </c>
      <c r="G351">
        <v>1</v>
      </c>
      <c r="H351">
        <v>1</v>
      </c>
      <c r="I351">
        <v>1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25">
      <c r="A352">
        <f t="shared" si="10"/>
        <v>351</v>
      </c>
      <c r="B352">
        <v>0</v>
      </c>
      <c r="C352" t="s">
        <v>1070</v>
      </c>
      <c r="D352" s="2" t="s">
        <v>1140</v>
      </c>
      <c r="E352" t="s">
        <v>1141</v>
      </c>
      <c r="F352" t="s">
        <v>1159</v>
      </c>
      <c r="G352">
        <v>100</v>
      </c>
      <c r="H352">
        <v>100</v>
      </c>
      <c r="I352">
        <v>3.5</v>
      </c>
      <c r="J352">
        <v>48</v>
      </c>
      <c r="K352">
        <v>10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25">
      <c r="A353">
        <v>352</v>
      </c>
      <c r="B353">
        <v>0</v>
      </c>
      <c r="C353" t="s">
        <v>1144</v>
      </c>
      <c r="D353" s="2" t="s">
        <v>1145</v>
      </c>
      <c r="E353" t="s">
        <v>1146</v>
      </c>
      <c r="F353" t="s">
        <v>1147</v>
      </c>
      <c r="G353">
        <v>125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25">
      <c r="A354">
        <f>A353+1</f>
        <v>353</v>
      </c>
      <c r="B354">
        <v>0</v>
      </c>
      <c r="C354" t="s">
        <v>1070</v>
      </c>
      <c r="D354" s="2" t="s">
        <v>1148</v>
      </c>
      <c r="E354" t="s">
        <v>1149</v>
      </c>
      <c r="F354" t="s">
        <v>1150</v>
      </c>
      <c r="G354">
        <v>6</v>
      </c>
      <c r="H354">
        <v>20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25">
      <c r="A355">
        <f>A354+1</f>
        <v>354</v>
      </c>
      <c r="B355">
        <v>0</v>
      </c>
      <c r="C355" t="s">
        <v>1070</v>
      </c>
      <c r="D355" s="2" t="s">
        <v>1151</v>
      </c>
      <c r="E355" t="s">
        <v>1152</v>
      </c>
      <c r="F355" t="s">
        <v>1153</v>
      </c>
      <c r="G355">
        <v>8</v>
      </c>
      <c r="H355">
        <v>3</v>
      </c>
      <c r="I355">
        <v>4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x14ac:dyDescent="0.25">
      <c r="A356">
        <f>A355+1</f>
        <v>355</v>
      </c>
      <c r="B356">
        <v>0</v>
      </c>
      <c r="C356" t="s">
        <v>1070</v>
      </c>
      <c r="D356" s="2" t="s">
        <v>1154</v>
      </c>
      <c r="E356" t="s">
        <v>1155</v>
      </c>
      <c r="F356" t="s">
        <v>1156</v>
      </c>
      <c r="G356">
        <v>1.6</v>
      </c>
      <c r="H356">
        <v>2.2000000000000002</v>
      </c>
      <c r="I356">
        <v>3.4</v>
      </c>
      <c r="J356">
        <v>5</v>
      </c>
      <c r="K356">
        <v>7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25">
      <c r="A357">
        <f>A356+1</f>
        <v>356</v>
      </c>
      <c r="B357">
        <v>0</v>
      </c>
      <c r="C357" t="s">
        <v>1070</v>
      </c>
      <c r="D357" s="2" t="s">
        <v>1157</v>
      </c>
      <c r="E357" t="s">
        <v>1158</v>
      </c>
      <c r="F357" t="s">
        <v>1189</v>
      </c>
      <c r="G357">
        <v>4</v>
      </c>
      <c r="H357">
        <v>8</v>
      </c>
      <c r="I357">
        <v>1.6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</sheetData>
  <sortState xmlns:xlrd2="http://schemas.microsoft.com/office/spreadsheetml/2017/richdata2" ref="A2:R332">
    <sortCondition ref="C2:C332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game_parameters</vt:lpstr>
      <vt:lpstr>計算表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心情好 王任</cp:lastModifiedBy>
  <dcterms:modified xsi:type="dcterms:W3CDTF">2026-10-18T08:06:18Z</dcterms:modified>
</cp:coreProperties>
</file>
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AEB2AAA8-A714-4F5D-8FB7-AB68CD24119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8" i="1" l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<sst xmlns="http://schemas.openxmlformats.org/spreadsheetml/2006/main" count="1754" uniqueCount="1009">
  <si>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</si>
  <si>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</si>
  <si>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</si>
  <si>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</si>
  <si>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</si>
  <si>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</si>
  <si>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</si>
  <si>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</si>
  <si>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</si>
  <si>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</si>
  <si>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</si>
  <si>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</si>
  <si>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</si>
  <si>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</si>
  <si>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</si>
  <si>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</si>
  <si>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</si>
  <si>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</si>
  <si>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</si>
  <si>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</si>
  <si>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</si>
  <si>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</si>
  <si>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</si>
  <si>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</si>
  <si>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</si>
  <si>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</si>
  <si>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</si>
  <si>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</si>
  <si>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</si>
  <si>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</si>
  <si>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</si>
  <si>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</si>
  <si>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</si>
  <si>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</si>
  <si>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</si>
  <si>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</si>
  <si>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</si>
  <si>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</si>
  <si>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</si>
  <si>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</si>
  <si>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</si>
  <si>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</si>
  <si>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</si>
  <si>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</si>
  <si>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</si>
  <si>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</si>
  <si>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</si>
  <si>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</si>
  <si>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</si>
  <si>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</si>
  <si>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</si>
  <si>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</si>
  <si>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</si>
  <si>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</si>
  <si>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</si>
  <si>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</si>
  <si>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</si>
  <si>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</si>
  <si>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</si>
  <si>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</si>
  <si>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</si>
  <si>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</si>
  <si>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</si>
  <si>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</si>
  <si>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</si>
  <si>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</si>
  <si>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</si>
  <si>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</si>
  <si>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</si>
  <si>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</si>
  <si>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</si>
  <si>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</si>
  <si>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</si>
  <si>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</si>
  <si>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</si>
  <si>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</si>
  <si>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</si>
  <si>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</si>
  <si>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</si>
  <si>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</si>
  <si>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</si>
  <si>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</si>
  <si>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</si>
  <si>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</si>
  <si>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</si>
  <si>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</si>
  <si>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</si>
  <si>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</si>
  <si>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</si>
  <si>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</si>
  <si>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</si>
  <si>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</si>
  <si>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</si>
  <si>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</si>
  <si>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</si>
  <si>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</si>
  <si>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</si>
  <si>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</si>
  <si>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</si>
  <si>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</si>
  <si>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</si>
  <si>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</si>
  <si>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</si>
  <si>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</si>
  <si>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</si>
  <si>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</si>
  <si>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</si>
  <si>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</si>
  <si>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</si>
  <si>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</si>
  <si>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</si>
  <si>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</si>
  <si>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</si>
  <si>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</si>
  <si>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</si>
  <si>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</si>
  <si>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</si>
  <si>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</si>
  <si>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</si>
  <si>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</si>
  <si>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</si>
  <si>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</si>
  <si>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</si>
  <si>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</si>
  <si>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</si>
  <si>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</si>
  <si>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</si>
  <si>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</si>
  <si>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</si>
  <si>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</si>
  <si>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</si>
  <si>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</si>
  <si>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</si>
  <si>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</si>
  <si>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</si>
  <si>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</si>
  <si>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</si>
  <si>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</si>
  <si>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</si>
  <si>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</si>
  <si>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</si>
  <si>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</si>
  <si>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</si>
  <si>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</si>
  <si>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</si>
  <si>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</si>
  <si>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</si>
  <si>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</si>
  <si>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</si>
  <si>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</si>
  <si>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</si>
  <si>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</si>
  <si>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</si>
  <si>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</si>
  <si>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</si>
  <si>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</si>
  <si>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</si>
  <si>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</si>
  <si>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</si>
  <si>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</si>
  <si>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</si>
  <si>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</si>
  <si>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</si>
  <si>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</si>
  <si>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</si>
  <si>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</si>
  <si>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</si>
  <si>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</si>
  <si>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</si>
  <si>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</si>
  <si>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</si>
  <si>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</si>
  <si>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</si>
  <si>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</si>
  <si>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</si>
  <si>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</si>
  <si>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</si>
  <si>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</si>
  <si>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</si>
  <si>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</si>
  <si>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</si>
  <si>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</si>
  <si>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</si>
  <si>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</si>
  <si>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</si>
  <si>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</si>
  <si>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</si>
  <si>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</si>
  <si>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</si>
  <si>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</si>
  <si>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</si>
  <si>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</si>
  <si>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</si>
  <si>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</si>
  <si>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</si>
  <si>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</si>
  <si>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</si>
  <si>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</si>
  <si>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</si>
  <si>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</si>
  <si>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</si>
  <si>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</si>
  <si>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</si>
  <si>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</si>
  <si>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</si>
  <si>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</si>
  <si>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</si>
  <si>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</si>
  <si>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</si>
  <si>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</si>
  <si>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</si>
  <si>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</si>
  <si>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</si>
  <si>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</si>
  <si>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</si>
  <si>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</si>
  <si>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</si>
  <si>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</si>
  <si>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</si>
  <si>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</si>
  <si>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</si>
  <si>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</si>
  <si>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</si>
  <si>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</si>
  <si>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</si>
  <si>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</si>
  <si>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</si>
  <si>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</si>
  <si>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</si>
  <si>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</si>
  <si>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</si>
  <si>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</si>
  <si>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</si>
  <si>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</si>
  <si>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</si>
  <si>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</si>
  <si>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</si>
  <si>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</si>
  <si>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</si>
  <si>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</si>
  <si>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</si>
  <si>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</si>
  <si>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</si>
  <si>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</si>
  <si>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</si>
  <si>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</si>
  <si>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</si>
  <si>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</si>
  <si>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</si>
  <si>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</si>
  <si>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</si>
  <si>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</si>
  <si>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</si>
  <si>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</si>
  <si>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</si>
  <si>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</si>
  <si>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</si>
  <si>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</si>
  <si>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</si>
  <si>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</si>
  <si>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</si>
  <si>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</si>
  <si>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</si>
  <si>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</si>
  <si>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</si>
  <si>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</si>
  <si>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</si>
  <si>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</si>
  <si>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</si>
  <si>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</si>
  <si>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</si>
  <si>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</si>
  <si>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</si>
  <si>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</si>
  <si>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</si>
  <si>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</si>
  <si>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</si>
  <si>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</si>
  <si>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</si>
  <si>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</si>
  <si>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</si>
  <si>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</si>
  <si>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</si>
  <si>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</si>
  <si>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</si>
  <si>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</si>
  <si>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</si>
  <si>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</si>
  <si>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</si>
  <si>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</si>
  <si>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</si>
  <si>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</si>
  <si>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</si>
  <si>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數量權重(草原1~20關)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</si>
  <si>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</si>
  <si>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</si>
  <si>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</si>
  <si>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</si>
  <si>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小怪 數量權重(草原21~40關)</t>
  </si>
  <si>
    <t>{1~2,90}</t>
  </si>
  <si>
    <t>{3,10}</t>
  </si>
  <si>
    <t>小怪 數量權重(草原41~60關)</t>
  </si>
  <si>
    <t>{1~2,85}</t>
  </si>
  <si>
    <t>{3,14}</t>
  </si>
  <si>
    <t>{4,1}</t>
  </si>
  <si>
    <t>小怪 數量權重(草原61~80關)</t>
  </si>
  <si>
    <t>{1~3,80}</t>
  </si>
  <si>
    <t>{4,12}</t>
  </si>
  <si>
    <t>{5,6}</t>
  </si>
  <si>
    <t>{6,2}</t>
  </si>
  <si>
    <t>小怪 數量權重(草原81~100關)</t>
  </si>
  <si>
    <t>{1~3,64}</t>
  </si>
  <si>
    <t>{4,20}</t>
  </si>
  <si>
    <t>{5,10}</t>
  </si>
  <si>
    <t>{6,5}</t>
  </si>
  <si>
    <t>{7~8,1}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</si>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</sst>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8"/>
  <sheetViews>
    <sheetView tabSelected="1" topLeftCell="A58" workbookViewId="0">
      <selection activeCell="F82" sqref="F82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{1~2,90}</v>
      </c>
      <c r="H105" t="str">
        <f>計算表!H105</f>
        <v>{3,10}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{1~2,85}</v>
      </c>
      <c r="H106" t="str">
        <f>計算表!H106</f>
        <v>{3,14}</v>
      </c>
      <c r="I106" t="str">
        <f>計算表!I106</f>
        <v>{4,1}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{7~8,1}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{5,20}</v>
      </c>
      <c r="J109" t="str">
        <f>計算表!J109</f>
        <v>{6,20}</v>
      </c>
      <c r="K109" t="str">
        <f>計算表!K109</f>
        <v>{7~9,8}</v>
      </c>
      <c r="L109" t="str">
        <f>計算表!L109</f>
        <v>{10~11,3}</v>
      </c>
      <c r="M109" t="str">
        <f>計算表!M109</f>
        <v>{12,2}</v>
      </c>
      <c r="N109" t="str">
        <f>計算表!N109</f>
        <v>{13,1}</v>
      </c>
      <c r="O109" t="str">
        <f>計算表!O109</f>
        <v>{14,0.5}</v>
      </c>
      <c r="P109" t="str">
        <f>計算表!P109</f>
        <v>{15,0.3}</v>
      </c>
      <c r="Q109" t="str">
        <f>計算表!Q109</f>
        <v>{16,0.2}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8</v>
      </c>
      <c r="H129">
        <f>計算表!H129</f>
        <v>10000000</v>
      </c>
      <c r="I129">
        <f>計算表!I129</f>
        <v>20</v>
      </c>
      <c r="J129">
        <f>計算表!J129</f>
        <v>8</v>
      </c>
      <c r="K129">
        <f>計算表!K129</f>
        <v>10000000</v>
      </c>
      <c r="L129">
        <f>計算表!L129</f>
        <v>20</v>
      </c>
      <c r="M129">
        <f>計算表!M129</f>
        <v>8</v>
      </c>
      <c r="N129">
        <f>計算表!N129</f>
        <v>10000000</v>
      </c>
      <c r="O129">
        <f>計算表!O129</f>
        <v>20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170</v>
      </c>
      <c r="B151">
        <f>計算表!B151</f>
        <v>0</v>
      </c>
      <c r="C151" t="str">
        <f>計算表!C151</f>
        <v>5-太古詞條</v>
      </c>
      <c r="D151" t="str">
        <f>計算表!D151</f>
        <v>高塔太古精華機率</v>
      </c>
      <c r="E151" t="str">
        <f>計算表!E151</f>
        <v>min(a%, b% + (樓層-c)×d%)</v>
      </c>
      <c r="F151" t="str">
        <f>計算表!F151</f>
        <v>以樓層計算；每場獨立判定 1 顆。</v>
      </c>
      <c r="G151">
        <f>計算表!G151</f>
        <v>100</v>
      </c>
      <c r="H151">
        <f>計算表!H151</f>
        <v>10</v>
      </c>
      <c r="I151">
        <f>計算表!I151</f>
        <v>40</v>
      </c>
      <c r="J151">
        <f>計算表!J151</f>
        <v>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171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太古詞條產生率(2詞條)</v>
      </c>
      <c r="E152" t="str">
        <f>計算表!E152</f>
        <v>權重擲骰：a~c = 0~2條太古的權重%</v>
      </c>
      <c r="F152" t="str">
        <f>計算表!F152</f>
        <v>裝備產出時依詞條數量決定太古條數與隨機位置（位置永久固定，洗煉不變）。a=0條 b=1條 c=2條。</v>
      </c>
      <c r="G152">
        <f>計算表!G152</f>
        <v>92</v>
      </c>
      <c r="H152">
        <f>計算表!H152</f>
        <v>7.5</v>
      </c>
      <c r="I152">
        <f>計算表!I152</f>
        <v>0.5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172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太古詞條產生率(3詞條)</v>
      </c>
      <c r="E153" t="str">
        <f>計算表!E153</f>
        <v>權重擲骰：a~d = 0~3條太古的權重%</v>
      </c>
      <c r="F153" t="str">
        <f>計算表!F153</f>
        <v>裝備產出時依詞條數量決定太古條數與隨機位置（位置永久固定，洗煉不變）。a=0條 b=1條 c=2條 d=3條。</v>
      </c>
      <c r="G153">
        <f>計算表!G153</f>
        <v>78.100000000000009</v>
      </c>
      <c r="H153">
        <f>計算表!H153</f>
        <v>19.2</v>
      </c>
      <c r="I153">
        <f>計算表!I153</f>
        <v>2.4</v>
      </c>
      <c r="J153">
        <f>計算表!J153</f>
        <v>0.3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173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太古詞條產生率(4詞條)</v>
      </c>
      <c r="E154" t="str">
        <f>計算表!E154</f>
        <v>權重擲骰：a~e = 0~4條太古的權重%</v>
      </c>
      <c r="F154" t="str">
        <f>計算表!F154</f>
        <v>裝備產出時依詞條數量決定太古條數與隨機位置（位置永久固定，洗煉不變）。a=0條 b=1條 c=2條 d=3條 e=4條。</v>
      </c>
      <c r="G154">
        <f>計算表!G154</f>
        <v>72.113600000000005</v>
      </c>
      <c r="H154">
        <f>計算表!H154</f>
        <v>22.118399999999998</v>
      </c>
      <c r="I154">
        <f>計算表!I154</f>
        <v>4.6079999999999997</v>
      </c>
      <c r="J154">
        <f>計算表!J154</f>
        <v>0.96</v>
      </c>
      <c r="K154">
        <f>計算表!K154</f>
        <v>0.2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174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太古詞條產生率(5詞條)</v>
      </c>
      <c r="E155" t="str">
        <f>計算表!E155</f>
        <v>權重擲骰：a~f = 0~5條太古的權重%</v>
      </c>
      <c r="F155" t="str">
        <f>計算表!F155</f>
        <v>裝備產出時依詞條數量決定太古條數與隨機位置（位置永久固定，洗煉不變）。a=0條 b=1條 c=2條 d=3條 e=4條 f=5條。</v>
      </c>
      <c r="G155">
        <f>計算表!G155</f>
        <v>53.837361999999999</v>
      </c>
      <c r="H155">
        <f>計算表!H155</f>
        <v>33.734898000000001</v>
      </c>
      <c r="I155">
        <f>計算表!I155</f>
        <v>9.11754</v>
      </c>
      <c r="J155">
        <f>計算表!J155</f>
        <v>2.4641999999999999</v>
      </c>
      <c r="K155">
        <f>計算表!K155</f>
        <v>0.66600000000000004</v>
      </c>
      <c r="L155">
        <f>計算表!L155</f>
        <v>0.18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175</v>
      </c>
      <c r="B156">
        <f>計算表!B156</f>
        <v>0</v>
      </c>
      <c r="C156" t="str">
        <f>計算表!C156</f>
        <v>5-太古詞條</v>
      </c>
      <c r="D156" t="str">
        <f>計算表!D156</f>
        <v>太古詞條產生率(6詞條)</v>
      </c>
      <c r="E156" t="str">
        <f>計算表!E156</f>
        <v>權重擲骰：a~g = 0~6條太古的權重%</v>
      </c>
      <c r="F156" t="str">
        <f>計算表!F156</f>
        <v>裝備產出時依詞條數量決定太古條數與隨機位置（位置永久固定，洗煉不變）。a=0條 b=1條 c=2條 d=3條 e=4條 f=5條 g=6條。</v>
      </c>
      <c r="G156">
        <f>計算表!G156</f>
        <v>49.993825599999994</v>
      </c>
      <c r="H156">
        <f>計算表!H156</f>
        <v>32.817838399999999</v>
      </c>
      <c r="I156">
        <f>計算表!I156</f>
        <v>11.316495999999999</v>
      </c>
      <c r="J156">
        <f>計算表!J156</f>
        <v>3.9022399999999999</v>
      </c>
      <c r="K156">
        <f>計算表!K156</f>
        <v>1.3455999999999999</v>
      </c>
      <c r="L156">
        <f>計算表!L156</f>
        <v>0.46400000000000002</v>
      </c>
      <c r="M156">
        <f>計算表!M156</f>
        <v>0.16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176</v>
      </c>
      <c r="B157">
        <f>計算表!B157</f>
        <v>0</v>
      </c>
      <c r="C157" t="str">
        <f>計算表!C157</f>
        <v>5-太古詞條</v>
      </c>
      <c r="D157" t="str">
        <f>計算表!D157</f>
        <v>太古詞條產生率(7詞條)</v>
      </c>
      <c r="E157" t="str">
        <f>計算表!E157</f>
        <v>權重擲骰：a~h = 0~7條太古的權重%</v>
      </c>
      <c r="F157" t="str">
        <f>計算表!F157</f>
        <v>裝備產出時依詞條數量決定太古條數與隨機位置（位置永久固定，洗煉不變）。a=0條 b=1條 c=2條 d=3條 e=4條 f=5條 g=6條 h=7條。</v>
      </c>
      <c r="G157">
        <f>計算表!G157</f>
        <v>36.76497232906253</v>
      </c>
      <c r="H157">
        <f>計算表!H157</f>
        <v>38.491879564687487</v>
      </c>
      <c r="I157">
        <f>計算表!I157</f>
        <v>15.094854731249995</v>
      </c>
      <c r="J157">
        <f>計算表!J157</f>
        <v>5.9195508749999988</v>
      </c>
      <c r="K157">
        <f>計算表!K157</f>
        <v>2.3213924999999995</v>
      </c>
      <c r="L157">
        <f>計算表!L157</f>
        <v>0.91034999999999988</v>
      </c>
      <c r="M157">
        <f>計算表!M157</f>
        <v>0.35699999999999998</v>
      </c>
      <c r="N157">
        <f>計算表!N157</f>
        <v>0.13999999999999999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177</v>
      </c>
      <c r="B158">
        <f>計算表!B158</f>
        <v>0</v>
      </c>
      <c r="C158" t="str">
        <f>計算表!C158</f>
        <v>5-太古詞條</v>
      </c>
      <c r="D158" t="str">
        <f>計算表!D158</f>
        <v>太古詞條產生率(8詞條)</v>
      </c>
      <c r="E158" t="str">
        <f>計算表!E158</f>
        <v>權重擲骰：a~i = 0~8條太古的權重%</v>
      </c>
      <c r="F158" t="str">
        <f>計算表!F158</f>
        <v>裝備產出時依詞條數量決定太古條數與隨機位置（位置永久固定，洗煉不變）。a=0條 b=1條 c=2條 d=3條 e=4條 f=5條 g=6條 h=7條 i=8條。</v>
      </c>
      <c r="G158">
        <f>計算表!G158</f>
        <v>31.631675870386633</v>
      </c>
      <c r="H158">
        <f>計算表!H158</f>
        <v>38.434848634168908</v>
      </c>
      <c r="I158">
        <f>計算表!I158</f>
        <v>16.857389751828471</v>
      </c>
      <c r="J158">
        <f>計算表!J158</f>
        <v>7.3935919964159975</v>
      </c>
      <c r="K158">
        <f>計算表!K158</f>
        <v>3.2428035071999992</v>
      </c>
      <c r="L158">
        <f>計算表!L158</f>
        <v>1.4222822399999997</v>
      </c>
      <c r="M158">
        <f>計算表!M158</f>
        <v>0.62380799999999992</v>
      </c>
      <c r="N158">
        <f>計算表!N158</f>
        <v>0.27359999999999995</v>
      </c>
      <c r="O158">
        <f>計算表!O158</f>
        <v>0.12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178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太古詞條產生率(9詞條)</v>
      </c>
      <c r="E159" t="str">
        <f>計算表!E159</f>
        <v>權重擲骰：a~j = 0~9條太古的權重%</v>
      </c>
      <c r="F159" t="str">
        <f>計算表!F159</f>
        <v>裝備產出時依詞條數量決定太古條數與隨機位置（位置永久固定，洗煉不變）。a=0條 b=1條 c=2條 d=3條 e=4條 f=5條 g=6條 h=7條 i=8條 j=9條。</v>
      </c>
      <c r="G159">
        <f>計算表!G159</f>
        <v>25.407543428799851</v>
      </c>
      <c r="H159">
        <f>計算表!H159</f>
        <v>39.287974783901511</v>
      </c>
      <c r="I159">
        <f>計算表!I159</f>
        <v>18.619893262512562</v>
      </c>
      <c r="J159">
        <f>計算表!J159</f>
        <v>8.8245939632760972</v>
      </c>
      <c r="K159">
        <f>計算表!K159</f>
        <v>4.1822720205099984</v>
      </c>
      <c r="L159">
        <f>計算表!L159</f>
        <v>1.9821194409999996</v>
      </c>
      <c r="M159">
        <f>計算表!M159</f>
        <v>0.93939309999999998</v>
      </c>
      <c r="N159">
        <f>計算表!N159</f>
        <v>0.44520999999999994</v>
      </c>
      <c r="O159">
        <f>計算表!O159</f>
        <v>0.21099999999999999</v>
      </c>
      <c r="P159">
        <f>計算表!P159</f>
        <v>0.1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179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太古詞條產生率(10詞條)</v>
      </c>
      <c r="E160" t="str">
        <f>計算表!E160</f>
        <v>權重擲骰：a~k = 0~10條太古的權重%</v>
      </c>
      <c r="F160" t="str">
        <f>計算表!F160</f>
        <v>裝備產出時依詞條數量決定太古條數與隨機位置（位置永久固定，洗煉不變）。a=0條 b=1條 c=2條 d=3條 e=4條 f=5條 g=6條 h=7條 i=8條 j=9條 k=10條。</v>
      </c>
      <c r="G160">
        <f>計算表!G160</f>
        <v>18.159999999999986</v>
      </c>
      <c r="H160">
        <f>計算表!H160</f>
        <v>40.96</v>
      </c>
      <c r="I160">
        <f>計算表!I160</f>
        <v>20.48</v>
      </c>
      <c r="J160">
        <f>計算表!J160</f>
        <v>10.24</v>
      </c>
      <c r="K160">
        <f>計算表!K160</f>
        <v>5.12</v>
      </c>
      <c r="L160">
        <f>計算表!L160</f>
        <v>2.56</v>
      </c>
      <c r="M160">
        <f>計算表!M160</f>
        <v>1.28</v>
      </c>
      <c r="N160">
        <f>計算表!N160</f>
        <v>0.64</v>
      </c>
      <c r="O160">
        <f>計算表!O160</f>
        <v>0.32</v>
      </c>
      <c r="P160">
        <f>計算表!P160</f>
        <v>0.16</v>
      </c>
      <c r="Q160">
        <f>計算表!Q160</f>
        <v>0.08</v>
      </c>
      <c r="R160">
        <f>計算表!R160</f>
        <v>0</v>
      </c>
    </row>
    <row r="161" spans="1:18" x14ac:dyDescent="0.25">
      <c r="A161">
        <f>計算表!A161</f>
        <v>180</v>
      </c>
      <c r="B161">
        <f>計算表!B161</f>
        <v>0</v>
      </c>
      <c r="C161" t="str">
        <f>計算表!C161</f>
        <v>5-太古詞條</v>
      </c>
      <c r="D161" t="str">
        <f>計算表!D161</f>
        <v>太古詞條數值倍率</v>
      </c>
      <c r="E161" t="str">
        <f>計算表!E161</f>
        <v>原詞條上限 × a</v>
      </c>
      <c r="F161" t="str">
        <f>計算表!F161</f>
        <v>a=太古詞條強度倍率（上限已含×1.2，再×a）。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181</v>
      </c>
      <c r="B162">
        <f>計算表!B162</f>
        <v>0</v>
      </c>
      <c r="C162" t="str">
        <f>計算表!C162</f>
        <v>5-太古詞條</v>
      </c>
      <c r="D162" t="str">
        <f>計算表!D162</f>
        <v>太古幸運權重倍率</v>
      </c>
      <c r="E162" t="str">
        <f>計算表!E162</f>
        <v>m = a × 幸運值總合 / (幸運值總合 + 太古幸運權重分母)</v>
      </c>
      <c r="F162" t="str">
        <f>計算表!F162</f>
        <v>a=幸運值影響倍率；m 用於提高太古詞條數的高條數權重。</v>
      </c>
      <c r="G162">
        <f>計算表!G162</f>
        <v>0.5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182</v>
      </c>
      <c r="B163">
        <f>計算表!B163</f>
        <v>0</v>
      </c>
      <c r="C163" t="str">
        <f>計算表!C163</f>
        <v>5-太古詞條</v>
      </c>
      <c r="D163" t="str">
        <f>計算表!D163</f>
        <v>太古幸運權重分母</v>
      </c>
      <c r="E163" t="str">
        <f>計算表!E163</f>
        <v>m = 太古幸運權重倍率 × 幸運值總合 / (幸運值總合 + a)</v>
      </c>
      <c r="F163" t="str">
        <f>計算表!F163</f>
        <v>a=幸運值飽和分母；幸運值越高，m 越接近太古幸運權重倍率。</v>
      </c>
      <c r="G163">
        <f>計算表!G163</f>
        <v>4000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183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184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185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186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187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188</v>
      </c>
      <c r="B169">
        <f>計算表!B169</f>
        <v>0</v>
      </c>
      <c r="C169" t="str">
        <f>計算表!C169</f>
        <v>5-高塔裝備掉落</v>
      </c>
      <c r="D169" t="str">
        <f>計算表!D169</f>
        <v>普通裝備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{1~10=0}</v>
      </c>
      <c r="H169" t="str">
        <f>計算表!H169</f>
        <v>{11~20=0}</v>
      </c>
      <c r="I169" t="str">
        <f>計算表!I169</f>
        <v>{21~30=0}</v>
      </c>
      <c r="J169" t="str">
        <f>計算表!J169</f>
        <v>{31~40=0}</v>
      </c>
      <c r="K169" t="str">
        <f>計算表!K169</f>
        <v>{41~50=0}</v>
      </c>
      <c r="L169" t="str">
        <f>計算表!L169</f>
        <v>{51~75=0}</v>
      </c>
      <c r="M169" t="str">
        <f>計算表!M169</f>
        <v>{76+=0}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189</v>
      </c>
      <c r="B170">
        <f>計算表!B170</f>
        <v>0</v>
      </c>
      <c r="C170" t="str">
        <f>計算表!C170</f>
        <v>5-高塔裝備掉落</v>
      </c>
      <c r="D170" t="str">
        <f>計算表!D170</f>
        <v>精良裝備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{1~10=0}</v>
      </c>
      <c r="H170" t="str">
        <f>計算表!H170</f>
        <v>{11~20=0}</v>
      </c>
      <c r="I170" t="str">
        <f>計算表!I170</f>
        <v>{21~30=0}</v>
      </c>
      <c r="J170" t="str">
        <f>計算表!J170</f>
        <v>{31~40=0}</v>
      </c>
      <c r="K170" t="str">
        <f>計算表!K170</f>
        <v>{41~50=0}</v>
      </c>
      <c r="L170" t="str">
        <f>計算表!L170</f>
        <v>{51~75=0}</v>
      </c>
      <c r="M170" t="str">
        <f>計算表!M170</f>
        <v>{76+=0}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190</v>
      </c>
      <c r="B171">
        <f>計算表!B171</f>
        <v>0</v>
      </c>
      <c r="C171" t="str">
        <f>計算表!C171</f>
        <v>5-高塔裝備掉落</v>
      </c>
      <c r="D171" t="str">
        <f>計算表!D171</f>
        <v>稀有裝備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{1~10=100}</v>
      </c>
      <c r="H171" t="str">
        <f>計算表!H171</f>
        <v>{11~20=100}</v>
      </c>
      <c r="I171" t="str">
        <f>計算表!I171</f>
        <v>{21~30=0}</v>
      </c>
      <c r="J171" t="str">
        <f>計算表!J171</f>
        <v>{31~40=0}</v>
      </c>
      <c r="K171" t="str">
        <f>計算表!K171</f>
        <v>{41~50=0}</v>
      </c>
      <c r="L171" t="str">
        <f>計算表!L171</f>
        <v>{51~75=0}</v>
      </c>
      <c r="M171" t="str">
        <f>計算表!M171</f>
        <v>{76+=0}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191</v>
      </c>
      <c r="B172">
        <f>計算表!B172</f>
        <v>0</v>
      </c>
      <c r="C172" t="str">
        <f>計算表!C172</f>
        <v>5-高塔裝備掉落</v>
      </c>
      <c r="D172" t="str">
        <f>計算表!D172</f>
        <v>獨特裝備</v>
      </c>
      <c r="E172" t="str">
        <f>計算表!E172</f>
        <v>各樓層區間掉落率%（{樓層下限~上限=機率}）</v>
      </c>
      <c r="F172" t="str">
        <f>計算表!F172</f>
        <v>每品質獨立擲骰，&gt;100% 依必掉+餘數規則；實際機率 ×(1+有效掉寶率%)。</v>
      </c>
      <c r="G172" t="str">
        <f>計算表!G172</f>
        <v>{1~10=50}</v>
      </c>
      <c r="H172" t="str">
        <f>計算表!H172</f>
        <v>{11~20=100}</v>
      </c>
      <c r="I172" t="str">
        <f>計算表!I172</f>
        <v>{21~30=100}</v>
      </c>
      <c r="J172" t="str">
        <f>計算表!J172</f>
        <v>{31~40=150}</v>
      </c>
      <c r="K172" t="str">
        <f>計算表!K172</f>
        <v>{41~50=0}</v>
      </c>
      <c r="L172" t="str">
        <f>計算表!L172</f>
        <v>{51~75=0}</v>
      </c>
      <c r="M172" t="str">
        <f>計算表!M172</f>
        <v>{76+=0}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192</v>
      </c>
      <c r="B173">
        <f>計算表!B173</f>
        <v>0</v>
      </c>
      <c r="C173" t="str">
        <f>計算表!C173</f>
        <v>5-高塔裝備掉落</v>
      </c>
      <c r="D173" t="str">
        <f>計算表!D173</f>
        <v>史詩裝備</v>
      </c>
      <c r="E173" t="str">
        <f>計算表!E173</f>
        <v>各樓層區間掉落率%（{樓層下限~上限=機率}）</v>
      </c>
      <c r="F173" t="str">
        <f>計算表!F173</f>
        <v>每品質獨立擲骰，&gt;100% 依必掉+餘數規則；實際機率 ×(1+有效掉寶率%)。</v>
      </c>
      <c r="G173" t="str">
        <f>計算表!G173</f>
        <v>{1~10=10}</v>
      </c>
      <c r="H173" t="str">
        <f>計算表!H173</f>
        <v>{11~20=20}</v>
      </c>
      <c r="I173" t="str">
        <f>計算表!I173</f>
        <v>{21~30=100}</v>
      </c>
      <c r="J173" t="str">
        <f>計算表!J173</f>
        <v>{31~40=150}</v>
      </c>
      <c r="K173" t="str">
        <f>計算表!K173</f>
        <v>{41~50=200}</v>
      </c>
      <c r="L173" t="str">
        <f>計算表!L173</f>
        <v>{51~75=350}</v>
      </c>
      <c r="M173" t="str">
        <f>計算表!M173</f>
        <v>{76+=400}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193</v>
      </c>
      <c r="B174">
        <f>計算表!B174</f>
        <v>0</v>
      </c>
      <c r="C174" t="str">
        <f>計算表!C174</f>
        <v>5-高塔裝備掉落</v>
      </c>
      <c r="D174" t="str">
        <f>計算表!D174</f>
        <v>傳說裝備</v>
      </c>
      <c r="E174" t="str">
        <f>計算表!E174</f>
        <v>各樓層區間掉落率%（{樓層下限~上限=機率}）</v>
      </c>
      <c r="F174" t="str">
        <f>計算表!F174</f>
        <v>每品質獨立擲骰，&gt;100% 依必掉+餘數規則；實際機率 ×(1+有效掉寶率%)。</v>
      </c>
      <c r="G174" t="str">
        <f>計算表!G174</f>
        <v>{1~10=5}</v>
      </c>
      <c r="H174" t="str">
        <f>計算表!H174</f>
        <v>{11~20=10}</v>
      </c>
      <c r="I174" t="str">
        <f>計算表!I174</f>
        <v>{21~30=50}</v>
      </c>
      <c r="J174" t="str">
        <f>計算表!J174</f>
        <v>{31~40=100}</v>
      </c>
      <c r="K174" t="str">
        <f>計算表!K174</f>
        <v>{41~50=150}</v>
      </c>
      <c r="L174" t="str">
        <f>計算表!L174</f>
        <v>{51~75=200}</v>
      </c>
      <c r="M174" t="str">
        <f>計算表!M174</f>
        <v>{76+=250}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194</v>
      </c>
      <c r="B175">
        <f>計算表!B175</f>
        <v>0</v>
      </c>
      <c r="C175" t="str">
        <f>計算表!C175</f>
        <v>5-高塔裝備掉落</v>
      </c>
      <c r="D175" t="str">
        <f>計算表!D175</f>
        <v>神話裝備</v>
      </c>
      <c r="E175" t="str">
        <f>計算表!E175</f>
        <v>各樓層區間掉落率%（{樓層下限~上限=機率}）</v>
      </c>
      <c r="F175" t="str">
        <f>計算表!F175</f>
        <v>每品質獨立擲骰，&gt;100% 依必掉+餘數規則；實際機率 ×(1+有效掉寶率%)。</v>
      </c>
      <c r="G175" t="str">
        <f>計算表!G175</f>
        <v>{1~5=0}</v>
      </c>
      <c r="H175" t="str">
        <f>計算表!H175</f>
        <v>{11~20=2}</v>
      </c>
      <c r="I175" t="str">
        <f>計算表!I175</f>
        <v>{21~30=5}</v>
      </c>
      <c r="J175" t="str">
        <f>計算表!J175</f>
        <v>{31~40=10}</v>
      </c>
      <c r="K175" t="str">
        <f>計算表!K175</f>
        <v>{41~50=25}</v>
      </c>
      <c r="L175" t="str">
        <f>計算表!L175</f>
        <v>{51~75=50}</v>
      </c>
      <c r="M175" t="str">
        <f>計算表!M175</f>
        <v>{76+=100}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195</v>
      </c>
      <c r="B176">
        <f>計算表!B176</f>
        <v>0</v>
      </c>
      <c r="C176" t="str">
        <f>計算表!C176</f>
        <v>5-高塔裝備掉落</v>
      </c>
      <c r="D176" t="str">
        <f>計算表!D176</f>
        <v>創世裝備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{11~20=0}</v>
      </c>
      <c r="I176" t="str">
        <f>計算表!I176</f>
        <v>{21~30=0}</v>
      </c>
      <c r="J176" t="str">
        <f>計算表!J176</f>
        <v>{31~40=0}</v>
      </c>
      <c r="K176" t="str">
        <f>計算表!K176</f>
        <v>{41~50=1}</v>
      </c>
      <c r="L176" t="str">
        <f>計算表!L176</f>
        <v>{51~75=5}</v>
      </c>
      <c r="M176" t="str">
        <f>計算表!M176</f>
        <v>{76+=10}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196</v>
      </c>
      <c r="B177">
        <f>計算表!B177</f>
        <v>0</v>
      </c>
      <c r="C177" t="str">
        <f>計算表!C177</f>
        <v>6-裝備</v>
      </c>
      <c r="D177" t="str">
        <f>計算表!D177</f>
        <v>詞條數值</v>
      </c>
      <c r="E177" t="str">
        <f>計算表!E177</f>
        <v>(base+base×lv係數×(裝備等級-1))×稀有度倍率×rnd(0.8,1.2)</v>
      </c>
      <c r="F177" t="str">
        <f>計算表!F177</f>
        <v>base/lv係數見「詞條池」；稀有度倍率見「稀有度表」。　※指標列：base/lv 見「表-詞條池」，稀有度倍率見「表-稀有度」。</v>
      </c>
      <c r="G177">
        <f>計算表!G177</f>
        <v>0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197</v>
      </c>
      <c r="B178">
        <f>計算表!B178</f>
        <v>0</v>
      </c>
      <c r="C178" t="str">
        <f>計算表!C178</f>
        <v>6-裝備</v>
      </c>
      <c r="D178" t="str">
        <f>計算表!D178</f>
        <v>太古詞條數值</v>
      </c>
      <c r="E178" t="str">
        <f>計算表!E178</f>
        <v>基準值×1.2×a</v>
      </c>
      <c r="F178" t="str">
        <f>計算表!F178</f>
        <v>a=太古倍率（=原上限的 135%）。　※實際由「5-太古詞條/太古詞條數值倍率」控制，本列不生效。</v>
      </c>
      <c r="G178">
        <f>計算表!G178</f>
        <v>1.35</v>
      </c>
      <c r="H178">
        <f>計算表!H178</f>
        <v>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198</v>
      </c>
      <c r="B179">
        <f>計算表!B179</f>
        <v>0</v>
      </c>
      <c r="C179" t="str">
        <f>計算表!C179</f>
        <v>6-裝備</v>
      </c>
      <c r="D179" t="str">
        <f>計算表!D179</f>
        <v>強化倍率</v>
      </c>
      <c r="E179" t="str">
        <f>計算表!E179</f>
        <v>1 + a×強化等級</v>
      </c>
      <c r="F179" t="str">
        <f>計算表!F179</f>
        <v>裝備每 +1，全詞條數值 +5%。</v>
      </c>
      <c r="G179">
        <f>計算表!G179</f>
        <v>0.05</v>
      </c>
      <c r="H179">
        <f>計算表!H179</f>
        <v>0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199</v>
      </c>
      <c r="B180">
        <f>計算表!B180</f>
        <v>0</v>
      </c>
      <c r="C180" t="str">
        <f>計算表!C180</f>
        <v>6-裝備</v>
      </c>
      <c r="D180" t="str">
        <f>計算表!D180</f>
        <v>特殊被動數值</v>
      </c>
      <c r="E180" t="str">
        <f>計算表!E180</f>
        <v>base + perR×(稀有度-a)</v>
      </c>
      <c r="F180" t="str">
        <f>計算表!F180</f>
        <v>a=稀有級索引（稀有=基準）。base/perR 見「特殊被動表」。　※指標列：base/perR 見「表-特殊被動」。</v>
      </c>
      <c r="G180">
        <f>計算表!G180</f>
        <v>2</v>
      </c>
      <c r="H180">
        <f>計算表!H180</f>
        <v>0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200</v>
      </c>
      <c r="B181">
        <f>計算表!B181</f>
        <v>0</v>
      </c>
      <c r="C181" t="str">
        <f>計算表!C181</f>
        <v>6-裝備</v>
      </c>
      <c r="D181" t="str">
        <f>計算表!D181</f>
        <v>神鑄特效數值</v>
      </c>
      <c r="E181" t="str">
        <f>計算表!E181</f>
        <v>base × rnd(0.8, 1.2)</v>
      </c>
      <c r="F181" t="str">
        <f>計算表!F181</f>
        <v>base 見「神鑄特效表」。神力為額外乘區、彼此相乘。　※指標列：base 見「表-神鑄特效」。</v>
      </c>
      <c r="G181">
        <f>計算表!G181</f>
        <v>0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201</v>
      </c>
      <c r="B182">
        <f>計算表!B182</f>
        <v>0</v>
      </c>
      <c r="C182" t="str">
        <f>計算表!C182</f>
        <v>6-裝備</v>
      </c>
      <c r="D182" t="str">
        <f>計算表!D182</f>
        <v>附魔-攻擊類</v>
      </c>
      <c r="E182" t="str">
        <f>計算表!E182</f>
        <v>(a+裝備等級×b)×稀有度倍率×(1+c×寶石等級)</v>
      </c>
      <c r="F182" t="str">
        <f>計算表!F182</f>
        <v>火焰附魔再×1.25。寶石等級只在混合合成帶入。</v>
      </c>
      <c r="G182">
        <f>計算表!G182</f>
        <v>5</v>
      </c>
      <c r="H182">
        <f>計算表!H182</f>
        <v>1.2</v>
      </c>
      <c r="I182">
        <f>計算表!I182</f>
        <v>0.15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202</v>
      </c>
      <c r="B183">
        <f>計算表!B183</f>
        <v>0</v>
      </c>
      <c r="C183" t="str">
        <f>計算表!C183</f>
        <v>6-裝備</v>
      </c>
      <c r="D183" t="str">
        <f>計算表!D183</f>
        <v>附魔-防禦/功能類</v>
      </c>
      <c r="E183" t="str">
        <f>計算表!E183</f>
        <v>min(a + 稀有度×b + 寶石等級×c, d)</v>
      </c>
      <c r="F183" t="str">
        <f>計算表!F183</f>
        <v>a=基礎 b=每階 c=每寶石等級 d=上限%。</v>
      </c>
      <c r="G183">
        <f>計算表!G183</f>
        <v>8</v>
      </c>
      <c r="H183">
        <f>計算表!H183</f>
        <v>4</v>
      </c>
      <c r="I183">
        <f>計算表!I183</f>
        <v>3</v>
      </c>
      <c r="J183">
        <f>計算表!J183</f>
        <v>60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203</v>
      </c>
      <c r="B184">
        <f>計算表!B184</f>
        <v>0</v>
      </c>
      <c r="C184" t="str">
        <f>計算表!C184</f>
        <v>6-裝備</v>
      </c>
      <c r="D184" t="str">
        <f>計算表!D184</f>
        <v>手動附魔費用</v>
      </c>
      <c r="E184" t="str">
        <f>計算表!E184</f>
        <v>a 本附魔書 + b 附魔精華</v>
      </c>
      <c r="F184" t="str">
        <f>計算表!F184</f>
        <v>取下返還書、不退精華。</v>
      </c>
      <c r="G184">
        <f>計算表!G184</f>
        <v>1</v>
      </c>
      <c r="H184">
        <f>計算表!H184</f>
        <v>1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204</v>
      </c>
      <c r="B185">
        <f>計算表!B185</f>
        <v>0</v>
      </c>
      <c r="C185" t="str">
        <f>計算表!C185</f>
        <v>6-裝備</v>
      </c>
      <c r="D185" t="str">
        <f>計算表!D185</f>
        <v>戰力評分</v>
      </c>
      <c r="E185" t="str">
        <f>計算表!E185</f>
        <v>Σ(詞條×權重×強化)+Σ(寶石×權重) →被動×1.15 →神鑄特效×(1+a×件數) →+Σ(附魔×1.2攻/×2防) →×(1+稀有度×b)</v>
      </c>
      <c r="F185" t="str">
        <f>計算表!F185</f>
        <v>詞條/寶石權重見 Equipment_Affix 表各詞條列的「戰力權重」欄。a=每條神鑄特效加成 b=稀有度加成。自動換裝門檻：新評分&gt;舊×1.02。</v>
      </c>
      <c r="G185">
        <f>計算表!G185</f>
        <v>0.15</v>
      </c>
      <c r="H185">
        <f>計算表!H185</f>
        <v>0.06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205</v>
      </c>
      <c r="B186">
        <f>計算表!B186</f>
        <v>0</v>
      </c>
      <c r="C186" t="str">
        <f>計算表!C186</f>
        <v>6-裝備</v>
      </c>
      <c r="D186" t="str">
        <f>計算表!D186</f>
        <v>分解-碎片</v>
      </c>
      <c r="E186" t="str">
        <f>計算表!E186</f>
        <v>max(1, (a+裝備等級×b)×分解係數×rnd(0.85,1.15))</v>
      </c>
      <c r="F186" t="str">
        <f>計算表!F186</f>
        <v>分解係數見「稀有度表」salv 欄。</v>
      </c>
      <c r="G186">
        <f>計算表!G186</f>
        <v>2</v>
      </c>
      <c r="H186">
        <f>計算表!H186</f>
        <v>0.6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206</v>
      </c>
      <c r="B187">
        <f>計算表!B187</f>
        <v>0</v>
      </c>
      <c r="C187" t="str">
        <f>計算表!C187</f>
        <v>6-裝備</v>
      </c>
      <c r="D187" t="str">
        <f>計算表!D187</f>
        <v>分解-金幣</v>
      </c>
      <c r="E187" t="str">
        <f>計算表!E187</f>
        <v>round((a+裝備等級) × 品質分解係數 × b)</v>
      </c>
      <c r="F187" t="str">
        <f>計算表!F187</f>
        <v>a=基礎金幣；b=分解金幣倍率。淘金濾網金幣為額外來源，不影響本公式。</v>
      </c>
      <c r="G187">
        <f>計算表!G187</f>
        <v>3</v>
      </c>
      <c r="H187">
        <f>計算表!H187</f>
        <v>10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207</v>
      </c>
      <c r="B188">
        <f>計算表!B188</f>
        <v>0</v>
      </c>
      <c r="C188" t="str">
        <f>計算表!C188</f>
        <v>6-分解精華機率</v>
      </c>
      <c r="D188" t="str">
        <f>計算表!D188</f>
        <v>附魔精華拆解機率</v>
      </c>
      <c r="E188" t="str">
        <f>計算表!E188</f>
        <v>稀有度基礎機率 × (1+精粹透鏡加成/100)</v>
      </c>
      <c r="F188" t="str">
        <f>計算表!F188</f>
        <v>一列列出各稀有度基礎機率%。&gt;100% 採必得+餘數。</v>
      </c>
      <c r="G188">
        <f>計算表!G188</f>
        <v>5</v>
      </c>
      <c r="H188">
        <f>計算表!H188</f>
        <v>7.5</v>
      </c>
      <c r="I188">
        <f>計算表!I188</f>
        <v>10</v>
      </c>
      <c r="J188">
        <f>計算表!J188</f>
        <v>15</v>
      </c>
      <c r="K188">
        <f>計算表!K188</f>
        <v>20</v>
      </c>
      <c r="L188">
        <f>計算表!L188</f>
        <v>25</v>
      </c>
      <c r="M188">
        <f>計算表!M188</f>
        <v>30</v>
      </c>
      <c r="N188">
        <f>計算表!N188</f>
        <v>100</v>
      </c>
      <c r="O188">
        <f>計算表!O188</f>
        <v>100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208</v>
      </c>
      <c r="B189">
        <f>計算表!B189</f>
        <v>0</v>
      </c>
      <c r="C189" t="str">
        <f>計算表!C189</f>
        <v>6-分解精華機率</v>
      </c>
      <c r="D189" t="str">
        <f>計算表!D189</f>
        <v>太古精華拆解機率(依稀有度)</v>
      </c>
      <c r="E189" t="str">
        <f>計算表!E189</f>
        <v>基礎機率×太古萃取器倍率；另每條太古詞條 50% 判定</v>
      </c>
      <c r="F189" t="str">
        <f>計算表!F189</f>
        <v>史詩0.5 傳說1 神話10 創世100 神鑄100（普通~獨特不掉）。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0.1</v>
      </c>
      <c r="K189">
        <f>計算表!K189</f>
        <v>0.5</v>
      </c>
      <c r="L189">
        <f>計算表!L189</f>
        <v>1</v>
      </c>
      <c r="M189">
        <f>計算表!M189</f>
        <v>10</v>
      </c>
      <c r="N189">
        <f>計算表!N189</f>
        <v>100</v>
      </c>
      <c r="O189">
        <f>計算表!O189</f>
        <v>100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209</v>
      </c>
      <c r="B190">
        <f>計算表!B190</f>
        <v>0</v>
      </c>
      <c r="C190" t="str">
        <f>計算表!C190</f>
        <v>6-神鑄</v>
      </c>
      <c r="D190" t="str">
        <f>計算表!D190</f>
        <v>裝備神鑄成功率</v>
      </c>
      <c r="E190" t="str">
        <f>計算表!E190</f>
        <v>clamp(基礎 + 魔塵數×a, 0, 100)</v>
      </c>
      <c r="F190" t="str">
        <f>計算表!F190</f>
        <v>傳統品質每魔塵 a%；混沌品質另由「裝備神鑄混沌魔塵加成」控制。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210</v>
      </c>
      <c r="B191">
        <f>計算表!B191</f>
        <v>0</v>
      </c>
      <c r="C191" t="str">
        <f>計算表!C191</f>
        <v>6-神鑄</v>
      </c>
      <c r="D191" t="str">
        <f>計算表!D191</f>
        <v>裝備神鑄基礎成功率</v>
      </c>
      <c r="E191" t="str">
        <f>計算表!E191</f>
        <v>傳說a 神話b 創世c 混沌d（%）</v>
      </c>
      <c r="F191" t="str">
        <f>計算表!F191</f>
        <v>依素材品質。</v>
      </c>
      <c r="G191">
        <f>計算表!G191</f>
        <v>55</v>
      </c>
      <c r="H191">
        <f>計算表!H191</f>
        <v>40</v>
      </c>
      <c r="I191">
        <f>計算表!I191</f>
        <v>25</v>
      </c>
      <c r="J191">
        <f>計算表!J191</f>
        <v>20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211</v>
      </c>
      <c r="B192">
        <f>計算表!B192</f>
        <v>0</v>
      </c>
      <c r="C192" t="str">
        <f>計算表!C192</f>
        <v>6-神鑄</v>
      </c>
      <c r="D192" t="str">
        <f>計算表!D192</f>
        <v>裝備神鑄金幣</v>
      </c>
      <c r="E192" t="str">
        <f>計算表!E192</f>
        <v>傳說a 神話b 創世c 混沌d</v>
      </c>
      <c r="F192" t="str">
        <f>計算表!F192</f>
        <v>單次金幣消耗；混沌暫定 5 億。</v>
      </c>
      <c r="G192">
        <f>計算表!G192</f>
        <v>5000000</v>
      </c>
      <c r="H192">
        <f>計算表!H192</f>
        <v>20000000</v>
      </c>
      <c r="I192">
        <f>計算表!I192</f>
        <v>100000000</v>
      </c>
      <c r="J192">
        <f>計算表!J192</f>
        <v>500000000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212</v>
      </c>
      <c r="B193">
        <f>計算表!B193</f>
        <v>0</v>
      </c>
      <c r="C193" t="str">
        <f>計算表!C193</f>
        <v>6-神鑄</v>
      </c>
      <c r="D193" t="str">
        <f>計算表!D193</f>
        <v>裝備神鑄時間(秒)</v>
      </c>
      <c r="E193" t="str">
        <f>計算表!E193</f>
        <v>傳說a 神話b 創世c 混沌d</v>
      </c>
      <c r="F193">
        <f>計算表!F193</f>
        <v>0</v>
      </c>
      <c r="G193">
        <f>計算表!G193</f>
        <v>3</v>
      </c>
      <c r="H193">
        <f>計算表!H193</f>
        <v>5</v>
      </c>
      <c r="I193">
        <f>計算表!I193</f>
        <v>8</v>
      </c>
      <c r="J193">
        <f>計算表!J193</f>
        <v>13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213</v>
      </c>
      <c r="B194">
        <f>計算表!B194</f>
        <v>0</v>
      </c>
      <c r="C194" t="str">
        <f>計算表!C194</f>
        <v>6-神鑄</v>
      </c>
      <c r="D194" t="str">
        <f>計算表!D194</f>
        <v>裝備神鑄混沌魔塵加成</v>
      </c>
      <c r="E194" t="str">
        <f>計算表!E194</f>
        <v>混沌品質每個魔塵增加 a% 成功率</v>
      </c>
      <c r="F194" t="str">
        <f>計算表!F194</f>
        <v>僅適用 6 件混沌裝備神鑄為神鑄混沌。</v>
      </c>
      <c r="G194">
        <f>計算表!G194</f>
        <v>3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214</v>
      </c>
      <c r="B195">
        <f>計算表!B195</f>
        <v>0</v>
      </c>
      <c r="C195" t="str">
        <f>計算表!C195</f>
        <v>7-洗煉</v>
      </c>
      <c r="D195" t="str">
        <f>計算表!D195</f>
        <v>混沌精華費用</v>
      </c>
      <c r="E195" t="str">
        <f>計算表!E195</f>
        <v>混沌品質洗煉精華消耗 a</v>
      </c>
      <c r="F195" t="str">
        <f>計算表!F195</f>
        <v>可自行調整。</v>
      </c>
      <c r="G195">
        <f>計算表!G195</f>
        <v>27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215</v>
      </c>
      <c r="B196">
        <f>計算表!B196</f>
        <v>0</v>
      </c>
      <c r="C196" t="str">
        <f>計算表!C196</f>
        <v>7-洗煉</v>
      </c>
      <c r="D196" t="str">
        <f>計算表!D196</f>
        <v>神鑄混沌精華費用</v>
      </c>
      <c r="E196" t="str">
        <f>計算表!E196</f>
        <v>神鑄混沌品質洗煉精華消耗 a</v>
      </c>
      <c r="F196" t="str">
        <f>計算表!F196</f>
        <v>可自行調整。</v>
      </c>
      <c r="G196">
        <f>計算表!G196</f>
        <v>36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216</v>
      </c>
      <c r="B197">
        <f>計算表!B197</f>
        <v>0</v>
      </c>
      <c r="C197" t="str">
        <f>計算表!C197</f>
        <v>6-神鑄</v>
      </c>
      <c r="D197" t="str">
        <f>計算表!D197</f>
        <v>寶石神鑄成功率</v>
      </c>
      <c r="E197" t="str">
        <f>計算表!E197</f>
        <v>clamp(基礎 + 魔塵數×a, 0, 100)</v>
      </c>
      <c r="F197" t="str">
        <f>計算表!F197</f>
        <v>基礎：5階45 6階35 7階25 8階15 9階5。a=每魔塵加成%。</v>
      </c>
      <c r="G197">
        <f>計算表!G197</f>
        <v>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217</v>
      </c>
      <c r="B198">
        <f>計算表!B198</f>
        <v>0</v>
      </c>
      <c r="C198" t="str">
        <f>計算表!C198</f>
        <v>6-神鑄</v>
      </c>
      <c r="D198" t="str">
        <f>計算表!D198</f>
        <v>寶石神鑄基礎成功率</v>
      </c>
      <c r="E198" t="str">
        <f>計算表!E198</f>
        <v>5階a 6階b 7階c 8階d 9階e（%）</v>
      </c>
      <c r="F198" t="str">
        <f>計算表!F198</f>
        <v>依素材階級。</v>
      </c>
      <c r="G198">
        <f>計算表!G198</f>
        <v>50</v>
      </c>
      <c r="H198">
        <f>計算表!H198</f>
        <v>40</v>
      </c>
      <c r="I198">
        <f>計算表!I198</f>
        <v>35</v>
      </c>
      <c r="J198">
        <f>計算表!J198</f>
        <v>25</v>
      </c>
      <c r="K198">
        <f>計算表!K198</f>
        <v>15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218</v>
      </c>
      <c r="B199">
        <f>計算表!B199</f>
        <v>0</v>
      </c>
      <c r="C199" t="str">
        <f>計算表!C199</f>
        <v>6-神鑄</v>
      </c>
      <c r="D199" t="str">
        <f>計算表!D199</f>
        <v>寶石神鑄金幣</v>
      </c>
      <c r="E199" t="str">
        <f>計算表!E199</f>
        <v>a + (素材階級-b)×a</v>
      </c>
      <c r="F199" t="str">
        <f>計算表!F199</f>
        <v>a=基礎 b=起始階級。</v>
      </c>
      <c r="G199">
        <f>計算表!G199</f>
        <v>1000000</v>
      </c>
      <c r="H199">
        <f>計算表!H199</f>
        <v>5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219</v>
      </c>
      <c r="B200">
        <f>計算表!B200</f>
        <v>0</v>
      </c>
      <c r="C200" t="str">
        <f>計算表!C200</f>
        <v>6-神鑄</v>
      </c>
      <c r="D200" t="str">
        <f>計算表!D200</f>
        <v>寶石神鑄時間(秒)</v>
      </c>
      <c r="E200" t="str">
        <f>計算表!E200</f>
        <v>5階a 6階b 7階c 8階d 9階e</v>
      </c>
      <c r="F200">
        <f>計算表!F200</f>
        <v>0</v>
      </c>
      <c r="G200">
        <f>計算表!G200</f>
        <v>1</v>
      </c>
      <c r="H200">
        <f>計算表!H200</f>
        <v>2</v>
      </c>
      <c r="I200">
        <f>計算表!I200</f>
        <v>3</v>
      </c>
      <c r="J200">
        <f>計算表!J200</f>
        <v>4</v>
      </c>
      <c r="K200">
        <f>計算表!K200</f>
        <v>6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220</v>
      </c>
      <c r="B201">
        <f>計算表!B201</f>
        <v>0</v>
      </c>
      <c r="C201" t="str">
        <f>計算表!C201</f>
        <v>6-神鑄</v>
      </c>
      <c r="D201" t="str">
        <f>計算表!D201</f>
        <v>神鑄失敗</v>
      </c>
      <c r="E201" t="str">
        <f>計算表!E201</f>
        <v>裝備消耗a件退b件；寶石消耗a顆退b顆；每次失敗得魔塵1</v>
      </c>
      <c r="F201" t="str">
        <f>計算表!F201</f>
        <v>a=消耗 b=退回。</v>
      </c>
      <c r="G201">
        <f>計算表!G201</f>
        <v>3</v>
      </c>
      <c r="H201">
        <f>計算表!H201</f>
        <v>3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221</v>
      </c>
      <c r="B202">
        <f>計算表!B202</f>
        <v>0</v>
      </c>
      <c r="C202" t="str">
        <f>計算表!C202</f>
        <v>6-神鑄</v>
      </c>
      <c r="D202" t="str">
        <f>計算表!D202</f>
        <v>神鑄槽位 / 魔塵上限</v>
      </c>
      <c r="E202" t="str">
        <f>計算表!E202</f>
        <v>法陣a格；魔塵最多b個</v>
      </c>
      <c r="F202" t="str">
        <f>計算表!F202</f>
        <v>a=槽位 b=魔塵上限。</v>
      </c>
      <c r="G202">
        <f>計算表!G202</f>
        <v>6</v>
      </c>
      <c r="H202">
        <f>計算表!H202</f>
        <v>6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222</v>
      </c>
      <c r="B203">
        <f>計算表!B203</f>
        <v>0</v>
      </c>
      <c r="C203" t="str">
        <f>計算表!C203</f>
        <v>7-強化</v>
      </c>
      <c r="D203" t="str">
        <f>計算表!D203</f>
        <v>基礎成功率</v>
      </c>
      <c r="E203" t="str">
        <f>計算表!E203</f>
        <v>+5 以內 100%；之後 max(a%, 100% - (目標等級-5)×b%)</v>
      </c>
      <c r="F203" t="str">
        <f>計算表!F203</f>
        <v>a=下限 b=每級遞減。實際=基礎+強化成功率屬性。</v>
      </c>
      <c r="G203">
        <f>計算表!G203</f>
        <v>30</v>
      </c>
      <c r="H203">
        <f>計算表!H203</f>
        <v>6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223</v>
      </c>
      <c r="B204">
        <f>計算表!B204</f>
        <v>0</v>
      </c>
      <c r="C204" t="str">
        <f>計算表!C204</f>
        <v>7-強化</v>
      </c>
      <c r="D204" t="str">
        <f>計算表!D204</f>
        <v>金幣費用</v>
      </c>
      <c r="E204" t="str">
        <f>計算表!E204</f>
        <v>a × b^目前強化等級 × (1+裝備等級×c)</v>
      </c>
      <c r="F204">
        <f>計算表!F204</f>
        <v>0</v>
      </c>
      <c r="G204">
        <f>計算表!G204</f>
        <v>25</v>
      </c>
      <c r="H204">
        <f>計算表!H204</f>
        <v>1.3</v>
      </c>
      <c r="I204">
        <f>計算表!I204</f>
        <v>0.2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224</v>
      </c>
      <c r="B205">
        <f>計算表!B205</f>
        <v>0</v>
      </c>
      <c r="C205" t="str">
        <f>計算表!C205</f>
        <v>7-強化</v>
      </c>
      <c r="D205" t="str">
        <f>計算表!D205</f>
        <v>碎片費用</v>
      </c>
      <c r="E205" t="str">
        <f>計算表!E205</f>
        <v>a × b^目前強化等級 × (1+裝備等級×c)</v>
      </c>
      <c r="F205">
        <f>計算表!F205</f>
        <v>0</v>
      </c>
      <c r="G205">
        <f>計算表!G205</f>
        <v>8</v>
      </c>
      <c r="H205">
        <f>計算表!H205</f>
        <v>1.35</v>
      </c>
      <c r="I205">
        <f>計算表!I205</f>
        <v>0.04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225</v>
      </c>
      <c r="B206">
        <f>計算表!B206</f>
        <v>0</v>
      </c>
      <c r="C206" t="str">
        <f>計算表!C206</f>
        <v>7-強化</v>
      </c>
      <c r="D206" t="str">
        <f>計算表!D206</f>
        <v>失敗懲罰</v>
      </c>
      <c r="E206" t="str">
        <f>計算表!E206</f>
        <v>消耗半數費用，強化等級不變</v>
      </c>
      <c r="F206" t="str">
        <f>計算表!F206</f>
        <v>寫死：失敗消耗半數費用。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226</v>
      </c>
      <c r="B207">
        <f>計算表!B207</f>
        <v>0</v>
      </c>
      <c r="C207" t="str">
        <f>計算表!C207</f>
        <v>7-洗煉</v>
      </c>
      <c r="D207" t="str">
        <f>計算表!D207</f>
        <v>金幣費用</v>
      </c>
      <c r="E207" t="str">
        <f>計算表!E207</f>
        <v>a × b^稀有度 × (1+裝備等級×c)</v>
      </c>
      <c r="F207">
        <f>計算表!F207</f>
        <v>0</v>
      </c>
      <c r="G207">
        <f>計算表!G207</f>
        <v>40</v>
      </c>
      <c r="H207">
        <f>計算表!H207</f>
        <v>1.7</v>
      </c>
      <c r="I207">
        <f>計算表!I207</f>
        <v>0.15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227</v>
      </c>
      <c r="B208">
        <f>計算表!B208</f>
        <v>0</v>
      </c>
      <c r="C208" t="str">
        <f>計算表!C208</f>
        <v>7-洗煉</v>
      </c>
      <c r="D208" t="str">
        <f>計算表!D208</f>
        <v>精華費用</v>
      </c>
      <c r="E208" t="str">
        <f>計算表!E208</f>
        <v>普通~傳說 1+稀有度；神話a 創世b 神鑄c</v>
      </c>
      <c r="F208" t="str">
        <f>計算表!F208</f>
        <v>a/b/c=神話/創世/神鑄創世固定值。</v>
      </c>
      <c r="G208">
        <f>計算表!G208</f>
        <v>9</v>
      </c>
      <c r="H208">
        <f>計算表!H208</f>
        <v>14</v>
      </c>
      <c r="I208">
        <f>計算表!I208</f>
        <v>20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228</v>
      </c>
      <c r="B209">
        <f>計算表!B209</f>
        <v>0</v>
      </c>
      <c r="C209" t="str">
        <f>計算表!C209</f>
        <v>7-洗煉</v>
      </c>
      <c r="D209" t="str">
        <f>計算表!D209</f>
        <v>數值洗煉分段權重</v>
      </c>
      <c r="E209" t="str">
        <f>計算表!E209</f>
        <v>先平分洗煉數值範圍，再以權重選擇低／高段：A=a；B=b＋（詞條上限率/100）^c</v>
      </c>
      <c r="F209" t="str">
        <f>計算表!F209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9">
        <f>計算表!G209</f>
        <v>1</v>
      </c>
      <c r="H209">
        <f>計算表!H209</f>
        <v>1</v>
      </c>
      <c r="I209">
        <f>計算表!I209</f>
        <v>0.33329999999999999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229</v>
      </c>
      <c r="B210">
        <f>計算表!B210</f>
        <v>0</v>
      </c>
      <c r="C210" t="str">
        <f>計算表!C210</f>
        <v>7-合成</v>
      </c>
      <c r="D210" t="str">
        <f>計算表!D210</f>
        <v>大成功率</v>
      </c>
      <c r="E210" t="str">
        <f>計算表!E210</f>
        <v>a%</v>
      </c>
      <c r="F210" t="str">
        <f>計算表!F210</f>
        <v>合成功能停用；保留基礎參數供舊資料相容。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230</v>
      </c>
      <c r="B211">
        <f>計算表!B211</f>
        <v>0</v>
      </c>
      <c r="C211" t="str">
        <f>計算表!C211</f>
        <v>7-合成</v>
      </c>
      <c r="D211" t="str">
        <f>計算表!D211</f>
        <v>品質合成</v>
      </c>
      <c r="E211" t="str">
        <f>計算表!E211</f>
        <v>3 件同稀有度 → 1 件高一階（等級=平均）；大成功再+1 階</v>
      </c>
      <c r="F211" t="str">
        <f>計算表!F211</f>
        <v>合成功能已停用(SYNTHESIS_ENABLED=false)，本列未生效。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231</v>
      </c>
      <c r="B212">
        <f>計算表!B212</f>
        <v>0</v>
      </c>
      <c r="C212" t="str">
        <f>計算表!C212</f>
        <v>7-合成</v>
      </c>
      <c r="D212" t="str">
        <f>計算表!D212</f>
        <v>混合合成</v>
      </c>
      <c r="E212" t="str">
        <f>計算表!E212</f>
        <v>1 裝備+1 寶石+1 附魔書 → 附魔（威力吃寶石等級）；大成功稀有度+1</v>
      </c>
      <c r="F212" t="str">
        <f>計算表!F212</f>
        <v>合成功能已停用，本列未生效。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232</v>
      </c>
      <c r="B213">
        <f>計算表!B213</f>
        <v>0</v>
      </c>
      <c r="C213" t="str">
        <f>計算表!C213</f>
        <v>7-合成</v>
      </c>
      <c r="D213" t="str">
        <f>計算表!D213</f>
        <v>合成變異</v>
      </c>
      <c r="E213" t="str">
        <f>計算表!E213</f>
        <v>機率=合成變異率屬性（上限60%）；附魔威力×1.5 並追加 1 條詞條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233</v>
      </c>
      <c r="B214">
        <f>計算表!B214</f>
        <v>0</v>
      </c>
      <c r="C214" t="str">
        <f>計算表!C214</f>
        <v>7-分解速度</v>
      </c>
      <c r="D214" t="str">
        <f>計算表!D214</f>
        <v>分解處理速度</v>
      </c>
      <c r="E214" t="str">
        <f>計算表!E214</f>
        <v>間隔 = a 秒 ÷ (1+加速加成)</v>
      </c>
      <c r="F214" t="str">
        <f>計算表!F214</f>
        <v>加速齒輪每階+25%，另固定+50 個百分點。　※＝生產線處理間隔，由「7-容量/生產線處理間隔」控制，本列不生效。</v>
      </c>
      <c r="G214">
        <f>計算表!G214</f>
        <v>2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234</v>
      </c>
      <c r="B215">
        <f>計算表!B215</f>
        <v>0</v>
      </c>
      <c r="C215" t="str">
        <f>計算表!C215</f>
        <v>7-分解槽</v>
      </c>
      <c r="D215" t="str">
        <f>計算表!D215</f>
        <v>分解槽解鎖費用</v>
      </c>
      <c r="E215" t="str">
        <f>計算表!E215</f>
        <v>a × b^(目標格數-1)</v>
      </c>
      <c r="F215" t="str">
        <f>計算表!F215</f>
        <v>初始 10 格、上限 20 格。</v>
      </c>
      <c r="G215">
        <f>計算表!G215</f>
        <v>10000</v>
      </c>
      <c r="H215">
        <f>計算表!H215</f>
        <v>3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235</v>
      </c>
      <c r="B216">
        <f>計算表!B216</f>
        <v>0</v>
      </c>
      <c r="C216" t="str">
        <f>計算表!C216</f>
        <v>7-容量</v>
      </c>
      <c r="D216" t="str">
        <f>計算表!D216</f>
        <v>輸送帶容量</v>
      </c>
      <c r="E216" t="str">
        <f>計算表!E216</f>
        <v>a（固定上限）</v>
      </c>
      <c r="F216" t="str">
        <f>計算表!F216</f>
        <v>程式實際為固定 20000；超出的新裝備直接丟棄。</v>
      </c>
      <c r="G216">
        <f>計算表!G216</f>
        <v>20000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236</v>
      </c>
      <c r="B217">
        <f>計算表!B217</f>
        <v>0</v>
      </c>
      <c r="C217" t="str">
        <f>計算表!C217</f>
        <v>7-容量</v>
      </c>
      <c r="D217" t="str">
        <f>計算表!D217</f>
        <v>合成暫存區</v>
      </c>
      <c r="E217" t="str">
        <f>計算表!E217</f>
        <v>a + ⌊負重上限/b⌋</v>
      </c>
      <c r="F217">
        <f>計算表!F217</f>
        <v>0</v>
      </c>
      <c r="G217">
        <f>計算表!G217</f>
        <v>30</v>
      </c>
      <c r="H217">
        <f>計算表!H217</f>
        <v>2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237</v>
      </c>
      <c r="B218">
        <f>計算表!B218</f>
        <v>0</v>
      </c>
      <c r="C218" t="str">
        <f>計算表!C218</f>
        <v>7-容量</v>
      </c>
      <c r="D218" t="str">
        <f>計算表!D218</f>
        <v>背包容量</v>
      </c>
      <c r="E218" t="str">
        <f>計算表!E218</f>
        <v>a + 背包擴充上限次數b</v>
      </c>
      <c r="F218" t="str">
        <f>計算表!F218</f>
        <v>a=初始格數 b為上限值；滿了自動分解新進裝備。</v>
      </c>
      <c r="G218">
        <f>計算表!G218</f>
        <v>100</v>
      </c>
      <c r="H218">
        <f>計算表!H218</f>
        <v>1000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238</v>
      </c>
      <c r="B219">
        <f>計算表!B219</f>
        <v>0</v>
      </c>
      <c r="C219" t="str">
        <f>計算表!C219</f>
        <v>7-容量</v>
      </c>
      <c r="D219" t="str">
        <f>計算表!D219</f>
        <v>背包擴充費用</v>
      </c>
      <c r="E219" t="str">
        <f>計算表!E219</f>
        <v>a + b × c^購買次數</v>
      </c>
      <c r="F219" t="str">
        <f>計算表!F219</f>
        <v>a=基值值 b=擴充倍數 c=指數底；達上限後不可再擴充。</v>
      </c>
      <c r="G219">
        <f>計算表!G219</f>
        <v>10000</v>
      </c>
      <c r="H219">
        <f>計算表!H219</f>
        <v>10000</v>
      </c>
      <c r="I219">
        <f>計算表!I219</f>
        <v>1.02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239</v>
      </c>
      <c r="B220">
        <f>計算表!B220</f>
        <v>0</v>
      </c>
      <c r="C220" t="str">
        <f>計算表!C220</f>
        <v>7-容量</v>
      </c>
      <c r="D220" t="str">
        <f>計算表!D220</f>
        <v>生產線處理間隔</v>
      </c>
      <c r="E220" t="str">
        <f>計算表!E220</f>
        <v>a 秒/件</v>
      </c>
      <c r="F220">
        <f>計算表!F220</f>
        <v>0</v>
      </c>
      <c r="G220">
        <f>計算表!G220</f>
        <v>2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240</v>
      </c>
      <c r="B221">
        <f>計算表!B221</f>
        <v>0</v>
      </c>
      <c r="C221" t="str">
        <f>計算表!C221</f>
        <v>8-寶石</v>
      </c>
      <c r="D221" t="str">
        <f>計算表!D221</f>
        <v>能力數值(1~5階)</v>
      </c>
      <c r="E221" t="str">
        <f>計算表!E221</f>
        <v>base × 等級 × (1 + a×(等級-1))</v>
      </c>
      <c r="F221" t="str">
        <f>計算表!F221</f>
        <v>base 見「寶石種類表」。Lv1×1 Lv2×2.4 Lv3×4.2 Lv4×6.4 Lv5×9。</v>
      </c>
      <c r="G221">
        <f>計算表!G221</f>
        <v>0.2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241</v>
      </c>
      <c r="B222">
        <f>計算表!B222</f>
        <v>0</v>
      </c>
      <c r="C222" t="str">
        <f>計算表!C222</f>
        <v>8-寶石</v>
      </c>
      <c r="D222" t="str">
        <f>計算表!D222</f>
        <v>能力數值(6~10階神鑄)</v>
      </c>
      <c r="E222" t="str">
        <f>計算表!E222</f>
        <v>五階數值 × a^(階級-5)</v>
      </c>
      <c r="F222" t="str">
        <f>計算表!F222</f>
        <v>每高 1 階能力×a。</v>
      </c>
      <c r="G222">
        <f>計算表!G222</f>
        <v>2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242</v>
      </c>
      <c r="B223">
        <f>計算表!B223</f>
        <v>0</v>
      </c>
      <c r="C223" t="str">
        <f>計算表!C223</f>
        <v>8-寶石</v>
      </c>
      <c r="D223" t="str">
        <f>計算表!D223</f>
        <v>寶石升階(工廠自動)</v>
      </c>
      <c r="E223" t="str">
        <f>計算表!E223</f>
        <v>c 顆同種同級 → 1 顆同種高一級</v>
      </c>
      <c r="F223" t="str">
        <f>計算表!F223</f>
        <v>免費、自動（熔爐合成節點開關）。　※合成功能已停用，本列未生效。</v>
      </c>
      <c r="G223">
        <f>計算表!G223</f>
        <v>3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243</v>
      </c>
      <c r="B224">
        <f>計算表!B224</f>
        <v>0</v>
      </c>
      <c r="C224" t="str">
        <f>計算表!C224</f>
        <v>8-寶石</v>
      </c>
      <c r="D224" t="str">
        <f>計算表!D224</f>
        <v>寶石合成(手動)</v>
      </c>
      <c r="E224" t="str">
        <f>計算表!E224</f>
        <v>a 顆同種同級 → 1 顆同種下一階</v>
      </c>
      <c r="F224" t="str">
        <f>計算表!F224</f>
        <v>a=3；手動合成素材數量（3 合 1）；金幣另見「寶石合成金幣」。</v>
      </c>
      <c r="G224">
        <f>計算表!G224</f>
        <v>3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244</v>
      </c>
      <c r="B225">
        <f>計算表!B225</f>
        <v>0</v>
      </c>
      <c r="C225" t="str">
        <f>計算表!C225</f>
        <v>8-寶石</v>
      </c>
      <c r="D225" t="str">
        <f>計算表!D225</f>
        <v>寶石合成金幣</v>
      </c>
      <c r="E225" t="str">
        <f>計算表!E225</f>
        <v>依素材等級 a/b/c/d/e</v>
      </c>
      <c r="F225" t="str">
        <f>計算表!F225</f>
        <v>1級→2級 a、2級→3級 b …。</v>
      </c>
      <c r="G225">
        <f>計算表!G225</f>
        <v>100</v>
      </c>
      <c r="H225">
        <f>計算表!H225</f>
        <v>300</v>
      </c>
      <c r="I225">
        <f>計算表!I225</f>
        <v>900</v>
      </c>
      <c r="J225">
        <f>計算表!J225</f>
        <v>2700</v>
      </c>
      <c r="K225">
        <f>計算表!K225</f>
        <v>8100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245</v>
      </c>
      <c r="B226">
        <f>計算表!B226</f>
        <v>0</v>
      </c>
      <c r="C226" t="str">
        <f>計算表!C226</f>
        <v>8-寶石</v>
      </c>
      <c r="D226" t="str">
        <f>計算表!D226</f>
        <v>寶石轉換(九宮格)</v>
      </c>
      <c r="E226" t="str">
        <f>計算表!E226</f>
        <v>a 格；每格上限 b 顆；同階轉換數量不變（免費）</v>
      </c>
      <c r="F226" t="str">
        <f>計算表!F226</f>
        <v>融合寶石無法轉換。</v>
      </c>
      <c r="G226">
        <f>計算表!G226</f>
        <v>9</v>
      </c>
      <c r="H226">
        <f>計算表!H226</f>
        <v>1000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246</v>
      </c>
      <c r="B227">
        <f>計算表!B227</f>
        <v>0</v>
      </c>
      <c r="C227" t="str">
        <f>計算表!C227</f>
        <v>8-寶石</v>
      </c>
      <c r="D227" t="str">
        <f>計算表!D227</f>
        <v>寶石拆解(一般)</v>
      </c>
      <c r="E227" t="str">
        <f>計算表!E227</f>
        <v>⌊3^(N-1) × a⌋ 顆同種 1 級</v>
      </c>
      <c r="F227" t="str">
        <f>計算表!F227</f>
        <v>a=保留比例（損失 30%）。2級→2 3級→6 4級→18 5級→56。</v>
      </c>
      <c r="G227">
        <f>計算表!G227</f>
        <v>0.7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247</v>
      </c>
      <c r="B228">
        <f>計算表!B228</f>
        <v>0</v>
      </c>
      <c r="C228" t="str">
        <f>計算表!C228</f>
        <v>8-寶石</v>
      </c>
      <c r="D228" t="str">
        <f>計算表!D228</f>
        <v>寶石拆解(融合)</v>
      </c>
      <c r="E228" t="str">
        <f>計算表!E228</f>
        <v>⌊81×leaves × a⌋ 顆 1 級（依屬性均分）</v>
      </c>
      <c r="F228" t="str">
        <f>計算表!F228</f>
        <v>leaves=素材 5 階總數（融合時雙方相加）。　※與「寶石拆解(一般)」共用保留率，本列不生效。</v>
      </c>
      <c r="G228">
        <f>計算表!G228</f>
        <v>0.7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248</v>
      </c>
      <c r="B229">
        <f>計算表!B229</f>
        <v>0</v>
      </c>
      <c r="C229" t="str">
        <f>計算表!C229</f>
        <v>8-寶石</v>
      </c>
      <c r="D229" t="str">
        <f>計算表!D229</f>
        <v>寶石融合成功率</v>
      </c>
      <c r="E229" t="str">
        <f>計算表!E229</f>
        <v>max(a%, b% - c%×雙方融合次數和)</v>
      </c>
      <c r="F229" t="str">
        <f>計算表!F229</f>
        <v>僅 5 階；產出雙屬性。</v>
      </c>
      <c r="G229">
        <f>計算表!G229</f>
        <v>10</v>
      </c>
      <c r="H229">
        <f>計算表!H229</f>
        <v>60</v>
      </c>
      <c r="I229">
        <f>計算表!I229</f>
        <v>10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249</v>
      </c>
      <c r="B230">
        <f>計算表!B230</f>
        <v>0</v>
      </c>
      <c r="C230" t="str">
        <f>計算表!C230</f>
        <v>8-寶石</v>
      </c>
      <c r="D230" t="str">
        <f>計算表!D230</f>
        <v>寶石融合數值</v>
      </c>
      <c r="E230" t="str">
        <f>計算表!E230</f>
        <v>同屬性 rnd(較小值,較大值×2)；異屬性 原值×rnd(0.5,1.5)</v>
      </c>
      <c r="F230" t="str">
        <f>計算表!F230</f>
        <v>失敗：較弱一方降解為 50% 機率 4~8 顆 Lv1 / 50% 機率 2~4 顆 Lv2。　※結構寫死：同屬性 rnd(小,大×2)、異屬性 原值×rnd(0.5,1.5)。</v>
      </c>
      <c r="G230">
        <f>計算表!G230</f>
        <v>0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250</v>
      </c>
      <c r="B231">
        <f>計算表!B231</f>
        <v>0</v>
      </c>
      <c r="C231" t="str">
        <f>計算表!C231</f>
        <v>8-寶石商店</v>
      </c>
      <c r="D231" t="str">
        <f>計算表!D231</f>
        <v>升級費用</v>
      </c>
      <c r="E231" t="str">
        <f>計算表!E231</f>
        <v>a + 商店等級^b × c</v>
      </c>
      <c r="F231" t="str">
        <f>計算表!F231</f>
        <v>Lv.1~20；Lv.20 滿級。</v>
      </c>
      <c r="G231">
        <f>計算表!G231</f>
        <v>10000</v>
      </c>
      <c r="H231">
        <f>計算表!H231</f>
        <v>3</v>
      </c>
      <c r="I231">
        <f>計算表!I231</f>
        <v>4000000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251</v>
      </c>
      <c r="B232">
        <f>計算表!B232</f>
        <v>0</v>
      </c>
      <c r="C232" t="str">
        <f>計算表!C232</f>
        <v>8-寶石商店</v>
      </c>
      <c r="D232" t="str">
        <f>計算表!D232</f>
        <v>手動刷新費用</v>
      </c>
      <c r="E232" t="str">
        <f>計算表!E232</f>
        <v>a × (下一次重置序號^b)</v>
      </c>
      <c r="F232" t="str">
        <f>計算表!F232</f>
        <v>第一次刷新序號為 1。</v>
      </c>
      <c r="G232">
        <f>計算表!G232</f>
        <v>5000</v>
      </c>
      <c r="H232">
        <f>計算表!H232</f>
        <v>2.5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252</v>
      </c>
      <c r="B233">
        <f>計算表!B233</f>
        <v>0</v>
      </c>
      <c r="C233" t="str">
        <f>計算表!C233</f>
        <v>8-寶石商店</v>
      </c>
      <c r="D233" t="str">
        <f>計算表!D233</f>
        <v>刷新週期</v>
      </c>
      <c r="E233" t="str">
        <f>計算表!E233</f>
        <v>a 小時重置刷新次數</v>
      </c>
      <c r="F233">
        <f>計算表!F233</f>
        <v>0</v>
      </c>
      <c r="G233">
        <f>計算表!G233</f>
        <v>8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253</v>
      </c>
      <c r="B234">
        <f>計算表!B234</f>
        <v>0</v>
      </c>
      <c r="C234" t="str">
        <f>計算表!C234</f>
        <v>8-寶石商店</v>
      </c>
      <c r="D234" t="str">
        <f>計算表!D234</f>
        <v>寶石標價(Lv1~10)</v>
      </c>
      <c r="E234" t="str">
        <f>計算表!E234</f>
        <v>各階價格</v>
      </c>
      <c r="F234" t="str">
        <f>計算表!F234</f>
        <v>a=Lv1 … j=Lv10。</v>
      </c>
      <c r="G234">
        <f>計算表!G234</f>
        <v>10000</v>
      </c>
      <c r="H234">
        <f>計算表!H234</f>
        <v>100000</v>
      </c>
      <c r="I234">
        <f>計算表!I234</f>
        <v>500000</v>
      </c>
      <c r="J234">
        <f>計算表!J234</f>
        <v>2000000</v>
      </c>
      <c r="K234">
        <f>計算表!K234</f>
        <v>10000000</v>
      </c>
      <c r="L234">
        <f>計算表!L234</f>
        <v>50000000</v>
      </c>
      <c r="M234">
        <f>計算表!M234</f>
        <v>200000000</v>
      </c>
      <c r="N234">
        <f>計算表!N234</f>
        <v>1000000000</v>
      </c>
      <c r="O234">
        <f>計算表!O234</f>
        <v>10000000000</v>
      </c>
      <c r="P234">
        <f>計算表!P234</f>
        <v>1000000000000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254</v>
      </c>
      <c r="B235">
        <f>計算表!B235</f>
        <v>0</v>
      </c>
      <c r="C235" t="str">
        <f>計算表!C235</f>
        <v>8-寶店刷出數量</v>
      </c>
      <c r="D235" t="str">
        <f>計算表!D235</f>
        <v>商店 Lv.1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5=50</v>
      </c>
      <c r="H235" t="str">
        <f>計算表!H235</f>
        <v>6=50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255</v>
      </c>
      <c r="B236">
        <f>計算表!B236</f>
        <v>0</v>
      </c>
      <c r="C236" t="str">
        <f>計算表!C236</f>
        <v>8-寶店刷出數量</v>
      </c>
      <c r="D236" t="str">
        <f>計算表!D236</f>
        <v>商店 Lv.2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5=50</v>
      </c>
      <c r="H236" t="str">
        <f>計算表!H236</f>
        <v>6=40</v>
      </c>
      <c r="I236" t="str">
        <f>計算表!I236</f>
        <v>7=10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256</v>
      </c>
      <c r="B237">
        <f>計算表!B237</f>
        <v>0</v>
      </c>
      <c r="C237" t="str">
        <f>計算表!C237</f>
        <v>8-寶店刷出數量</v>
      </c>
      <c r="D237" t="str">
        <f>計算表!D237</f>
        <v>商店 Lv.3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5=50</v>
      </c>
      <c r="H237" t="str">
        <f>計算表!H237</f>
        <v>6=30</v>
      </c>
      <c r="I237" t="str">
        <f>計算表!I237</f>
        <v>7=10</v>
      </c>
      <c r="J237" t="str">
        <f>計算表!J237</f>
        <v>8=10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257</v>
      </c>
      <c r="B238">
        <f>計算表!B238</f>
        <v>0</v>
      </c>
      <c r="C238" t="str">
        <f>計算表!C238</f>
        <v>8-寶店刷出數量</v>
      </c>
      <c r="D238" t="str">
        <f>計算表!D238</f>
        <v>商店 Lv.4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5=45</v>
      </c>
      <c r="H238" t="str">
        <f>計算表!H238</f>
        <v>6=30</v>
      </c>
      <c r="I238" t="str">
        <f>計算表!I238</f>
        <v>7=15</v>
      </c>
      <c r="J238" t="str">
        <f>計算表!J238</f>
        <v>8=10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258</v>
      </c>
      <c r="B239">
        <f>計算表!B239</f>
        <v>0</v>
      </c>
      <c r="C239" t="str">
        <f>計算表!C239</f>
        <v>8-寶店刷出數量</v>
      </c>
      <c r="D239" t="str">
        <f>計算表!D239</f>
        <v>商店 Lv.5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5=40</v>
      </c>
      <c r="H239" t="str">
        <f>計算表!H239</f>
        <v>6=30</v>
      </c>
      <c r="I239" t="str">
        <f>計算表!I239</f>
        <v>7=15</v>
      </c>
      <c r="J239" t="str">
        <f>計算表!J239</f>
        <v>8=15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259</v>
      </c>
      <c r="B240">
        <f>計算表!B240</f>
        <v>0</v>
      </c>
      <c r="C240" t="str">
        <f>計算表!C240</f>
        <v>8-寶店刷出數量</v>
      </c>
      <c r="D240" t="str">
        <f>計算表!D240</f>
        <v>商店 Lv.6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5=35</v>
      </c>
      <c r="H240" t="str">
        <f>計算表!H240</f>
        <v>6=30</v>
      </c>
      <c r="I240" t="str">
        <f>計算表!I240</f>
        <v>7=15</v>
      </c>
      <c r="J240" t="str">
        <f>計算表!J240</f>
        <v>8=15</v>
      </c>
      <c r="K240" t="str">
        <f>計算表!K240</f>
        <v>9=5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260</v>
      </c>
      <c r="B241">
        <f>計算表!B241</f>
        <v>0</v>
      </c>
      <c r="C241" t="str">
        <f>計算表!C241</f>
        <v>8-寶店刷出數量</v>
      </c>
      <c r="D241" t="str">
        <f>計算表!D241</f>
        <v>商店 Lv.7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6=35</v>
      </c>
      <c r="H241" t="str">
        <f>計算表!H241</f>
        <v>7=30</v>
      </c>
      <c r="I241" t="str">
        <f>計算表!I241</f>
        <v>8=15</v>
      </c>
      <c r="J241" t="str">
        <f>計算表!J241</f>
        <v>9=15</v>
      </c>
      <c r="K241" t="str">
        <f>計算表!K241</f>
        <v>10=5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261</v>
      </c>
      <c r="B242">
        <f>計算表!B242</f>
        <v>0</v>
      </c>
      <c r="C242" t="str">
        <f>計算表!C242</f>
        <v>8-寶店刷出數量</v>
      </c>
      <c r="D242" t="str">
        <f>計算表!D242</f>
        <v>商店 Lv.8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6=30</v>
      </c>
      <c r="H242" t="str">
        <f>計算表!H242</f>
        <v>7=30</v>
      </c>
      <c r="I242" t="str">
        <f>計算表!I242</f>
        <v>8=15</v>
      </c>
      <c r="J242" t="str">
        <f>計算表!J242</f>
        <v>9=15</v>
      </c>
      <c r="K242" t="str">
        <f>計算表!K242</f>
        <v>10=10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262</v>
      </c>
      <c r="B243">
        <f>計算表!B243</f>
        <v>0</v>
      </c>
      <c r="C243" t="str">
        <f>計算表!C243</f>
        <v>8-寶店刷出數量</v>
      </c>
      <c r="D243" t="str">
        <f>計算表!D243</f>
        <v>商店 Lv.9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7=30</v>
      </c>
      <c r="H243" t="str">
        <f>計算表!H243</f>
        <v>8=30</v>
      </c>
      <c r="I243" t="str">
        <f>計算表!I243</f>
        <v>9=15</v>
      </c>
      <c r="J243" t="str">
        <f>計算表!J243</f>
        <v>10=15</v>
      </c>
      <c r="K243" t="str">
        <f>計算表!K243</f>
        <v>11=10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263</v>
      </c>
      <c r="B244">
        <f>計算表!B244</f>
        <v>0</v>
      </c>
      <c r="C244" t="str">
        <f>計算表!C244</f>
        <v>8-寶店刷出數量</v>
      </c>
      <c r="D244" t="str">
        <f>計算表!D244</f>
        <v>商店 Lv.10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8=30</v>
      </c>
      <c r="H244" t="str">
        <f>計算表!H244</f>
        <v>9=30</v>
      </c>
      <c r="I244" t="str">
        <f>計算表!I244</f>
        <v>10=15</v>
      </c>
      <c r="J244" t="str">
        <f>計算表!J244</f>
        <v>11=15</v>
      </c>
      <c r="K244" t="str">
        <f>計算表!K244</f>
        <v>12=10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264</v>
      </c>
      <c r="B245">
        <f>計算表!B245</f>
        <v>0</v>
      </c>
      <c r="C245" t="str">
        <f>計算表!C245</f>
        <v>8-寶店刷出數量</v>
      </c>
      <c r="D245" t="str">
        <f>計算表!D245</f>
        <v>商店 Lv.11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9=30</v>
      </c>
      <c r="H245" t="str">
        <f>計算表!H245</f>
        <v>10=30</v>
      </c>
      <c r="I245" t="str">
        <f>計算表!I245</f>
        <v>11=15</v>
      </c>
      <c r="J245" t="str">
        <f>計算表!J245</f>
        <v>12=15</v>
      </c>
      <c r="K245" t="str">
        <f>計算表!K245</f>
        <v>13=10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265</v>
      </c>
      <c r="B246">
        <f>計算表!B246</f>
        <v>0</v>
      </c>
      <c r="C246" t="str">
        <f>計算表!C246</f>
        <v>8-寶店刷出數量</v>
      </c>
      <c r="D246" t="str">
        <f>計算表!D246</f>
        <v>商店 Lv.12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10=30</v>
      </c>
      <c r="H246" t="str">
        <f>計算表!H246</f>
        <v>11=30</v>
      </c>
      <c r="I246" t="str">
        <f>計算表!I246</f>
        <v>12=15</v>
      </c>
      <c r="J246" t="str">
        <f>計算表!J246</f>
        <v>13=15</v>
      </c>
      <c r="K246" t="str">
        <f>計算表!K246</f>
        <v>14=10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266</v>
      </c>
      <c r="B247">
        <f>計算表!B247</f>
        <v>0</v>
      </c>
      <c r="C247" t="str">
        <f>計算表!C247</f>
        <v>8-寶店刷出數量</v>
      </c>
      <c r="D247" t="str">
        <f>計算表!D247</f>
        <v>商店 Lv.13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11=30</v>
      </c>
      <c r="H247" t="str">
        <f>計算表!H247</f>
        <v>12=30</v>
      </c>
      <c r="I247" t="str">
        <f>計算表!I247</f>
        <v>13=15</v>
      </c>
      <c r="J247" t="str">
        <f>計算表!J247</f>
        <v>14=15</v>
      </c>
      <c r="K247" t="str">
        <f>計算表!K247</f>
        <v>15=10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267</v>
      </c>
      <c r="B248">
        <f>計算表!B248</f>
        <v>0</v>
      </c>
      <c r="C248" t="str">
        <f>計算表!C248</f>
        <v>8-寶店刷出數量</v>
      </c>
      <c r="D248" t="str">
        <f>計算表!D248</f>
        <v>商店 Lv.14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12=30</v>
      </c>
      <c r="H248" t="str">
        <f>計算表!H248</f>
        <v>13=30</v>
      </c>
      <c r="I248" t="str">
        <f>計算表!I248</f>
        <v>14=15</v>
      </c>
      <c r="J248" t="str">
        <f>計算表!J248</f>
        <v>15=15</v>
      </c>
      <c r="K248" t="str">
        <f>計算表!K248</f>
        <v>16=10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268</v>
      </c>
      <c r="B249">
        <f>計算表!B249</f>
        <v>0</v>
      </c>
      <c r="C249" t="str">
        <f>計算表!C249</f>
        <v>8-寶店刷出數量</v>
      </c>
      <c r="D249" t="str">
        <f>計算表!D249</f>
        <v>商店 Lv.15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13=30</v>
      </c>
      <c r="H249" t="str">
        <f>計算表!H249</f>
        <v>14=30</v>
      </c>
      <c r="I249" t="str">
        <f>計算表!I249</f>
        <v>15=15</v>
      </c>
      <c r="J249" t="str">
        <f>計算表!J249</f>
        <v>16=15</v>
      </c>
      <c r="K249" t="str">
        <f>計算表!K249</f>
        <v>17=10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269</v>
      </c>
      <c r="B250">
        <f>計算表!B250</f>
        <v>0</v>
      </c>
      <c r="C250" t="str">
        <f>計算表!C250</f>
        <v>8-寶店刷出數量</v>
      </c>
      <c r="D250" t="str">
        <f>計算表!D250</f>
        <v>商店 Lv.16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14=30</v>
      </c>
      <c r="H250" t="str">
        <f>計算表!H250</f>
        <v>15=30</v>
      </c>
      <c r="I250" t="str">
        <f>計算表!I250</f>
        <v>16=15</v>
      </c>
      <c r="J250" t="str">
        <f>計算表!J250</f>
        <v>17=15</v>
      </c>
      <c r="K250" t="str">
        <f>計算表!K250</f>
        <v>18=10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270</v>
      </c>
      <c r="B251">
        <f>計算表!B251</f>
        <v>0</v>
      </c>
      <c r="C251" t="str">
        <f>計算表!C251</f>
        <v>8-寶店刷出數量</v>
      </c>
      <c r="D251" t="str">
        <f>計算表!D251</f>
        <v>商店 Lv.17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15=30</v>
      </c>
      <c r="H251" t="str">
        <f>計算表!H251</f>
        <v>16=30</v>
      </c>
      <c r="I251" t="str">
        <f>計算表!I251</f>
        <v>17=15</v>
      </c>
      <c r="J251" t="str">
        <f>計算表!J251</f>
        <v>18=15</v>
      </c>
      <c r="K251" t="str">
        <f>計算表!K251</f>
        <v>19=10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271</v>
      </c>
      <c r="B252">
        <f>計算表!B252</f>
        <v>0</v>
      </c>
      <c r="C252" t="str">
        <f>計算表!C252</f>
        <v>8-寶店刷出數量</v>
      </c>
      <c r="D252" t="str">
        <f>計算表!D252</f>
        <v>商店 Lv.18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15=10</v>
      </c>
      <c r="H252" t="str">
        <f>計算表!H252</f>
        <v>16=20</v>
      </c>
      <c r="I252" t="str">
        <f>計算表!I252</f>
        <v>17=30</v>
      </c>
      <c r="J252" t="str">
        <f>計算表!J252</f>
        <v>18=15</v>
      </c>
      <c r="K252" t="str">
        <f>計算表!K252</f>
        <v>19=15</v>
      </c>
      <c r="L252" t="str">
        <f>計算表!L252</f>
        <v>20=10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272</v>
      </c>
      <c r="B253">
        <f>計算表!B253</f>
        <v>0</v>
      </c>
      <c r="C253" t="str">
        <f>計算表!C253</f>
        <v>8-寶店刷出數量</v>
      </c>
      <c r="D253" t="str">
        <f>計算表!D253</f>
        <v>商店 Lv.19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15=10</v>
      </c>
      <c r="H253" t="str">
        <f>計算表!H253</f>
        <v>16=20</v>
      </c>
      <c r="I253" t="str">
        <f>計算表!I253</f>
        <v>17=30</v>
      </c>
      <c r="J253" t="str">
        <f>計算表!J253</f>
        <v>18=15</v>
      </c>
      <c r="K253" t="str">
        <f>計算表!K253</f>
        <v>19=15</v>
      </c>
      <c r="L253" t="str">
        <f>計算表!L253</f>
        <v>20=10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273</v>
      </c>
      <c r="B254">
        <f>計算表!B254</f>
        <v>0</v>
      </c>
      <c r="C254" t="str">
        <f>計算表!C254</f>
        <v>8-寶店刷出數量</v>
      </c>
      <c r="D254" t="str">
        <f>計算表!D254</f>
        <v>商店 Lv.20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15=10</v>
      </c>
      <c r="H254" t="str">
        <f>計算表!H254</f>
        <v>16=20</v>
      </c>
      <c r="I254" t="str">
        <f>計算表!I254</f>
        <v>17=30</v>
      </c>
      <c r="J254" t="str">
        <f>計算表!J254</f>
        <v>18=15</v>
      </c>
      <c r="K254" t="str">
        <f>計算表!K254</f>
        <v>19=15</v>
      </c>
      <c r="L254" t="str">
        <f>計算表!L254</f>
        <v>20=10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274</v>
      </c>
      <c r="B255">
        <f>計算表!B255</f>
        <v>0</v>
      </c>
      <c r="C255" t="str">
        <f>計算表!C255</f>
        <v>8-寶店刷出階級</v>
      </c>
      <c r="D255" t="str">
        <f>計算表!D255</f>
        <v>商店 Lv.1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1=75</v>
      </c>
      <c r="H255" t="str">
        <f>計算表!H255</f>
        <v>2=20</v>
      </c>
      <c r="I255" t="str">
        <f>計算表!I255</f>
        <v>3=4</v>
      </c>
      <c r="J255" t="str">
        <f>計算表!J255</f>
        <v>4=1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275</v>
      </c>
      <c r="B256">
        <f>計算表!B256</f>
        <v>0</v>
      </c>
      <c r="C256" t="str">
        <f>計算表!C256</f>
        <v>8-寶店刷出階級</v>
      </c>
      <c r="D256" t="str">
        <f>計算表!D256</f>
        <v>商店 Lv.2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1=73</v>
      </c>
      <c r="H256" t="str">
        <f>計算表!H256</f>
        <v>2=20</v>
      </c>
      <c r="I256" t="str">
        <f>計算表!I256</f>
        <v>3=5</v>
      </c>
      <c r="J256" t="str">
        <f>計算表!J256</f>
        <v>4=2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276</v>
      </c>
      <c r="B257">
        <f>計算表!B257</f>
        <v>0</v>
      </c>
      <c r="C257" t="str">
        <f>計算表!C257</f>
        <v>8-寶店刷出階級</v>
      </c>
      <c r="D257" t="str">
        <f>計算表!D257</f>
        <v>商店 Lv.3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1=71</v>
      </c>
      <c r="H257" t="str">
        <f>計算表!H257</f>
        <v>2=20</v>
      </c>
      <c r="I257" t="str">
        <f>計算表!I257</f>
        <v>3=6</v>
      </c>
      <c r="J257" t="str">
        <f>計算表!J257</f>
        <v>4=3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277</v>
      </c>
      <c r="B258">
        <f>計算表!B258</f>
        <v>0</v>
      </c>
      <c r="C258" t="str">
        <f>計算表!C258</f>
        <v>8-寶店刷出階級</v>
      </c>
      <c r="D258" t="str">
        <f>計算表!D258</f>
        <v>商店 Lv.4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1=70.5</v>
      </c>
      <c r="H258" t="str">
        <f>計算表!H258</f>
        <v>2=20</v>
      </c>
      <c r="I258" t="str">
        <f>計算表!I258</f>
        <v>3=6</v>
      </c>
      <c r="J258" t="str">
        <f>計算表!J258</f>
        <v>4=3</v>
      </c>
      <c r="K258" t="str">
        <f>計算表!K258</f>
        <v>5=0.5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278</v>
      </c>
      <c r="B259">
        <f>計算表!B259</f>
        <v>0</v>
      </c>
      <c r="C259" t="str">
        <f>計算表!C259</f>
        <v>8-寶店刷出階級</v>
      </c>
      <c r="D259" t="str">
        <f>計算表!D259</f>
        <v>商店 Lv.5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1=69</v>
      </c>
      <c r="H259" t="str">
        <f>計算表!H259</f>
        <v>2=20</v>
      </c>
      <c r="I259" t="str">
        <f>計算表!I259</f>
        <v>3=6</v>
      </c>
      <c r="J259" t="str">
        <f>計算表!J259</f>
        <v>4=4</v>
      </c>
      <c r="K259" t="str">
        <f>計算表!K259</f>
        <v>5=1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279</v>
      </c>
      <c r="B260">
        <f>計算表!B260</f>
        <v>0</v>
      </c>
      <c r="C260" t="str">
        <f>計算表!C260</f>
        <v>8-寶店刷出階級</v>
      </c>
      <c r="D260" t="str">
        <f>計算表!D260</f>
        <v>商店 Lv.6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1=67.5</v>
      </c>
      <c r="H260" t="str">
        <f>計算表!H260</f>
        <v>2=20</v>
      </c>
      <c r="I260" t="str">
        <f>計算表!I260</f>
        <v>3=6</v>
      </c>
      <c r="J260" t="str">
        <f>計算表!J260</f>
        <v>4=5</v>
      </c>
      <c r="K260" t="str">
        <f>計算表!K260</f>
        <v>5=1.5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280</v>
      </c>
      <c r="B261">
        <f>計算表!B261</f>
        <v>0</v>
      </c>
      <c r="C261" t="str">
        <f>計算表!C261</f>
        <v>8-寶店刷出階級</v>
      </c>
      <c r="D261" t="str">
        <f>計算表!D261</f>
        <v>商店 Lv.7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1=64</v>
      </c>
      <c r="H261" t="str">
        <f>計算表!H261</f>
        <v>2=20</v>
      </c>
      <c r="I261" t="str">
        <f>計算表!I261</f>
        <v>3=8</v>
      </c>
      <c r="J261" t="str">
        <f>計算表!J261</f>
        <v>4=6</v>
      </c>
      <c r="K261" t="str">
        <f>計算表!K261</f>
        <v>5=2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281</v>
      </c>
      <c r="B262">
        <f>計算表!B262</f>
        <v>0</v>
      </c>
      <c r="C262" t="str">
        <f>計算表!C262</f>
        <v>8-寶店刷出階級</v>
      </c>
      <c r="D262" t="str">
        <f>計算表!D262</f>
        <v>商店 Lv.8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1=61.5</v>
      </c>
      <c r="H262" t="str">
        <f>計算表!H262</f>
        <v>2=20</v>
      </c>
      <c r="I262" t="str">
        <f>計算表!I262</f>
        <v>3=9</v>
      </c>
      <c r="J262" t="str">
        <f>計算表!J262</f>
        <v>4=7</v>
      </c>
      <c r="K262" t="str">
        <f>計算表!K262</f>
        <v>5=2.5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282</v>
      </c>
      <c r="B263">
        <f>計算表!B263</f>
        <v>0</v>
      </c>
      <c r="C263" t="str">
        <f>計算表!C263</f>
        <v>8-寶店刷出階級</v>
      </c>
      <c r="D263" t="str">
        <f>計算表!D263</f>
        <v>商店 Lv.9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1=59</v>
      </c>
      <c r="H263" t="str">
        <f>計算表!H263</f>
        <v>2=20</v>
      </c>
      <c r="I263" t="str">
        <f>計算表!I263</f>
        <v>3=10</v>
      </c>
      <c r="J263" t="str">
        <f>計算表!J263</f>
        <v>4=8</v>
      </c>
      <c r="K263" t="str">
        <f>計算表!K263</f>
        <v>5=3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283</v>
      </c>
      <c r="B264">
        <f>計算表!B264</f>
        <v>0</v>
      </c>
      <c r="C264" t="str">
        <f>計算表!C264</f>
        <v>8-寶店刷出階級</v>
      </c>
      <c r="D264" t="str">
        <f>計算表!D264</f>
        <v>商店 Lv.10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1=58</v>
      </c>
      <c r="H264" t="str">
        <f>計算表!H264</f>
        <v>2=20</v>
      </c>
      <c r="I264" t="str">
        <f>計算表!I264</f>
        <v>3=10</v>
      </c>
      <c r="J264" t="str">
        <f>計算表!J264</f>
        <v>4=8</v>
      </c>
      <c r="K264" t="str">
        <f>計算表!K264</f>
        <v>5=3.5</v>
      </c>
      <c r="L264" t="str">
        <f>計算表!L264</f>
        <v>6=0.5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284</v>
      </c>
      <c r="B265">
        <f>計算表!B265</f>
        <v>0</v>
      </c>
      <c r="C265" t="str">
        <f>計算表!C265</f>
        <v>8-寶店刷出階級</v>
      </c>
      <c r="D265" t="str">
        <f>計算表!D265</f>
        <v>商店 Lv.11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1=57.25</v>
      </c>
      <c r="H265" t="str">
        <f>計算表!H265</f>
        <v>2=20</v>
      </c>
      <c r="I265" t="str">
        <f>計算表!I265</f>
        <v>3=10</v>
      </c>
      <c r="J265" t="str">
        <f>計算表!J265</f>
        <v>4=8</v>
      </c>
      <c r="K265" t="str">
        <f>計算表!K265</f>
        <v>5=4</v>
      </c>
      <c r="L265" t="str">
        <f>計算表!L265</f>
        <v>6=0.75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285</v>
      </c>
      <c r="B266">
        <f>計算表!B266</f>
        <v>0</v>
      </c>
      <c r="C266" t="str">
        <f>計算表!C266</f>
        <v>8-寶店刷出階級</v>
      </c>
      <c r="D266" t="str">
        <f>計算表!D266</f>
        <v>商店 Lv.12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1=53.5</v>
      </c>
      <c r="H266" t="str">
        <f>計算表!H266</f>
        <v>2=20</v>
      </c>
      <c r="I266" t="str">
        <f>計算表!I266</f>
        <v>3=12</v>
      </c>
      <c r="J266" t="str">
        <f>計算表!J266</f>
        <v>4=9</v>
      </c>
      <c r="K266" t="str">
        <f>計算表!K266</f>
        <v>5=4.5</v>
      </c>
      <c r="L266" t="str">
        <f>計算表!L266</f>
        <v>6=1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286</v>
      </c>
      <c r="B267">
        <f>計算表!B267</f>
        <v>0</v>
      </c>
      <c r="C267" t="str">
        <f>計算表!C267</f>
        <v>8-寶店刷出階級</v>
      </c>
      <c r="D267" t="str">
        <f>計算表!D267</f>
        <v>商店 Lv.13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1=53.25</v>
      </c>
      <c r="H267" t="str">
        <f>計算表!H267</f>
        <v>2=20</v>
      </c>
      <c r="I267" t="str">
        <f>計算表!I267</f>
        <v>3=12</v>
      </c>
      <c r="J267" t="str">
        <f>計算表!J267</f>
        <v>4=9</v>
      </c>
      <c r="K267" t="str">
        <f>計算表!K267</f>
        <v>5=4.5</v>
      </c>
      <c r="L267" t="str">
        <f>計算表!L267</f>
        <v>6=1.25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287</v>
      </c>
      <c r="B268">
        <f>計算表!B268</f>
        <v>0</v>
      </c>
      <c r="C268" t="str">
        <f>計算表!C268</f>
        <v>8-寶店刷出階級</v>
      </c>
      <c r="D268" t="str">
        <f>計算表!D268</f>
        <v>商店 Lv.14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1=53</v>
      </c>
      <c r="H268" t="str">
        <f>計算表!H268</f>
        <v>2=20</v>
      </c>
      <c r="I268" t="str">
        <f>計算表!I268</f>
        <v>3=12</v>
      </c>
      <c r="J268" t="str">
        <f>計算表!J268</f>
        <v>4=9</v>
      </c>
      <c r="K268" t="str">
        <f>計算表!K268</f>
        <v>5=4.5</v>
      </c>
      <c r="L268" t="str">
        <f>計算表!L268</f>
        <v>6=1.5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288</v>
      </c>
      <c r="B269">
        <f>計算表!B269</f>
        <v>0</v>
      </c>
      <c r="C269" t="str">
        <f>計算表!C269</f>
        <v>8-寶店刷出階級</v>
      </c>
      <c r="D269" t="str">
        <f>計算表!D269</f>
        <v>商店 Lv.15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1=51.5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</v>
      </c>
      <c r="M269" t="str">
        <f>計算表!M269</f>
        <v>7=0.5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289</v>
      </c>
      <c r="B270">
        <f>計算表!B270</f>
        <v>0</v>
      </c>
      <c r="C270" t="str">
        <f>計算表!C270</f>
        <v>8-寶店刷出階級</v>
      </c>
      <c r="D270" t="str">
        <f>計算表!D270</f>
        <v>商店 Lv.16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1=50.75</v>
      </c>
      <c r="H270" t="str">
        <f>計算表!H270</f>
        <v>2=20</v>
      </c>
      <c r="I270" t="str">
        <f>計算表!I270</f>
        <v>3=12</v>
      </c>
      <c r="J270" t="str">
        <f>計算表!J270</f>
        <v>4=10</v>
      </c>
      <c r="K270" t="str">
        <f>計算表!K270</f>
        <v>5=5</v>
      </c>
      <c r="L270" t="str">
        <f>計算表!L270</f>
        <v>6=1.25</v>
      </c>
      <c r="M270" t="str">
        <f>計算表!M270</f>
        <v>7=1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290</v>
      </c>
      <c r="B271">
        <f>計算表!B271</f>
        <v>0</v>
      </c>
      <c r="C271" t="str">
        <f>計算表!C271</f>
        <v>8-寶店刷出階級</v>
      </c>
      <c r="D271" t="str">
        <f>計算表!D271</f>
        <v>商店 Lv.17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1=50.5</v>
      </c>
      <c r="H271" t="str">
        <f>計算表!H271</f>
        <v>2=20</v>
      </c>
      <c r="I271" t="str">
        <f>計算表!I271</f>
        <v>3=12</v>
      </c>
      <c r="J271" t="str">
        <f>計算表!J271</f>
        <v>4=10</v>
      </c>
      <c r="K271" t="str">
        <f>計算表!K271</f>
        <v>5=5</v>
      </c>
      <c r="L271" t="str">
        <f>計算表!L271</f>
        <v>6=1.25</v>
      </c>
      <c r="M271" t="str">
        <f>計算表!M271</f>
        <v>7=1.25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291</v>
      </c>
      <c r="B272">
        <f>計算表!B272</f>
        <v>0</v>
      </c>
      <c r="C272" t="str">
        <f>計算表!C272</f>
        <v>8-寶店刷出階級</v>
      </c>
      <c r="D272" t="str">
        <f>計算表!D272</f>
        <v>商店 Lv.18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1=50</v>
      </c>
      <c r="H272" t="str">
        <f>計算表!H272</f>
        <v>2=20</v>
      </c>
      <c r="I272" t="str">
        <f>計算表!I272</f>
        <v>3=12</v>
      </c>
      <c r="J272" t="str">
        <f>計算表!J272</f>
        <v>4=10</v>
      </c>
      <c r="K272" t="str">
        <f>計算表!K272</f>
        <v>5=5</v>
      </c>
      <c r="L272" t="str">
        <f>計算表!L272</f>
        <v>6=1.25</v>
      </c>
      <c r="M272" t="str">
        <f>計算表!M272</f>
        <v>7=1.25</v>
      </c>
      <c r="N272" t="str">
        <f>計算表!N272</f>
        <v>8=0.5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292</v>
      </c>
      <c r="B273">
        <f>計算表!B273</f>
        <v>0</v>
      </c>
      <c r="C273" t="str">
        <f>計算表!C273</f>
        <v>8-寶店刷出階級</v>
      </c>
      <c r="D273" t="str">
        <f>計算表!D273</f>
        <v>商店 Lv.19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1=49.65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6=1.25</v>
      </c>
      <c r="M273" t="str">
        <f>計算表!M273</f>
        <v>7=1.25</v>
      </c>
      <c r="N273" t="str">
        <f>計算表!N273</f>
        <v>8=0.75</v>
      </c>
      <c r="O273" t="str">
        <f>計算表!O273</f>
        <v>9=0.1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293</v>
      </c>
      <c r="B274">
        <f>計算表!B274</f>
        <v>0</v>
      </c>
      <c r="C274" t="str">
        <f>計算表!C274</f>
        <v>8-寶店刷出階級</v>
      </c>
      <c r="D274" t="str">
        <f>計算表!D274</f>
        <v>商店 Lv.20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1=48.9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7=1.25</v>
      </c>
      <c r="N274" t="str">
        <f>計算表!N274</f>
        <v>8=1</v>
      </c>
      <c r="O274" t="str">
        <f>計算表!O274</f>
        <v>9=0.5</v>
      </c>
      <c r="P274" t="str">
        <f>計算表!P274</f>
        <v>10=0.1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294</v>
      </c>
      <c r="B275">
        <f>計算表!B275</f>
        <v>0</v>
      </c>
      <c r="C275" t="str">
        <f>計算表!C275</f>
        <v>9-技能</v>
      </c>
      <c r="D275" t="str">
        <f>計算表!D275</f>
        <v>技能原始傷害</v>
      </c>
      <c r="E275" t="str">
        <f>計算表!E275</f>
        <v>(base + per×(等級-1))% × 攻擊力</v>
      </c>
      <c r="F275" t="str">
        <f>計算表!F275</f>
        <v>各技能 base/per 見 skills.js 的 SKILLS 表（未納入本表）。</v>
      </c>
      <c r="G275">
        <f>計算表!G275</f>
        <v>0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295</v>
      </c>
      <c r="B276">
        <f>計算表!B276</f>
        <v>0</v>
      </c>
      <c r="C276" t="str">
        <f>計算表!C276</f>
        <v>9-技能</v>
      </c>
      <c r="D276" t="str">
        <f>計算表!D276</f>
        <v>一般技能法力消耗</v>
      </c>
      <c r="E276" t="str">
        <f>計算表!E276</f>
        <v>round(原始消耗 × (1 + a×(技能等級-1)))</v>
      </c>
      <c r="F276" t="str">
        <f>計算表!F276</f>
        <v>非複利。a=每級增幅。</v>
      </c>
      <c r="G276">
        <f>計算表!G276</f>
        <v>0.1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296</v>
      </c>
      <c r="B277">
        <f>計算表!B277</f>
        <v>0</v>
      </c>
      <c r="C277" t="str">
        <f>計算表!C277</f>
        <v>9-技能</v>
      </c>
      <c r="D277" t="str">
        <f>計算表!D277</f>
        <v>多敵人技能傷害</v>
      </c>
      <c r="E277" t="str">
        <f>計算表!E277</f>
        <v>原始傷害 × (1+範圍傷害%) ÷ 目標數</v>
      </c>
      <c r="F277" t="str">
        <f>計算表!F277</f>
        <v>單一目標不套用範圍傷害、也不除以目標數。　※規則寫死：原始傷害×(1+範圍傷害%)÷目標數。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297</v>
      </c>
      <c r="B278">
        <f>計算表!B278</f>
        <v>0</v>
      </c>
      <c r="C278" t="str">
        <f>計算表!C278</f>
        <v>9-技能</v>
      </c>
      <c r="D278" t="str">
        <f>計算表!D278</f>
        <v>實際冷卻</v>
      </c>
      <c r="E278" t="str">
        <f>計算表!E278</f>
        <v>技能冷卻 × (1 - 冷卻縮減%)</v>
      </c>
      <c r="F278" t="str">
        <f>計算表!F278</f>
        <v>規則寫死：技能CD×(1-冷卻縮減%)。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298</v>
      </c>
      <c r="B279">
        <f>計算表!B279</f>
        <v>0</v>
      </c>
      <c r="C279" t="str">
        <f>計算表!C279</f>
        <v>9-技能</v>
      </c>
      <c r="D279" t="str">
        <f>計算表!D279</f>
        <v>施放硬直</v>
      </c>
      <c r="E279" t="str">
        <f>計算表!E279</f>
        <v>0 秒</v>
      </c>
      <c r="F279" t="str">
        <f>計算表!F279</f>
        <v>普攻與技能並行；技能施放間隔由技能共用冷卻（GCD）控制。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299</v>
      </c>
      <c r="B280">
        <f>計算表!B280</f>
        <v>0</v>
      </c>
      <c r="C280" t="str">
        <f>計算表!C280</f>
        <v>9-技能</v>
      </c>
      <c r="D280" t="str">
        <f>計算表!D280</f>
        <v>技能共用冷卻(GCD)</v>
      </c>
      <c r="E280" t="str">
        <f>計算表!E280</f>
        <v>a 秒（固定，不受冷卻縮減影響）</v>
      </c>
      <c r="F280" t="str">
        <f>計算表!F280</f>
        <v>技能最短施放間隔；普攻擊殺後換目標也沿用此間隔。</v>
      </c>
      <c r="G280">
        <f>計算表!G280</f>
        <v>0.4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300</v>
      </c>
      <c r="B281">
        <f>計算表!B281</f>
        <v>0</v>
      </c>
      <c r="C281" t="str">
        <f>計算表!C281</f>
        <v>9-技能</v>
      </c>
      <c r="D281" t="str">
        <f>計算表!D281</f>
        <v>升級費用</v>
      </c>
      <c r="E281" t="str">
        <f>計算表!E281</f>
        <v>a×當前等級 + b^(1 + 當前等級/c)</v>
      </c>
      <c r="F281" t="str">
        <f>計算表!F281</f>
        <v>上限 5,000,000；降級全額退還。</v>
      </c>
      <c r="G281">
        <f>計算表!G281</f>
        <v>1000</v>
      </c>
      <c r="H281">
        <f>計算表!H281</f>
        <v>20</v>
      </c>
      <c r="I281">
        <f>計算表!I281</f>
        <v>10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301</v>
      </c>
      <c r="B282">
        <f>計算表!B282</f>
        <v>0</v>
      </c>
      <c r="C282" t="str">
        <f>計算表!C282</f>
        <v>9-技能</v>
      </c>
      <c r="D282" t="str">
        <f>計算表!D282</f>
        <v>等級上限</v>
      </c>
      <c r="E282" t="str">
        <f>計算表!E282</f>
        <v>全部技能（含被動/融合/潛力）10；轉生後 15</v>
      </c>
      <c r="F282" t="str">
        <f>計算表!F282</f>
        <v>2026-07-30 改制：上限走「轉生對照表」param e；4/8 級里程碑效果移除門檻、自 Lv.1 全附加。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302</v>
      </c>
      <c r="B283">
        <f>計算表!B283</f>
        <v>0</v>
      </c>
      <c r="C283" t="str">
        <f>計算表!C283</f>
        <v>9-技能</v>
      </c>
      <c r="D283" t="str">
        <f>計算表!D283</f>
        <v>奧術衝擊(基礎技能)</v>
      </c>
      <c r="E283" t="str">
        <f>計算表!E283</f>
        <v>MP a／冷卻 b 秒／施法 c 秒／魔攻×d＋物攻×e</v>
      </c>
      <c r="F283" t="str">
        <f>計算表!F283</f>
        <v>固定自動施放技能常數。</v>
      </c>
      <c r="G283">
        <f>計算表!G283</f>
        <v>30</v>
      </c>
      <c r="H283">
        <f>計算表!H283</f>
        <v>10</v>
      </c>
      <c r="I283">
        <f>計算表!I283</f>
        <v>0.8</v>
      </c>
      <c r="J283">
        <f>計算表!J283</f>
        <v>1.5</v>
      </c>
      <c r="K283">
        <f>計算表!K283</f>
        <v>0.3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303</v>
      </c>
      <c r="B284">
        <f>計算表!B284</f>
        <v>0</v>
      </c>
      <c r="C284" t="str">
        <f>計算表!C284</f>
        <v>9-融合</v>
      </c>
      <c r="D284" t="str">
        <f>計算表!D284</f>
        <v>素材繼承比例</v>
      </c>
      <c r="E284" t="str">
        <f>計算表!E284</f>
        <v>各素材 base/per × a 後加總</v>
      </c>
      <c r="F284" t="str">
        <f>計算表!F284</f>
        <v>2026-07-30 種子演算法後不再使用（FUSE_FACTOR 僅保留相容）；新演算法見「攻擊力四檔」等新列。</v>
      </c>
      <c r="G284">
        <f>計算表!G284</f>
        <v>0.75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304</v>
      </c>
      <c r="B285">
        <f>計算表!B285</f>
        <v>0</v>
      </c>
      <c r="C285" t="str">
        <f>計算表!C285</f>
        <v>9-融合</v>
      </c>
      <c r="D285" t="str">
        <f>計算表!D285</f>
        <v>融合冷卻</v>
      </c>
      <c r="E285" t="str">
        <f>計算表!E285</f>
        <v>素材最長冷卻 × a</v>
      </c>
      <c r="F285">
        <f>計算表!F285</f>
        <v>0</v>
      </c>
      <c r="G285">
        <f>計算表!G285</f>
        <v>1.25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305</v>
      </c>
      <c r="B286">
        <f>計算表!B286</f>
        <v>0</v>
      </c>
      <c r="C286" t="str">
        <f>計算表!C286</f>
        <v>9-融合</v>
      </c>
      <c r="D286" t="str">
        <f>計算表!D286</f>
        <v>變異觸發率</v>
      </c>
      <c r="E286" t="str">
        <f>計算表!E286</f>
        <v>a%</v>
      </c>
      <c r="F286" t="str">
        <f>計算表!F286</f>
        <v>8 種變異，至多 1 種。b 不再使用。</v>
      </c>
      <c r="G286">
        <f>計算表!G286</f>
        <v>45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306</v>
      </c>
      <c r="B287">
        <f>計算表!B287</f>
        <v>0</v>
      </c>
      <c r="C287" t="str">
        <f>計算表!C287</f>
        <v>9-融合</v>
      </c>
      <c r="D287" t="str">
        <f>計算表!D287</f>
        <v>DoT/控場/增益合併</v>
      </c>
      <c r="E287" t="str">
        <f>計算表!E287</f>
        <v>（種子演算法）buff/debuff 依鐘形權重取 1~N 個；數值於上限一半~上限均分 4 檔隨機</v>
      </c>
      <c r="F287" t="str">
        <f>計算表!F287</f>
        <v>2026-07-30 改制：舊合併規則廢止。增益/減益池=素材滿級效果同 key 取高；特效整包取 1 個素材（見「效果融合機率」）。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307</v>
      </c>
      <c r="B288">
        <f>計算表!B288</f>
        <v>0</v>
      </c>
      <c r="C288" t="str">
        <f>計算表!C288</f>
        <v>9-融合</v>
      </c>
      <c r="D288" t="str">
        <f>計算表!D288</f>
        <v>融合技能法力消耗</v>
      </c>
      <c r="E288" t="str">
        <f>計算表!E288</f>
        <v>round(素材原始消耗總和 × (1 + a×(融合技等級-1)))</v>
      </c>
      <c r="F288" t="str">
        <f>計算表!F288</f>
        <v>與「9-技能/一般技能法力消耗」共用公式，本列不生效。融合技法力=素材原始消耗總和。</v>
      </c>
      <c r="G288">
        <f>計算表!G288</f>
        <v>0.1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308</v>
      </c>
      <c r="B289">
        <f>計算表!B289</f>
        <v>0</v>
      </c>
      <c r="C289" t="str">
        <f>計算表!C289</f>
        <v>10-離線</v>
      </c>
      <c r="D289" t="str">
        <f>計算表!D289</f>
        <v>有效離線時間</v>
      </c>
      <c r="E289" t="str">
        <f>計算表!E289</f>
        <v>min(實際離線秒數, a 小時)</v>
      </c>
      <c r="F289" t="str">
        <f>計算表!F289</f>
        <v>1 分鐘內不計。</v>
      </c>
      <c r="G289">
        <f>計算表!G289</f>
        <v>24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309</v>
      </c>
      <c r="B290">
        <f>計算表!B290</f>
        <v>0</v>
      </c>
      <c r="C290" t="str">
        <f>計算表!C290</f>
        <v>10-離線</v>
      </c>
      <c r="D290" t="str">
        <f>計算表!D290</f>
        <v>計算等級</v>
      </c>
      <c r="E290" t="str">
        <f>計算表!E290</f>
        <v>捨去((目前地圖最高階段 × c - a) ÷ b) × b（下限 1）</v>
      </c>
      <c r="F290" t="str">
        <f>計算表!F290</f>
        <v>a=等級扣減；b=取整單位；c=關卡比例；以此等級的當前場景菁英怪計算離線收益。</v>
      </c>
      <c r="G290">
        <f>計算表!G290</f>
        <v>10</v>
      </c>
      <c r="H290">
        <f>計算表!H290</f>
        <v>10</v>
      </c>
      <c r="I290">
        <f>計算表!I290</f>
        <v>1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310</v>
      </c>
      <c r="B291">
        <f>計算表!B291</f>
        <v>0</v>
      </c>
      <c r="C291" t="str">
        <f>計算表!C291</f>
        <v>10-離線</v>
      </c>
      <c r="D291" t="str">
        <f>計算表!D291</f>
        <v>擊殺速率</v>
      </c>
      <c r="E291" t="str">
        <f>計算表!E291</f>
        <v>每 a 秒擊殺 1 隻菁英怪</v>
      </c>
      <c r="F291" t="str">
        <f>計算表!F291</f>
        <v>a=擊殺間隔秒數；擊殺數 = ⌊有效離線秒數 ÷ a⌋，每隻菁英怪及其掉落單獨擲骰。</v>
      </c>
      <c r="G291">
        <f>計算表!G291</f>
        <v>10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311</v>
      </c>
      <c r="B292">
        <f>計算表!B292</f>
        <v>0</v>
      </c>
      <c r="C292" t="str">
        <f>計算表!C292</f>
        <v>10-離線</v>
      </c>
      <c r="D292" t="str">
        <f>計算表!D292</f>
        <v>怪物種類</v>
      </c>
      <c r="E292" t="str">
        <f>計算表!E292</f>
        <v>a＝1 時使用菁英怪；a＝0 時使用普通怪</v>
      </c>
      <c r="F292" t="str">
        <f>計算表!F292</f>
        <v>離線收益的怪物種類；菁英怪會套用菁英經驗與掉落倍率。</v>
      </c>
      <c r="G292">
        <f>計算表!G292</f>
        <v>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312</v>
      </c>
      <c r="B293">
        <f>計算表!B293</f>
        <v>0</v>
      </c>
      <c r="C293" t="str">
        <f>計算表!C293</f>
        <v>表-稀有度</v>
      </c>
      <c r="D293" t="str">
        <f>計算表!D293</f>
        <v>普通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1</v>
      </c>
      <c r="H293">
        <f>計算表!H293</f>
        <v>1</v>
      </c>
      <c r="I293">
        <f>計算表!I293</f>
        <v>1</v>
      </c>
      <c r="J293">
        <f>計算表!J293</f>
        <v>1</v>
      </c>
      <c r="K293">
        <f>計算表!K293</f>
        <v>0</v>
      </c>
      <c r="L293">
        <f>計算表!L293</f>
        <v>1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313</v>
      </c>
      <c r="B294">
        <f>計算表!B294</f>
        <v>0</v>
      </c>
      <c r="C294" t="str">
        <f>計算表!C294</f>
        <v>表-稀有度</v>
      </c>
      <c r="D294" t="str">
        <f>計算表!D294</f>
        <v>精良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1.35</v>
      </c>
      <c r="H294">
        <f>計算表!H294</f>
        <v>2</v>
      </c>
      <c r="I294">
        <f>計算表!I294</f>
        <v>2</v>
      </c>
      <c r="J294">
        <f>計算表!J294</f>
        <v>1</v>
      </c>
      <c r="K294">
        <f>計算表!K294</f>
        <v>1</v>
      </c>
      <c r="L294">
        <f>計算表!L294</f>
        <v>1.7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314</v>
      </c>
      <c r="B295">
        <f>計算表!B295</f>
        <v>0</v>
      </c>
      <c r="C295" t="str">
        <f>計算表!C295</f>
        <v>表-稀有度</v>
      </c>
      <c r="D295" t="str">
        <f>計算表!D295</f>
        <v>稀有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1.75</v>
      </c>
      <c r="H295">
        <f>計算表!H295</f>
        <v>2</v>
      </c>
      <c r="I295">
        <f>計算表!I295</f>
        <v>2</v>
      </c>
      <c r="J295">
        <f>計算表!J295</f>
        <v>1</v>
      </c>
      <c r="K295">
        <f>計算表!K295</f>
        <v>1</v>
      </c>
      <c r="L295">
        <f>計算表!L295</f>
        <v>2.8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315</v>
      </c>
      <c r="B296">
        <f>計算表!B296</f>
        <v>0</v>
      </c>
      <c r="C296" t="str">
        <f>計算表!C296</f>
        <v>表-稀有度</v>
      </c>
      <c r="D296" t="str">
        <f>計算表!D296</f>
        <v>獨特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2.2999999999999998</v>
      </c>
      <c r="H296">
        <f>計算表!H296</f>
        <v>3</v>
      </c>
      <c r="I296">
        <f>計算表!I296</f>
        <v>3</v>
      </c>
      <c r="J296">
        <f>計算表!J296</f>
        <v>2</v>
      </c>
      <c r="K296">
        <f>計算表!K296</f>
        <v>1</v>
      </c>
      <c r="L296">
        <f>計算表!L296</f>
        <v>4.5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316</v>
      </c>
      <c r="B297">
        <f>計算表!B297</f>
        <v>0</v>
      </c>
      <c r="C297" t="str">
        <f>計算表!C297</f>
        <v>表-稀有度</v>
      </c>
      <c r="D297" t="str">
        <f>計算表!D297</f>
        <v>史詩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3</v>
      </c>
      <c r="H297">
        <f>計算表!H297</f>
        <v>4</v>
      </c>
      <c r="I297">
        <f>計算表!I297</f>
        <v>4</v>
      </c>
      <c r="J297">
        <f>計算表!J297</f>
        <v>3</v>
      </c>
      <c r="K297">
        <f>計算表!K297</f>
        <v>2</v>
      </c>
      <c r="L297">
        <f>計算表!L297</f>
        <v>7.5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317</v>
      </c>
      <c r="B298">
        <f>計算表!B298</f>
        <v>0</v>
      </c>
      <c r="C298" t="str">
        <f>計算表!C298</f>
        <v>表-稀有度</v>
      </c>
      <c r="D298" t="str">
        <f>計算表!D298</f>
        <v>傳說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4</v>
      </c>
      <c r="H298">
        <f>計算表!H298</f>
        <v>5</v>
      </c>
      <c r="I298">
        <f>計算表!I298</f>
        <v>5</v>
      </c>
      <c r="J298">
        <f>計算表!J298</f>
        <v>4</v>
      </c>
      <c r="K298">
        <f>計算表!K298</f>
        <v>2</v>
      </c>
      <c r="L298">
        <f>計算表!L298</f>
        <v>12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318</v>
      </c>
      <c r="B299">
        <f>計算表!B299</f>
        <v>0</v>
      </c>
      <c r="C299" t="str">
        <f>計算表!C299</f>
        <v>表-稀有度</v>
      </c>
      <c r="D299" t="str">
        <f>計算表!D299</f>
        <v>神話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5.2</v>
      </c>
      <c r="H299">
        <f>計算表!H299</f>
        <v>6</v>
      </c>
      <c r="I299">
        <f>計算表!I299</f>
        <v>6</v>
      </c>
      <c r="J299">
        <f>計算表!J299</f>
        <v>5</v>
      </c>
      <c r="K299">
        <f>計算表!K299</f>
        <v>2</v>
      </c>
      <c r="L299">
        <f>計算表!L299</f>
        <v>19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319</v>
      </c>
      <c r="B300">
        <f>計算表!B300</f>
        <v>0</v>
      </c>
      <c r="C300" t="str">
        <f>計算表!C300</f>
        <v>表-稀有度</v>
      </c>
      <c r="D300" t="str">
        <f>計算表!D300</f>
        <v>創世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6.8</v>
      </c>
      <c r="H300">
        <f>計算表!H300</f>
        <v>7</v>
      </c>
      <c r="I300">
        <f>計算表!I300</f>
        <v>7</v>
      </c>
      <c r="J300">
        <f>計算表!J300</f>
        <v>6</v>
      </c>
      <c r="K300">
        <f>計算表!K300</f>
        <v>3</v>
      </c>
      <c r="L300">
        <f>計算表!L300</f>
        <v>30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320</v>
      </c>
      <c r="B301">
        <f>計算表!B301</f>
        <v>0</v>
      </c>
      <c r="C301" t="str">
        <f>計算表!C301</f>
        <v>表-稀有度</v>
      </c>
      <c r="D301" t="str">
        <f>計算表!D301</f>
        <v>神鑄創世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10.199999999999999</v>
      </c>
      <c r="H301">
        <f>計算表!H301</f>
        <v>8</v>
      </c>
      <c r="I301">
        <f>計算表!I301</f>
        <v>8</v>
      </c>
      <c r="J301">
        <f>計算表!J301</f>
        <v>6</v>
      </c>
      <c r="K301">
        <f>計算表!K301</f>
        <v>3</v>
      </c>
      <c r="L301">
        <f>計算表!L301</f>
        <v>45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321</v>
      </c>
      <c r="B302">
        <f>計算表!B302</f>
        <v>0</v>
      </c>
      <c r="C302" t="str">
        <f>計算表!C302</f>
        <v>表-自動機組零件</v>
      </c>
      <c r="D302" t="str">
        <f>計算表!D302</f>
        <v>加速齒輪</v>
      </c>
      <c r="E302" t="str">
        <f>計算表!E302</f>
        <v>效果值 = a + b × (等級-1)</v>
      </c>
      <c r="F302" t="str">
        <f>計算表!F302</f>
        <v>a=基礎值 b=每級增加值；節點為 salvage。分解速度另固定+50個百分點。</v>
      </c>
      <c r="G302">
        <f>計算表!G302</f>
        <v>25</v>
      </c>
      <c r="H302">
        <f>計算表!H302</f>
        <v>25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322</v>
      </c>
      <c r="B303">
        <f>計算表!B303</f>
        <v>0</v>
      </c>
      <c r="C303" t="str">
        <f>計算表!C303</f>
        <v>表-自動機組零件</v>
      </c>
      <c r="D303" t="str">
        <f>計算表!D303</f>
        <v>碎片熔煉爐</v>
      </c>
      <c r="E303" t="str">
        <f>計算表!E303</f>
        <v>效果值 = a + b × (等級-1)</v>
      </c>
      <c r="F303" t="str">
        <f>計算表!F303</f>
        <v>a=基礎值 b=每級增加值；節點為 salvage。分解碎片產量加成。</v>
      </c>
      <c r="G303">
        <f>計算表!G303</f>
        <v>20</v>
      </c>
      <c r="H303">
        <f>計算表!H303</f>
        <v>20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323</v>
      </c>
      <c r="B304">
        <f>計算表!B304</f>
        <v>0</v>
      </c>
      <c r="C304" t="str">
        <f>計算表!C304</f>
        <v>表-自動機組零件</v>
      </c>
      <c r="D304" t="str">
        <f>計算表!D304</f>
        <v>淘金濾網</v>
      </c>
      <c r="E304" t="str">
        <f>計算表!E304</f>
        <v>效果值 = a + b × (等級-1)</v>
      </c>
      <c r="F304" t="str">
        <f>計算表!F304</f>
        <v>a=基礎值 b=每級增加值；分解時獲得當前關卡敵人金幣的 a%。</v>
      </c>
      <c r="G304">
        <f>計算表!G304</f>
        <v>3</v>
      </c>
      <c r="H304">
        <f>計算表!H304</f>
        <v>1.5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324</v>
      </c>
      <c r="B305">
        <f>計算表!B305</f>
        <v>0</v>
      </c>
      <c r="C305" t="str">
        <f>計算表!C305</f>
        <v>表-自動機組零件</v>
      </c>
      <c r="D305" t="str">
        <f>計算表!D305</f>
        <v>精粹透鏡</v>
      </c>
      <c r="E305" t="str">
        <f>計算表!E305</f>
        <v>效果值 = a + b × (等級-1)</v>
      </c>
      <c r="F305" t="str">
        <f>計算表!F305</f>
        <v>a=基礎值 b=每級增加值；節點為 salvage。附魔精華拆解產出率加成。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325</v>
      </c>
      <c r="B306">
        <f>計算表!B306</f>
        <v>0</v>
      </c>
      <c r="C306" t="str">
        <f>計算表!C306</f>
        <v>表-自動機組零件</v>
      </c>
      <c r="D306" t="str">
        <f>計算表!D306</f>
        <v>知識核心</v>
      </c>
      <c r="E306" t="str">
        <f>計算表!E306</f>
        <v>效果值 = a + b × (等級-1)</v>
      </c>
      <c r="F306" t="str">
        <f>計算表!F306</f>
        <v>a=基礎值 b=每級增加值；分解時獲得當前關卡敵人經驗的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326</v>
      </c>
      <c r="B307">
        <f>計算表!B307</f>
        <v>0</v>
      </c>
      <c r="C307" t="str">
        <f>計算表!C307</f>
        <v>表-自動機組零件</v>
      </c>
      <c r="D307" t="str">
        <f>計算表!D307</f>
        <v>寶石採集器</v>
      </c>
      <c r="E307" t="str">
        <f>計算表!E307</f>
        <v>效果值 = a + b × (等級-1)</v>
      </c>
      <c r="F307" t="str">
        <f>計算表!F307</f>
        <v>a=基礎值 b=每級增加值；分解時有 a% 機率獲得 1 級寶石。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327</v>
      </c>
      <c r="B308">
        <f>計算表!B308</f>
        <v>0</v>
      </c>
      <c r="C308" t="str">
        <f>計算表!C308</f>
        <v>表-自動機組零件</v>
      </c>
      <c r="D308" t="str">
        <f>計算表!D308</f>
        <v>幸運之心</v>
      </c>
      <c r="E308" t="str">
        <f>計算表!E308</f>
        <v>效果值 = a + b × (等級-1)</v>
      </c>
      <c r="F308" t="str">
        <f>計算表!F308</f>
        <v>a=基礎值 b=每級增加值；分解時有 a% 機率使所有產物變為 3 倍。</v>
      </c>
      <c r="G308">
        <f>計算表!G308</f>
        <v>1</v>
      </c>
      <c r="H308">
        <f>計算表!H308</f>
        <v>0.5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328</v>
      </c>
      <c r="B309">
        <f>計算表!B309</f>
        <v>0</v>
      </c>
      <c r="C309" t="str">
        <f>計算表!C309</f>
        <v>表-自動機組零件</v>
      </c>
      <c r="D309" t="str">
        <f>計算表!D309</f>
        <v>太古精華萃取器</v>
      </c>
      <c r="E309" t="str">
        <f>計算表!E309</f>
        <v>效果值 = a + b × (等級-1)</v>
      </c>
      <c r="F309" t="str">
        <f>計算表!F309</f>
        <v>a=基礎值 b=每級增加值；分解太古精華掉落率加成。</v>
      </c>
      <c r="G309">
        <f>計算表!G309</f>
        <v>25</v>
      </c>
      <c r="H309">
        <f>計算表!H309</f>
        <v>25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329</v>
      </c>
      <c r="B310">
        <f>計算表!B310</f>
        <v>0</v>
      </c>
      <c r="C310" t="str">
        <f>計算表!C310</f>
        <v>表-自動機組零件</v>
      </c>
      <c r="D310" t="str">
        <f>計算表!D310</f>
        <v>熔爐核心</v>
      </c>
      <c r="E310" t="str">
        <f>計算表!E310</f>
        <v>效果值 = a + b × (等級-1)</v>
      </c>
      <c r="F310" t="str">
        <f>計算表!F310</f>
        <v>a=基礎值 b=每級增加值；熔爐上的其他零件效果額外提升 a%，多個核心直接疊加。</v>
      </c>
      <c r="G310">
        <f>計算表!G310</f>
        <v>5</v>
      </c>
      <c r="H310">
        <f>計算表!H310</f>
        <v>2.5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0</v>
      </c>
      <c r="B311">
        <f>計算表!B311</f>
        <v>0</v>
      </c>
      <c r="C311">
        <f>計算表!C311</f>
        <v>0</v>
      </c>
      <c r="D311">
        <f>計算表!D311</f>
        <v>0</v>
      </c>
      <c r="E311">
        <f>計算表!E311</f>
        <v>0</v>
      </c>
      <c r="F311">
        <f>計算表!F311</f>
        <v>0</v>
      </c>
      <c r="G311">
        <f>計算表!G311</f>
        <v>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0</v>
      </c>
      <c r="B312">
        <f>計算表!B312</f>
        <v>0</v>
      </c>
      <c r="C312">
        <f>計算表!C312</f>
        <v>0</v>
      </c>
      <c r="D312">
        <f>計算表!D312</f>
        <v>0</v>
      </c>
      <c r="E312">
        <f>計算表!E312</f>
        <v>0</v>
      </c>
      <c r="F312">
        <f>計算表!F312</f>
        <v>0</v>
      </c>
      <c r="G312">
        <f>計算表!G312</f>
        <v>0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0</v>
      </c>
      <c r="B313">
        <f>計算表!B313</f>
        <v>0</v>
      </c>
      <c r="C313">
        <f>計算表!C313</f>
        <v>0</v>
      </c>
      <c r="D313">
        <f>計算表!D313</f>
        <v>0</v>
      </c>
      <c r="E313">
        <f>計算表!E313</f>
        <v>0</v>
      </c>
      <c r="F313">
        <f>計算表!F313</f>
        <v>0</v>
      </c>
      <c r="G313">
        <f>計算表!G313</f>
        <v>0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333</v>
      </c>
      <c r="B314">
        <f>計算表!B314</f>
        <v>0</v>
      </c>
      <c r="C314" t="str">
        <f>計算表!C314</f>
        <v>表-固定參數</v>
      </c>
      <c r="D314" t="str">
        <f>計算表!D314</f>
        <v>出怪間隔</v>
      </c>
      <c r="E314" t="str">
        <f>計算表!E314</f>
        <v>a 秒 × (1-移動速度%)</v>
      </c>
      <c r="F314" t="str">
        <f>計算表!F314</f>
        <v>RESPAWN_DELAY。</v>
      </c>
      <c r="G314">
        <f>計算表!G314</f>
        <v>0.8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334</v>
      </c>
      <c r="B315">
        <f>計算表!B315</f>
        <v>0</v>
      </c>
      <c r="C315" t="str">
        <f>計算表!C315</f>
        <v>表-固定參數</v>
      </c>
      <c r="D315" t="str">
        <f>計算表!D315</f>
        <v>死亡復活時間</v>
      </c>
      <c r="E315" t="str">
        <f>計算表!E315</f>
        <v>a 秒</v>
      </c>
      <c r="F315" t="str">
        <f>計算表!F315</f>
        <v>REVIVE_DELAY。</v>
      </c>
      <c r="G315">
        <f>計算表!G315</f>
        <v>3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335</v>
      </c>
      <c r="B316">
        <f>計算表!B316</f>
        <v>0</v>
      </c>
      <c r="C316" t="str">
        <f>計算表!C316</f>
        <v>表-固定參數</v>
      </c>
      <c r="D316" t="str">
        <f>計算表!D316</f>
        <v>零件階級上限</v>
      </c>
      <c r="E316" t="str">
        <f>計算表!E316</f>
        <v>T a</v>
      </c>
      <c r="F316" t="str">
        <f>計算表!F316</f>
        <v>PART_MAX_TIER。</v>
      </c>
      <c r="G316">
        <f>計算表!G316</f>
        <v>10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336</v>
      </c>
      <c r="B317">
        <f>計算表!B317</f>
        <v>0</v>
      </c>
      <c r="C317" t="str">
        <f>計算表!C317</f>
        <v>表-固定參數</v>
      </c>
      <c r="D317" t="str">
        <f>計算表!D317</f>
        <v>零件庫存保留</v>
      </c>
      <c r="E317" t="str">
        <f>計算表!E317</f>
        <v>每種未安裝最多保留 a 顆</v>
      </c>
      <c r="F317" t="str">
        <f>計算表!F317</f>
        <v>PART_KEEP_PER_KEY，多餘自動分解。</v>
      </c>
      <c r="G317">
        <f>計算表!G317</f>
        <v>10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337</v>
      </c>
      <c r="B318">
        <f>計算表!B318</f>
        <v>0</v>
      </c>
      <c r="C318" t="str">
        <f>計算表!C318</f>
        <v>表-固定參數</v>
      </c>
      <c r="D318" t="str">
        <f>計算表!D318</f>
        <v>合成節點槽位</v>
      </c>
      <c r="E318" t="str">
        <f>計算表!E318</f>
        <v>a 格</v>
      </c>
      <c r="F318" t="str">
        <f>計算表!F318</f>
        <v>分解槽為金幣解鎖 10~20 格。　※合成功能已停用，本列未生效。</v>
      </c>
      <c r="G318">
        <f>計算表!G318</f>
        <v>2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338</v>
      </c>
      <c r="B319">
        <f>計算表!B319</f>
        <v>0</v>
      </c>
      <c r="C319" t="str">
        <f>計算表!C319</f>
        <v>表-固定參數</v>
      </c>
      <c r="D319" t="str">
        <f>計算表!D319</f>
        <v>寶石一般上限 / 神鑄上限</v>
      </c>
      <c r="E319" t="str">
        <f>計算表!E319</f>
        <v>一般 a 階；神鑄可到 b 階</v>
      </c>
      <c r="F319" t="str">
        <f>計算表!F319</f>
        <v>GEM_MAX_LEVEL / GEM_FORGE_MAX_LEVEL。</v>
      </c>
      <c r="G319">
        <f>計算表!G319</f>
        <v>5</v>
      </c>
      <c r="H319">
        <f>計算表!H319</f>
        <v>10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339</v>
      </c>
      <c r="B320">
        <f>計算表!B320</f>
        <v>0</v>
      </c>
      <c r="C320" t="str">
        <f>計算表!C320</f>
        <v>表-固定參數</v>
      </c>
      <c r="D320" t="str">
        <f>計算表!D320</f>
        <v>詞條數硬上限</v>
      </c>
      <c r="E320" t="str">
        <f>計算表!E320</f>
        <v>a 條</v>
      </c>
      <c r="F320" t="str">
        <f>計算表!F320</f>
        <v>MAX_AFFIXES = 單件裝備詞條數的安全硬上限；目前稀有度表最高 10 條。</v>
      </c>
      <c r="G320">
        <f>計算表!G320</f>
        <v>10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340</v>
      </c>
      <c r="B321">
        <f>計算表!B321</f>
        <v>0</v>
      </c>
      <c r="C321" t="str">
        <f>計算表!C321</f>
        <v>表-固定參數</v>
      </c>
      <c r="D321" t="str">
        <f>計算表!D321</f>
        <v>零件升級金錢消耗</v>
      </c>
      <c r="E321" t="str">
        <f>計算表!E321</f>
        <v>a + b × c^升級後等級</v>
      </c>
      <c r="F321" t="str">
        <f>計算表!F321</f>
        <v>零件升級至下一級的金幣消耗；指數中的零件等級是升級後目標等級，例如 T5→T6 代入 6。</v>
      </c>
      <c r="G321">
        <f>計算表!G321</f>
        <v>20000</v>
      </c>
      <c r="H321">
        <f>計算表!H321</f>
        <v>10000</v>
      </c>
      <c r="I321">
        <f>計算表!I321</f>
        <v>6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341</v>
      </c>
      <c r="B322">
        <f>計算表!B322</f>
        <v>0</v>
      </c>
      <c r="C322" t="str">
        <f>計算表!C322</f>
        <v>表-稀有度</v>
      </c>
      <c r="D322" t="str">
        <f>計算表!D322</f>
        <v>混沌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f=分解係數；倍率與分解係數為暫定值，可調整。</v>
      </c>
      <c r="G322">
        <f>計算表!G322</f>
        <v>15.3</v>
      </c>
      <c r="H322">
        <f>計算表!H322</f>
        <v>9</v>
      </c>
      <c r="I322">
        <f>計算表!I322</f>
        <v>9</v>
      </c>
      <c r="J322">
        <f>計算表!J322</f>
        <v>6</v>
      </c>
      <c r="K322">
        <f>計算表!K322</f>
        <v>3</v>
      </c>
      <c r="L322">
        <f>計算表!L322</f>
        <v>67.5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342</v>
      </c>
      <c r="B323">
        <f>計算表!B323</f>
        <v>0</v>
      </c>
      <c r="C323" t="str">
        <f>計算表!C323</f>
        <v>表-稀有度</v>
      </c>
      <c r="D323" t="str">
        <f>計算表!D323</f>
        <v>神鑄混沌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f=分解係數；倍率與分解係數為暫定值，可調整。</v>
      </c>
      <c r="G323">
        <f>計算表!G323</f>
        <v>22.95</v>
      </c>
      <c r="H323">
        <f>計算表!H323</f>
        <v>10</v>
      </c>
      <c r="I323">
        <f>計算表!I323</f>
        <v>10</v>
      </c>
      <c r="J323">
        <f>計算表!J323</f>
        <v>7</v>
      </c>
      <c r="K323">
        <f>計算表!K323</f>
        <v>3</v>
      </c>
      <c r="L323">
        <f>計算表!L323</f>
        <v>101.25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343</v>
      </c>
      <c r="B324">
        <f>計算表!B324</f>
        <v>0</v>
      </c>
      <c r="C324" t="str">
        <f>計算表!C324</f>
        <v>6-神鑄</v>
      </c>
      <c r="D324" t="str">
        <f>計算表!D324</f>
        <v>裝備神鑄混沌基礎成功率</v>
      </c>
      <c r="E324" t="str">
        <f>計算表!E324</f>
        <v>混沌品質基礎成功率 a%</v>
      </c>
      <c r="F324" t="str">
        <f>計算表!F324</f>
        <v>6 件混沌裝備神鑄為神鑄混沌的基礎成功率。</v>
      </c>
      <c r="G324">
        <f>計算表!G324</f>
        <v>20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344</v>
      </c>
      <c r="B325">
        <f>計算表!B325</f>
        <v>0</v>
      </c>
      <c r="C325" t="str">
        <f>計算表!C325</f>
        <v>6-神鑄</v>
      </c>
      <c r="D325" t="str">
        <f>計算表!D325</f>
        <v>裝備神鑄混沌金幣</v>
      </c>
      <c r="E325" t="str">
        <f>計算表!E325</f>
        <v>混沌品質單次金幣消耗 a</v>
      </c>
      <c r="F325" t="str">
        <f>計算表!F325</f>
        <v>暫定 5 億，可自行調整。</v>
      </c>
      <c r="G325">
        <f>計算表!G325</f>
        <v>500000000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345</v>
      </c>
      <c r="B326">
        <f>計算表!B326</f>
        <v>0</v>
      </c>
      <c r="C326" t="str">
        <f>計算表!C326</f>
        <v>6-神鑄</v>
      </c>
      <c r="D326" t="str">
        <f>計算表!D326</f>
        <v>裝備神鑄混沌時間(秒)</v>
      </c>
      <c r="E326" t="str">
        <f>計算表!E326</f>
        <v>混沌品質神鑄時間 a 秒</v>
      </c>
      <c r="F326" t="str">
        <f>計算表!F326</f>
        <v>暫定 13 秒，可自行調整。</v>
      </c>
      <c r="G326">
        <f>計算表!G326</f>
        <v>13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346</v>
      </c>
      <c r="B327">
        <f>計算表!B327</f>
        <v>0</v>
      </c>
      <c r="C327" t="str">
        <f>計算表!C327</f>
        <v>1-成長經驗</v>
      </c>
      <c r="D327" t="str">
        <f>計算表!D327</f>
        <v>技能熟練度經驗需求</v>
      </c>
      <c r="E327" t="str">
        <f>計算表!E327</f>
        <v>a×熟練度等級^b + c</v>
      </c>
      <c r="F327" t="str">
        <f>計算表!F327</f>
        <v>技能熟練度升 1 級所需經驗（沿用玩家升級公式未轉生版；L=目前熟練度等級）。</v>
      </c>
      <c r="G327">
        <f>計算表!G327</f>
        <v>30</v>
      </c>
      <c r="H327">
        <f>計算表!H327</f>
        <v>3</v>
      </c>
      <c r="I327">
        <f>計算表!I327</f>
        <v>20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347</v>
      </c>
      <c r="B328">
        <f>計算表!B328</f>
        <v>0</v>
      </c>
      <c r="C328" t="str">
        <f>計算表!C328</f>
        <v>1-成長經驗</v>
      </c>
      <c r="D328" t="str">
        <f>計算表!D328</f>
        <v>技能熟練度</v>
      </c>
      <c r="E328" t="str">
        <f>計算表!E328</f>
        <v>上限 a 級；擊殺技能經驗 = 怪物經驗 × b%</v>
      </c>
      <c r="F328" t="str">
        <f>計算表!F328</f>
        <v>打怪（野外/高塔/離線）獲得技能經驗；每升 1 級 +1 技能點。初始 0 級。</v>
      </c>
      <c r="G328">
        <f>計算表!G328</f>
        <v>1000</v>
      </c>
      <c r="H328">
        <f>計算表!H328</f>
        <v>90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348</v>
      </c>
      <c r="B329">
        <f>計算表!B329</f>
        <v>0</v>
      </c>
      <c r="C329" t="str">
        <f>計算表!C329</f>
        <v>9-融合</v>
      </c>
      <c r="D329" t="str">
        <f>計算表!D329</f>
        <v>融合花費</v>
      </c>
      <c r="E329" t="str">
        <f>計算表!E329</f>
        <v>金幣 a × 素材數；魔法卷軸 b 張 × 素材數</v>
      </c>
      <c r="F329" t="str">
        <f>計算表!F329</f>
        <v>執行技能融合的花費。</v>
      </c>
      <c r="G329">
        <f>計算表!G329</f>
        <v>50000</v>
      </c>
      <c r="H329">
        <f>計算表!H329</f>
        <v>5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349</v>
      </c>
      <c r="B330">
        <f>計算表!B330</f>
        <v>0</v>
      </c>
      <c r="C330" t="str">
        <f>計算表!C330</f>
        <v>9-融合</v>
      </c>
      <c r="D330" t="str">
        <f>計算表!D330</f>
        <v>物魔判定</v>
      </c>
      <c r="E330" t="str">
        <f>計算表!E330</f>
        <v>混合素材：物/魔依素材數比例分掉 (100-a)%，物+魔佔 a%；雙屬性每段攻擊係數 b</v>
      </c>
      <c r="F330" t="str">
        <f>計算表!F330</f>
        <v>2 物 2 魔時即 45/45/10。純物理/純魔法素材不擲骰；任一真傷素材→真傷。</v>
      </c>
      <c r="G330">
        <f>計算表!G330</f>
        <v>10</v>
      </c>
      <c r="H330">
        <f>計算表!H330</f>
        <v>0.65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350</v>
      </c>
      <c r="B331">
        <f>計算表!B331</f>
        <v>0</v>
      </c>
      <c r="C331" t="str">
        <f>計算表!C331</f>
        <v>9-融合</v>
      </c>
      <c r="D331" t="str">
        <f>計算表!D331</f>
        <v>攻擊力四檔</v>
      </c>
      <c r="E331" t="str">
        <f>計算表!E331</f>
        <v>素材滿級傷害% 平均 → ×a/b/c/d%，機率 e/f/g/h%</v>
      </c>
      <c r="F331" t="str">
        <f>計算表!F331</f>
        <v>融合技攻擊力四檔位與機率。</v>
      </c>
      <c r="G331">
        <f>計算表!G331</f>
        <v>75</v>
      </c>
      <c r="H331">
        <f>計算表!H331</f>
        <v>100</v>
      </c>
      <c r="I331">
        <f>計算表!I331</f>
        <v>125</v>
      </c>
      <c r="J331">
        <f>計算表!J331</f>
        <v>150</v>
      </c>
      <c r="K331">
        <f>計算表!K331</f>
        <v>20</v>
      </c>
      <c r="L331">
        <f>計算表!L331</f>
        <v>30</v>
      </c>
      <c r="M331">
        <f>計算表!M331</f>
        <v>30</v>
      </c>
      <c r="N331">
        <f>計算表!N331</f>
        <v>20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351</v>
      </c>
      <c r="B332">
        <f>計算表!B332</f>
        <v>0</v>
      </c>
      <c r="C332" t="str">
        <f>計算表!C332</f>
        <v>9-融合</v>
      </c>
      <c r="D332" t="str">
        <f>計算表!D332</f>
        <v>同屬性加成</v>
      </c>
      <c r="E332" t="str">
        <f>計算表!E332</f>
        <v>素材中同屬性每多 1 個，該屬性最終傷害 +a%</v>
      </c>
      <c r="F332" t="str">
        <f>計算表!F332</f>
        <v>等價折入 elems 權重與總傷害值（戰鬥端零改動）。物理視為一種屬性、每個物理素材佔 2 份。</v>
      </c>
      <c r="G332">
        <f>計算表!G332</f>
        <v>25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352</v>
      </c>
      <c r="B333">
        <f>計算表!B333</f>
        <v>0</v>
      </c>
      <c r="C333" t="str">
        <f>計算表!C333</f>
        <v>9-融合</v>
      </c>
      <c r="D333" t="str">
        <f>計算表!D333</f>
        <v>效果融合機率</v>
      </c>
      <c r="E333" t="str">
        <f>計算表!E333</f>
        <v>a%</v>
      </c>
      <c r="F333" t="str">
        <f>計算表!F333</f>
        <v>特效正常取 1 個素材的特效包；a% 機率再併入第 2 個素材的特效包（最多 2 個）。</v>
      </c>
      <c r="G333">
        <f>計算表!G333</f>
        <v>5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353</v>
      </c>
      <c r="B334">
        <f>計算表!B334</f>
        <v>0</v>
      </c>
      <c r="C334" t="str">
        <f>計算表!C334</f>
        <v>9-融合</v>
      </c>
      <c r="D334" t="str">
        <f>計算表!D334</f>
        <v>成長曲線</v>
      </c>
      <c r="E334" t="str">
        <f>計算表!E334</f>
        <v>Lv.1 = 滿級值 × a，線性成長至滿級（10 級基準）</v>
      </c>
      <c r="F334" t="str">
        <f>計算表!F334</f>
        <v>融合技所有隨機結果值為滿級值；轉生上限 15 時可超過滿級值（與一般技能同理）。</v>
      </c>
      <c r="G334">
        <f>計算表!G334</f>
        <v>0.6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354</v>
      </c>
      <c r="B335">
        <f>計算表!B335</f>
        <v>0</v>
      </c>
      <c r="C335" t="str">
        <f>計算表!C335</f>
        <v>6-分解精華機率</v>
      </c>
      <c r="D335" t="str">
        <f>計算表!D335</f>
        <v>魔法卷軸換算</v>
      </c>
      <c r="E335" t="str">
        <f>計算表!E335</f>
        <v>魔法卷軸 = 附魔精華實得量 × a（機率式進位）</v>
      </c>
      <c r="F335" t="str">
        <f>計算表!F335</f>
        <v>拆解裝備與高塔通關皆適用；期望值 = 精華量 × a。</v>
      </c>
      <c r="G335">
        <f>計算表!G335</f>
        <v>0.1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355</v>
      </c>
      <c r="B336">
        <f>計算表!B336</f>
        <v>0</v>
      </c>
      <c r="C336" t="str">
        <f>計算表!C336</f>
        <v>0-遊戲預設</v>
      </c>
      <c r="D336" t="str">
        <f>計算表!D336</f>
        <v>開場金幣</v>
      </c>
      <c r="E336" t="str">
        <f>計算表!E336</f>
        <v>a</v>
      </c>
      <c r="F336" t="str">
        <f>計算表!F336</f>
        <v>新遊戲與重新開局時給予的金幣數量。</v>
      </c>
      <c r="G336">
        <f>計算表!G336</f>
        <v>50000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356</v>
      </c>
      <c r="B337">
        <f>計算表!B337</f>
        <v>0</v>
      </c>
      <c r="C337" t="str">
        <f>計算表!C337</f>
        <v>0-遊戲預設</v>
      </c>
      <c r="D337" t="str">
        <f>計算表!D337</f>
        <v>開場裝備碎片</v>
      </c>
      <c r="E337" t="str">
        <f>計算表!E337</f>
        <v>a</v>
      </c>
      <c r="F337" t="str">
        <f>計算表!F337</f>
        <v>新遊戲與重新開局時給予的裝備碎片數量。</v>
      </c>
      <c r="G337">
        <f>計算表!G337</f>
        <v>500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357</v>
      </c>
      <c r="B338">
        <f>計算表!B338</f>
        <v>0</v>
      </c>
      <c r="C338" t="str">
        <f>計算表!C338</f>
        <v>0-遊戲預設</v>
      </c>
      <c r="D338" t="str">
        <f>計算表!D338</f>
        <v>開場附魔精華</v>
      </c>
      <c r="E338" t="str">
        <f>計算表!E338</f>
        <v>a</v>
      </c>
      <c r="F338" t="str">
        <f>計算表!F338</f>
        <v>新遊戲與重新開局時給予的附魔精華數量。</v>
      </c>
      <c r="G338">
        <f>計算表!G338</f>
        <v>100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8"/>
  <sheetViews>
    <sheetView topLeftCell="A64" workbookViewId="0">
      <selection activeCell="I82" sqref="I82"/>
    </sheetView>
  </sheetViews>
  <sheetFormatPr defaultRowHeight="15" x14ac:dyDescent="0.25"/>
  <cols>
    <col min="3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v>81</v>
      </c>
      <c r="B82">
        <v>0</v>
      </c>
      <c r="C82" t="s">
        <v>194</v>
      </c>
      <c r="D82" s="1" t="s">
        <v>1006</v>
      </c>
      <c r="E82" s="2" t="s">
        <v>1007</v>
      </c>
      <c r="F82" s="2" t="s">
        <v>1008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v>96</v>
      </c>
      <c r="B97">
        <v>0</v>
      </c>
      <c r="C97" t="s">
        <v>253</v>
      </c>
      <c r="D97" t="s">
        <v>280</v>
      </c>
      <c r="E97" t="s">
        <v>281</v>
      </c>
      <c r="F97" t="s">
        <v>282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v>97</v>
      </c>
      <c r="B98">
        <v>0</v>
      </c>
      <c r="C98" t="s">
        <v>283</v>
      </c>
      <c r="D98" t="s">
        <v>284</v>
      </c>
      <c r="E98" t="s">
        <v>285</v>
      </c>
      <c r="F98" t="s">
        <v>286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v>98</v>
      </c>
      <c r="B99">
        <v>0</v>
      </c>
      <c r="C99" t="s">
        <v>283</v>
      </c>
      <c r="D99" t="s">
        <v>287</v>
      </c>
      <c r="E99" t="s">
        <v>285</v>
      </c>
      <c r="F99" t="s">
        <v>286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v>99</v>
      </c>
      <c r="B100">
        <v>0</v>
      </c>
      <c r="C100" t="s">
        <v>283</v>
      </c>
      <c r="D100" t="s">
        <v>288</v>
      </c>
      <c r="E100" t="s">
        <v>285</v>
      </c>
      <c r="F100" t="s">
        <v>286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v>100</v>
      </c>
      <c r="B101">
        <v>0</v>
      </c>
      <c r="C101" t="s">
        <v>283</v>
      </c>
      <c r="D101" t="s">
        <v>289</v>
      </c>
      <c r="E101" t="s">
        <v>285</v>
      </c>
      <c r="F101" t="s">
        <v>286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v>101</v>
      </c>
      <c r="B102">
        <v>0</v>
      </c>
      <c r="C102" t="s">
        <v>283</v>
      </c>
      <c r="D102" t="s">
        <v>290</v>
      </c>
      <c r="E102" t="s">
        <v>285</v>
      </c>
      <c r="F102" t="s">
        <v>286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v>102</v>
      </c>
      <c r="B103">
        <v>0</v>
      </c>
      <c r="C103" t="s">
        <v>283</v>
      </c>
      <c r="D103" t="s">
        <v>291</v>
      </c>
      <c r="E103" t="s">
        <v>285</v>
      </c>
      <c r="F103" t="s">
        <v>286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v>103</v>
      </c>
      <c r="B104">
        <v>0</v>
      </c>
      <c r="C104" t="s">
        <v>292</v>
      </c>
      <c r="D104" t="s">
        <v>293</v>
      </c>
      <c r="E104" t="s">
        <v>294</v>
      </c>
      <c r="F104" t="s">
        <v>295</v>
      </c>
      <c r="G104" t="s">
        <v>296</v>
      </c>
      <c r="H104" t="s">
        <v>297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v>104</v>
      </c>
      <c r="B105">
        <v>0</v>
      </c>
      <c r="C105" t="s">
        <v>292</v>
      </c>
      <c r="D105" t="s">
        <v>298</v>
      </c>
      <c r="E105" t="s">
        <v>294</v>
      </c>
      <c r="F105" t="s">
        <v>295</v>
      </c>
      <c r="G105" t="s">
        <v>299</v>
      </c>
      <c r="H105" t="s">
        <v>300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v>105</v>
      </c>
      <c r="B106">
        <v>0</v>
      </c>
      <c r="C106" t="s">
        <v>292</v>
      </c>
      <c r="D106" t="s">
        <v>301</v>
      </c>
      <c r="E106" t="s">
        <v>294</v>
      </c>
      <c r="F106" t="s">
        <v>295</v>
      </c>
      <c r="G106" t="s">
        <v>302</v>
      </c>
      <c r="H106" t="s">
        <v>303</v>
      </c>
      <c r="I106" t="s">
        <v>304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v>106</v>
      </c>
      <c r="B107">
        <v>0</v>
      </c>
      <c r="C107" t="s">
        <v>292</v>
      </c>
      <c r="D107" t="s">
        <v>305</v>
      </c>
      <c r="E107" t="s">
        <v>294</v>
      </c>
      <c r="F107" t="s">
        <v>295</v>
      </c>
      <c r="G107" t="s">
        <v>306</v>
      </c>
      <c r="H107" t="s">
        <v>307</v>
      </c>
      <c r="I107" t="s">
        <v>308</v>
      </c>
      <c r="J107" t="s">
        <v>309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v>107</v>
      </c>
      <c r="B108">
        <v>0</v>
      </c>
      <c r="C108" t="s">
        <v>292</v>
      </c>
      <c r="D108" t="s">
        <v>310</v>
      </c>
      <c r="E108" t="s">
        <v>294</v>
      </c>
      <c r="F108" t="s">
        <v>295</v>
      </c>
      <c r="G108" t="s">
        <v>311</v>
      </c>
      <c r="H108" t="s">
        <v>312</v>
      </c>
      <c r="I108" t="s">
        <v>313</v>
      </c>
      <c r="J108" t="s">
        <v>314</v>
      </c>
      <c r="K108" t="s">
        <v>315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v>108</v>
      </c>
      <c r="B109">
        <v>0</v>
      </c>
      <c r="C109" t="s">
        <v>292</v>
      </c>
      <c r="D109" t="s">
        <v>316</v>
      </c>
      <c r="E109" t="s">
        <v>294</v>
      </c>
      <c r="F109" t="s">
        <v>295</v>
      </c>
      <c r="G109" t="s">
        <v>317</v>
      </c>
      <c r="H109" t="s">
        <v>318</v>
      </c>
      <c r="I109" t="s">
        <v>319</v>
      </c>
      <c r="J109" t="s">
        <v>320</v>
      </c>
      <c r="K109" t="s">
        <v>321</v>
      </c>
      <c r="L109" t="s">
        <v>322</v>
      </c>
      <c r="M109" t="s">
        <v>323</v>
      </c>
      <c r="N109" t="s">
        <v>324</v>
      </c>
      <c r="O109" t="s">
        <v>325</v>
      </c>
      <c r="P109" t="s">
        <v>326</v>
      </c>
      <c r="Q109" t="s">
        <v>327</v>
      </c>
      <c r="R109">
        <v>0</v>
      </c>
    </row>
    <row r="110" spans="1:18" x14ac:dyDescent="0.25">
      <c r="A110">
        <v>109</v>
      </c>
      <c r="B110">
        <v>0</v>
      </c>
      <c r="C110" t="s">
        <v>292</v>
      </c>
      <c r="D110" t="s">
        <v>328</v>
      </c>
      <c r="E110" t="s">
        <v>294</v>
      </c>
      <c r="F110" t="s">
        <v>329</v>
      </c>
      <c r="G110" t="s">
        <v>330</v>
      </c>
      <c r="H110" t="s">
        <v>331</v>
      </c>
      <c r="I110" t="s">
        <v>300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v>110</v>
      </c>
      <c r="B111">
        <v>0</v>
      </c>
      <c r="C111" t="s">
        <v>292</v>
      </c>
      <c r="D111" t="s">
        <v>332</v>
      </c>
      <c r="E111" t="s">
        <v>294</v>
      </c>
      <c r="F111" t="s">
        <v>333</v>
      </c>
      <c r="G111" t="s">
        <v>334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v>111</v>
      </c>
      <c r="B112">
        <v>0</v>
      </c>
      <c r="C112" t="s">
        <v>335</v>
      </c>
      <c r="D112" t="s">
        <v>336</v>
      </c>
      <c r="E112" t="s">
        <v>337</v>
      </c>
      <c r="F112" t="s">
        <v>338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v>112</v>
      </c>
      <c r="B113">
        <v>0</v>
      </c>
      <c r="C113" t="s">
        <v>335</v>
      </c>
      <c r="D113" t="s">
        <v>339</v>
      </c>
      <c r="E113" t="s">
        <v>340</v>
      </c>
      <c r="F113" t="s">
        <v>341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v>113</v>
      </c>
      <c r="B114">
        <v>0</v>
      </c>
      <c r="C114" t="s">
        <v>335</v>
      </c>
      <c r="D114" t="s">
        <v>342</v>
      </c>
      <c r="E114" t="s">
        <v>343</v>
      </c>
      <c r="F114" t="s">
        <v>344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v>114</v>
      </c>
      <c r="B115">
        <v>0</v>
      </c>
      <c r="C115" t="s">
        <v>345</v>
      </c>
      <c r="D115" t="s">
        <v>346</v>
      </c>
      <c r="E115" t="s">
        <v>347</v>
      </c>
      <c r="F115" t="s">
        <v>348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v>115</v>
      </c>
      <c r="B116">
        <v>0</v>
      </c>
      <c r="C116" t="s">
        <v>345</v>
      </c>
      <c r="D116" t="s">
        <v>349</v>
      </c>
      <c r="E116" t="s">
        <v>350</v>
      </c>
      <c r="F116" t="s">
        <v>351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v>116</v>
      </c>
      <c r="B117">
        <v>0</v>
      </c>
      <c r="C117" t="s">
        <v>345</v>
      </c>
      <c r="D117" t="s">
        <v>352</v>
      </c>
      <c r="E117" t="s">
        <v>281</v>
      </c>
      <c r="F117" t="s">
        <v>353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v>117</v>
      </c>
      <c r="B118">
        <v>0</v>
      </c>
      <c r="C118" t="s">
        <v>283</v>
      </c>
      <c r="D118" t="s">
        <v>284</v>
      </c>
      <c r="E118" t="s">
        <v>39</v>
      </c>
      <c r="F118" t="s">
        <v>354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355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v>118</v>
      </c>
      <c r="B119">
        <v>0</v>
      </c>
      <c r="C119" t="s">
        <v>283</v>
      </c>
      <c r="D119" t="s">
        <v>287</v>
      </c>
      <c r="E119" t="s">
        <v>39</v>
      </c>
      <c r="F119" t="s">
        <v>354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356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v>119</v>
      </c>
      <c r="B120">
        <v>0</v>
      </c>
      <c r="C120" t="s">
        <v>283</v>
      </c>
      <c r="D120" t="s">
        <v>288</v>
      </c>
      <c r="E120" t="s">
        <v>39</v>
      </c>
      <c r="F120" t="s">
        <v>354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357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v>120</v>
      </c>
      <c r="B121">
        <v>0</v>
      </c>
      <c r="C121" t="s">
        <v>358</v>
      </c>
      <c r="D121" t="s">
        <v>359</v>
      </c>
      <c r="E121" t="s">
        <v>360</v>
      </c>
      <c r="F121" t="s">
        <v>361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v>121</v>
      </c>
      <c r="B122">
        <v>0</v>
      </c>
      <c r="C122" t="s">
        <v>358</v>
      </c>
      <c r="D122" t="s">
        <v>362</v>
      </c>
      <c r="E122" t="s">
        <v>363</v>
      </c>
      <c r="F122" t="s">
        <v>364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v>122</v>
      </c>
      <c r="B123">
        <v>0</v>
      </c>
      <c r="C123" t="s">
        <v>358</v>
      </c>
      <c r="D123" t="s">
        <v>137</v>
      </c>
      <c r="E123" t="s">
        <v>365</v>
      </c>
      <c r="F123" t="s">
        <v>366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v>123</v>
      </c>
      <c r="B124">
        <v>0</v>
      </c>
      <c r="C124" t="s">
        <v>358</v>
      </c>
      <c r="D124" t="s">
        <v>367</v>
      </c>
      <c r="E124" t="s">
        <v>368</v>
      </c>
      <c r="F124" t="s">
        <v>369</v>
      </c>
      <c r="G124" t="s">
        <v>370</v>
      </c>
      <c r="H124" t="s">
        <v>371</v>
      </c>
      <c r="I124" t="s">
        <v>372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v>124</v>
      </c>
      <c r="B125">
        <v>0</v>
      </c>
      <c r="C125" t="s">
        <v>358</v>
      </c>
      <c r="D125" t="s">
        <v>254</v>
      </c>
      <c r="E125" t="s">
        <v>373</v>
      </c>
      <c r="F125" t="s">
        <v>374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v>125</v>
      </c>
      <c r="B126">
        <v>0</v>
      </c>
      <c r="C126" t="s">
        <v>358</v>
      </c>
      <c r="D126" t="s">
        <v>257</v>
      </c>
      <c r="E126" t="s">
        <v>375</v>
      </c>
      <c r="F126" t="s">
        <v>376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v>126</v>
      </c>
      <c r="B127">
        <v>0</v>
      </c>
      <c r="C127" t="s">
        <v>358</v>
      </c>
      <c r="D127" t="s">
        <v>377</v>
      </c>
      <c r="E127" t="s">
        <v>378</v>
      </c>
      <c r="F127" t="s">
        <v>379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v>127</v>
      </c>
      <c r="B128">
        <v>0</v>
      </c>
      <c r="C128" t="s">
        <v>358</v>
      </c>
      <c r="D128" t="s">
        <v>380</v>
      </c>
      <c r="E128" t="s">
        <v>381</v>
      </c>
      <c r="F128" t="s">
        <v>382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v>128</v>
      </c>
      <c r="B129">
        <v>0</v>
      </c>
      <c r="C129" t="s">
        <v>358</v>
      </c>
      <c r="D129" t="s">
        <v>140</v>
      </c>
      <c r="E129" t="s">
        <v>383</v>
      </c>
      <c r="F129" t="s">
        <v>384</v>
      </c>
      <c r="G129">
        <v>8</v>
      </c>
      <c r="H129">
        <v>10000000</v>
      </c>
      <c r="I129">
        <v>20</v>
      </c>
      <c r="J129">
        <v>8</v>
      </c>
      <c r="K129">
        <v>10000000</v>
      </c>
      <c r="L129">
        <v>20</v>
      </c>
      <c r="M129">
        <v>8</v>
      </c>
      <c r="N129">
        <v>10000000</v>
      </c>
      <c r="O129">
        <v>20</v>
      </c>
      <c r="P129">
        <v>0</v>
      </c>
      <c r="Q129">
        <v>0</v>
      </c>
      <c r="R129">
        <v>0</v>
      </c>
    </row>
    <row r="130" spans="1:18" x14ac:dyDescent="0.25">
      <c r="A130">
        <v>129</v>
      </c>
      <c r="B130">
        <v>0</v>
      </c>
      <c r="C130" t="s">
        <v>358</v>
      </c>
      <c r="D130" t="s">
        <v>385</v>
      </c>
      <c r="E130" t="s">
        <v>386</v>
      </c>
      <c r="F130" t="s">
        <v>387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v>130</v>
      </c>
      <c r="B131">
        <v>0</v>
      </c>
      <c r="C131" t="s">
        <v>358</v>
      </c>
      <c r="D131" t="s">
        <v>260</v>
      </c>
      <c r="E131" t="s">
        <v>388</v>
      </c>
      <c r="F131" t="s">
        <v>389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v>131</v>
      </c>
      <c r="B132">
        <v>0</v>
      </c>
      <c r="C132" t="s">
        <v>358</v>
      </c>
      <c r="D132" t="s">
        <v>390</v>
      </c>
      <c r="E132" t="s">
        <v>391</v>
      </c>
      <c r="F132" t="s">
        <v>392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v>132</v>
      </c>
      <c r="B133">
        <v>0</v>
      </c>
      <c r="C133" t="s">
        <v>358</v>
      </c>
      <c r="D133" t="s">
        <v>393</v>
      </c>
      <c r="E133" t="s">
        <v>394</v>
      </c>
      <c r="F133" t="s">
        <v>395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v>133</v>
      </c>
      <c r="B134">
        <v>0</v>
      </c>
      <c r="C134" t="s">
        <v>358</v>
      </c>
      <c r="D134" t="s">
        <v>396</v>
      </c>
      <c r="E134" t="s">
        <v>394</v>
      </c>
      <c r="F134" t="s">
        <v>397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v>134</v>
      </c>
      <c r="B135">
        <v>0</v>
      </c>
      <c r="C135" t="s">
        <v>358</v>
      </c>
      <c r="D135" t="s">
        <v>398</v>
      </c>
      <c r="E135" t="s">
        <v>399</v>
      </c>
      <c r="F135" t="s">
        <v>400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v>135</v>
      </c>
      <c r="B136">
        <v>0</v>
      </c>
      <c r="C136" t="s">
        <v>358</v>
      </c>
      <c r="D136" t="s">
        <v>401</v>
      </c>
      <c r="E136" t="s">
        <v>402</v>
      </c>
      <c r="F136" t="s">
        <v>403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v>136</v>
      </c>
      <c r="B137">
        <v>0</v>
      </c>
      <c r="C137" t="s">
        <v>358</v>
      </c>
      <c r="D137" t="s">
        <v>404</v>
      </c>
      <c r="E137" t="s">
        <v>405</v>
      </c>
      <c r="F137" t="s">
        <v>406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v>137</v>
      </c>
      <c r="B138">
        <v>0</v>
      </c>
      <c r="C138" t="s">
        <v>358</v>
      </c>
      <c r="D138" t="s">
        <v>407</v>
      </c>
      <c r="E138" t="s">
        <v>408</v>
      </c>
      <c r="F138" t="s">
        <v>397</v>
      </c>
      <c r="G138" t="s">
        <v>409</v>
      </c>
      <c r="H138" t="s">
        <v>410</v>
      </c>
      <c r="I138" t="s">
        <v>411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v>138</v>
      </c>
      <c r="B139">
        <v>0</v>
      </c>
      <c r="C139" t="s">
        <v>412</v>
      </c>
      <c r="D139" t="s">
        <v>413</v>
      </c>
      <c r="E139" t="s">
        <v>414</v>
      </c>
      <c r="F139" t="s">
        <v>415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v>139</v>
      </c>
      <c r="B140">
        <v>0</v>
      </c>
      <c r="C140" t="s">
        <v>412</v>
      </c>
      <c r="D140" t="s">
        <v>416</v>
      </c>
      <c r="E140" t="s">
        <v>417</v>
      </c>
      <c r="F140" t="s">
        <v>418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v>140</v>
      </c>
      <c r="B141">
        <v>0</v>
      </c>
      <c r="C141" t="s">
        <v>412</v>
      </c>
      <c r="D141" t="s">
        <v>419</v>
      </c>
      <c r="E141" t="s">
        <v>420</v>
      </c>
      <c r="F141" t="s">
        <v>421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v>141</v>
      </c>
      <c r="B142">
        <v>0</v>
      </c>
      <c r="C142" t="s">
        <v>422</v>
      </c>
      <c r="D142" t="s">
        <v>423</v>
      </c>
      <c r="E142" t="s">
        <v>424</v>
      </c>
      <c r="F142" t="s">
        <v>425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v>142</v>
      </c>
      <c r="B143">
        <v>0</v>
      </c>
      <c r="C143" t="s">
        <v>422</v>
      </c>
      <c r="D143" t="s">
        <v>426</v>
      </c>
      <c r="E143" t="s">
        <v>427</v>
      </c>
      <c r="F143" t="s">
        <v>428</v>
      </c>
      <c r="G143">
        <v>55</v>
      </c>
      <c r="H143" t="s">
        <v>429</v>
      </c>
      <c r="I143" t="s">
        <v>430</v>
      </c>
      <c r="J143" t="s">
        <v>355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v>143</v>
      </c>
      <c r="B144">
        <v>0</v>
      </c>
      <c r="C144" t="s">
        <v>422</v>
      </c>
      <c r="D144" t="s">
        <v>431</v>
      </c>
      <c r="E144" t="s">
        <v>427</v>
      </c>
      <c r="F144" t="s">
        <v>428</v>
      </c>
      <c r="G144">
        <v>25</v>
      </c>
      <c r="H144" t="s">
        <v>429</v>
      </c>
      <c r="I144">
        <v>2</v>
      </c>
      <c r="J144" t="s">
        <v>355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v>144</v>
      </c>
      <c r="B145">
        <v>0</v>
      </c>
      <c r="C145" t="s">
        <v>422</v>
      </c>
      <c r="D145" t="s">
        <v>432</v>
      </c>
      <c r="E145" t="s">
        <v>427</v>
      </c>
      <c r="F145" t="s">
        <v>428</v>
      </c>
      <c r="G145">
        <v>12</v>
      </c>
      <c r="H145" t="s">
        <v>429</v>
      </c>
      <c r="I145">
        <v>2.5</v>
      </c>
      <c r="J145" t="s">
        <v>355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v>145</v>
      </c>
      <c r="B146">
        <v>0</v>
      </c>
      <c r="C146" t="s">
        <v>422</v>
      </c>
      <c r="D146" t="s">
        <v>433</v>
      </c>
      <c r="E146" t="s">
        <v>427</v>
      </c>
      <c r="F146" t="s">
        <v>428</v>
      </c>
      <c r="G146">
        <v>5.5</v>
      </c>
      <c r="H146" t="s">
        <v>429</v>
      </c>
      <c r="I146">
        <v>3</v>
      </c>
      <c r="J146" t="s">
        <v>355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v>146</v>
      </c>
      <c r="B147">
        <v>0</v>
      </c>
      <c r="C147" t="s">
        <v>422</v>
      </c>
      <c r="D147" t="s">
        <v>434</v>
      </c>
      <c r="E147" t="s">
        <v>427</v>
      </c>
      <c r="F147" t="s">
        <v>428</v>
      </c>
      <c r="G147">
        <v>1.8</v>
      </c>
      <c r="H147" t="s">
        <v>429</v>
      </c>
      <c r="I147">
        <v>3.5</v>
      </c>
      <c r="J147" t="s">
        <v>435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v>147</v>
      </c>
      <c r="B148">
        <v>0</v>
      </c>
      <c r="C148" t="s">
        <v>422</v>
      </c>
      <c r="D148" t="s">
        <v>436</v>
      </c>
      <c r="E148" t="s">
        <v>427</v>
      </c>
      <c r="F148" t="s">
        <v>428</v>
      </c>
      <c r="G148">
        <v>0.35</v>
      </c>
      <c r="H148" t="s">
        <v>429</v>
      </c>
      <c r="I148">
        <v>4</v>
      </c>
      <c r="J148" t="s">
        <v>437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v>148</v>
      </c>
      <c r="B149">
        <v>0</v>
      </c>
      <c r="C149" t="s">
        <v>422</v>
      </c>
      <c r="D149" t="s">
        <v>438</v>
      </c>
      <c r="E149" t="s">
        <v>427</v>
      </c>
      <c r="F149" t="s">
        <v>428</v>
      </c>
      <c r="G149">
        <v>0.08</v>
      </c>
      <c r="H149" t="s">
        <v>429</v>
      </c>
      <c r="I149">
        <v>4.5</v>
      </c>
      <c r="J149" t="s">
        <v>439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v>149</v>
      </c>
      <c r="B150">
        <v>0</v>
      </c>
      <c r="C150" t="s">
        <v>422</v>
      </c>
      <c r="D150" t="s">
        <v>440</v>
      </c>
      <c r="E150" t="s">
        <v>427</v>
      </c>
      <c r="F150" t="s">
        <v>428</v>
      </c>
      <c r="G150">
        <v>1.4999999999999999E-2</v>
      </c>
      <c r="H150" t="s">
        <v>429</v>
      </c>
      <c r="I150">
        <v>5</v>
      </c>
      <c r="J150" t="s">
        <v>441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v>170</v>
      </c>
      <c r="B151">
        <v>0</v>
      </c>
      <c r="C151" t="s">
        <v>442</v>
      </c>
      <c r="D151" t="s">
        <v>443</v>
      </c>
      <c r="E151" t="s">
        <v>444</v>
      </c>
      <c r="F151" t="s">
        <v>445</v>
      </c>
      <c r="G151">
        <v>100</v>
      </c>
      <c r="H151">
        <v>10</v>
      </c>
      <c r="I151">
        <v>40</v>
      </c>
      <c r="J151">
        <v>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v>171</v>
      </c>
      <c r="B152">
        <v>0</v>
      </c>
      <c r="C152" t="s">
        <v>442</v>
      </c>
      <c r="D152" t="s">
        <v>446</v>
      </c>
      <c r="E152" t="s">
        <v>447</v>
      </c>
      <c r="F152" t="s">
        <v>448</v>
      </c>
      <c r="G152">
        <v>92</v>
      </c>
      <c r="H152">
        <v>7.5</v>
      </c>
      <c r="I152">
        <v>0.5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v>172</v>
      </c>
      <c r="B153">
        <v>0</v>
      </c>
      <c r="C153" t="s">
        <v>442</v>
      </c>
      <c r="D153" t="s">
        <v>449</v>
      </c>
      <c r="E153" t="s">
        <v>450</v>
      </c>
      <c r="F153" t="s">
        <v>451</v>
      </c>
      <c r="G153">
        <v>78.100000000000009</v>
      </c>
      <c r="H153">
        <v>19.2</v>
      </c>
      <c r="I153">
        <v>2.4</v>
      </c>
      <c r="J153">
        <v>0.3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v>173</v>
      </c>
      <c r="B154">
        <v>0</v>
      </c>
      <c r="C154" t="s">
        <v>442</v>
      </c>
      <c r="D154" t="s">
        <v>452</v>
      </c>
      <c r="E154" t="s">
        <v>453</v>
      </c>
      <c r="F154" t="s">
        <v>454</v>
      </c>
      <c r="G154">
        <v>72.113600000000005</v>
      </c>
      <c r="H154">
        <v>22.118399999999998</v>
      </c>
      <c r="I154">
        <v>4.6079999999999997</v>
      </c>
      <c r="J154">
        <v>0.96</v>
      </c>
      <c r="K154">
        <v>0.2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v>174</v>
      </c>
      <c r="B155">
        <v>0</v>
      </c>
      <c r="C155" t="s">
        <v>442</v>
      </c>
      <c r="D155" t="s">
        <v>455</v>
      </c>
      <c r="E155" t="s">
        <v>456</v>
      </c>
      <c r="F155" t="s">
        <v>457</v>
      </c>
      <c r="G155">
        <v>53.837361999999999</v>
      </c>
      <c r="H155">
        <v>33.734898000000001</v>
      </c>
      <c r="I155">
        <v>9.11754</v>
      </c>
      <c r="J155">
        <v>2.4641999999999999</v>
      </c>
      <c r="K155">
        <v>0.66600000000000004</v>
      </c>
      <c r="L155">
        <v>0.18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v>175</v>
      </c>
      <c r="B156">
        <v>0</v>
      </c>
      <c r="C156" t="s">
        <v>442</v>
      </c>
      <c r="D156" t="s">
        <v>458</v>
      </c>
      <c r="E156" t="s">
        <v>459</v>
      </c>
      <c r="F156" t="s">
        <v>460</v>
      </c>
      <c r="G156">
        <v>49.993825599999994</v>
      </c>
      <c r="H156">
        <v>32.817838399999999</v>
      </c>
      <c r="I156">
        <v>11.316495999999999</v>
      </c>
      <c r="J156">
        <v>3.9022399999999999</v>
      </c>
      <c r="K156">
        <v>1.3455999999999999</v>
      </c>
      <c r="L156">
        <v>0.46400000000000002</v>
      </c>
      <c r="M156">
        <v>0.16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v>176</v>
      </c>
      <c r="B157">
        <v>0</v>
      </c>
      <c r="C157" t="s">
        <v>442</v>
      </c>
      <c r="D157" t="s">
        <v>461</v>
      </c>
      <c r="E157" t="s">
        <v>462</v>
      </c>
      <c r="F157" t="s">
        <v>463</v>
      </c>
      <c r="G157">
        <v>36.76497232906253</v>
      </c>
      <c r="H157">
        <v>38.491879564687487</v>
      </c>
      <c r="I157">
        <v>15.094854731249995</v>
      </c>
      <c r="J157">
        <v>5.9195508749999988</v>
      </c>
      <c r="K157">
        <v>2.3213924999999995</v>
      </c>
      <c r="L157">
        <v>0.91034999999999988</v>
      </c>
      <c r="M157">
        <v>0.35699999999999998</v>
      </c>
      <c r="N157">
        <v>0.13999999999999999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v>177</v>
      </c>
      <c r="B158">
        <v>0</v>
      </c>
      <c r="C158" t="s">
        <v>442</v>
      </c>
      <c r="D158" t="s">
        <v>464</v>
      </c>
      <c r="E158" t="s">
        <v>465</v>
      </c>
      <c r="F158" t="s">
        <v>466</v>
      </c>
      <c r="G158">
        <v>31.631675870386633</v>
      </c>
      <c r="H158">
        <v>38.434848634168908</v>
      </c>
      <c r="I158">
        <v>16.857389751828471</v>
      </c>
      <c r="J158">
        <v>7.3935919964159975</v>
      </c>
      <c r="K158">
        <v>3.2428035071999992</v>
      </c>
      <c r="L158">
        <v>1.4222822399999997</v>
      </c>
      <c r="M158">
        <v>0.62380799999999992</v>
      </c>
      <c r="N158">
        <v>0.27359999999999995</v>
      </c>
      <c r="O158">
        <v>0.12</v>
      </c>
      <c r="P158">
        <v>0</v>
      </c>
      <c r="Q158">
        <v>0</v>
      </c>
      <c r="R158">
        <v>0</v>
      </c>
    </row>
    <row r="159" spans="1:18" x14ac:dyDescent="0.25">
      <c r="A159">
        <v>178</v>
      </c>
      <c r="B159">
        <v>0</v>
      </c>
      <c r="C159" t="s">
        <v>442</v>
      </c>
      <c r="D159" t="s">
        <v>467</v>
      </c>
      <c r="E159" t="s">
        <v>468</v>
      </c>
      <c r="F159" t="s">
        <v>469</v>
      </c>
      <c r="G159">
        <v>25.407543428799851</v>
      </c>
      <c r="H159">
        <v>39.287974783901511</v>
      </c>
      <c r="I159">
        <v>18.619893262512562</v>
      </c>
      <c r="J159">
        <v>8.8245939632760972</v>
      </c>
      <c r="K159">
        <v>4.1822720205099984</v>
      </c>
      <c r="L159">
        <v>1.9821194409999996</v>
      </c>
      <c r="M159">
        <v>0.93939309999999998</v>
      </c>
      <c r="N159">
        <v>0.44520999999999994</v>
      </c>
      <c r="O159">
        <v>0.21099999999999999</v>
      </c>
      <c r="P159">
        <v>0.1</v>
      </c>
      <c r="Q159">
        <v>0</v>
      </c>
      <c r="R159">
        <v>0</v>
      </c>
    </row>
    <row r="160" spans="1:18" x14ac:dyDescent="0.25">
      <c r="A160">
        <v>179</v>
      </c>
      <c r="B160">
        <v>0</v>
      </c>
      <c r="C160" t="s">
        <v>442</v>
      </c>
      <c r="D160" t="s">
        <v>470</v>
      </c>
      <c r="E160" t="s">
        <v>471</v>
      </c>
      <c r="F160" t="s">
        <v>472</v>
      </c>
      <c r="G160">
        <v>18.159999999999986</v>
      </c>
      <c r="H160">
        <v>40.96</v>
      </c>
      <c r="I160">
        <v>20.48</v>
      </c>
      <c r="J160">
        <v>10.24</v>
      </c>
      <c r="K160">
        <v>5.12</v>
      </c>
      <c r="L160">
        <v>2.56</v>
      </c>
      <c r="M160">
        <v>1.28</v>
      </c>
      <c r="N160">
        <v>0.64</v>
      </c>
      <c r="O160">
        <v>0.32</v>
      </c>
      <c r="P160">
        <v>0.16</v>
      </c>
      <c r="Q160">
        <v>0.08</v>
      </c>
      <c r="R160">
        <v>0</v>
      </c>
    </row>
    <row r="161" spans="1:18" x14ac:dyDescent="0.25">
      <c r="A161">
        <v>180</v>
      </c>
      <c r="B161">
        <v>0</v>
      </c>
      <c r="C161" t="s">
        <v>442</v>
      </c>
      <c r="D161" t="s">
        <v>473</v>
      </c>
      <c r="E161" t="s">
        <v>474</v>
      </c>
      <c r="F161" t="s">
        <v>475</v>
      </c>
      <c r="G161">
        <v>1.35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v>181</v>
      </c>
      <c r="B162">
        <v>0</v>
      </c>
      <c r="C162" t="s">
        <v>442</v>
      </c>
      <c r="D162" t="s">
        <v>476</v>
      </c>
      <c r="E162" t="s">
        <v>477</v>
      </c>
      <c r="F162" t="s">
        <v>478</v>
      </c>
      <c r="G162">
        <v>0.5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v>182</v>
      </c>
      <c r="B163">
        <v>0</v>
      </c>
      <c r="C163" t="s">
        <v>442</v>
      </c>
      <c r="D163" t="s">
        <v>479</v>
      </c>
      <c r="E163" t="s">
        <v>480</v>
      </c>
      <c r="F163" t="s">
        <v>481</v>
      </c>
      <c r="G163">
        <v>4000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v>183</v>
      </c>
      <c r="B164">
        <v>0</v>
      </c>
      <c r="C164" t="s">
        <v>482</v>
      </c>
      <c r="D164" t="s">
        <v>483</v>
      </c>
      <c r="E164" t="s">
        <v>484</v>
      </c>
      <c r="F164" t="s">
        <v>485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v>184</v>
      </c>
      <c r="B165">
        <v>0</v>
      </c>
      <c r="C165" t="s">
        <v>482</v>
      </c>
      <c r="D165" t="s">
        <v>259</v>
      </c>
      <c r="E165" t="s">
        <v>486</v>
      </c>
      <c r="F165" t="s">
        <v>487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v>185</v>
      </c>
      <c r="B166">
        <v>0</v>
      </c>
      <c r="C166" t="s">
        <v>482</v>
      </c>
      <c r="D166" t="s">
        <v>488</v>
      </c>
      <c r="E166" t="s">
        <v>489</v>
      </c>
      <c r="F166" t="s">
        <v>490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v>186</v>
      </c>
      <c r="B167">
        <v>0</v>
      </c>
      <c r="C167" t="s">
        <v>482</v>
      </c>
      <c r="D167" t="s">
        <v>491</v>
      </c>
      <c r="E167" t="s">
        <v>492</v>
      </c>
      <c r="F167" t="s">
        <v>493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v>187</v>
      </c>
      <c r="B168">
        <v>0</v>
      </c>
      <c r="C168" t="s">
        <v>482</v>
      </c>
      <c r="D168" t="s">
        <v>494</v>
      </c>
      <c r="E168" t="s">
        <v>495</v>
      </c>
      <c r="F168" t="s">
        <v>496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v>188</v>
      </c>
      <c r="B169">
        <v>0</v>
      </c>
      <c r="C169" t="s">
        <v>497</v>
      </c>
      <c r="D169" t="s">
        <v>498</v>
      </c>
      <c r="E169" t="s">
        <v>499</v>
      </c>
      <c r="F169" t="s">
        <v>500</v>
      </c>
      <c r="G169" t="s">
        <v>501</v>
      </c>
      <c r="H169" t="s">
        <v>502</v>
      </c>
      <c r="I169" t="s">
        <v>503</v>
      </c>
      <c r="J169" t="s">
        <v>504</v>
      </c>
      <c r="K169" t="s">
        <v>505</v>
      </c>
      <c r="L169" t="s">
        <v>506</v>
      </c>
      <c r="M169" t="s">
        <v>507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v>189</v>
      </c>
      <c r="B170">
        <v>0</v>
      </c>
      <c r="C170" t="s">
        <v>497</v>
      </c>
      <c r="D170" t="s">
        <v>508</v>
      </c>
      <c r="E170" t="s">
        <v>499</v>
      </c>
      <c r="F170" t="s">
        <v>500</v>
      </c>
      <c r="G170" t="s">
        <v>501</v>
      </c>
      <c r="H170" t="s">
        <v>502</v>
      </c>
      <c r="I170" t="s">
        <v>503</v>
      </c>
      <c r="J170" t="s">
        <v>504</v>
      </c>
      <c r="K170" t="s">
        <v>505</v>
      </c>
      <c r="L170" t="s">
        <v>506</v>
      </c>
      <c r="M170" t="s">
        <v>507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v>190</v>
      </c>
      <c r="B171">
        <v>0</v>
      </c>
      <c r="C171" t="s">
        <v>497</v>
      </c>
      <c r="D171" t="s">
        <v>509</v>
      </c>
      <c r="E171" t="s">
        <v>499</v>
      </c>
      <c r="F171" t="s">
        <v>500</v>
      </c>
      <c r="G171" t="s">
        <v>510</v>
      </c>
      <c r="H171" t="s">
        <v>511</v>
      </c>
      <c r="I171" t="s">
        <v>503</v>
      </c>
      <c r="J171" t="s">
        <v>504</v>
      </c>
      <c r="K171" t="s">
        <v>505</v>
      </c>
      <c r="L171" t="s">
        <v>506</v>
      </c>
      <c r="M171" t="s">
        <v>507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v>191</v>
      </c>
      <c r="B172">
        <v>0</v>
      </c>
      <c r="C172" t="s">
        <v>497</v>
      </c>
      <c r="D172" t="s">
        <v>512</v>
      </c>
      <c r="E172" t="s">
        <v>499</v>
      </c>
      <c r="F172" t="s">
        <v>500</v>
      </c>
      <c r="G172" t="s">
        <v>513</v>
      </c>
      <c r="H172" t="s">
        <v>511</v>
      </c>
      <c r="I172" t="s">
        <v>514</v>
      </c>
      <c r="J172" t="s">
        <v>515</v>
      </c>
      <c r="K172" t="s">
        <v>505</v>
      </c>
      <c r="L172" t="s">
        <v>506</v>
      </c>
      <c r="M172" t="s">
        <v>507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v>192</v>
      </c>
      <c r="B173">
        <v>0</v>
      </c>
      <c r="C173" t="s">
        <v>497</v>
      </c>
      <c r="D173" t="s">
        <v>516</v>
      </c>
      <c r="E173" t="s">
        <v>499</v>
      </c>
      <c r="F173" t="s">
        <v>500</v>
      </c>
      <c r="G173" t="s">
        <v>517</v>
      </c>
      <c r="H173" t="s">
        <v>518</v>
      </c>
      <c r="I173" t="s">
        <v>514</v>
      </c>
      <c r="J173" t="s">
        <v>515</v>
      </c>
      <c r="K173" t="s">
        <v>519</v>
      </c>
      <c r="L173" t="s">
        <v>520</v>
      </c>
      <c r="M173" t="s">
        <v>521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v>193</v>
      </c>
      <c r="B174">
        <v>0</v>
      </c>
      <c r="C174" t="s">
        <v>497</v>
      </c>
      <c r="D174" t="s">
        <v>522</v>
      </c>
      <c r="E174" t="s">
        <v>499</v>
      </c>
      <c r="F174" t="s">
        <v>500</v>
      </c>
      <c r="G174" t="s">
        <v>523</v>
      </c>
      <c r="H174" t="s">
        <v>524</v>
      </c>
      <c r="I174" t="s">
        <v>525</v>
      </c>
      <c r="J174" t="s">
        <v>526</v>
      </c>
      <c r="K174" t="s">
        <v>527</v>
      </c>
      <c r="L174" t="s">
        <v>528</v>
      </c>
      <c r="M174" t="s">
        <v>529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v>194</v>
      </c>
      <c r="B175">
        <v>0</v>
      </c>
      <c r="C175" t="s">
        <v>497</v>
      </c>
      <c r="D175" t="s">
        <v>530</v>
      </c>
      <c r="E175" t="s">
        <v>499</v>
      </c>
      <c r="F175" t="s">
        <v>500</v>
      </c>
      <c r="G175" t="s">
        <v>531</v>
      </c>
      <c r="H175" t="s">
        <v>532</v>
      </c>
      <c r="I175" t="s">
        <v>533</v>
      </c>
      <c r="J175" t="s">
        <v>534</v>
      </c>
      <c r="K175" t="s">
        <v>535</v>
      </c>
      <c r="L175" t="s">
        <v>536</v>
      </c>
      <c r="M175" t="s">
        <v>537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v>195</v>
      </c>
      <c r="B176">
        <v>0</v>
      </c>
      <c r="C176" t="s">
        <v>497</v>
      </c>
      <c r="D176" t="s">
        <v>538</v>
      </c>
      <c r="E176" t="s">
        <v>499</v>
      </c>
      <c r="F176" t="s">
        <v>500</v>
      </c>
      <c r="G176" t="s">
        <v>531</v>
      </c>
      <c r="H176" t="s">
        <v>502</v>
      </c>
      <c r="I176" t="s">
        <v>503</v>
      </c>
      <c r="J176" t="s">
        <v>504</v>
      </c>
      <c r="K176" t="s">
        <v>539</v>
      </c>
      <c r="L176" t="s">
        <v>540</v>
      </c>
      <c r="M176" t="s">
        <v>541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v>196</v>
      </c>
      <c r="B177">
        <v>0</v>
      </c>
      <c r="C177" t="s">
        <v>542</v>
      </c>
      <c r="D177" t="s">
        <v>543</v>
      </c>
      <c r="E177" t="s">
        <v>544</v>
      </c>
      <c r="F177" t="s">
        <v>545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v>197</v>
      </c>
      <c r="B178">
        <v>0</v>
      </c>
      <c r="C178" t="s">
        <v>542</v>
      </c>
      <c r="D178" t="s">
        <v>546</v>
      </c>
      <c r="E178" t="s">
        <v>547</v>
      </c>
      <c r="F178" t="s">
        <v>548</v>
      </c>
      <c r="G178">
        <v>1.35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v>198</v>
      </c>
      <c r="B179">
        <v>0</v>
      </c>
      <c r="C179" t="s">
        <v>542</v>
      </c>
      <c r="D179" t="s">
        <v>549</v>
      </c>
      <c r="E179" t="s">
        <v>550</v>
      </c>
      <c r="F179" t="s">
        <v>551</v>
      </c>
      <c r="G179">
        <v>0.05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v>199</v>
      </c>
      <c r="B180">
        <v>0</v>
      </c>
      <c r="C180" t="s">
        <v>542</v>
      </c>
      <c r="D180" t="s">
        <v>552</v>
      </c>
      <c r="E180" t="s">
        <v>553</v>
      </c>
      <c r="F180" t="s">
        <v>554</v>
      </c>
      <c r="G180">
        <v>2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v>200</v>
      </c>
      <c r="B181">
        <v>0</v>
      </c>
      <c r="C181" t="s">
        <v>542</v>
      </c>
      <c r="D181" t="s">
        <v>555</v>
      </c>
      <c r="E181" t="s">
        <v>556</v>
      </c>
      <c r="F181" t="s">
        <v>557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v>201</v>
      </c>
      <c r="B182">
        <v>0</v>
      </c>
      <c r="C182" t="s">
        <v>542</v>
      </c>
      <c r="D182" t="s">
        <v>558</v>
      </c>
      <c r="E182" t="s">
        <v>559</v>
      </c>
      <c r="F182" t="s">
        <v>560</v>
      </c>
      <c r="G182">
        <v>5</v>
      </c>
      <c r="H182">
        <v>1.2</v>
      </c>
      <c r="I182">
        <v>0.15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v>202</v>
      </c>
      <c r="B183">
        <v>0</v>
      </c>
      <c r="C183" t="s">
        <v>542</v>
      </c>
      <c r="D183" t="s">
        <v>561</v>
      </c>
      <c r="E183" t="s">
        <v>562</v>
      </c>
      <c r="F183" t="s">
        <v>563</v>
      </c>
      <c r="G183">
        <v>8</v>
      </c>
      <c r="H183">
        <v>4</v>
      </c>
      <c r="I183">
        <v>3</v>
      </c>
      <c r="J183">
        <v>60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v>203</v>
      </c>
      <c r="B184">
        <v>0</v>
      </c>
      <c r="C184" t="s">
        <v>542</v>
      </c>
      <c r="D184" t="s">
        <v>564</v>
      </c>
      <c r="E184" t="s">
        <v>565</v>
      </c>
      <c r="F184" t="s">
        <v>566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v>204</v>
      </c>
      <c r="B185">
        <v>0</v>
      </c>
      <c r="C185" t="s">
        <v>542</v>
      </c>
      <c r="D185" t="s">
        <v>567</v>
      </c>
      <c r="E185" t="s">
        <v>568</v>
      </c>
      <c r="F185" t="s">
        <v>569</v>
      </c>
      <c r="G185">
        <v>0.15</v>
      </c>
      <c r="H185">
        <v>0.06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v>205</v>
      </c>
      <c r="B186">
        <v>0</v>
      </c>
      <c r="C186" t="s">
        <v>542</v>
      </c>
      <c r="D186" t="s">
        <v>570</v>
      </c>
      <c r="E186" t="s">
        <v>571</v>
      </c>
      <c r="F186" t="s">
        <v>572</v>
      </c>
      <c r="G186">
        <v>2</v>
      </c>
      <c r="H186">
        <v>0.6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v>206</v>
      </c>
      <c r="B187">
        <v>0</v>
      </c>
      <c r="C187" t="s">
        <v>542</v>
      </c>
      <c r="D187" t="s">
        <v>573</v>
      </c>
      <c r="E187" t="s">
        <v>574</v>
      </c>
      <c r="F187" t="s">
        <v>575</v>
      </c>
      <c r="G187">
        <v>3</v>
      </c>
      <c r="H187">
        <v>10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v>207</v>
      </c>
      <c r="B188">
        <v>0</v>
      </c>
      <c r="C188" t="s">
        <v>576</v>
      </c>
      <c r="D188" t="s">
        <v>577</v>
      </c>
      <c r="E188" t="s">
        <v>578</v>
      </c>
      <c r="F188" t="s">
        <v>579</v>
      </c>
      <c r="G188">
        <v>5</v>
      </c>
      <c r="H188">
        <v>7.5</v>
      </c>
      <c r="I188">
        <v>10</v>
      </c>
      <c r="J188">
        <v>15</v>
      </c>
      <c r="K188">
        <v>20</v>
      </c>
      <c r="L188">
        <v>25</v>
      </c>
      <c r="M188">
        <v>30</v>
      </c>
      <c r="N188">
        <v>100</v>
      </c>
      <c r="O188">
        <v>100</v>
      </c>
      <c r="P188">
        <v>0</v>
      </c>
      <c r="Q188">
        <v>0</v>
      </c>
      <c r="R188">
        <v>0</v>
      </c>
    </row>
    <row r="189" spans="1:18" x14ac:dyDescent="0.25">
      <c r="A189">
        <v>208</v>
      </c>
      <c r="B189">
        <v>0</v>
      </c>
      <c r="C189" t="s">
        <v>576</v>
      </c>
      <c r="D189" t="s">
        <v>580</v>
      </c>
      <c r="E189" t="s">
        <v>581</v>
      </c>
      <c r="F189" t="s">
        <v>582</v>
      </c>
      <c r="G189">
        <v>0</v>
      </c>
      <c r="H189">
        <v>0</v>
      </c>
      <c r="I189">
        <v>0</v>
      </c>
      <c r="J189">
        <v>0.1</v>
      </c>
      <c r="K189">
        <v>0.5</v>
      </c>
      <c r="L189">
        <v>1</v>
      </c>
      <c r="M189">
        <v>10</v>
      </c>
      <c r="N189">
        <v>100</v>
      </c>
      <c r="O189">
        <v>100</v>
      </c>
      <c r="P189">
        <v>0</v>
      </c>
      <c r="Q189">
        <v>0</v>
      </c>
      <c r="R189">
        <v>0</v>
      </c>
    </row>
    <row r="190" spans="1:18" x14ac:dyDescent="0.25">
      <c r="A190">
        <v>209</v>
      </c>
      <c r="B190">
        <v>0</v>
      </c>
      <c r="C190" t="s">
        <v>583</v>
      </c>
      <c r="D190" t="s">
        <v>584</v>
      </c>
      <c r="E190" t="s">
        <v>585</v>
      </c>
      <c r="F190" t="s">
        <v>586</v>
      </c>
      <c r="G190">
        <v>5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v>210</v>
      </c>
      <c r="B191">
        <v>0</v>
      </c>
      <c r="C191" t="s">
        <v>583</v>
      </c>
      <c r="D191" t="s">
        <v>587</v>
      </c>
      <c r="E191" t="s">
        <v>588</v>
      </c>
      <c r="F191" t="s">
        <v>589</v>
      </c>
      <c r="G191">
        <v>55</v>
      </c>
      <c r="H191">
        <v>40</v>
      </c>
      <c r="I191">
        <v>25</v>
      </c>
      <c r="J191">
        <v>20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v>211</v>
      </c>
      <c r="B192">
        <v>0</v>
      </c>
      <c r="C192" t="s">
        <v>583</v>
      </c>
      <c r="D192" t="s">
        <v>590</v>
      </c>
      <c r="E192" t="s">
        <v>591</v>
      </c>
      <c r="F192" t="s">
        <v>592</v>
      </c>
      <c r="G192">
        <v>5000000</v>
      </c>
      <c r="H192">
        <v>20000000</v>
      </c>
      <c r="I192">
        <v>100000000</v>
      </c>
      <c r="J192">
        <v>500000000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v>212</v>
      </c>
      <c r="B193">
        <v>0</v>
      </c>
      <c r="C193" t="s">
        <v>583</v>
      </c>
      <c r="D193" t="s">
        <v>593</v>
      </c>
      <c r="E193" t="s">
        <v>591</v>
      </c>
      <c r="F193">
        <v>0</v>
      </c>
      <c r="G193">
        <v>3</v>
      </c>
      <c r="H193">
        <v>5</v>
      </c>
      <c r="I193">
        <v>8</v>
      </c>
      <c r="J193">
        <v>13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v>213</v>
      </c>
      <c r="B194">
        <v>0</v>
      </c>
      <c r="C194" t="s">
        <v>583</v>
      </c>
      <c r="D194" t="s">
        <v>594</v>
      </c>
      <c r="E194" t="s">
        <v>595</v>
      </c>
      <c r="F194" t="s">
        <v>596</v>
      </c>
      <c r="G194">
        <v>3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v>214</v>
      </c>
      <c r="B195">
        <v>0</v>
      </c>
      <c r="C195" t="s">
        <v>597</v>
      </c>
      <c r="D195" t="s">
        <v>598</v>
      </c>
      <c r="E195" t="s">
        <v>599</v>
      </c>
      <c r="F195" t="s">
        <v>600</v>
      </c>
      <c r="G195">
        <v>27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v>215</v>
      </c>
      <c r="B196">
        <v>0</v>
      </c>
      <c r="C196" t="s">
        <v>597</v>
      </c>
      <c r="D196" t="s">
        <v>601</v>
      </c>
      <c r="E196" t="s">
        <v>602</v>
      </c>
      <c r="F196" t="s">
        <v>600</v>
      </c>
      <c r="G196">
        <v>36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v>216</v>
      </c>
      <c r="B197">
        <v>0</v>
      </c>
      <c r="C197" t="s">
        <v>583</v>
      </c>
      <c r="D197" t="s">
        <v>603</v>
      </c>
      <c r="E197" t="s">
        <v>585</v>
      </c>
      <c r="F197" t="s">
        <v>604</v>
      </c>
      <c r="G197">
        <v>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v>217</v>
      </c>
      <c r="B198">
        <v>0</v>
      </c>
      <c r="C198" t="s">
        <v>583</v>
      </c>
      <c r="D198" t="s">
        <v>605</v>
      </c>
      <c r="E198" t="s">
        <v>606</v>
      </c>
      <c r="F198" t="s">
        <v>607</v>
      </c>
      <c r="G198">
        <v>50</v>
      </c>
      <c r="H198">
        <v>40</v>
      </c>
      <c r="I198">
        <v>35</v>
      </c>
      <c r="J198">
        <v>25</v>
      </c>
      <c r="K198">
        <v>15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v>218</v>
      </c>
      <c r="B199">
        <v>0</v>
      </c>
      <c r="C199" t="s">
        <v>583</v>
      </c>
      <c r="D199" t="s">
        <v>608</v>
      </c>
      <c r="E199" t="s">
        <v>609</v>
      </c>
      <c r="F199" t="s">
        <v>610</v>
      </c>
      <c r="G199">
        <v>1000000</v>
      </c>
      <c r="H199">
        <v>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v>219</v>
      </c>
      <c r="B200">
        <v>0</v>
      </c>
      <c r="C200" t="s">
        <v>583</v>
      </c>
      <c r="D200" t="s">
        <v>611</v>
      </c>
      <c r="E200" t="s">
        <v>612</v>
      </c>
      <c r="F200">
        <v>0</v>
      </c>
      <c r="G200">
        <v>1</v>
      </c>
      <c r="H200">
        <v>2</v>
      </c>
      <c r="I200">
        <v>3</v>
      </c>
      <c r="J200">
        <v>4</v>
      </c>
      <c r="K200">
        <v>6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v>220</v>
      </c>
      <c r="B201">
        <v>0</v>
      </c>
      <c r="C201" t="s">
        <v>583</v>
      </c>
      <c r="D201" t="s">
        <v>613</v>
      </c>
      <c r="E201" t="s">
        <v>614</v>
      </c>
      <c r="F201" t="s">
        <v>615</v>
      </c>
      <c r="G201">
        <v>3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v>221</v>
      </c>
      <c r="B202">
        <v>0</v>
      </c>
      <c r="C202" t="s">
        <v>583</v>
      </c>
      <c r="D202" t="s">
        <v>616</v>
      </c>
      <c r="E202" t="s">
        <v>617</v>
      </c>
      <c r="F202" t="s">
        <v>618</v>
      </c>
      <c r="G202">
        <v>6</v>
      </c>
      <c r="H202">
        <v>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v>222</v>
      </c>
      <c r="B203">
        <v>0</v>
      </c>
      <c r="C203" t="s">
        <v>619</v>
      </c>
      <c r="D203" t="s">
        <v>620</v>
      </c>
      <c r="E203" t="s">
        <v>621</v>
      </c>
      <c r="F203" t="s">
        <v>622</v>
      </c>
      <c r="G203">
        <v>30</v>
      </c>
      <c r="H203">
        <v>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v>223</v>
      </c>
      <c r="B204">
        <v>0</v>
      </c>
      <c r="C204" t="s">
        <v>619</v>
      </c>
      <c r="D204" t="s">
        <v>623</v>
      </c>
      <c r="E204" t="s">
        <v>624</v>
      </c>
      <c r="F204">
        <v>0</v>
      </c>
      <c r="G204">
        <v>25</v>
      </c>
      <c r="H204">
        <v>1.3</v>
      </c>
      <c r="I204">
        <v>0.2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v>224</v>
      </c>
      <c r="B205">
        <v>0</v>
      </c>
      <c r="C205" t="s">
        <v>619</v>
      </c>
      <c r="D205" t="s">
        <v>625</v>
      </c>
      <c r="E205" t="s">
        <v>624</v>
      </c>
      <c r="F205">
        <v>0</v>
      </c>
      <c r="G205">
        <v>8</v>
      </c>
      <c r="H205">
        <v>1.35</v>
      </c>
      <c r="I205">
        <v>0.04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v>225</v>
      </c>
      <c r="B206">
        <v>0</v>
      </c>
      <c r="C206" t="s">
        <v>619</v>
      </c>
      <c r="D206" t="s">
        <v>626</v>
      </c>
      <c r="E206" t="s">
        <v>627</v>
      </c>
      <c r="F206" t="s">
        <v>628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v>226</v>
      </c>
      <c r="B207">
        <v>0</v>
      </c>
      <c r="C207" t="s">
        <v>597</v>
      </c>
      <c r="D207" t="s">
        <v>623</v>
      </c>
      <c r="E207" t="s">
        <v>629</v>
      </c>
      <c r="F207">
        <v>0</v>
      </c>
      <c r="G207">
        <v>40</v>
      </c>
      <c r="H207">
        <v>1.7</v>
      </c>
      <c r="I207">
        <v>0.15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v>227</v>
      </c>
      <c r="B208">
        <v>0</v>
      </c>
      <c r="C208" t="s">
        <v>597</v>
      </c>
      <c r="D208" t="s">
        <v>630</v>
      </c>
      <c r="E208" t="s">
        <v>631</v>
      </c>
      <c r="F208" t="s">
        <v>632</v>
      </c>
      <c r="G208">
        <v>9</v>
      </c>
      <c r="H208">
        <v>14</v>
      </c>
      <c r="I208">
        <v>20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v>228</v>
      </c>
      <c r="B209">
        <v>0</v>
      </c>
      <c r="C209" t="s">
        <v>597</v>
      </c>
      <c r="D209" t="s">
        <v>633</v>
      </c>
      <c r="E209" t="s">
        <v>634</v>
      </c>
      <c r="F209" t="s">
        <v>635</v>
      </c>
      <c r="G209">
        <v>1</v>
      </c>
      <c r="H209">
        <v>1</v>
      </c>
      <c r="I209">
        <v>0.33329999999999999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v>229</v>
      </c>
      <c r="B210">
        <v>0</v>
      </c>
      <c r="C210" t="s">
        <v>636</v>
      </c>
      <c r="D210" t="s">
        <v>637</v>
      </c>
      <c r="E210" t="s">
        <v>638</v>
      </c>
      <c r="F210" t="s">
        <v>639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v>230</v>
      </c>
      <c r="B211">
        <v>0</v>
      </c>
      <c r="C211" t="s">
        <v>636</v>
      </c>
      <c r="D211" t="s">
        <v>640</v>
      </c>
      <c r="E211" t="s">
        <v>641</v>
      </c>
      <c r="F211" t="s">
        <v>642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v>231</v>
      </c>
      <c r="B212">
        <v>0</v>
      </c>
      <c r="C212" t="s">
        <v>636</v>
      </c>
      <c r="D212" t="s">
        <v>643</v>
      </c>
      <c r="E212" t="s">
        <v>644</v>
      </c>
      <c r="F212" t="s">
        <v>645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v>232</v>
      </c>
      <c r="B213">
        <v>0</v>
      </c>
      <c r="C213" t="s">
        <v>636</v>
      </c>
      <c r="D213" t="s">
        <v>646</v>
      </c>
      <c r="E213" t="s">
        <v>647</v>
      </c>
      <c r="F213" t="s">
        <v>645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v>233</v>
      </c>
      <c r="B214">
        <v>0</v>
      </c>
      <c r="C214" t="s">
        <v>648</v>
      </c>
      <c r="D214" t="s">
        <v>649</v>
      </c>
      <c r="E214" t="s">
        <v>650</v>
      </c>
      <c r="F214" t="s">
        <v>651</v>
      </c>
      <c r="G214">
        <v>2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v>234</v>
      </c>
      <c r="B215">
        <v>0</v>
      </c>
      <c r="C215" t="s">
        <v>652</v>
      </c>
      <c r="D215" t="s">
        <v>653</v>
      </c>
      <c r="E215" t="s">
        <v>654</v>
      </c>
      <c r="F215" t="s">
        <v>655</v>
      </c>
      <c r="G215">
        <v>10000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v>235</v>
      </c>
      <c r="B216">
        <v>0</v>
      </c>
      <c r="C216" t="s">
        <v>656</v>
      </c>
      <c r="D216" t="s">
        <v>657</v>
      </c>
      <c r="E216" t="s">
        <v>658</v>
      </c>
      <c r="F216" t="s">
        <v>659</v>
      </c>
      <c r="G216">
        <v>20000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v>236</v>
      </c>
      <c r="B217">
        <v>0</v>
      </c>
      <c r="C217" t="s">
        <v>656</v>
      </c>
      <c r="D217" t="s">
        <v>660</v>
      </c>
      <c r="E217" t="s">
        <v>661</v>
      </c>
      <c r="F217">
        <v>0</v>
      </c>
      <c r="G217">
        <v>30</v>
      </c>
      <c r="H217">
        <v>2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v>237</v>
      </c>
      <c r="B218">
        <v>0</v>
      </c>
      <c r="C218" t="s">
        <v>656</v>
      </c>
      <c r="D218" t="s">
        <v>662</v>
      </c>
      <c r="E218" t="s">
        <v>663</v>
      </c>
      <c r="F218" t="s">
        <v>664</v>
      </c>
      <c r="G218">
        <v>100</v>
      </c>
      <c r="H218">
        <v>1000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v>238</v>
      </c>
      <c r="B219">
        <v>0</v>
      </c>
      <c r="C219" t="s">
        <v>656</v>
      </c>
      <c r="D219" t="s">
        <v>665</v>
      </c>
      <c r="E219" t="s">
        <v>666</v>
      </c>
      <c r="F219" t="s">
        <v>667</v>
      </c>
      <c r="G219">
        <v>10000</v>
      </c>
      <c r="H219">
        <v>10000</v>
      </c>
      <c r="I219">
        <v>1.02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v>239</v>
      </c>
      <c r="B220">
        <v>0</v>
      </c>
      <c r="C220" t="s">
        <v>656</v>
      </c>
      <c r="D220" t="s">
        <v>668</v>
      </c>
      <c r="E220" t="s">
        <v>669</v>
      </c>
      <c r="F220">
        <v>0</v>
      </c>
      <c r="G220">
        <v>2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v>240</v>
      </c>
      <c r="B221">
        <v>0</v>
      </c>
      <c r="C221" t="s">
        <v>670</v>
      </c>
      <c r="D221" t="s">
        <v>671</v>
      </c>
      <c r="E221" t="s">
        <v>672</v>
      </c>
      <c r="F221" t="s">
        <v>673</v>
      </c>
      <c r="G221">
        <v>0.2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v>241</v>
      </c>
      <c r="B222">
        <v>0</v>
      </c>
      <c r="C222" t="s">
        <v>670</v>
      </c>
      <c r="D222" t="s">
        <v>674</v>
      </c>
      <c r="E222" t="s">
        <v>675</v>
      </c>
      <c r="F222" t="s">
        <v>676</v>
      </c>
      <c r="G222">
        <v>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v>242</v>
      </c>
      <c r="B223">
        <v>0</v>
      </c>
      <c r="C223" t="s">
        <v>670</v>
      </c>
      <c r="D223" t="s">
        <v>677</v>
      </c>
      <c r="E223" t="s">
        <v>678</v>
      </c>
      <c r="F223" t="s">
        <v>679</v>
      </c>
      <c r="G223">
        <v>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v>243</v>
      </c>
      <c r="B224">
        <v>0</v>
      </c>
      <c r="C224" t="s">
        <v>670</v>
      </c>
      <c r="D224" t="s">
        <v>680</v>
      </c>
      <c r="E224" t="s">
        <v>681</v>
      </c>
      <c r="F224" t="s">
        <v>682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v>244</v>
      </c>
      <c r="B225">
        <v>0</v>
      </c>
      <c r="C225" t="s">
        <v>670</v>
      </c>
      <c r="D225" t="s">
        <v>683</v>
      </c>
      <c r="E225" t="s">
        <v>684</v>
      </c>
      <c r="F225" t="s">
        <v>685</v>
      </c>
      <c r="G225">
        <v>100</v>
      </c>
      <c r="H225">
        <v>300</v>
      </c>
      <c r="I225">
        <v>900</v>
      </c>
      <c r="J225">
        <v>2700</v>
      </c>
      <c r="K225">
        <v>8100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v>245</v>
      </c>
      <c r="B226">
        <v>0</v>
      </c>
      <c r="C226" t="s">
        <v>670</v>
      </c>
      <c r="D226" t="s">
        <v>686</v>
      </c>
      <c r="E226" t="s">
        <v>687</v>
      </c>
      <c r="F226" t="s">
        <v>688</v>
      </c>
      <c r="G226">
        <v>9</v>
      </c>
      <c r="H226">
        <v>1000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v>246</v>
      </c>
      <c r="B227">
        <v>0</v>
      </c>
      <c r="C227" t="s">
        <v>670</v>
      </c>
      <c r="D227" t="s">
        <v>689</v>
      </c>
      <c r="E227" t="s">
        <v>690</v>
      </c>
      <c r="F227" t="s">
        <v>691</v>
      </c>
      <c r="G227">
        <v>0.7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v>247</v>
      </c>
      <c r="B228">
        <v>0</v>
      </c>
      <c r="C228" t="s">
        <v>670</v>
      </c>
      <c r="D228" t="s">
        <v>692</v>
      </c>
      <c r="E228" t="s">
        <v>693</v>
      </c>
      <c r="F228" t="s">
        <v>694</v>
      </c>
      <c r="G228">
        <v>0.7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v>248</v>
      </c>
      <c r="B229">
        <v>0</v>
      </c>
      <c r="C229" t="s">
        <v>670</v>
      </c>
      <c r="D229" t="s">
        <v>695</v>
      </c>
      <c r="E229" t="s">
        <v>696</v>
      </c>
      <c r="F229" t="s">
        <v>697</v>
      </c>
      <c r="G229">
        <v>10</v>
      </c>
      <c r="H229">
        <v>60</v>
      </c>
      <c r="I229">
        <v>10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v>249</v>
      </c>
      <c r="B230">
        <v>0</v>
      </c>
      <c r="C230" t="s">
        <v>670</v>
      </c>
      <c r="D230" t="s">
        <v>698</v>
      </c>
      <c r="E230" t="s">
        <v>699</v>
      </c>
      <c r="F230" t="s">
        <v>700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v>250</v>
      </c>
      <c r="B231">
        <v>0</v>
      </c>
      <c r="C231" t="s">
        <v>701</v>
      </c>
      <c r="D231" t="s">
        <v>702</v>
      </c>
      <c r="E231" t="s">
        <v>703</v>
      </c>
      <c r="F231" t="s">
        <v>704</v>
      </c>
      <c r="G231">
        <v>10000</v>
      </c>
      <c r="H231">
        <v>3</v>
      </c>
      <c r="I231">
        <v>4000000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v>251</v>
      </c>
      <c r="B232">
        <v>0</v>
      </c>
      <c r="C232" t="s">
        <v>701</v>
      </c>
      <c r="D232" t="s">
        <v>705</v>
      </c>
      <c r="E232" t="s">
        <v>706</v>
      </c>
      <c r="F232" t="s">
        <v>707</v>
      </c>
      <c r="G232">
        <v>5000</v>
      </c>
      <c r="H232">
        <v>2.5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v>252</v>
      </c>
      <c r="B233">
        <v>0</v>
      </c>
      <c r="C233" t="s">
        <v>701</v>
      </c>
      <c r="D233" t="s">
        <v>708</v>
      </c>
      <c r="E233" t="s">
        <v>709</v>
      </c>
      <c r="F233">
        <v>0</v>
      </c>
      <c r="G233">
        <v>8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v>253</v>
      </c>
      <c r="B234">
        <v>0</v>
      </c>
      <c r="C234" t="s">
        <v>701</v>
      </c>
      <c r="D234" t="s">
        <v>710</v>
      </c>
      <c r="E234" t="s">
        <v>711</v>
      </c>
      <c r="F234" t="s">
        <v>712</v>
      </c>
      <c r="G234">
        <v>10000</v>
      </c>
      <c r="H234">
        <v>100000</v>
      </c>
      <c r="I234">
        <v>500000</v>
      </c>
      <c r="J234">
        <v>2000000</v>
      </c>
      <c r="K234">
        <v>10000000</v>
      </c>
      <c r="L234">
        <v>50000000</v>
      </c>
      <c r="M234">
        <v>200000000</v>
      </c>
      <c r="N234">
        <v>1000000000</v>
      </c>
      <c r="O234">
        <v>10000000000</v>
      </c>
      <c r="P234">
        <v>1000000000000</v>
      </c>
      <c r="Q234">
        <v>0</v>
      </c>
      <c r="R234">
        <v>0</v>
      </c>
    </row>
    <row r="235" spans="1:18" x14ac:dyDescent="0.25">
      <c r="A235">
        <v>254</v>
      </c>
      <c r="B235">
        <v>0</v>
      </c>
      <c r="C235" t="s">
        <v>713</v>
      </c>
      <c r="D235" t="s">
        <v>714</v>
      </c>
      <c r="E235" t="s">
        <v>715</v>
      </c>
      <c r="F235" t="s">
        <v>716</v>
      </c>
      <c r="G235" t="s">
        <v>717</v>
      </c>
      <c r="H235" t="s">
        <v>718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v>255</v>
      </c>
      <c r="B236">
        <v>0</v>
      </c>
      <c r="C236" t="s">
        <v>713</v>
      </c>
      <c r="D236" t="s">
        <v>719</v>
      </c>
      <c r="E236" t="s">
        <v>715</v>
      </c>
      <c r="F236" t="s">
        <v>716</v>
      </c>
      <c r="G236" t="s">
        <v>717</v>
      </c>
      <c r="H236" t="s">
        <v>720</v>
      </c>
      <c r="I236" t="s">
        <v>721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v>256</v>
      </c>
      <c r="B237">
        <v>0</v>
      </c>
      <c r="C237" t="s">
        <v>713</v>
      </c>
      <c r="D237" t="s">
        <v>722</v>
      </c>
      <c r="E237" t="s">
        <v>715</v>
      </c>
      <c r="F237" t="s">
        <v>716</v>
      </c>
      <c r="G237" t="s">
        <v>717</v>
      </c>
      <c r="H237" t="s">
        <v>723</v>
      </c>
      <c r="I237" t="s">
        <v>721</v>
      </c>
      <c r="J237" t="s">
        <v>724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v>257</v>
      </c>
      <c r="B238">
        <v>0</v>
      </c>
      <c r="C238" t="s">
        <v>713</v>
      </c>
      <c r="D238" t="s">
        <v>725</v>
      </c>
      <c r="E238" t="s">
        <v>715</v>
      </c>
      <c r="F238" t="s">
        <v>716</v>
      </c>
      <c r="G238" t="s">
        <v>726</v>
      </c>
      <c r="H238" t="s">
        <v>723</v>
      </c>
      <c r="I238" t="s">
        <v>727</v>
      </c>
      <c r="J238" t="s">
        <v>724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v>258</v>
      </c>
      <c r="B239">
        <v>0</v>
      </c>
      <c r="C239" t="s">
        <v>713</v>
      </c>
      <c r="D239" t="s">
        <v>728</v>
      </c>
      <c r="E239" t="s">
        <v>715</v>
      </c>
      <c r="F239" t="s">
        <v>716</v>
      </c>
      <c r="G239" t="s">
        <v>729</v>
      </c>
      <c r="H239" t="s">
        <v>723</v>
      </c>
      <c r="I239" t="s">
        <v>727</v>
      </c>
      <c r="J239" t="s">
        <v>730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v>259</v>
      </c>
      <c r="B240">
        <v>0</v>
      </c>
      <c r="C240" t="s">
        <v>713</v>
      </c>
      <c r="D240" t="s">
        <v>731</v>
      </c>
      <c r="E240" t="s">
        <v>715</v>
      </c>
      <c r="F240" t="s">
        <v>716</v>
      </c>
      <c r="G240" t="s">
        <v>732</v>
      </c>
      <c r="H240" t="s">
        <v>723</v>
      </c>
      <c r="I240" t="s">
        <v>727</v>
      </c>
      <c r="J240" t="s">
        <v>730</v>
      </c>
      <c r="K240" t="s">
        <v>733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v>260</v>
      </c>
      <c r="B241">
        <v>0</v>
      </c>
      <c r="C241" t="s">
        <v>713</v>
      </c>
      <c r="D241" t="s">
        <v>734</v>
      </c>
      <c r="E241" t="s">
        <v>715</v>
      </c>
      <c r="F241" t="s">
        <v>716</v>
      </c>
      <c r="G241" t="s">
        <v>735</v>
      </c>
      <c r="H241" t="s">
        <v>736</v>
      </c>
      <c r="I241" t="s">
        <v>730</v>
      </c>
      <c r="J241" t="s">
        <v>737</v>
      </c>
      <c r="K241" t="s">
        <v>738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v>261</v>
      </c>
      <c r="B242">
        <v>0</v>
      </c>
      <c r="C242" t="s">
        <v>713</v>
      </c>
      <c r="D242" t="s">
        <v>739</v>
      </c>
      <c r="E242" t="s">
        <v>715</v>
      </c>
      <c r="F242" t="s">
        <v>716</v>
      </c>
      <c r="G242" t="s">
        <v>723</v>
      </c>
      <c r="H242" t="s">
        <v>736</v>
      </c>
      <c r="I242" t="s">
        <v>730</v>
      </c>
      <c r="J242" t="s">
        <v>737</v>
      </c>
      <c r="K242" t="s">
        <v>740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v>262</v>
      </c>
      <c r="B243">
        <v>0</v>
      </c>
      <c r="C243" t="s">
        <v>713</v>
      </c>
      <c r="D243" t="s">
        <v>741</v>
      </c>
      <c r="E243" t="s">
        <v>715</v>
      </c>
      <c r="F243" t="s">
        <v>716</v>
      </c>
      <c r="G243" t="s">
        <v>736</v>
      </c>
      <c r="H243" t="s">
        <v>742</v>
      </c>
      <c r="I243" t="s">
        <v>737</v>
      </c>
      <c r="J243" t="s">
        <v>743</v>
      </c>
      <c r="K243" t="s">
        <v>744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v>263</v>
      </c>
      <c r="B244">
        <v>0</v>
      </c>
      <c r="C244" t="s">
        <v>713</v>
      </c>
      <c r="D244" t="s">
        <v>745</v>
      </c>
      <c r="E244" t="s">
        <v>715</v>
      </c>
      <c r="F244" t="s">
        <v>716</v>
      </c>
      <c r="G244" t="s">
        <v>742</v>
      </c>
      <c r="H244" t="s">
        <v>746</v>
      </c>
      <c r="I244" t="s">
        <v>743</v>
      </c>
      <c r="J244" t="s">
        <v>747</v>
      </c>
      <c r="K244" t="s">
        <v>748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v>264</v>
      </c>
      <c r="B245">
        <v>0</v>
      </c>
      <c r="C245" t="s">
        <v>713</v>
      </c>
      <c r="D245" t="s">
        <v>749</v>
      </c>
      <c r="E245" t="s">
        <v>715</v>
      </c>
      <c r="F245" t="s">
        <v>716</v>
      </c>
      <c r="G245" t="s">
        <v>746</v>
      </c>
      <c r="H245" t="s">
        <v>750</v>
      </c>
      <c r="I245" t="s">
        <v>747</v>
      </c>
      <c r="J245" t="s">
        <v>751</v>
      </c>
      <c r="K245" t="s">
        <v>752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v>265</v>
      </c>
      <c r="B246">
        <v>0</v>
      </c>
      <c r="C246" t="s">
        <v>713</v>
      </c>
      <c r="D246" t="s">
        <v>753</v>
      </c>
      <c r="E246" t="s">
        <v>715</v>
      </c>
      <c r="F246" t="s">
        <v>716</v>
      </c>
      <c r="G246" t="s">
        <v>750</v>
      </c>
      <c r="H246" t="s">
        <v>754</v>
      </c>
      <c r="I246" t="s">
        <v>751</v>
      </c>
      <c r="J246" t="s">
        <v>755</v>
      </c>
      <c r="K246" t="s">
        <v>756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v>266</v>
      </c>
      <c r="B247">
        <v>0</v>
      </c>
      <c r="C247" t="s">
        <v>713</v>
      </c>
      <c r="D247" t="s">
        <v>757</v>
      </c>
      <c r="E247" t="s">
        <v>715</v>
      </c>
      <c r="F247" t="s">
        <v>716</v>
      </c>
      <c r="G247" t="s">
        <v>754</v>
      </c>
      <c r="H247" t="s">
        <v>758</v>
      </c>
      <c r="I247" t="s">
        <v>755</v>
      </c>
      <c r="J247" t="s">
        <v>759</v>
      </c>
      <c r="K247" t="s">
        <v>760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v>267</v>
      </c>
      <c r="B248">
        <v>0</v>
      </c>
      <c r="C248" t="s">
        <v>713</v>
      </c>
      <c r="D248" t="s">
        <v>761</v>
      </c>
      <c r="E248" t="s">
        <v>715</v>
      </c>
      <c r="F248" t="s">
        <v>716</v>
      </c>
      <c r="G248" t="s">
        <v>758</v>
      </c>
      <c r="H248" t="s">
        <v>762</v>
      </c>
      <c r="I248" t="s">
        <v>759</v>
      </c>
      <c r="J248" t="s">
        <v>763</v>
      </c>
      <c r="K248" t="s">
        <v>764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v>268</v>
      </c>
      <c r="B249">
        <v>0</v>
      </c>
      <c r="C249" t="s">
        <v>713</v>
      </c>
      <c r="D249" t="s">
        <v>765</v>
      </c>
      <c r="E249" t="s">
        <v>715</v>
      </c>
      <c r="F249" t="s">
        <v>716</v>
      </c>
      <c r="G249" t="s">
        <v>762</v>
      </c>
      <c r="H249" t="s">
        <v>766</v>
      </c>
      <c r="I249" t="s">
        <v>763</v>
      </c>
      <c r="J249" t="s">
        <v>767</v>
      </c>
      <c r="K249" t="s">
        <v>768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v>269</v>
      </c>
      <c r="B250">
        <v>0</v>
      </c>
      <c r="C250" t="s">
        <v>713</v>
      </c>
      <c r="D250" t="s">
        <v>769</v>
      </c>
      <c r="E250" t="s">
        <v>715</v>
      </c>
      <c r="F250" t="s">
        <v>716</v>
      </c>
      <c r="G250" t="s">
        <v>766</v>
      </c>
      <c r="H250" t="s">
        <v>770</v>
      </c>
      <c r="I250" t="s">
        <v>767</v>
      </c>
      <c r="J250" t="s">
        <v>771</v>
      </c>
      <c r="K250" t="s">
        <v>772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v>270</v>
      </c>
      <c r="B251">
        <v>0</v>
      </c>
      <c r="C251" t="s">
        <v>713</v>
      </c>
      <c r="D251" t="s">
        <v>773</v>
      </c>
      <c r="E251" t="s">
        <v>715</v>
      </c>
      <c r="F251" t="s">
        <v>716</v>
      </c>
      <c r="G251" t="s">
        <v>770</v>
      </c>
      <c r="H251" t="s">
        <v>774</v>
      </c>
      <c r="I251" t="s">
        <v>771</v>
      </c>
      <c r="J251" t="s">
        <v>775</v>
      </c>
      <c r="K251" t="s">
        <v>776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v>271</v>
      </c>
      <c r="B252">
        <v>0</v>
      </c>
      <c r="C252" t="s">
        <v>713</v>
      </c>
      <c r="D252" t="s">
        <v>777</v>
      </c>
      <c r="E252" t="s">
        <v>715</v>
      </c>
      <c r="F252" t="s">
        <v>716</v>
      </c>
      <c r="G252" t="s">
        <v>760</v>
      </c>
      <c r="H252" t="s">
        <v>778</v>
      </c>
      <c r="I252" t="s">
        <v>779</v>
      </c>
      <c r="J252" t="s">
        <v>775</v>
      </c>
      <c r="K252" t="s">
        <v>780</v>
      </c>
      <c r="L252" t="s">
        <v>781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v>272</v>
      </c>
      <c r="B253">
        <v>0</v>
      </c>
      <c r="C253" t="s">
        <v>713</v>
      </c>
      <c r="D253" t="s">
        <v>782</v>
      </c>
      <c r="E253" t="s">
        <v>715</v>
      </c>
      <c r="F253" t="s">
        <v>716</v>
      </c>
      <c r="G253" t="s">
        <v>760</v>
      </c>
      <c r="H253" t="s">
        <v>778</v>
      </c>
      <c r="I253" t="s">
        <v>779</v>
      </c>
      <c r="J253" t="s">
        <v>775</v>
      </c>
      <c r="K253" t="s">
        <v>780</v>
      </c>
      <c r="L253" t="s">
        <v>781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v>273</v>
      </c>
      <c r="B254">
        <v>0</v>
      </c>
      <c r="C254" t="s">
        <v>713</v>
      </c>
      <c r="D254" t="s">
        <v>783</v>
      </c>
      <c r="E254" t="s">
        <v>715</v>
      </c>
      <c r="F254" t="s">
        <v>716</v>
      </c>
      <c r="G254" t="s">
        <v>760</v>
      </c>
      <c r="H254" t="s">
        <v>778</v>
      </c>
      <c r="I254" t="s">
        <v>779</v>
      </c>
      <c r="J254" t="s">
        <v>775</v>
      </c>
      <c r="K254" t="s">
        <v>780</v>
      </c>
      <c r="L254" t="s">
        <v>781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v>274</v>
      </c>
      <c r="B255">
        <v>0</v>
      </c>
      <c r="C255" t="s">
        <v>784</v>
      </c>
      <c r="D255" t="s">
        <v>714</v>
      </c>
      <c r="E255" t="s">
        <v>785</v>
      </c>
      <c r="F255" t="s">
        <v>786</v>
      </c>
      <c r="G255" t="s">
        <v>787</v>
      </c>
      <c r="H255" t="s">
        <v>788</v>
      </c>
      <c r="I255" t="s">
        <v>789</v>
      </c>
      <c r="J255" t="s">
        <v>790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v>275</v>
      </c>
      <c r="B256">
        <v>0</v>
      </c>
      <c r="C256" t="s">
        <v>784</v>
      </c>
      <c r="D256" t="s">
        <v>719</v>
      </c>
      <c r="E256" t="s">
        <v>785</v>
      </c>
      <c r="F256" t="s">
        <v>786</v>
      </c>
      <c r="G256" t="s">
        <v>791</v>
      </c>
      <c r="H256" t="s">
        <v>788</v>
      </c>
      <c r="I256" t="s">
        <v>792</v>
      </c>
      <c r="J256" t="s">
        <v>793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v>276</v>
      </c>
      <c r="B257">
        <v>0</v>
      </c>
      <c r="C257" t="s">
        <v>784</v>
      </c>
      <c r="D257" t="s">
        <v>722</v>
      </c>
      <c r="E257" t="s">
        <v>785</v>
      </c>
      <c r="F257" t="s">
        <v>786</v>
      </c>
      <c r="G257" t="s">
        <v>794</v>
      </c>
      <c r="H257" t="s">
        <v>788</v>
      </c>
      <c r="I257" t="s">
        <v>795</v>
      </c>
      <c r="J257" t="s">
        <v>796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v>277</v>
      </c>
      <c r="B258">
        <v>0</v>
      </c>
      <c r="C258" t="s">
        <v>784</v>
      </c>
      <c r="D258" t="s">
        <v>725</v>
      </c>
      <c r="E258" t="s">
        <v>785</v>
      </c>
      <c r="F258" t="s">
        <v>786</v>
      </c>
      <c r="G258" t="s">
        <v>797</v>
      </c>
      <c r="H258" t="s">
        <v>788</v>
      </c>
      <c r="I258" t="s">
        <v>795</v>
      </c>
      <c r="J258" t="s">
        <v>796</v>
      </c>
      <c r="K258" t="s">
        <v>798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v>278</v>
      </c>
      <c r="B259">
        <v>0</v>
      </c>
      <c r="C259" t="s">
        <v>784</v>
      </c>
      <c r="D259" t="s">
        <v>728</v>
      </c>
      <c r="E259" t="s">
        <v>785</v>
      </c>
      <c r="F259" t="s">
        <v>786</v>
      </c>
      <c r="G259" t="s">
        <v>799</v>
      </c>
      <c r="H259" t="s">
        <v>788</v>
      </c>
      <c r="I259" t="s">
        <v>795</v>
      </c>
      <c r="J259" t="s">
        <v>800</v>
      </c>
      <c r="K259" t="s">
        <v>801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v>279</v>
      </c>
      <c r="B260">
        <v>0</v>
      </c>
      <c r="C260" t="s">
        <v>784</v>
      </c>
      <c r="D260" t="s">
        <v>731</v>
      </c>
      <c r="E260" t="s">
        <v>785</v>
      </c>
      <c r="F260" t="s">
        <v>786</v>
      </c>
      <c r="G260" t="s">
        <v>802</v>
      </c>
      <c r="H260" t="s">
        <v>788</v>
      </c>
      <c r="I260" t="s">
        <v>795</v>
      </c>
      <c r="J260" t="s">
        <v>803</v>
      </c>
      <c r="K260" t="s">
        <v>804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v>280</v>
      </c>
      <c r="B261">
        <v>0</v>
      </c>
      <c r="C261" t="s">
        <v>784</v>
      </c>
      <c r="D261" t="s">
        <v>734</v>
      </c>
      <c r="E261" t="s">
        <v>785</v>
      </c>
      <c r="F261" t="s">
        <v>786</v>
      </c>
      <c r="G261" t="s">
        <v>805</v>
      </c>
      <c r="H261" t="s">
        <v>788</v>
      </c>
      <c r="I261" t="s">
        <v>806</v>
      </c>
      <c r="J261" t="s">
        <v>807</v>
      </c>
      <c r="K261" t="s">
        <v>808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v>281</v>
      </c>
      <c r="B262">
        <v>0</v>
      </c>
      <c r="C262" t="s">
        <v>784</v>
      </c>
      <c r="D262" t="s">
        <v>739</v>
      </c>
      <c r="E262" t="s">
        <v>785</v>
      </c>
      <c r="F262" t="s">
        <v>786</v>
      </c>
      <c r="G262" t="s">
        <v>809</v>
      </c>
      <c r="H262" t="s">
        <v>788</v>
      </c>
      <c r="I262" t="s">
        <v>810</v>
      </c>
      <c r="J262" t="s">
        <v>811</v>
      </c>
      <c r="K262" t="s">
        <v>812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v>282</v>
      </c>
      <c r="B263">
        <v>0</v>
      </c>
      <c r="C263" t="s">
        <v>784</v>
      </c>
      <c r="D263" t="s">
        <v>741</v>
      </c>
      <c r="E263" t="s">
        <v>785</v>
      </c>
      <c r="F263" t="s">
        <v>786</v>
      </c>
      <c r="G263" t="s">
        <v>813</v>
      </c>
      <c r="H263" t="s">
        <v>788</v>
      </c>
      <c r="I263" t="s">
        <v>814</v>
      </c>
      <c r="J263" t="s">
        <v>815</v>
      </c>
      <c r="K263" t="s">
        <v>816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v>283</v>
      </c>
      <c r="B264">
        <v>0</v>
      </c>
      <c r="C264" t="s">
        <v>784</v>
      </c>
      <c r="D264" t="s">
        <v>745</v>
      </c>
      <c r="E264" t="s">
        <v>785</v>
      </c>
      <c r="F264" t="s">
        <v>786</v>
      </c>
      <c r="G264" t="s">
        <v>817</v>
      </c>
      <c r="H264" t="s">
        <v>788</v>
      </c>
      <c r="I264" t="s">
        <v>814</v>
      </c>
      <c r="J264" t="s">
        <v>815</v>
      </c>
      <c r="K264" t="s">
        <v>818</v>
      </c>
      <c r="L264" t="s">
        <v>819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v>284</v>
      </c>
      <c r="B265">
        <v>0</v>
      </c>
      <c r="C265" t="s">
        <v>784</v>
      </c>
      <c r="D265" t="s">
        <v>749</v>
      </c>
      <c r="E265" t="s">
        <v>785</v>
      </c>
      <c r="F265" t="s">
        <v>786</v>
      </c>
      <c r="G265" t="s">
        <v>820</v>
      </c>
      <c r="H265" t="s">
        <v>788</v>
      </c>
      <c r="I265" t="s">
        <v>814</v>
      </c>
      <c r="J265" t="s">
        <v>815</v>
      </c>
      <c r="K265" t="s">
        <v>821</v>
      </c>
      <c r="L265" t="s">
        <v>822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v>285</v>
      </c>
      <c r="B266">
        <v>0</v>
      </c>
      <c r="C266" t="s">
        <v>784</v>
      </c>
      <c r="D266" t="s">
        <v>753</v>
      </c>
      <c r="E266" t="s">
        <v>785</v>
      </c>
      <c r="F266" t="s">
        <v>786</v>
      </c>
      <c r="G266" t="s">
        <v>823</v>
      </c>
      <c r="H266" t="s">
        <v>788</v>
      </c>
      <c r="I266" t="s">
        <v>824</v>
      </c>
      <c r="J266" t="s">
        <v>825</v>
      </c>
      <c r="K266" t="s">
        <v>826</v>
      </c>
      <c r="L266" t="s">
        <v>827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v>286</v>
      </c>
      <c r="B267">
        <v>0</v>
      </c>
      <c r="C267" t="s">
        <v>784</v>
      </c>
      <c r="D267" t="s">
        <v>757</v>
      </c>
      <c r="E267" t="s">
        <v>785</v>
      </c>
      <c r="F267" t="s">
        <v>786</v>
      </c>
      <c r="G267" t="s">
        <v>828</v>
      </c>
      <c r="H267" t="s">
        <v>788</v>
      </c>
      <c r="I267" t="s">
        <v>824</v>
      </c>
      <c r="J267" t="s">
        <v>825</v>
      </c>
      <c r="K267" t="s">
        <v>826</v>
      </c>
      <c r="L267" t="s">
        <v>829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v>287</v>
      </c>
      <c r="B268">
        <v>0</v>
      </c>
      <c r="C268" t="s">
        <v>784</v>
      </c>
      <c r="D268" t="s">
        <v>761</v>
      </c>
      <c r="E268" t="s">
        <v>785</v>
      </c>
      <c r="F268" t="s">
        <v>786</v>
      </c>
      <c r="G268" t="s">
        <v>830</v>
      </c>
      <c r="H268" t="s">
        <v>788</v>
      </c>
      <c r="I268" t="s">
        <v>824</v>
      </c>
      <c r="J268" t="s">
        <v>825</v>
      </c>
      <c r="K268" t="s">
        <v>826</v>
      </c>
      <c r="L268" t="s">
        <v>831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v>288</v>
      </c>
      <c r="B269">
        <v>0</v>
      </c>
      <c r="C269" t="s">
        <v>784</v>
      </c>
      <c r="D269" t="s">
        <v>765</v>
      </c>
      <c r="E269" t="s">
        <v>785</v>
      </c>
      <c r="F269" t="s">
        <v>786</v>
      </c>
      <c r="G269" t="s">
        <v>832</v>
      </c>
      <c r="H269" t="s">
        <v>788</v>
      </c>
      <c r="I269" t="s">
        <v>824</v>
      </c>
      <c r="J269" t="s">
        <v>833</v>
      </c>
      <c r="K269" t="s">
        <v>834</v>
      </c>
      <c r="L269" t="s">
        <v>827</v>
      </c>
      <c r="M269" t="s">
        <v>835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v>289</v>
      </c>
      <c r="B270">
        <v>0</v>
      </c>
      <c r="C270" t="s">
        <v>784</v>
      </c>
      <c r="D270" t="s">
        <v>769</v>
      </c>
      <c r="E270" t="s">
        <v>785</v>
      </c>
      <c r="F270" t="s">
        <v>786</v>
      </c>
      <c r="G270" t="s">
        <v>836</v>
      </c>
      <c r="H270" t="s">
        <v>788</v>
      </c>
      <c r="I270" t="s">
        <v>824</v>
      </c>
      <c r="J270" t="s">
        <v>833</v>
      </c>
      <c r="K270" t="s">
        <v>834</v>
      </c>
      <c r="L270" t="s">
        <v>829</v>
      </c>
      <c r="M270" t="s">
        <v>837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v>290</v>
      </c>
      <c r="B271">
        <v>0</v>
      </c>
      <c r="C271" t="s">
        <v>784</v>
      </c>
      <c r="D271" t="s">
        <v>773</v>
      </c>
      <c r="E271" t="s">
        <v>785</v>
      </c>
      <c r="F271" t="s">
        <v>786</v>
      </c>
      <c r="G271" t="s">
        <v>838</v>
      </c>
      <c r="H271" t="s">
        <v>788</v>
      </c>
      <c r="I271" t="s">
        <v>824</v>
      </c>
      <c r="J271" t="s">
        <v>833</v>
      </c>
      <c r="K271" t="s">
        <v>834</v>
      </c>
      <c r="L271" t="s">
        <v>829</v>
      </c>
      <c r="M271" t="s">
        <v>839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v>291</v>
      </c>
      <c r="B272">
        <v>0</v>
      </c>
      <c r="C272" t="s">
        <v>784</v>
      </c>
      <c r="D272" t="s">
        <v>777</v>
      </c>
      <c r="E272" t="s">
        <v>785</v>
      </c>
      <c r="F272" t="s">
        <v>786</v>
      </c>
      <c r="G272" t="s">
        <v>840</v>
      </c>
      <c r="H272" t="s">
        <v>788</v>
      </c>
      <c r="I272" t="s">
        <v>824</v>
      </c>
      <c r="J272" t="s">
        <v>833</v>
      </c>
      <c r="K272" t="s">
        <v>834</v>
      </c>
      <c r="L272" t="s">
        <v>829</v>
      </c>
      <c r="M272" t="s">
        <v>839</v>
      </c>
      <c r="N272" t="s">
        <v>841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v>292</v>
      </c>
      <c r="B273">
        <v>0</v>
      </c>
      <c r="C273" t="s">
        <v>784</v>
      </c>
      <c r="D273" t="s">
        <v>782</v>
      </c>
      <c r="E273" t="s">
        <v>785</v>
      </c>
      <c r="F273" t="s">
        <v>786</v>
      </c>
      <c r="G273" t="s">
        <v>842</v>
      </c>
      <c r="H273" t="s">
        <v>788</v>
      </c>
      <c r="I273" t="s">
        <v>824</v>
      </c>
      <c r="J273" t="s">
        <v>833</v>
      </c>
      <c r="K273" t="s">
        <v>834</v>
      </c>
      <c r="L273" t="s">
        <v>829</v>
      </c>
      <c r="M273" t="s">
        <v>839</v>
      </c>
      <c r="N273" t="s">
        <v>843</v>
      </c>
      <c r="O273" t="s">
        <v>844</v>
      </c>
      <c r="P273">
        <v>0</v>
      </c>
      <c r="Q273">
        <v>0</v>
      </c>
      <c r="R273">
        <v>0</v>
      </c>
    </row>
    <row r="274" spans="1:18" x14ac:dyDescent="0.25">
      <c r="A274">
        <v>293</v>
      </c>
      <c r="B274">
        <v>0</v>
      </c>
      <c r="C274" t="s">
        <v>784</v>
      </c>
      <c r="D274" t="s">
        <v>783</v>
      </c>
      <c r="E274" t="s">
        <v>785</v>
      </c>
      <c r="F274" t="s">
        <v>786</v>
      </c>
      <c r="G274" t="s">
        <v>845</v>
      </c>
      <c r="H274" t="s">
        <v>788</v>
      </c>
      <c r="I274" t="s">
        <v>824</v>
      </c>
      <c r="J274" t="s">
        <v>833</v>
      </c>
      <c r="K274" t="s">
        <v>834</v>
      </c>
      <c r="L274" t="s">
        <v>829</v>
      </c>
      <c r="M274" t="s">
        <v>839</v>
      </c>
      <c r="N274" t="s">
        <v>846</v>
      </c>
      <c r="O274" t="s">
        <v>847</v>
      </c>
      <c r="P274" t="s">
        <v>848</v>
      </c>
      <c r="Q274">
        <v>0</v>
      </c>
      <c r="R274">
        <v>0</v>
      </c>
    </row>
    <row r="275" spans="1:18" x14ac:dyDescent="0.25">
      <c r="A275">
        <v>294</v>
      </c>
      <c r="B275">
        <v>0</v>
      </c>
      <c r="C275" t="s">
        <v>849</v>
      </c>
      <c r="D275" t="s">
        <v>850</v>
      </c>
      <c r="E275" t="s">
        <v>851</v>
      </c>
      <c r="F275" t="s">
        <v>852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v>295</v>
      </c>
      <c r="B276">
        <v>0</v>
      </c>
      <c r="C276" t="s">
        <v>849</v>
      </c>
      <c r="D276" t="s">
        <v>853</v>
      </c>
      <c r="E276" t="s">
        <v>854</v>
      </c>
      <c r="F276" t="s">
        <v>855</v>
      </c>
      <c r="G276">
        <v>0.1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v>296</v>
      </c>
      <c r="B277">
        <v>0</v>
      </c>
      <c r="C277" t="s">
        <v>849</v>
      </c>
      <c r="D277" t="s">
        <v>856</v>
      </c>
      <c r="E277" t="s">
        <v>857</v>
      </c>
      <c r="F277" t="s">
        <v>858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v>297</v>
      </c>
      <c r="B278">
        <v>0</v>
      </c>
      <c r="C278" t="s">
        <v>849</v>
      </c>
      <c r="D278" t="s">
        <v>859</v>
      </c>
      <c r="E278" t="s">
        <v>860</v>
      </c>
      <c r="F278" t="s">
        <v>861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v>298</v>
      </c>
      <c r="B279">
        <v>0</v>
      </c>
      <c r="C279" t="s">
        <v>849</v>
      </c>
      <c r="D279" t="s">
        <v>862</v>
      </c>
      <c r="E279" t="s">
        <v>863</v>
      </c>
      <c r="F279" t="s">
        <v>864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v>299</v>
      </c>
      <c r="B280">
        <v>0</v>
      </c>
      <c r="C280" t="s">
        <v>849</v>
      </c>
      <c r="D280" t="s">
        <v>865</v>
      </c>
      <c r="E280" t="s">
        <v>866</v>
      </c>
      <c r="F280" t="s">
        <v>867</v>
      </c>
      <c r="G280">
        <v>0.4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v>300</v>
      </c>
      <c r="B281">
        <v>0</v>
      </c>
      <c r="C281" t="s">
        <v>849</v>
      </c>
      <c r="D281" t="s">
        <v>702</v>
      </c>
      <c r="E281" t="s">
        <v>868</v>
      </c>
      <c r="F281" t="s">
        <v>869</v>
      </c>
      <c r="G281">
        <v>1000</v>
      </c>
      <c r="H281">
        <v>20</v>
      </c>
      <c r="I281">
        <v>10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v>301</v>
      </c>
      <c r="B282">
        <v>0</v>
      </c>
      <c r="C282" t="s">
        <v>849</v>
      </c>
      <c r="D282" t="s">
        <v>870</v>
      </c>
      <c r="E282" t="s">
        <v>871</v>
      </c>
      <c r="F282" t="s">
        <v>872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v>302</v>
      </c>
      <c r="B283">
        <v>0</v>
      </c>
      <c r="C283" t="s">
        <v>849</v>
      </c>
      <c r="D283" t="s">
        <v>873</v>
      </c>
      <c r="E283" t="s">
        <v>874</v>
      </c>
      <c r="F283" t="s">
        <v>875</v>
      </c>
      <c r="G283">
        <v>30</v>
      </c>
      <c r="H283">
        <v>10</v>
      </c>
      <c r="I283">
        <v>0.8</v>
      </c>
      <c r="J283">
        <v>1.5</v>
      </c>
      <c r="K283">
        <v>0.3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v>303</v>
      </c>
      <c r="B284">
        <v>0</v>
      </c>
      <c r="C284" t="s">
        <v>876</v>
      </c>
      <c r="D284" t="s">
        <v>877</v>
      </c>
      <c r="E284" t="s">
        <v>878</v>
      </c>
      <c r="F284" t="s">
        <v>879</v>
      </c>
      <c r="G284">
        <v>0.75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v>304</v>
      </c>
      <c r="B285">
        <v>0</v>
      </c>
      <c r="C285" t="s">
        <v>876</v>
      </c>
      <c r="D285" t="s">
        <v>880</v>
      </c>
      <c r="E285" t="s">
        <v>881</v>
      </c>
      <c r="F285">
        <v>0</v>
      </c>
      <c r="G285">
        <v>1.25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v>305</v>
      </c>
      <c r="B286">
        <v>0</v>
      </c>
      <c r="C286" t="s">
        <v>876</v>
      </c>
      <c r="D286" t="s">
        <v>882</v>
      </c>
      <c r="E286" t="s">
        <v>638</v>
      </c>
      <c r="F286" t="s">
        <v>883</v>
      </c>
      <c r="G286">
        <v>45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v>306</v>
      </c>
      <c r="B287">
        <v>0</v>
      </c>
      <c r="C287" t="s">
        <v>876</v>
      </c>
      <c r="D287" t="s">
        <v>884</v>
      </c>
      <c r="E287" t="s">
        <v>885</v>
      </c>
      <c r="F287" t="s">
        <v>886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v>307</v>
      </c>
      <c r="B288">
        <v>0</v>
      </c>
      <c r="C288" t="s">
        <v>876</v>
      </c>
      <c r="D288" t="s">
        <v>887</v>
      </c>
      <c r="E288" t="s">
        <v>888</v>
      </c>
      <c r="F288" t="s">
        <v>889</v>
      </c>
      <c r="G288">
        <v>0.1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v>308</v>
      </c>
      <c r="B289">
        <v>0</v>
      </c>
      <c r="C289" t="s">
        <v>890</v>
      </c>
      <c r="D289" t="s">
        <v>891</v>
      </c>
      <c r="E289" t="s">
        <v>892</v>
      </c>
      <c r="F289" t="s">
        <v>893</v>
      </c>
      <c r="G289">
        <v>24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v>309</v>
      </c>
      <c r="B290">
        <v>0</v>
      </c>
      <c r="C290" t="s">
        <v>890</v>
      </c>
      <c r="D290" t="s">
        <v>894</v>
      </c>
      <c r="E290" t="s">
        <v>895</v>
      </c>
      <c r="F290" t="s">
        <v>896</v>
      </c>
      <c r="G290">
        <v>10</v>
      </c>
      <c r="H290">
        <v>10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v>310</v>
      </c>
      <c r="B291">
        <v>0</v>
      </c>
      <c r="C291" t="s">
        <v>890</v>
      </c>
      <c r="D291" t="s">
        <v>897</v>
      </c>
      <c r="E291" t="s">
        <v>898</v>
      </c>
      <c r="F291" t="s">
        <v>899</v>
      </c>
      <c r="G291">
        <v>10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v>311</v>
      </c>
      <c r="B292">
        <v>0</v>
      </c>
      <c r="C292" t="s">
        <v>890</v>
      </c>
      <c r="D292" t="s">
        <v>900</v>
      </c>
      <c r="E292" t="s">
        <v>901</v>
      </c>
      <c r="F292" t="s">
        <v>902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v>312</v>
      </c>
      <c r="B293">
        <v>0</v>
      </c>
      <c r="C293" t="s">
        <v>903</v>
      </c>
      <c r="D293" t="s">
        <v>904</v>
      </c>
      <c r="E293" t="s">
        <v>39</v>
      </c>
      <c r="F293" t="s">
        <v>905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v>313</v>
      </c>
      <c r="B294">
        <v>0</v>
      </c>
      <c r="C294" t="s">
        <v>903</v>
      </c>
      <c r="D294" t="s">
        <v>906</v>
      </c>
      <c r="E294" t="s">
        <v>39</v>
      </c>
      <c r="F294" t="s">
        <v>905</v>
      </c>
      <c r="G294">
        <v>1.35</v>
      </c>
      <c r="H294">
        <v>2</v>
      </c>
      <c r="I294">
        <v>2</v>
      </c>
      <c r="J294">
        <v>1</v>
      </c>
      <c r="K294">
        <v>1</v>
      </c>
      <c r="L294">
        <v>1.7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v>314</v>
      </c>
      <c r="B295">
        <v>0</v>
      </c>
      <c r="C295" t="s">
        <v>903</v>
      </c>
      <c r="D295" t="s">
        <v>907</v>
      </c>
      <c r="E295" t="s">
        <v>39</v>
      </c>
      <c r="F295" t="s">
        <v>905</v>
      </c>
      <c r="G295">
        <v>1.75</v>
      </c>
      <c r="H295">
        <v>2</v>
      </c>
      <c r="I295">
        <v>2</v>
      </c>
      <c r="J295">
        <v>1</v>
      </c>
      <c r="K295">
        <v>1</v>
      </c>
      <c r="L295">
        <v>2.8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v>315</v>
      </c>
      <c r="B296">
        <v>0</v>
      </c>
      <c r="C296" t="s">
        <v>903</v>
      </c>
      <c r="D296" t="s">
        <v>908</v>
      </c>
      <c r="E296" t="s">
        <v>39</v>
      </c>
      <c r="F296" t="s">
        <v>905</v>
      </c>
      <c r="G296">
        <v>2.2999999999999998</v>
      </c>
      <c r="H296">
        <v>3</v>
      </c>
      <c r="I296">
        <v>3</v>
      </c>
      <c r="J296">
        <v>2</v>
      </c>
      <c r="K296">
        <v>1</v>
      </c>
      <c r="L296">
        <v>4.5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v>316</v>
      </c>
      <c r="B297">
        <v>0</v>
      </c>
      <c r="C297" t="s">
        <v>903</v>
      </c>
      <c r="D297" t="s">
        <v>909</v>
      </c>
      <c r="E297" t="s">
        <v>39</v>
      </c>
      <c r="F297" t="s">
        <v>905</v>
      </c>
      <c r="G297">
        <v>3</v>
      </c>
      <c r="H297">
        <v>4</v>
      </c>
      <c r="I297">
        <v>4</v>
      </c>
      <c r="J297">
        <v>3</v>
      </c>
      <c r="K297">
        <v>2</v>
      </c>
      <c r="L297">
        <v>7.5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v>317</v>
      </c>
      <c r="B298">
        <v>0</v>
      </c>
      <c r="C298" t="s">
        <v>903</v>
      </c>
      <c r="D298" t="s">
        <v>910</v>
      </c>
      <c r="E298" t="s">
        <v>39</v>
      </c>
      <c r="F298" t="s">
        <v>905</v>
      </c>
      <c r="G298">
        <v>4</v>
      </c>
      <c r="H298">
        <v>5</v>
      </c>
      <c r="I298">
        <v>5</v>
      </c>
      <c r="J298">
        <v>4</v>
      </c>
      <c r="K298">
        <v>2</v>
      </c>
      <c r="L298">
        <v>12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v>318</v>
      </c>
      <c r="B299">
        <v>0</v>
      </c>
      <c r="C299" t="s">
        <v>903</v>
      </c>
      <c r="D299" t="s">
        <v>911</v>
      </c>
      <c r="E299" t="s">
        <v>39</v>
      </c>
      <c r="F299" t="s">
        <v>905</v>
      </c>
      <c r="G299">
        <v>5.2</v>
      </c>
      <c r="H299">
        <v>6</v>
      </c>
      <c r="I299">
        <v>6</v>
      </c>
      <c r="J299">
        <v>5</v>
      </c>
      <c r="K299">
        <v>2</v>
      </c>
      <c r="L299">
        <v>19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v>319</v>
      </c>
      <c r="B300">
        <v>0</v>
      </c>
      <c r="C300" t="s">
        <v>903</v>
      </c>
      <c r="D300" t="s">
        <v>912</v>
      </c>
      <c r="E300" t="s">
        <v>39</v>
      </c>
      <c r="F300" t="s">
        <v>905</v>
      </c>
      <c r="G300">
        <v>6.8</v>
      </c>
      <c r="H300">
        <v>7</v>
      </c>
      <c r="I300">
        <v>7</v>
      </c>
      <c r="J300">
        <v>6</v>
      </c>
      <c r="K300">
        <v>3</v>
      </c>
      <c r="L300">
        <v>30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v>320</v>
      </c>
      <c r="B301">
        <v>0</v>
      </c>
      <c r="C301" t="s">
        <v>903</v>
      </c>
      <c r="D301" t="s">
        <v>913</v>
      </c>
      <c r="E301" t="s">
        <v>39</v>
      </c>
      <c r="F301" t="s">
        <v>905</v>
      </c>
      <c r="G301">
        <v>10.199999999999999</v>
      </c>
      <c r="H301">
        <v>8</v>
      </c>
      <c r="I301">
        <v>8</v>
      </c>
      <c r="J301">
        <v>6</v>
      </c>
      <c r="K301">
        <v>3</v>
      </c>
      <c r="L301">
        <v>45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v>321</v>
      </c>
      <c r="B302">
        <v>0</v>
      </c>
      <c r="C302" t="s">
        <v>914</v>
      </c>
      <c r="D302" t="s">
        <v>915</v>
      </c>
      <c r="E302" t="s">
        <v>916</v>
      </c>
      <c r="F302" t="s">
        <v>917</v>
      </c>
      <c r="G302">
        <v>25</v>
      </c>
      <c r="H302">
        <v>25</v>
      </c>
      <c r="I302" t="s">
        <v>918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v>322</v>
      </c>
      <c r="B303">
        <v>0</v>
      </c>
      <c r="C303" t="s">
        <v>914</v>
      </c>
      <c r="D303" t="s">
        <v>919</v>
      </c>
      <c r="E303" t="s">
        <v>916</v>
      </c>
      <c r="F303" t="s">
        <v>920</v>
      </c>
      <c r="G303">
        <v>20</v>
      </c>
      <c r="H303">
        <v>20</v>
      </c>
      <c r="I303" t="s">
        <v>918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v>323</v>
      </c>
      <c r="B304">
        <v>0</v>
      </c>
      <c r="C304" t="s">
        <v>914</v>
      </c>
      <c r="D304" t="s">
        <v>921</v>
      </c>
      <c r="E304" t="s">
        <v>916</v>
      </c>
      <c r="F304" t="s">
        <v>922</v>
      </c>
      <c r="G304">
        <v>3</v>
      </c>
      <c r="H304">
        <v>1.5</v>
      </c>
      <c r="I304" t="s">
        <v>918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v>324</v>
      </c>
      <c r="B305">
        <v>0</v>
      </c>
      <c r="C305" t="s">
        <v>914</v>
      </c>
      <c r="D305" t="s">
        <v>923</v>
      </c>
      <c r="E305" t="s">
        <v>916</v>
      </c>
      <c r="F305" t="s">
        <v>924</v>
      </c>
      <c r="G305">
        <v>20</v>
      </c>
      <c r="H305">
        <v>20</v>
      </c>
      <c r="I305" t="s">
        <v>918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v>325</v>
      </c>
      <c r="B306">
        <v>0</v>
      </c>
      <c r="C306" t="s">
        <v>914</v>
      </c>
      <c r="D306" t="s">
        <v>925</v>
      </c>
      <c r="E306" t="s">
        <v>916</v>
      </c>
      <c r="F306" t="s">
        <v>926</v>
      </c>
      <c r="G306">
        <v>3</v>
      </c>
      <c r="H306">
        <v>1.5</v>
      </c>
      <c r="I306" t="s">
        <v>918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v>326</v>
      </c>
      <c r="B307">
        <v>0</v>
      </c>
      <c r="C307" t="s">
        <v>914</v>
      </c>
      <c r="D307" t="s">
        <v>927</v>
      </c>
      <c r="E307" t="s">
        <v>916</v>
      </c>
      <c r="F307" t="s">
        <v>928</v>
      </c>
      <c r="G307">
        <v>3</v>
      </c>
      <c r="H307">
        <v>1.5</v>
      </c>
      <c r="I307" t="s">
        <v>918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v>327</v>
      </c>
      <c r="B308">
        <v>0</v>
      </c>
      <c r="C308" t="s">
        <v>914</v>
      </c>
      <c r="D308" t="s">
        <v>929</v>
      </c>
      <c r="E308" t="s">
        <v>916</v>
      </c>
      <c r="F308" t="s">
        <v>930</v>
      </c>
      <c r="G308">
        <v>1</v>
      </c>
      <c r="H308">
        <v>0.5</v>
      </c>
      <c r="I308" t="s">
        <v>918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v>328</v>
      </c>
      <c r="B309">
        <v>0</v>
      </c>
      <c r="C309" t="s">
        <v>914</v>
      </c>
      <c r="D309" t="s">
        <v>931</v>
      </c>
      <c r="E309" t="s">
        <v>916</v>
      </c>
      <c r="F309" t="s">
        <v>932</v>
      </c>
      <c r="G309">
        <v>25</v>
      </c>
      <c r="H309">
        <v>25</v>
      </c>
      <c r="I309" t="s">
        <v>918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v>329</v>
      </c>
      <c r="B310">
        <v>0</v>
      </c>
      <c r="C310" t="s">
        <v>914</v>
      </c>
      <c r="D310" t="s">
        <v>933</v>
      </c>
      <c r="E310" t="s">
        <v>916</v>
      </c>
      <c r="F310" t="s">
        <v>934</v>
      </c>
      <c r="G310">
        <v>5</v>
      </c>
      <c r="H310">
        <v>2.5</v>
      </c>
      <c r="I310" t="s">
        <v>918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v>333</v>
      </c>
      <c r="B314">
        <v>0</v>
      </c>
      <c r="C314" t="s">
        <v>935</v>
      </c>
      <c r="D314" t="s">
        <v>936</v>
      </c>
      <c r="E314" t="s">
        <v>937</v>
      </c>
      <c r="F314" t="s">
        <v>938</v>
      </c>
      <c r="G314">
        <v>0.8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v>334</v>
      </c>
      <c r="B315">
        <v>0</v>
      </c>
      <c r="C315" t="s">
        <v>935</v>
      </c>
      <c r="D315" t="s">
        <v>939</v>
      </c>
      <c r="E315" t="s">
        <v>940</v>
      </c>
      <c r="F315" t="s">
        <v>941</v>
      </c>
      <c r="G315">
        <v>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v>335</v>
      </c>
      <c r="B316">
        <v>0</v>
      </c>
      <c r="C316" t="s">
        <v>935</v>
      </c>
      <c r="D316" t="s">
        <v>942</v>
      </c>
      <c r="E316" t="s">
        <v>943</v>
      </c>
      <c r="F316" t="s">
        <v>944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v>336</v>
      </c>
      <c r="B317">
        <v>0</v>
      </c>
      <c r="C317" t="s">
        <v>935</v>
      </c>
      <c r="D317" t="s">
        <v>945</v>
      </c>
      <c r="E317" t="s">
        <v>946</v>
      </c>
      <c r="F317" t="s">
        <v>947</v>
      </c>
      <c r="G317">
        <v>10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v>337</v>
      </c>
      <c r="B318">
        <v>0</v>
      </c>
      <c r="C318" t="s">
        <v>935</v>
      </c>
      <c r="D318" t="s">
        <v>948</v>
      </c>
      <c r="E318" t="s">
        <v>949</v>
      </c>
      <c r="F318" t="s">
        <v>950</v>
      </c>
      <c r="G318">
        <v>2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v>338</v>
      </c>
      <c r="B319">
        <v>0</v>
      </c>
      <c r="C319" t="s">
        <v>935</v>
      </c>
      <c r="D319" t="s">
        <v>951</v>
      </c>
      <c r="E319" t="s">
        <v>952</v>
      </c>
      <c r="F319" t="s">
        <v>953</v>
      </c>
      <c r="G319">
        <v>5</v>
      </c>
      <c r="H319">
        <v>10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v>339</v>
      </c>
      <c r="B320">
        <v>0</v>
      </c>
      <c r="C320" t="s">
        <v>935</v>
      </c>
      <c r="D320" t="s">
        <v>954</v>
      </c>
      <c r="E320" t="s">
        <v>955</v>
      </c>
      <c r="F320" t="s">
        <v>956</v>
      </c>
      <c r="G320">
        <v>10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v>340</v>
      </c>
      <c r="B321">
        <v>0</v>
      </c>
      <c r="C321" t="s">
        <v>935</v>
      </c>
      <c r="D321" t="s">
        <v>957</v>
      </c>
      <c r="E321" t="s">
        <v>958</v>
      </c>
      <c r="F321" t="s">
        <v>959</v>
      </c>
      <c r="G321">
        <v>20000</v>
      </c>
      <c r="H321">
        <v>10000</v>
      </c>
      <c r="I321">
        <v>6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v>341</v>
      </c>
      <c r="B322">
        <v>0</v>
      </c>
      <c r="C322" t="s">
        <v>903</v>
      </c>
      <c r="D322" t="s">
        <v>960</v>
      </c>
      <c r="E322" t="s">
        <v>39</v>
      </c>
      <c r="F322" t="s">
        <v>961</v>
      </c>
      <c r="G322">
        <v>15.3</v>
      </c>
      <c r="H322">
        <v>9</v>
      </c>
      <c r="I322">
        <v>9</v>
      </c>
      <c r="J322">
        <v>6</v>
      </c>
      <c r="K322">
        <v>3</v>
      </c>
      <c r="L322">
        <v>67.5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v>342</v>
      </c>
      <c r="B323">
        <v>0</v>
      </c>
      <c r="C323" t="s">
        <v>903</v>
      </c>
      <c r="D323" t="s">
        <v>962</v>
      </c>
      <c r="E323" t="s">
        <v>39</v>
      </c>
      <c r="F323" t="s">
        <v>961</v>
      </c>
      <c r="G323">
        <v>22.95</v>
      </c>
      <c r="H323">
        <v>10</v>
      </c>
      <c r="I323">
        <v>10</v>
      </c>
      <c r="J323">
        <v>7</v>
      </c>
      <c r="K323">
        <v>3</v>
      </c>
      <c r="L323">
        <v>101.25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v>343</v>
      </c>
      <c r="B324">
        <v>0</v>
      </c>
      <c r="C324" t="s">
        <v>583</v>
      </c>
      <c r="D324" t="s">
        <v>963</v>
      </c>
      <c r="E324" t="s">
        <v>964</v>
      </c>
      <c r="F324" t="s">
        <v>965</v>
      </c>
      <c r="G324">
        <v>20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v>344</v>
      </c>
      <c r="B325">
        <v>0</v>
      </c>
      <c r="C325" t="s">
        <v>583</v>
      </c>
      <c r="D325" t="s">
        <v>966</v>
      </c>
      <c r="E325" t="s">
        <v>967</v>
      </c>
      <c r="F325" t="s">
        <v>968</v>
      </c>
      <c r="G325">
        <v>500000000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v>345</v>
      </c>
      <c r="B326">
        <v>0</v>
      </c>
      <c r="C326" t="s">
        <v>583</v>
      </c>
      <c r="D326" t="s">
        <v>969</v>
      </c>
      <c r="E326" t="s">
        <v>970</v>
      </c>
      <c r="F326" t="s">
        <v>971</v>
      </c>
      <c r="G326">
        <v>13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v>346</v>
      </c>
      <c r="B327">
        <v>0</v>
      </c>
      <c r="C327" t="s">
        <v>18</v>
      </c>
      <c r="D327" t="s">
        <v>972</v>
      </c>
      <c r="E327" t="s">
        <v>973</v>
      </c>
      <c r="F327" t="s">
        <v>974</v>
      </c>
      <c r="G327">
        <v>30</v>
      </c>
      <c r="H327">
        <v>3</v>
      </c>
      <c r="I327">
        <v>20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v>347</v>
      </c>
      <c r="B328">
        <v>0</v>
      </c>
      <c r="C328" t="s">
        <v>18</v>
      </c>
      <c r="D328" t="s">
        <v>975</v>
      </c>
      <c r="E328" t="s">
        <v>976</v>
      </c>
      <c r="F328" t="s">
        <v>977</v>
      </c>
      <c r="G328">
        <v>1000</v>
      </c>
      <c r="H328">
        <v>90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v>348</v>
      </c>
      <c r="B329">
        <v>0</v>
      </c>
      <c r="C329" t="s">
        <v>876</v>
      </c>
      <c r="D329" t="s">
        <v>978</v>
      </c>
      <c r="E329" t="s">
        <v>979</v>
      </c>
      <c r="F329" t="s">
        <v>980</v>
      </c>
      <c r="G329">
        <v>50000</v>
      </c>
      <c r="H329">
        <v>5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v>349</v>
      </c>
      <c r="B330">
        <v>0</v>
      </c>
      <c r="C330" t="s">
        <v>876</v>
      </c>
      <c r="D330" t="s">
        <v>981</v>
      </c>
      <c r="E330" t="s">
        <v>982</v>
      </c>
      <c r="F330" t="s">
        <v>983</v>
      </c>
      <c r="G330">
        <v>10</v>
      </c>
      <c r="H330">
        <v>0.65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v>350</v>
      </c>
      <c r="B331">
        <v>0</v>
      </c>
      <c r="C331" t="s">
        <v>876</v>
      </c>
      <c r="D331" t="s">
        <v>984</v>
      </c>
      <c r="E331" t="s">
        <v>985</v>
      </c>
      <c r="F331" t="s">
        <v>986</v>
      </c>
      <c r="G331">
        <v>75</v>
      </c>
      <c r="H331">
        <v>100</v>
      </c>
      <c r="I331">
        <v>125</v>
      </c>
      <c r="J331">
        <v>150</v>
      </c>
      <c r="K331">
        <v>20</v>
      </c>
      <c r="L331">
        <v>30</v>
      </c>
      <c r="M331">
        <v>30</v>
      </c>
      <c r="N331">
        <v>20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v>351</v>
      </c>
      <c r="B332">
        <v>0</v>
      </c>
      <c r="C332" t="s">
        <v>876</v>
      </c>
      <c r="D332" t="s">
        <v>987</v>
      </c>
      <c r="E332" t="s">
        <v>988</v>
      </c>
      <c r="F332" t="s">
        <v>989</v>
      </c>
      <c r="G332">
        <v>25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v>352</v>
      </c>
      <c r="B333">
        <v>0</v>
      </c>
      <c r="C333" t="s">
        <v>876</v>
      </c>
      <c r="D333" t="s">
        <v>990</v>
      </c>
      <c r="E333" t="s">
        <v>638</v>
      </c>
      <c r="F333" t="s">
        <v>991</v>
      </c>
      <c r="G333">
        <v>5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v>353</v>
      </c>
      <c r="B334">
        <v>0</v>
      </c>
      <c r="C334" t="s">
        <v>876</v>
      </c>
      <c r="D334" t="s">
        <v>992</v>
      </c>
      <c r="E334" t="s">
        <v>993</v>
      </c>
      <c r="F334" t="s">
        <v>994</v>
      </c>
      <c r="G334">
        <v>0.6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v>354</v>
      </c>
      <c r="B335">
        <v>0</v>
      </c>
      <c r="C335" t="s">
        <v>576</v>
      </c>
      <c r="D335" t="s">
        <v>995</v>
      </c>
      <c r="E335" t="s">
        <v>996</v>
      </c>
      <c r="F335" t="s">
        <v>997</v>
      </c>
      <c r="G335">
        <v>0.1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v>355</v>
      </c>
      <c r="B336">
        <v>0</v>
      </c>
      <c r="C336" t="s">
        <v>998</v>
      </c>
      <c r="D336" t="s">
        <v>999</v>
      </c>
      <c r="E336" t="s">
        <v>1000</v>
      </c>
      <c r="F336" t="s">
        <v>1001</v>
      </c>
      <c r="G336">
        <v>50000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v>356</v>
      </c>
      <c r="B337">
        <v>0</v>
      </c>
      <c r="C337" t="s">
        <v>998</v>
      </c>
      <c r="D337" t="s">
        <v>1002</v>
      </c>
      <c r="E337" t="s">
        <v>1000</v>
      </c>
      <c r="F337" t="s">
        <v>1003</v>
      </c>
      <c r="G337">
        <v>500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v>357</v>
      </c>
      <c r="B338">
        <v>0</v>
      </c>
      <c r="C338" t="s">
        <v>998</v>
      </c>
      <c r="D338" t="s">
        <v>1004</v>
      </c>
      <c r="E338" t="s">
        <v>1000</v>
      </c>
      <c r="F338" t="s">
        <v>1005</v>
      </c>
      <c r="G338">
        <v>100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2026-08-06T09:17:29Z</dcterms:modified>
</cp:coreProperties>
</file>
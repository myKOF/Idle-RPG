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5999100B-BB67-47C4-BAF6-BC2EC0C31CE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3" i="2"/>
  <c r="I11" i="2"/>
  <c r="I12" i="2" s="1"/>
  <c r="I13" i="2" s="1"/>
  <c r="I14" i="2" s="1"/>
  <c r="I15" i="2" s="1"/>
  <c r="I16" i="2" s="1"/>
  <c r="I17" i="2" s="1"/>
  <c r="I18" i="2" s="1"/>
  <c r="I19" i="2" s="1"/>
  <c r="A3" i="1"/>
</calcChain>
</file>

<file path=xl/sharedStrings.xml><?xml version="1.0" encoding="utf-8"?>
<sst xmlns="http://schemas.openxmlformats.org/spreadsheetml/2006/main" count="2304" uniqueCount="973">
  <si>
    <t>編號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</si>
  <si>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</si>
  <si>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</si>
  <si>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</si>
  <si>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</si>
  <si>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</si>
  <si>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</si>
  <si>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</si>
  <si>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</si>
  <si>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</si>
  <si>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</si>
  <si>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</si>
  <si>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</si>
  <si>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</si>
  <si>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</si>
  <si>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</si>
  <si>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</si>
  <si>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</si>
  <si>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</si>
  <si>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</si>
  <si>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</si>
  <si>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</si>
  <si>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</si>
  <si>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</si>
  <si>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</si>
  <si>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</si>
  <si>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</si>
  <si>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</si>
  <si>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</si>
  <si>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</si>
  <si>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</si>
  <si>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</si>
  <si>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</si>
  <si>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</si>
  <si>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</si>
  <si>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</si>
  <si>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</si>
  <si>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</si>
  <si>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</si>
  <si>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</si>
  <si>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</si>
  <si>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</si>
  <si>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</si>
  <si>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</si>
  <si>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</si>
  <si>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</si>
  <si>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</si>
  <si>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</si>
  <si>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</si>
  <si>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</si>
  <si>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</si>
  <si>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</si>
  <si>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</si>
  <si>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</si>
  <si>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</si>
  <si>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</si>
  <si>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</si>
  <si>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</si>
  <si>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</si>
  <si>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</si>
  <si>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</si>
  <si>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</si>
  <si>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</si>
  <si>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</si>
  <si>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</si>
  <si>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</si>
  <si>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</si>
  <si>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</si>
  <si>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</si>
  <si>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</si>
  <si>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</si>
  <si>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</si>
  <si>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</si>
  <si>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</si>
  <si>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</si>
  <si>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</si>
  <si>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</si>
  <si>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</si>
  <si>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</si>
  <si>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</si>
  <si>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</si>
  <si>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</si>
  <si>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</si>
  <si>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</si>
  <si>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</si>
  <si>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</si>
  <si>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</si>
  <si>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</si>
  <si>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</si>
  <si>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</si>
  <si>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</si>
  <si>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</si>
  <si>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</si>
  <si>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</si>
  <si>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</si>
  <si>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</si>
  <si>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</si>
  <si>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</si>
  <si>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</si>
  <si>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</si>
  <si>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</si>
  <si>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a=基礎%（減去敵方閃避後最低 5%）。</t>
  </si>
  <si>
    <t>閃避率</t>
  </si>
  <si>
    <t>敏捷×a+加成</t>
  </si>
  <si>
    <t>a=每點敏捷%。上限 40%。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</si>
  <si>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</si>
  <si>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</si>
  <si>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</si>
  <si>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</si>
  <si>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</si>
  <si>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</si>
  <si>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</si>
  <si>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</si>
  <si>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</si>
  <si>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</si>
  <si>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</si>
  <si>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</si>
  <si>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物理穿透 上限</t>
  </si>
  <si>
    <t>魔法穿透 上限</t>
  </si>
  <si>
    <t>冷卻縮減 上限</t>
  </si>
  <si>
    <t>施法速度 上限</t>
  </si>
  <si>
    <t>吸血 上限</t>
  </si>
  <si>
    <t>吸魔 上限</t>
  </si>
  <si>
    <t>格擋率 上限</t>
  </si>
  <si>
    <t>格擋減傷(詞條部分) 上限</t>
  </si>
  <si>
    <t>閃避率 上限</t>
  </si>
  <si>
    <t>韌性 上限</t>
  </si>
  <si>
    <t>物理抗性 上限</t>
  </si>
  <si>
    <t>魔法抗性 上限</t>
  </si>
  <si>
    <t>六系元素抗性 上限</t>
  </si>
  <si>
    <t>控制抵抗 上限</t>
  </si>
  <si>
    <t>控制時間縮減 上限</t>
  </si>
  <si>
    <t>移動速度 上限</t>
  </si>
  <si>
    <t>幸運值 上限</t>
  </si>
  <si>
    <t>合成變異率 上限</t>
  </si>
  <si>
    <t>狂暴閾值 上限</t>
  </si>
  <si>
    <t>詞條上限率 上限</t>
  </si>
  <si>
    <t>被動-連擊 上限</t>
  </si>
  <si>
    <t>被動-暈眩 上限</t>
  </si>
  <si>
    <t>全局減傷 上限</t>
  </si>
  <si>
    <t>3-戰鬥核心</t>
  </si>
  <si>
    <t>防禦減傷率</t>
  </si>
  <si>
    <t>防禦/(防禦+a+b×攻擊者等級)</t>
  </si>
  <si>
    <t>a=常數 b=每級係數。有效防禦≤0 時視為 0% 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</si>
  <si>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</si>
  <si>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</si>
  <si>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</si>
  <si>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</si>
  <si>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</si>
  <si>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</si>
  <si>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</si>
  <si>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</si>
  <si>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</si>
  <si>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</si>
  <si>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</si>
  <si>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</si>
  <si>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</si>
  <si>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</si>
  <si>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</si>
  <si>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</si>
  <si>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</si>
  <si>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</si>
  <si>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</si>
  <si>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</si>
  <si>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</si>
  <si>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</si>
  <si>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</si>
  <si>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</si>
  <si>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</si>
  <si>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</si>
  <si>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</si>
  <si>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</si>
  <si>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</si>
  <si>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</si>
  <si>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</si>
  <si>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</si>
  <si>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</si>
  <si>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</si>
  <si>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</si>
  <si>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</si>
  <si>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</si>
  <si>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</si>
  <si>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</si>
  <si>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</si>
  <si>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</si>
  <si>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</si>
  <si>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</si>
  <si>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</si>
  <si>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</si>
  <si>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</si>
  <si>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</si>
  <si>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</si>
  <si>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</si>
  <si>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</si>
  <si>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</si>
  <si>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菁英倍率</t>
  </si>
  <si>
    <t>生命×a 攻擊×b 金幣經驗×c 閃避d 攻速e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</si>
  <si>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</si>
  <si>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</si>
  <si>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</si>
  <si>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</si>
  <si>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</si>
  <si>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</si>
  <si>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</si>
  <si>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</si>
  <si>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</si>
  <si>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</si>
  <si>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</si>
  <si>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</si>
  <si>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</si>
  <si>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</si>
  <si>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</si>
  <si>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</si>
  <si>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</si>
  <si>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</si>
  <si>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</si>
  <si>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</si>
  <si>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</si>
  <si>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</si>
  <si>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</si>
  <si>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</si>
  <si>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挑戰金幣消耗</t>
  </si>
  <si>
    <t>round(a×樓層^b)</t>
  </si>
  <si>
    <t>開始挑戰前扣除，失敗或撤退不退回。</t>
  </si>
  <si>
    <t>基準生命×a（地獄之塔再×b）</t>
  </si>
  <si>
    <t>a=一般倍率 b=地獄之塔倍率。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</si>
  <si>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</si>
  <si>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</si>
  <si>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</si>
  <si>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</si>
  <si>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</si>
  <si>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</si>
  <si>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</si>
  <si>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閃避</t>
  </si>
  <si>
    <t>min(a+樓層, b)%</t>
  </si>
  <si>
    <t>a=基礎 b=上限。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</si>
  <si>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</si>
  <si>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</si>
  <si>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</si>
  <si>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</si>
  <si>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</si>
  <si>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</si>
  <si>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</si>
  <si>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</si>
  <si>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</si>
  <si>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</si>
  <si>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</si>
  <si>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</si>
  <si>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</si>
  <si>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</si>
  <si>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</si>
  <si>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</si>
  <si>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</si>
  <si>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</si>
  <si>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</si>
  <si>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</si>
  <si>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</si>
  <si>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</si>
  <si>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</si>
  <si>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</si>
  <si>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</si>
  <si>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</si>
  <si>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</si>
  <si>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</si>
  <si>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</si>
  <si>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</si>
  <si>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</si>
  <si>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</si>
  <si>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</si>
  <si>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</si>
  <si>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</si>
  <si>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</si>
  <si>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</si>
  <si>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</si>
  <si>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</si>
  <si>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</si>
  <si>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</si>
  <si>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</si>
  <si>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</si>
  <si>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</si>
  <si>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</si>
  <si>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</si>
  <si>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</si>
  <si>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</si>
  <si>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</si>
  <si>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</si>
  <si>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</si>
  <si>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{100~149=0}</t>
  </si>
  <si>
    <t>{150+=0}</t>
  </si>
  <si>
    <t>精良裝備</t>
  </si>
  <si>
    <t>{1~49=10}</t>
  </si>
  <si>
    <t>{50~99=10}</t>
  </si>
  <si>
    <t>稀有裝備</t>
  </si>
  <si>
    <t>{1~49=5}</t>
  </si>
  <si>
    <t>{50~99=5}</t>
  </si>
  <si>
    <t>{100~149=8}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</si>
  <si>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</si>
  <si>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</si>
  <si>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</si>
  <si>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</si>
  <si>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</si>
  <si>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</si>
  <si>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</si>
  <si>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</si>
  <si>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</si>
  <si>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</si>
  <si>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</si>
  <si>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</si>
  <si>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</si>
  <si>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</si>
  <si>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</si>
  <si>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</si>
  <si>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</si>
  <si>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</si>
  <si>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</si>
  <si>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</si>
  <si>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</si>
  <si>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</si>
  <si>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</si>
  <si>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</si>
  <si>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</si>
  <si>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</si>
  <si>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</si>
  <si>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</si>
  <si>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</si>
  <si>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</si>
  <si>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</si>
  <si>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</si>
  <si>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</si>
  <si>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</si>
  <si>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</si>
  <si>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</si>
  <si>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</si>
  <si>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</si>
  <si>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</si>
  <si>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</si>
  <si>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</si>
  <si>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</si>
  <si>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</si>
  <si>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</si>
  <si>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</si>
  <si>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</si>
  <si>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</si>
  <si>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</si>
  <si>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</si>
  <si>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</si>
  <si>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</si>
  <si>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</si>
  <si>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</si>
  <si>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</si>
  <si>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</si>
  <si>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</si>
  <si>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</si>
  <si>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</si>
  <si>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</si>
  <si>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</si>
  <si>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</si>
  <si>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</si>
  <si>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</si>
  <si>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</si>
  <si>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</si>
  <si>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</si>
  <si>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</si>
  <si>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</si>
  <si>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</si>
  <si>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</si>
  <si>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</si>
  <si>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</si>
  <si>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</si>
  <si>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</si>
  <si>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</si>
  <si>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</si>
  <si>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</si>
  <si>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</si>
  <si>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</si>
  <si>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</si>
  <si>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</si>
  <si>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</si>
  <si>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</si>
  <si>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</si>
  <si>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</si>
  <si>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</si>
  <si>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</si>
  <si>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</si>
  <si>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</si>
  <si>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</si>
  <si>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</si>
  <si>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</si>
  <si>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</si>
  <si>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</si>
  <si>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</si>
  <si>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</si>
  <si>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</si>
  <si>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</si>
  <si>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</si>
  <si>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</t>
  </si>
  <si>
    <t>太古詞條數值</t>
  </si>
  <si>
    <t>基準值×1.2×a</t>
  </si>
  <si>
    <t>a=太古倍率（=原上限的 135%）。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</si>
  <si>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</si>
  <si>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</si>
  <si>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</si>
  <si>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</si>
  <si>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</si>
  <si>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</t>
  </si>
  <si>
    <t>神鑄特效數值</t>
  </si>
  <si>
    <t>base × rnd(0.8, 1.2)</t>
  </si>
  <si>
    <t>base 見「神鑄特效表」。神力為額外乘區、彼此相乘。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</si>
  <si>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</si>
  <si>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</si>
  <si>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</si>
  <si>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</si>
  <si>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</si>
  <si>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</si>
  <si>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</si>
  <si>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</si>
  <si>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</si>
  <si>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</si>
  <si>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</si>
  <si>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</si>
  <si>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</si>
  <si>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</si>
  <si>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</si>
  <si>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</si>
  <si>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</si>
  <si>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</si>
  <si>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</si>
  <si>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</si>
  <si>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</si>
  <si>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</si>
  <si>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</si>
  <si>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</si>
  <si>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</si>
  <si>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</si>
  <si>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</si>
  <si>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</si>
  <si>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</si>
  <si>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</si>
  <si>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</si>
  <si>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</si>
  <si>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</si>
  <si>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</si>
  <si>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</si>
  <si>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</si>
  <si>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</si>
  <si>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</si>
  <si>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</si>
  <si>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</si>
  <si>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</si>
  <si>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</si>
  <si>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</si>
  <si>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</si>
  <si>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</si>
  <si>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</si>
  <si>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</si>
  <si>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</si>
  <si>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</si>
  <si>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</si>
  <si>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</si>
  <si>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</si>
  <si>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</si>
  <si>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</si>
  <si>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</si>
  <si>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</si>
  <si>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</si>
  <si>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</si>
  <si>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</si>
  <si>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</si>
  <si>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</si>
  <si>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</si>
  <si>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</si>
  <si>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</si>
  <si>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</si>
  <si>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</si>
  <si>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</si>
  <si>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勾選後每次消耗 1 顆，本次每詞條 a% 成為太古</t>
  </si>
  <si>
    <t>a=太古機率。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</si>
  <si>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</si>
  <si>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</si>
  <si>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</si>
  <si>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</si>
  <si>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</si>
  <si>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</si>
  <si>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混合合成</t>
  </si>
  <si>
    <t>1 裝備+1 寶石+1 附魔書 → 附魔（威力吃寶石等級）；大成功稀有度+1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</si>
  <si>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</si>
  <si>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</si>
  <si>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</si>
  <si>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</si>
  <si>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</si>
  <si>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</si>
  <si>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</si>
  <si>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</si>
  <si>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</si>
  <si>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</si>
  <si>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</si>
  <si>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</si>
  <si>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</si>
  <si>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</si>
  <si>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</si>
  <si>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</si>
  <si>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</si>
  <si>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</si>
  <si>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</si>
  <si>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</si>
  <si>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</si>
  <si>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</si>
  <si>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</si>
  <si>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</si>
  <si>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</si>
  <si>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</si>
  <si>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</si>
  <si>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</si>
  <si>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</si>
  <si>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</si>
  <si>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</si>
  <si>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</si>
  <si>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</si>
  <si>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</si>
  <si>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</si>
  <si>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</si>
  <si>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</si>
  <si>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</si>
  <si>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</si>
  <si>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</si>
  <si>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</si>
  <si>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</si>
  <si>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</si>
  <si>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</si>
  <si>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</si>
  <si>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</si>
  <si>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</si>
  <si>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</si>
  <si>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</si>
  <si>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</si>
  <si>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</si>
  <si>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</si>
  <si>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</si>
  <si>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</si>
  <si>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</si>
  <si>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</si>
  <si>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</si>
  <si>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</si>
  <si>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</si>
  <si>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</si>
  <si>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</si>
  <si>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</si>
  <si>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</si>
  <si>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</si>
  <si>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</si>
  <si>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</si>
  <si>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</si>
  <si>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</si>
  <si>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</si>
  <si>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</si>
  <si>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</si>
  <si>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</si>
  <si>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</si>
  <si>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</si>
  <si>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</si>
  <si>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</si>
  <si>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</si>
  <si>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</si>
  <si>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</si>
  <si>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</si>
  <si>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</si>
  <si>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</si>
  <si>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</si>
  <si>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</si>
  <si>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</si>
  <si>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</si>
  <si>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</si>
  <si>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</si>
  <si>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</si>
  <si>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</si>
  <si>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</si>
  <si>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</si>
  <si>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</si>
  <si>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</si>
  <si>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</si>
  <si>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</si>
  <si>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</si>
  <si>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</si>
  <si>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</si>
  <si>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</si>
  <si>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</si>
  <si>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</si>
  <si>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</si>
  <si>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</si>
  <si>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</si>
  <si>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</si>
  <si>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</si>
  <si>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</si>
  <si>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</si>
  <si>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</si>
  <si>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</si>
  <si>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</si>
  <si>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</si>
  <si>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</si>
  <si>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</si>
  <si>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</si>
  <si>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</si>
  <si>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</si>
  <si>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</si>
  <si>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</si>
  <si>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</si>
  <si>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</si>
  <si>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</si>
  <si>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</si>
  <si>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</si>
  <si>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</si>
  <si>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</si>
  <si>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</si>
  <si>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</si>
  <si>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</si>
  <si>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</si>
  <si>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</si>
  <si>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</si>
  <si>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</si>
  <si>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</si>
  <si>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</si>
  <si>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</si>
  <si>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</si>
  <si>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</si>
  <si>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</si>
  <si>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</si>
  <si>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</si>
  <si>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</si>
  <si>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</si>
  <si>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</si>
  <si>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</si>
  <si>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</si>
  <si>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</si>
  <si>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</si>
  <si>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</si>
  <si>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</si>
  <si>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</si>
  <si>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</si>
  <si>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</si>
  <si>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</si>
  <si>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</si>
  <si>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</si>
  <si>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</si>
  <si>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</si>
  <si>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</si>
  <si>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</si>
  <si>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</si>
  <si>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</si>
  <si>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</si>
  <si>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</si>
  <si>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</si>
  <si>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</si>
  <si>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</si>
  <si>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</si>
  <si>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</si>
  <si>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</si>
  <si>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</si>
  <si>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</si>
  <si>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</si>
  <si>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</si>
  <si>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</si>
  <si>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</si>
  <si>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</si>
  <si>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</si>
  <si>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</si>
  <si>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</si>
  <si>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</si>
  <si>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</si>
  <si>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</si>
  <si>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</si>
  <si>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</si>
  <si>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</si>
  <si>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</si>
  <si>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</si>
  <si>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</si>
  <si>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</si>
  <si>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</si>
  <si>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</si>
  <si>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</si>
  <si>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</si>
  <si>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</si>
  <si>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</si>
  <si>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</si>
  <si>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</si>
  <si>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</si>
  <si>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</si>
  <si>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</si>
  <si>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</si>
  <si>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</si>
  <si>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</si>
  <si>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</si>
  <si>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</si>
  <si>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</si>
  <si>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</si>
  <si>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</si>
  <si>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</si>
  <si>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</si>
  <si>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</t>
  </si>
  <si>
    <t>實際冷卻</t>
  </si>
  <si>
    <t>技能冷卻 × (1 - 冷卻縮減%)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</si>
  <si>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</si>
  <si>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</si>
  <si>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</si>
  <si>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</si>
  <si>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</si>
  <si>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</si>
  <si>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</si>
  <si>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</si>
  <si>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</si>
  <si>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</si>
  <si>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</si>
  <si>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</si>
  <si>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</si>
  <si>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</si>
  <si>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</si>
  <si>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</si>
  <si>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</si>
  <si>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</si>
  <si>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</si>
  <si>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</si>
  <si>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</si>
  <si>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</si>
  <si>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</si>
  <si>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</si>
  <si>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</si>
  <si>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</si>
  <si>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</si>
  <si>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融合技能法力消耗</t>
  </si>
  <si>
    <t>round(素材原始消耗總和 × (1 + a×(融合技等級-1)))</t>
  </si>
  <si>
    <t>a=每級增幅。</t>
  </si>
  <si>
    <t>10-離線</t>
  </si>
  <si>
    <t>有效離線時間</t>
  </si>
  <si>
    <t>min(實際離線秒數, a 小時)</t>
  </si>
  <si>
    <t>1 分鐘內不計。</t>
  </si>
  <si>
    <t>期望暴擊倍率</t>
  </si>
  <si>
    <t>1 + 暴擊率% × (暴擊傷害% - 1)</t>
  </si>
  <si>
    <t>估算 DPS</t>
  </si>
  <si>
    <t>物攻 × (1 - 當前階段怪物防禦減傷) × 攻速 × 期望暴擊倍率</t>
  </si>
  <si>
    <t>單殺耗時</t>
  </si>
  <si>
    <t>怪物血量 / DPS + a 秒出怪間隔</t>
  </si>
  <si>
    <t>a=出怪間隔。</t>
  </si>
  <si>
    <t>擊殺數</t>
  </si>
  <si>
    <t>⌊有效時間 / 單殺耗時 × a⌋</t>
  </si>
  <si>
    <t>a=效率係數；上限 b。</t>
  </si>
  <si>
    <t>裝備收益</t>
  </si>
  <si>
    <t>期望件數×(1+掉寶率)，高品質優先最多 a 件實體化，其餘折碎片</t>
  </si>
  <si>
    <t>a=實體化上限；折算碎片=每件 3×分解係數。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</si>
  <si>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</si>
  <si>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</si>
  <si>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</si>
  <si>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</si>
  <si>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</si>
  <si>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</si>
  <si>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</si>
  <si>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</si>
  <si>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</si>
  <si>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</si>
  <si>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</si>
  <si>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</si>
  <si>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</si>
  <si>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</si>
  <si>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</si>
  <si>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</si>
  <si>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</si>
  <si>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</si>
  <si>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</si>
  <si>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</si>
  <si>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</si>
  <si>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</si>
  <si>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</si>
  <si>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</si>
  <si>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</si>
  <si>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</si>
  <si>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</si>
  <si>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</si>
  <si>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</si>
  <si>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</si>
  <si>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</si>
  <si>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</si>
  <si>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</si>
  <si>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</si>
  <si>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</si>
  <si>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</si>
  <si>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</si>
  <si>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</si>
  <si>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</si>
  <si>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</si>
  <si>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</si>
  <si>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</si>
  <si>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</si>
  <si>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</si>
  <si>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</si>
  <si>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</si>
  <si>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</si>
  <si>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</si>
  <si>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</si>
  <si>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</si>
  <si>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</si>
  <si>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</si>
  <si>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</si>
  <si>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</si>
  <si>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</si>
  <si>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</si>
  <si>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</si>
  <si>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</si>
  <si>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</si>
  <si>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</si>
  <si>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</si>
  <si>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</si>
  <si>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</si>
  <si>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</si>
  <si>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</si>
  <si>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</si>
  <si>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</si>
  <si>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</si>
  <si>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</si>
  <si>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</si>
  <si>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</si>
  <si>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</si>
  <si>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</si>
  <si>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</si>
  <si>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</si>
  <si>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</si>
  <si>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</si>
  <si>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</si>
  <si>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</si>
  <si>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</si>
  <si>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</si>
  <si>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</si>
  <si>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</si>
  <si>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</si>
  <si>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</si>
  <si>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</si>
  <si>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</si>
  <si>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</si>
  <si>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</si>
  <si>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</si>
  <si>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</si>
  <si>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</si>
  <si>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</si>
  <si>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</si>
  <si>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</si>
  <si>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</si>
  <si>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</si>
  <si>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</si>
  <si>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</si>
  <si>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</si>
  <si>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</si>
  <si>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</si>
  <si>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</si>
  <si>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</si>
  <si>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</si>
  <si>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</si>
  <si>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</si>
  <si>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</si>
  <si>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</si>
  <si>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</si>
  <si>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</si>
  <si>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</si>
  <si>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</si>
  <si>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</si>
  <si>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</si>
  <si>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</si>
  <si>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</si>
  <si>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</si>
  <si>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</si>
  <si>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</si>
  <si>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</si>
  <si>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</si>
  <si>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</si>
  <si>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</si>
  <si>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</si>
  <si>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</si>
  <si>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</si>
  <si>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</si>
  <si>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</si>
  <si>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</si>
  <si>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</si>
  <si>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</si>
  <si>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</si>
  <si>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</si>
  <si>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</si>
  <si>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</si>
  <si>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</si>
  <si>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</si>
  <si>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</si>
  <si>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</si>
  <si>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</si>
  <si>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</si>
  <si>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</si>
  <si>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</si>
  <si>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</si>
  <si>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</si>
  <si>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</si>
  <si>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</si>
  <si>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</si>
  <si>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</si>
  <si>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</si>
  <si>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</si>
  <si>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</si>
  <si>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</si>
  <si>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</si>
  <si>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</si>
  <si>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</si>
  <si>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</si>
  <si>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</si>
  <si>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</si>
  <si>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</si>
  <si>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</si>
  <si>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</si>
  <si>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</si>
  <si>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</si>
  <si>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</si>
  <si>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</si>
  <si>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</si>
  <si>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</si>
  <si>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</si>
  <si>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</si>
  <si>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</si>
  <si>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</si>
  <si>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</si>
  <si>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</si>
  <si>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</si>
  <si>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</si>
  <si>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變動</t>
    <phoneticPr fontId="2" type="noConversion"/>
  </si>
  <si>
    <t>10^12</t>
    <phoneticPr fontId="2" type="noConversion"/>
  </si>
  <si>
    <t>a=生命與四維最終倍率 b=升級經驗倍率  c=升級經驗基礎增加值 d=階級名稱 e=一般主動技能增加上限 f=融合技增加上限。</t>
  </si>
  <si>
    <t>a=生命與四維最終倍率 b=升級經驗倍率  c=升級經驗基礎增加值 d=階級名稱 e=一般主動技能增加上限 f=融合技增加上限。</t>
    <phoneticPr fontId="2" type="noConversion"/>
  </si>
  <si>
    <t>(a×等級^b+c)×轉生經驗倍率+轉生經驗基礎增加值</t>
    <phoneticPr fontId="2" type="noConversion"/>
  </si>
  <si>
    <t>升到下一級所需經驗；a=係數 b=次方 c=常數 d=等級上限。轉生經驗倍率見「轉生對照表」</t>
    <phoneticPr fontId="2" type="noConversion"/>
  </si>
  <si>
    <t>參數化公式</t>
    <phoneticPr fontId="2" type="noConversion"/>
  </si>
  <si>
    <t>中文說明</t>
    <phoneticPr fontId="2" type="noConversion"/>
  </si>
  <si>
    <t>解鎖後永久保留，轉生不關閉。a=解鎖等級 b=解鎖轉生等級，必需兩個條件都滿足才解鎖</t>
    <phoneticPr fontId="2" type="noConversion"/>
  </si>
  <si>
    <t>b 轉達到a級開放</t>
    <phoneticPr fontId="2" type="noConversion"/>
  </si>
  <si>
    <t>a=暴擊率上限（%）。攻擊時造成額外暴擊傷害的機率。</t>
  </si>
  <si>
    <t>a=物理穿透上限（%）。造成物理傷害時無視敵方一定比例的物理防禦。</t>
  </si>
  <si>
    <t>a=魔法穿透上限（%）。造成魔法傷害時無視敵方一定比例的魔法防禦。</t>
  </si>
  <si>
    <t>a=冷卻縮減上限（%）。減少技能所需的冷卻時間。</t>
  </si>
  <si>
    <t>a=施法速度上限（%）。縮短技能的施放延遲或詠唱時間。</t>
  </si>
  <si>
    <t>a=吸血上限（%）。造成傷害時將部分傷害轉化為自身生命值。</t>
  </si>
  <si>
    <t>a=吸魔上限（%）。造成傷害時將部分傷害轉化為自身法力值。</t>
  </si>
  <si>
    <t>a=格擋率上限（%）。受到攻擊時觸發格擋以減輕傷害的機率。</t>
  </si>
  <si>
    <t>a=格擋減傷「詞條部分」上限（%）。實際格擋減傷 = 30%基礎 + 詞條(≤a)，合計上限 80%。</t>
  </si>
  <si>
    <t>a=閃避率上限（%）。完全避開敵人攻擊的機率（受敵方命中率影響）。</t>
  </si>
  <si>
    <t>a=韌性上限（%）。降低自身被暈眩、減速等控制狀態的機率。</t>
  </si>
  <si>
    <t>a=物理抗性上限（%）。結算防禦後再按比例直接減免物理傷害。</t>
  </si>
  <si>
    <t>a=魔法抗性上限（%）。結算防禦後再按比例直接減免魔法傷害。</t>
  </si>
  <si>
    <t>a=六系元素（火/冰/雷/毒/光/暗）抗性各自的上限（%）。按比例降低該屬性傷害。</t>
  </si>
  <si>
    <t>a=控制抵抗上限（%）。全面降低所有負面異常狀態的命中率。</t>
  </si>
  <si>
    <t>a=控制時間縮減上限（%）。減少被暈眩、減速等控制狀態的持續時間。</t>
  </si>
  <si>
    <t>a=移動速度上限（%）。提高探索地圖、遇敵或到達終點的速度。</t>
  </si>
  <si>
    <t>a=幸運值上限（數值，非%）。提升洗煉或合成時出現高階詞條的機率。</t>
  </si>
  <si>
    <t>a=合成變異率上限（%）。合成時發生特殊異變（如詞條升級）的機率。</t>
  </si>
  <si>
    <t>a=狂暴閾值上限（%）。影響怪物進入狂暴狀態的時間點或血量條件。</t>
  </si>
  <si>
    <t>a=詞條上限率上限（%）。影響洗煉或生成時獲得更多詞條的機率。</t>
  </si>
  <si>
    <t>a=連擊被動觸發率上限（%）。</t>
  </si>
  <si>
    <t>a=暈眩被動觸發率上限（%）。</t>
  </si>
  <si>
    <t>a=全局減傷上限（%）。於最終傷害階段對所有傷害生效，上限 85%。</t>
  </si>
  <si>
    <t>菁英出現於階段為 10 的倍數，敵人數量與普通怪一致。</t>
    <phoneticPr fontId="2" type="noConversion"/>
  </si>
  <si>
    <t>a=生命 b=攻擊 c=防禦 d=攻速 e=經驗/金幣/材料倍率 f=解鎖條件。裝備掉落表不受場景倍率影響。</t>
    <phoneticPr fontId="2" type="noConversion"/>
  </si>
  <si>
    <t>a=基礎權重 b=權重加成 c=加成上限 d=出現門檻。普通無加成。神鑄創世不參與此擲骰。(目前裝備合成功能關閉中)</t>
    <phoneticPr fontId="2" type="noConversion"/>
  </si>
  <si>
    <t>{1~49=15}</t>
    <phoneticPr fontId="2" type="noConversion"/>
  </si>
  <si>
    <t>{50~99=10}</t>
    <phoneticPr fontId="2" type="noConversion"/>
  </si>
  <si>
    <t>{100~149=0}</t>
    <phoneticPr fontId="2" type="noConversion"/>
  </si>
  <si>
    <t>{100~149=10}</t>
    <phoneticPr fontId="2" type="noConversion"/>
  </si>
  <si>
    <t>{50~99=5}</t>
    <phoneticPr fontId="2" type="noConversion"/>
  </si>
  <si>
    <t>{100~149=6}</t>
    <phoneticPr fontId="2" type="noConversion"/>
  </si>
  <si>
    <t>{150+=10}</t>
    <phoneticPr fontId="2" type="noConversion"/>
  </si>
  <si>
    <t>{100~149=1.5}</t>
    <phoneticPr fontId="2" type="noConversion"/>
  </si>
  <si>
    <t>{150+=2}</t>
    <phoneticPr fontId="2" type="noConversion"/>
  </si>
  <si>
    <t>{150+=0.2}</t>
    <phoneticPr fontId="2" type="noConversion"/>
  </si>
  <si>
    <t>{100~149=5}</t>
    <phoneticPr fontId="2" type="noConversion"/>
  </si>
  <si>
    <t>{150+=4}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</si>
</sst>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3">
    <xf numFmtId="0" fontId="0" fillId="0" borderId="0" xfId="0"/>
    <xf numFmtId="176" fontId="0" fillId="0" borderId="0" xfId="1" applyNumberFormat="1" applyFont="1" applyAlignment="1"/>
    <xf numFmtId="0" fontId="0" fillId="0" borderId="0" xfId="0" applyAlignment="1">
      <alignment horizontal="center"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5"/>
  <sheetViews>
    <sheetView topLeftCell="A136" workbookViewId="0">
      <selection activeCell="D153" sqref="D153"/>
    </sheetView>
  </sheetViews>
  <sheetFormatPr defaultRowHeight="15.75" x14ac:dyDescent="0.25"/>
  <cols>
    <col min="2" max="2" width="9.140625" style="2"/>
    <col min="3" max="3" width="18.28515625" bestFit="1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2" t="s">
        <v>924</v>
      </c>
      <c r="C1" t="s">
        <v>1</v>
      </c>
      <c r="D1" t="s">
        <v>2</v>
      </c>
      <c r="E1" s="2" t="s">
        <v>930</v>
      </c>
      <c r="F1" s="2" t="s">
        <v>931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v>1</v>
      </c>
      <c r="B2" s="2">
        <f>計算表!B2</f>
        <v>0</v>
      </c>
      <c r="C2" s="2" t="str">
        <f>計算表!C2</f>
        <v>1-成長經驗</v>
      </c>
      <c r="D2" s="2" t="str">
        <f>計算表!D2</f>
        <v>升級所需經驗</v>
      </c>
      <c r="E2" s="2" t="str">
        <f>計算表!E2</f>
        <v>(a×等級^b+c)×轉生經驗倍率+轉生經驗基礎增加值</v>
      </c>
      <c r="F2" s="2" t="str">
        <f>計算表!F2</f>
        <v>升到下一級所需經驗；a=係數 b=次方 c=常數 d=等級上限。轉生經驗倍率見「轉生對照表」</v>
      </c>
      <c r="G2" s="2">
        <f>計算表!G2</f>
        <v>30</v>
      </c>
      <c r="H2" s="2">
        <f>計算表!H2</f>
        <v>2.2000000000000002</v>
      </c>
      <c r="I2" s="2">
        <f>計算表!I2</f>
        <v>40</v>
      </c>
      <c r="J2" s="2">
        <f>計算表!J2</f>
        <v>9999</v>
      </c>
      <c r="K2" s="2">
        <f>計算表!K2</f>
        <v>0</v>
      </c>
      <c r="L2" s="2">
        <f>計算表!L2</f>
        <v>0</v>
      </c>
      <c r="M2" s="2">
        <f>計算表!M2</f>
        <v>0</v>
      </c>
      <c r="N2" s="2">
        <f>計算表!N2</f>
        <v>0</v>
      </c>
      <c r="O2" s="2">
        <f>計算表!O2</f>
        <v>0</v>
      </c>
      <c r="P2" s="2">
        <f>計算表!P2</f>
        <v>0</v>
      </c>
      <c r="Q2" s="2">
        <f>計算表!Q2</f>
        <v>0</v>
      </c>
      <c r="R2" s="2">
        <f>計算表!R2</f>
        <v>0</v>
      </c>
    </row>
    <row r="3" spans="1:18" x14ac:dyDescent="0.25">
      <c r="A3">
        <f>A2+1</f>
        <v>2</v>
      </c>
      <c r="B3" s="2">
        <f>計算表!B3</f>
        <v>0</v>
      </c>
      <c r="C3" s="2" t="str">
        <f>計算表!C3</f>
        <v>1-成長經驗</v>
      </c>
      <c r="D3" s="2" t="str">
        <f>計算表!D3</f>
        <v>等級基礎四維</v>
      </c>
      <c r="E3" s="2" t="str">
        <f>計算表!E3</f>
        <v>a+(等級-1)×b</v>
      </c>
      <c r="F3" s="2" t="str">
        <f>計算表!F3</f>
        <v>力/敏/智/耐四項相同，每升 1 級各 +b。a=初始值 b=每級成長。</v>
      </c>
      <c r="G3" s="2">
        <f>計算表!G3</f>
        <v>5</v>
      </c>
      <c r="H3" s="2">
        <f>計算表!H3</f>
        <v>2</v>
      </c>
      <c r="I3" s="2">
        <f>計算表!I3</f>
        <v>0</v>
      </c>
      <c r="J3" s="2">
        <f>計算表!J3</f>
        <v>0</v>
      </c>
      <c r="K3" s="2">
        <f>計算表!K3</f>
        <v>0</v>
      </c>
      <c r="L3" s="2">
        <f>計算表!L3</f>
        <v>0</v>
      </c>
      <c r="M3" s="2">
        <f>計算表!M3</f>
        <v>0</v>
      </c>
      <c r="N3" s="2">
        <f>計算表!N3</f>
        <v>0</v>
      </c>
      <c r="O3" s="2">
        <f>計算表!O3</f>
        <v>0</v>
      </c>
      <c r="P3" s="2">
        <f>計算表!P3</f>
        <v>0</v>
      </c>
      <c r="Q3" s="2">
        <f>計算表!Q3</f>
        <v>0</v>
      </c>
      <c r="R3" s="2">
        <f>計算表!R3</f>
        <v>0</v>
      </c>
    </row>
    <row r="4" spans="1:18" x14ac:dyDescent="0.25">
      <c r="A4">
        <f t="shared" ref="A4:A67" si="0">A3+1</f>
        <v>3</v>
      </c>
      <c r="B4" s="2">
        <f>計算表!B4</f>
        <v>0</v>
      </c>
      <c r="C4" s="2" t="str">
        <f>計算表!C4</f>
        <v>1-成長經驗</v>
      </c>
      <c r="D4" s="2" t="str">
        <f>計算表!D4</f>
        <v>技能點總預算</v>
      </c>
      <c r="E4" s="2" t="str">
        <f>計算表!E4</f>
        <v>初始a；未轉生每級+b；上限c</v>
      </c>
      <c r="F4" s="2" t="str">
        <f>計算表!F4</f>
        <v>初始兩個 1 級技能也計入；已使用=所有技能等級總和；可用=總預算-已使用。</v>
      </c>
      <c r="G4" s="2">
        <f>計算表!G4</f>
        <v>2</v>
      </c>
      <c r="H4" s="2">
        <f>計算表!H4</f>
        <v>1</v>
      </c>
      <c r="I4" s="2">
        <f>計算表!I4</f>
        <v>10000</v>
      </c>
      <c r="J4" s="2">
        <f>計算表!J4</f>
        <v>0</v>
      </c>
      <c r="K4" s="2">
        <f>計算表!K4</f>
        <v>0</v>
      </c>
      <c r="L4" s="2">
        <f>計算表!L4</f>
        <v>0</v>
      </c>
      <c r="M4" s="2">
        <f>計算表!M4</f>
        <v>0</v>
      </c>
      <c r="N4" s="2">
        <f>計算表!N4</f>
        <v>0</v>
      </c>
      <c r="O4" s="2">
        <f>計算表!O4</f>
        <v>0</v>
      </c>
      <c r="P4" s="2">
        <f>計算表!P4</f>
        <v>0</v>
      </c>
      <c r="Q4" s="2">
        <f>計算表!Q4</f>
        <v>0</v>
      </c>
      <c r="R4" s="2">
        <f>計算表!R4</f>
        <v>0</v>
      </c>
    </row>
    <row r="5" spans="1:18" x14ac:dyDescent="0.25">
      <c r="A5">
        <f t="shared" si="0"/>
        <v>4</v>
      </c>
      <c r="B5" s="2">
        <f>計算表!B5</f>
        <v>0</v>
      </c>
      <c r="C5" s="2" t="str">
        <f>計算表!C5</f>
        <v>1-成長經驗</v>
      </c>
      <c r="D5" s="2" t="str">
        <f>計算表!D5</f>
        <v>技能裝載欄</v>
      </c>
      <c r="E5" s="2" t="str">
        <f>計算表!E5</f>
        <v>clamp(⌊等級/a⌋, b, c)</v>
      </c>
      <c r="F5" s="2" t="str">
        <f>計算表!F5</f>
        <v>每 a 級 +1 格，最少 b、最多 c。</v>
      </c>
      <c r="G5" s="2">
        <f>計算表!G5</f>
        <v>20</v>
      </c>
      <c r="H5" s="2">
        <f>計算表!H5</f>
        <v>2</v>
      </c>
      <c r="I5" s="2">
        <f>計算表!I5</f>
        <v>20</v>
      </c>
      <c r="J5" s="2">
        <f>計算表!J5</f>
        <v>0</v>
      </c>
      <c r="K5" s="2">
        <f>計算表!K5</f>
        <v>0</v>
      </c>
      <c r="L5" s="2">
        <f>計算表!L5</f>
        <v>0</v>
      </c>
      <c r="M5" s="2">
        <f>計算表!M5</f>
        <v>0</v>
      </c>
      <c r="N5" s="2">
        <f>計算表!N5</f>
        <v>0</v>
      </c>
      <c r="O5" s="2">
        <f>計算表!O5</f>
        <v>0</v>
      </c>
      <c r="P5" s="2">
        <f>計算表!P5</f>
        <v>0</v>
      </c>
      <c r="Q5" s="2">
        <f>計算表!Q5</f>
        <v>0</v>
      </c>
      <c r="R5" s="2">
        <f>計算表!R5</f>
        <v>0</v>
      </c>
    </row>
    <row r="6" spans="1:18" x14ac:dyDescent="0.25">
      <c r="A6">
        <f t="shared" si="0"/>
        <v>5</v>
      </c>
      <c r="B6" s="2">
        <f>計算表!B6</f>
        <v>0</v>
      </c>
      <c r="C6" s="2" t="str">
        <f>計算表!C6</f>
        <v>1-成長經驗</v>
      </c>
      <c r="D6" s="2" t="str">
        <f>計算表!D6</f>
        <v>可轉生等級 / 最高轉生</v>
      </c>
      <c r="E6" s="2" t="str">
        <f>計算表!E6</f>
        <v>達到a級可轉生；最高b轉</v>
      </c>
      <c r="F6" s="2" t="str">
        <f>計算表!F6</f>
        <v>a=可轉生等級 b=最高轉生次數。</v>
      </c>
      <c r="G6" s="2">
        <f>計算表!G6</f>
        <v>9999</v>
      </c>
      <c r="H6" s="2">
        <f>計算表!H6</f>
        <v>10</v>
      </c>
      <c r="I6" s="2">
        <f>計算表!I6</f>
        <v>0</v>
      </c>
      <c r="J6" s="2">
        <f>計算表!J6</f>
        <v>0</v>
      </c>
      <c r="K6" s="2">
        <f>計算表!K6</f>
        <v>0</v>
      </c>
      <c r="L6" s="2">
        <f>計算表!L6</f>
        <v>0</v>
      </c>
      <c r="M6" s="2">
        <f>計算表!M6</f>
        <v>0</v>
      </c>
      <c r="N6" s="2">
        <f>計算表!N6</f>
        <v>0</v>
      </c>
      <c r="O6" s="2">
        <f>計算表!O6</f>
        <v>0</v>
      </c>
      <c r="P6" s="2">
        <f>計算表!P6</f>
        <v>0</v>
      </c>
      <c r="Q6" s="2">
        <f>計算表!Q6</f>
        <v>0</v>
      </c>
      <c r="R6" s="2">
        <f>計算表!R6</f>
        <v>0</v>
      </c>
    </row>
    <row r="7" spans="1:18" x14ac:dyDescent="0.25">
      <c r="A7">
        <f t="shared" si="0"/>
        <v>6</v>
      </c>
      <c r="B7" s="2">
        <f>計算表!B7</f>
        <v>0</v>
      </c>
      <c r="C7" s="2" t="str">
        <f>計算表!C7</f>
        <v>1-成長經驗</v>
      </c>
      <c r="D7" s="2" t="str">
        <f>計算表!D7</f>
        <v>轉生經驗倍率</v>
      </c>
      <c r="E7" s="2" t="str">
        <f>計算表!E7</f>
        <v>a^轉生次數</v>
      </c>
      <c r="F7" s="2" t="str">
        <f>計算表!F7</f>
        <v>每次轉生升級經驗需求為上一次的 a 倍。</v>
      </c>
      <c r="G7" s="2">
        <f>計算表!G7</f>
        <v>10</v>
      </c>
      <c r="H7" s="2">
        <f>計算表!H7</f>
        <v>0</v>
      </c>
      <c r="I7" s="2">
        <f>計算表!I7</f>
        <v>0</v>
      </c>
      <c r="J7" s="2">
        <f>計算表!J7</f>
        <v>0</v>
      </c>
      <c r="K7" s="2">
        <f>計算表!K7</f>
        <v>0</v>
      </c>
      <c r="L7" s="2">
        <f>計算表!L7</f>
        <v>0</v>
      </c>
      <c r="M7" s="2">
        <f>計算表!M7</f>
        <v>0</v>
      </c>
      <c r="N7" s="2">
        <f>計算表!N7</f>
        <v>0</v>
      </c>
      <c r="O7" s="2">
        <f>計算表!O7</f>
        <v>0</v>
      </c>
      <c r="P7" s="2">
        <f>計算表!P7</f>
        <v>0</v>
      </c>
      <c r="Q7" s="2">
        <f>計算表!Q7</f>
        <v>0</v>
      </c>
      <c r="R7" s="2">
        <f>計算表!R7</f>
        <v>0</v>
      </c>
    </row>
    <row r="8" spans="1:18" x14ac:dyDescent="0.25">
      <c r="A8">
        <f t="shared" si="0"/>
        <v>7</v>
      </c>
      <c r="B8" s="2">
        <f>計算表!B8</f>
        <v>0</v>
      </c>
      <c r="C8" s="2" t="str">
        <f>計算表!C8</f>
        <v>1-成長經驗</v>
      </c>
      <c r="D8" s="2" t="str">
        <f>計算表!D8</f>
        <v>神鑄系統解鎖等級</v>
      </c>
      <c r="E8" s="2" t="str">
        <f>計算表!E8</f>
        <v>b 轉達到a級開放</v>
      </c>
      <c r="F8" s="2" t="str">
        <f>計算表!F8</f>
        <v>解鎖後永久保留，轉生不關閉。a=解鎖等級 b=解鎖轉生等級，必需兩個條件都滿足才解鎖</v>
      </c>
      <c r="G8" s="2">
        <f>計算表!G8</f>
        <v>1</v>
      </c>
      <c r="H8" s="2">
        <f>計算表!H8</f>
        <v>1</v>
      </c>
      <c r="I8" s="2">
        <f>計算表!I8</f>
        <v>0</v>
      </c>
      <c r="J8" s="2">
        <f>計算表!J8</f>
        <v>0</v>
      </c>
      <c r="K8" s="2">
        <f>計算表!K8</f>
        <v>0</v>
      </c>
      <c r="L8" s="2">
        <f>計算表!L8</f>
        <v>0</v>
      </c>
      <c r="M8" s="2">
        <f>計算表!M8</f>
        <v>0</v>
      </c>
      <c r="N8" s="2">
        <f>計算表!N8</f>
        <v>0</v>
      </c>
      <c r="O8" s="2">
        <f>計算表!O8</f>
        <v>0</v>
      </c>
      <c r="P8" s="2">
        <f>計算表!P8</f>
        <v>0</v>
      </c>
      <c r="Q8" s="2">
        <f>計算表!Q8</f>
        <v>0</v>
      </c>
      <c r="R8" s="2">
        <f>計算表!R8</f>
        <v>0</v>
      </c>
    </row>
    <row r="9" spans="1:18" x14ac:dyDescent="0.25">
      <c r="A9">
        <f t="shared" si="0"/>
        <v>8</v>
      </c>
      <c r="B9" s="2">
        <f>計算表!B9</f>
        <v>0</v>
      </c>
      <c r="C9" s="2" t="str">
        <f>計算表!C9</f>
        <v>1-轉生對照表</v>
      </c>
      <c r="D9" s="2" t="str">
        <f>計算表!D9</f>
        <v>轉生 0 次</v>
      </c>
      <c r="E9" s="2" t="str">
        <f>計算表!E9</f>
        <v>（查表）</v>
      </c>
      <c r="F9" s="2" t="str">
        <f>計算表!F9</f>
        <v>a=生命與四維最終倍率 b=升級經驗倍率  c=升級經驗基礎增加值 d=階級名稱 e=一般主動技能增加上限 f=融合技增加上限。</v>
      </c>
      <c r="G9" s="2">
        <f>計算表!G9</f>
        <v>1</v>
      </c>
      <c r="H9" s="2" t="str">
        <f>計算表!H9</f>
        <v>10^0</v>
      </c>
      <c r="I9" s="2">
        <f>計算表!I9</f>
        <v>0</v>
      </c>
      <c r="J9" s="2" t="str">
        <f>計算表!J9</f>
        <v>冒險者</v>
      </c>
      <c r="K9" s="2">
        <f>計算表!K9</f>
        <v>20</v>
      </c>
      <c r="L9" s="2">
        <f>計算表!L9</f>
        <v>0</v>
      </c>
      <c r="M9" s="2">
        <f>計算表!M9</f>
        <v>0</v>
      </c>
      <c r="N9" s="2">
        <f>計算表!N9</f>
        <v>0</v>
      </c>
      <c r="O9" s="2">
        <f>計算表!O9</f>
        <v>0</v>
      </c>
      <c r="P9" s="2">
        <f>計算表!P9</f>
        <v>0</v>
      </c>
      <c r="Q9" s="2">
        <f>計算表!Q9</f>
        <v>0</v>
      </c>
      <c r="R9" s="2">
        <f>計算表!R9</f>
        <v>0</v>
      </c>
    </row>
    <row r="10" spans="1:18" x14ac:dyDescent="0.25">
      <c r="A10">
        <f t="shared" si="0"/>
        <v>9</v>
      </c>
      <c r="B10" s="2">
        <f>計算表!B10</f>
        <v>0</v>
      </c>
      <c r="C10" s="2" t="str">
        <f>計算表!C10</f>
        <v>1-轉生對照表</v>
      </c>
      <c r="D10" s="2" t="str">
        <f>計算表!D10</f>
        <v>轉生 1 次</v>
      </c>
      <c r="E10" s="2" t="str">
        <f>計算表!E10</f>
        <v>（查表）</v>
      </c>
      <c r="F10" s="2" t="str">
        <f>計算表!F10</f>
        <v>a=生命與四維最終倍率 b=升級經驗倍率  c=升級經驗基礎增加值 d=階級名稱 e=一般主動技能增加上限 f=融合技增加上限。</v>
      </c>
      <c r="G10" s="2">
        <f>計算表!G10</f>
        <v>10</v>
      </c>
      <c r="H10" s="2" t="str">
        <f>計算表!H10</f>
        <v>10^1</v>
      </c>
      <c r="I10" s="2">
        <f>計算表!I10</f>
        <v>100000</v>
      </c>
      <c r="J10" s="2" t="str">
        <f>計算表!J10</f>
        <v>勇者</v>
      </c>
      <c r="K10" s="2">
        <f>計算表!K10</f>
        <v>30</v>
      </c>
      <c r="L10" s="2">
        <f>計算表!L10</f>
        <v>20</v>
      </c>
      <c r="M10" s="2">
        <f>計算表!M10</f>
        <v>0</v>
      </c>
      <c r="N10" s="2">
        <f>計算表!N10</f>
        <v>0</v>
      </c>
      <c r="O10" s="2">
        <f>計算表!O10</f>
        <v>0</v>
      </c>
      <c r="P10" s="2">
        <f>計算表!P10</f>
        <v>0</v>
      </c>
      <c r="Q10" s="2">
        <f>計算表!Q10</f>
        <v>0</v>
      </c>
      <c r="R10" s="2">
        <f>計算表!R10</f>
        <v>0</v>
      </c>
    </row>
    <row r="11" spans="1:18" x14ac:dyDescent="0.25">
      <c r="A11">
        <f t="shared" si="0"/>
        <v>10</v>
      </c>
      <c r="B11" s="2">
        <f>計算表!B11</f>
        <v>0</v>
      </c>
      <c r="C11" s="2" t="str">
        <f>計算表!C11</f>
        <v>1-轉生對照表</v>
      </c>
      <c r="D11" s="2" t="str">
        <f>計算表!D11</f>
        <v>轉生 2 次</v>
      </c>
      <c r="E11" s="2" t="str">
        <f>計算表!E11</f>
        <v>（查表）</v>
      </c>
      <c r="F11" s="2" t="str">
        <f>計算表!F11</f>
        <v>a=生命與四維最終倍率 b=升級經驗倍率  c=升級經驗基礎增加值 d=階級名稱 e=一般主動技能增加上限 f=融合技增加上限。</v>
      </c>
      <c r="G11" s="2">
        <f>計算表!G11</f>
        <v>20</v>
      </c>
      <c r="H11" s="2" t="str">
        <f>計算表!H11</f>
        <v>10^2</v>
      </c>
      <c r="I11" s="2">
        <f>計算表!I11</f>
        <v>300000</v>
      </c>
      <c r="J11" s="2" t="str">
        <f>計算表!J11</f>
        <v>大劍師</v>
      </c>
      <c r="K11" s="2">
        <f>計算表!K11</f>
        <v>40</v>
      </c>
      <c r="L11" s="2">
        <f>計算表!L11</f>
        <v>40</v>
      </c>
      <c r="M11" s="2">
        <f>計算表!M11</f>
        <v>0</v>
      </c>
      <c r="N11" s="2">
        <f>計算表!N11</f>
        <v>0</v>
      </c>
      <c r="O11" s="2">
        <f>計算表!O11</f>
        <v>0</v>
      </c>
      <c r="P11" s="2">
        <f>計算表!P11</f>
        <v>0</v>
      </c>
      <c r="Q11" s="2">
        <f>計算表!Q11</f>
        <v>0</v>
      </c>
      <c r="R11" s="2">
        <f>計算表!R11</f>
        <v>0</v>
      </c>
    </row>
    <row r="12" spans="1:18" x14ac:dyDescent="0.25">
      <c r="A12">
        <f t="shared" si="0"/>
        <v>11</v>
      </c>
      <c r="B12" s="2">
        <f>計算表!B12</f>
        <v>0</v>
      </c>
      <c r="C12" s="2" t="str">
        <f>計算表!C12</f>
        <v>1-轉生對照表</v>
      </c>
      <c r="D12" s="2" t="str">
        <f>計算表!D12</f>
        <v>轉生 3 次</v>
      </c>
      <c r="E12" s="2" t="str">
        <f>計算表!E12</f>
        <v>（查表）</v>
      </c>
      <c r="F12" s="2" t="str">
        <f>計算表!F12</f>
        <v>a=生命與四維最終倍率 b=升級經驗倍率  c=升級經驗基礎增加值 d=階級名稱 e=一般主動技能增加上限 f=融合技增加上限。</v>
      </c>
      <c r="G12" s="2">
        <f>計算表!G12</f>
        <v>40</v>
      </c>
      <c r="H12" s="2" t="str">
        <f>計算表!H12</f>
        <v>10^3</v>
      </c>
      <c r="I12" s="2">
        <f>計算表!I12</f>
        <v>900000</v>
      </c>
      <c r="J12" s="2" t="str">
        <f>計算表!J12</f>
        <v>破世者</v>
      </c>
      <c r="K12" s="2">
        <f>計算表!K12</f>
        <v>50</v>
      </c>
      <c r="L12" s="2">
        <f>計算表!L12</f>
        <v>60</v>
      </c>
      <c r="M12" s="2">
        <f>計算表!M12</f>
        <v>0</v>
      </c>
      <c r="N12" s="2">
        <f>計算表!N12</f>
        <v>0</v>
      </c>
      <c r="O12" s="2">
        <f>計算表!O12</f>
        <v>0</v>
      </c>
      <c r="P12" s="2">
        <f>計算表!P12</f>
        <v>0</v>
      </c>
      <c r="Q12" s="2">
        <f>計算表!Q12</f>
        <v>0</v>
      </c>
      <c r="R12" s="2">
        <f>計算表!R12</f>
        <v>0</v>
      </c>
    </row>
    <row r="13" spans="1:18" x14ac:dyDescent="0.25">
      <c r="A13">
        <f t="shared" si="0"/>
        <v>12</v>
      </c>
      <c r="B13" s="2">
        <f>計算表!B13</f>
        <v>0</v>
      </c>
      <c r="C13" s="2" t="str">
        <f>計算表!C13</f>
        <v>1-轉生對照表</v>
      </c>
      <c r="D13" s="2" t="str">
        <f>計算表!D13</f>
        <v>轉生 4 次</v>
      </c>
      <c r="E13" s="2" t="str">
        <f>計算表!E13</f>
        <v>（查表）</v>
      </c>
      <c r="F13" s="2" t="str">
        <f>計算表!F13</f>
        <v>a=生命與四維最終倍率 b=升級經驗倍率  c=升級經驗基礎增加值 d=階級名稱 e=一般主動技能增加上限 f=融合技增加上限。</v>
      </c>
      <c r="G13" s="2">
        <f>計算表!G13</f>
        <v>80</v>
      </c>
      <c r="H13" s="2" t="str">
        <f>計算表!H13</f>
        <v>10^4</v>
      </c>
      <c r="I13" s="2">
        <f>計算表!I13</f>
        <v>2700000</v>
      </c>
      <c r="J13" s="2" t="str">
        <f>計算表!J13</f>
        <v>不朽者</v>
      </c>
      <c r="K13" s="2">
        <f>計算表!K13</f>
        <v>60</v>
      </c>
      <c r="L13" s="2">
        <f>計算表!L13</f>
        <v>80</v>
      </c>
      <c r="M13" s="2">
        <f>計算表!M13</f>
        <v>0</v>
      </c>
      <c r="N13" s="2">
        <f>計算表!N13</f>
        <v>0</v>
      </c>
      <c r="O13" s="2">
        <f>計算表!O13</f>
        <v>0</v>
      </c>
      <c r="P13" s="2">
        <f>計算表!P13</f>
        <v>0</v>
      </c>
      <c r="Q13" s="2">
        <f>計算表!Q13</f>
        <v>0</v>
      </c>
      <c r="R13" s="2">
        <f>計算表!R13</f>
        <v>0</v>
      </c>
    </row>
    <row r="14" spans="1:18" x14ac:dyDescent="0.25">
      <c r="A14">
        <f t="shared" si="0"/>
        <v>13</v>
      </c>
      <c r="B14" s="2">
        <f>計算表!B14</f>
        <v>0</v>
      </c>
      <c r="C14" s="2" t="str">
        <f>計算表!C14</f>
        <v>1-轉生對照表</v>
      </c>
      <c r="D14" s="2" t="str">
        <f>計算表!D14</f>
        <v>轉生 5 次</v>
      </c>
      <c r="E14" s="2" t="str">
        <f>計算表!E14</f>
        <v>（查表）</v>
      </c>
      <c r="F14" s="2" t="str">
        <f>計算表!F14</f>
        <v>a=生命與四維最終倍率 b=升級經驗倍率  c=升級經驗基礎增加值 d=階級名稱 e=一般主動技能增加上限 f=融合技增加上限。</v>
      </c>
      <c r="G14" s="2">
        <f>計算表!G14</f>
        <v>160</v>
      </c>
      <c r="H14" s="2" t="str">
        <f>計算表!H14</f>
        <v>10^5</v>
      </c>
      <c r="I14" s="2">
        <f>計算表!I14</f>
        <v>8100000</v>
      </c>
      <c r="J14" s="2" t="str">
        <f>計算表!J14</f>
        <v>王者</v>
      </c>
      <c r="K14" s="2">
        <f>計算表!K14</f>
        <v>70</v>
      </c>
      <c r="L14" s="2">
        <f>計算表!L14</f>
        <v>100</v>
      </c>
      <c r="M14" s="2">
        <f>計算表!M14</f>
        <v>0</v>
      </c>
      <c r="N14" s="2">
        <f>計算表!N14</f>
        <v>0</v>
      </c>
      <c r="O14" s="2">
        <f>計算表!O14</f>
        <v>0</v>
      </c>
      <c r="P14" s="2">
        <f>計算表!P14</f>
        <v>0</v>
      </c>
      <c r="Q14" s="2">
        <f>計算表!Q14</f>
        <v>0</v>
      </c>
      <c r="R14" s="2">
        <f>計算表!R14</f>
        <v>0</v>
      </c>
    </row>
    <row r="15" spans="1:18" x14ac:dyDescent="0.25">
      <c r="A15">
        <f t="shared" si="0"/>
        <v>14</v>
      </c>
      <c r="B15" s="2">
        <f>計算表!B15</f>
        <v>0</v>
      </c>
      <c r="C15" s="2" t="str">
        <f>計算表!C15</f>
        <v>1-轉生對照表</v>
      </c>
      <c r="D15" s="2" t="str">
        <f>計算表!D15</f>
        <v>轉生 6 次</v>
      </c>
      <c r="E15" s="2" t="str">
        <f>計算表!E15</f>
        <v>（查表）</v>
      </c>
      <c r="F15" s="2" t="str">
        <f>計算表!F15</f>
        <v>a=生命與四維最終倍率 b=升級經驗倍率  c=升級經驗基礎增加值 d=階級名稱 e=一般主動技能增加上限 f=融合技增加上限。</v>
      </c>
      <c r="G15" s="2">
        <f>計算表!G15</f>
        <v>320</v>
      </c>
      <c r="H15" s="2" t="str">
        <f>計算表!H15</f>
        <v>10^6</v>
      </c>
      <c r="I15" s="2">
        <f>計算表!I15</f>
        <v>24300000</v>
      </c>
      <c r="J15" s="2" t="str">
        <f>計算表!J15</f>
        <v>大主宰</v>
      </c>
      <c r="K15" s="2">
        <f>計算表!K15</f>
        <v>80</v>
      </c>
      <c r="L15" s="2">
        <f>計算表!L15</f>
        <v>120</v>
      </c>
      <c r="M15" s="2">
        <f>計算表!M15</f>
        <v>0</v>
      </c>
      <c r="N15" s="2">
        <f>計算表!N15</f>
        <v>0</v>
      </c>
      <c r="O15" s="2">
        <f>計算表!O15</f>
        <v>0</v>
      </c>
      <c r="P15" s="2">
        <f>計算表!P15</f>
        <v>0</v>
      </c>
      <c r="Q15" s="2">
        <f>計算表!Q15</f>
        <v>0</v>
      </c>
      <c r="R15" s="2">
        <f>計算表!R15</f>
        <v>0</v>
      </c>
    </row>
    <row r="16" spans="1:18" x14ac:dyDescent="0.25">
      <c r="A16">
        <f t="shared" si="0"/>
        <v>15</v>
      </c>
      <c r="B16" s="2">
        <f>計算表!B16</f>
        <v>0</v>
      </c>
      <c r="C16" s="2" t="str">
        <f>計算表!C16</f>
        <v>1-轉生對照表</v>
      </c>
      <c r="D16" s="2" t="str">
        <f>計算表!D16</f>
        <v>轉生 7 次</v>
      </c>
      <c r="E16" s="2" t="str">
        <f>計算表!E16</f>
        <v>（查表）</v>
      </c>
      <c r="F16" s="2" t="str">
        <f>計算表!F16</f>
        <v>a=生命與四維最終倍率 b=升級經驗倍率  c=升級經驗基礎增加值 d=階級名稱 e=一般主動技能增加上限 f=融合技增加上限。</v>
      </c>
      <c r="G16" s="2">
        <f>計算表!G16</f>
        <v>640</v>
      </c>
      <c r="H16" s="2" t="str">
        <f>計算表!H16</f>
        <v>10^7</v>
      </c>
      <c r="I16" s="2">
        <f>計算表!I16</f>
        <v>72900000</v>
      </c>
      <c r="J16" s="2" t="str">
        <f>計算表!J16</f>
        <v>神聖尊者</v>
      </c>
      <c r="K16" s="2">
        <f>計算表!K16</f>
        <v>90</v>
      </c>
      <c r="L16" s="2">
        <f>計算表!L16</f>
        <v>140</v>
      </c>
      <c r="M16" s="2">
        <f>計算表!M16</f>
        <v>0</v>
      </c>
      <c r="N16" s="2">
        <f>計算表!N16</f>
        <v>0</v>
      </c>
      <c r="O16" s="2">
        <f>計算表!O16</f>
        <v>0</v>
      </c>
      <c r="P16" s="2">
        <f>計算表!P16</f>
        <v>0</v>
      </c>
      <c r="Q16" s="2">
        <f>計算表!Q16</f>
        <v>0</v>
      </c>
      <c r="R16" s="2">
        <f>計算表!R16</f>
        <v>0</v>
      </c>
    </row>
    <row r="17" spans="1:18" x14ac:dyDescent="0.25">
      <c r="A17">
        <f t="shared" si="0"/>
        <v>16</v>
      </c>
      <c r="B17" s="2">
        <f>計算表!B17</f>
        <v>0</v>
      </c>
      <c r="C17" s="2" t="str">
        <f>計算表!C17</f>
        <v>1-轉生對照表</v>
      </c>
      <c r="D17" s="2" t="str">
        <f>計算表!D17</f>
        <v>轉生 8 次</v>
      </c>
      <c r="E17" s="2" t="str">
        <f>計算表!E17</f>
        <v>（查表）</v>
      </c>
      <c r="F17" s="2" t="str">
        <f>計算表!F17</f>
        <v>a=生命與四維最終倍率 b=升級經驗倍率  c=升級經驗基礎增加值 d=階級名稱 e=一般主動技能增加上限 f=融合技增加上限。</v>
      </c>
      <c r="G17" s="2">
        <f>計算表!G17</f>
        <v>1280</v>
      </c>
      <c r="H17" s="2" t="str">
        <f>計算表!H17</f>
        <v>10^8</v>
      </c>
      <c r="I17" s="2">
        <f>計算表!I17</f>
        <v>218700000</v>
      </c>
      <c r="J17" s="2" t="str">
        <f>計算表!J17</f>
        <v>大聖王</v>
      </c>
      <c r="K17" s="2">
        <f>計算表!K17</f>
        <v>100</v>
      </c>
      <c r="L17" s="2">
        <f>計算表!L17</f>
        <v>160</v>
      </c>
      <c r="M17" s="2">
        <f>計算表!M17</f>
        <v>0</v>
      </c>
      <c r="N17" s="2">
        <f>計算表!N17</f>
        <v>0</v>
      </c>
      <c r="O17" s="2">
        <f>計算表!O17</f>
        <v>0</v>
      </c>
      <c r="P17" s="2">
        <f>計算表!P17</f>
        <v>0</v>
      </c>
      <c r="Q17" s="2">
        <f>計算表!Q17</f>
        <v>0</v>
      </c>
      <c r="R17" s="2">
        <f>計算表!R17</f>
        <v>0</v>
      </c>
    </row>
    <row r="18" spans="1:18" x14ac:dyDescent="0.25">
      <c r="A18">
        <f t="shared" si="0"/>
        <v>17</v>
      </c>
      <c r="B18" s="2">
        <f>計算表!B18</f>
        <v>0</v>
      </c>
      <c r="C18" s="2" t="str">
        <f>計算表!C18</f>
        <v>1-轉生對照表</v>
      </c>
      <c r="D18" s="2" t="str">
        <f>計算表!D18</f>
        <v>轉生 9 次</v>
      </c>
      <c r="E18" s="2" t="str">
        <f>計算表!E18</f>
        <v>（查表）</v>
      </c>
      <c r="F18" s="2" t="str">
        <f>計算表!F18</f>
        <v>a=生命與四維最終倍率 b=升級經驗倍率  c=升級經驗基礎增加值 d=階級名稱 e=一般主動技能增加上限 f=融合技增加上限。</v>
      </c>
      <c r="G18" s="2">
        <f>計算表!G18</f>
        <v>2560</v>
      </c>
      <c r="H18" s="2" t="str">
        <f>計算表!H18</f>
        <v>10^9</v>
      </c>
      <c r="I18" s="2">
        <f>計算表!I18</f>
        <v>656100000</v>
      </c>
      <c r="J18" s="2" t="str">
        <f>計算表!J18</f>
        <v>至高主宰</v>
      </c>
      <c r="K18" s="2">
        <f>計算表!K18</f>
        <v>110</v>
      </c>
      <c r="L18" s="2">
        <f>計算表!L18</f>
        <v>180</v>
      </c>
      <c r="M18" s="2">
        <f>計算表!M18</f>
        <v>0</v>
      </c>
      <c r="N18" s="2">
        <f>計算表!N18</f>
        <v>0</v>
      </c>
      <c r="O18" s="2">
        <f>計算表!O18</f>
        <v>0</v>
      </c>
      <c r="P18" s="2">
        <f>計算表!P18</f>
        <v>0</v>
      </c>
      <c r="Q18" s="2">
        <f>計算表!Q18</f>
        <v>0</v>
      </c>
      <c r="R18" s="2">
        <f>計算表!R18</f>
        <v>0</v>
      </c>
    </row>
    <row r="19" spans="1:18" x14ac:dyDescent="0.25">
      <c r="A19">
        <f t="shared" si="0"/>
        <v>18</v>
      </c>
      <c r="B19" s="2">
        <f>計算表!B19</f>
        <v>0</v>
      </c>
      <c r="C19" s="2" t="str">
        <f>計算表!C19</f>
        <v>1-轉生對照表</v>
      </c>
      <c r="D19" s="2" t="str">
        <f>計算表!D19</f>
        <v>轉生 10 次</v>
      </c>
      <c r="E19" s="2" t="str">
        <f>計算表!E19</f>
        <v>（查表）</v>
      </c>
      <c r="F19" s="2" t="str">
        <f>計算表!F19</f>
        <v>a=生命與四維最終倍率 b=升級經驗倍率  c=升級經驗基礎增加值 d=階級名稱 e=一般主動技能增加上限 f=融合技增加上限。</v>
      </c>
      <c r="G19" s="2">
        <f>計算表!G19</f>
        <v>5120</v>
      </c>
      <c r="H19" s="2" t="str">
        <f>計算表!H19</f>
        <v>10^12</v>
      </c>
      <c r="I19" s="2">
        <f>計算表!I19</f>
        <v>1968300000</v>
      </c>
      <c r="J19" s="2" t="str">
        <f>計算表!J19</f>
        <v>位面創世神</v>
      </c>
      <c r="K19" s="2">
        <f>計算表!K19</f>
        <v>120</v>
      </c>
      <c r="L19" s="2">
        <f>計算表!L19</f>
        <v>200</v>
      </c>
      <c r="M19" s="2">
        <f>計算表!M19</f>
        <v>0</v>
      </c>
      <c r="N19" s="2">
        <f>計算表!N19</f>
        <v>0</v>
      </c>
      <c r="O19" s="2">
        <f>計算表!O19</f>
        <v>0</v>
      </c>
      <c r="P19" s="2">
        <f>計算表!P19</f>
        <v>0</v>
      </c>
      <c r="Q19" s="2">
        <f>計算表!Q19</f>
        <v>0</v>
      </c>
      <c r="R19" s="2">
        <f>計算表!R19</f>
        <v>0</v>
      </c>
    </row>
    <row r="20" spans="1:18" x14ac:dyDescent="0.25">
      <c r="A20">
        <f t="shared" si="0"/>
        <v>19</v>
      </c>
      <c r="B20" s="2">
        <f>計算表!B20</f>
        <v>0</v>
      </c>
      <c r="C20" s="2" t="str">
        <f>計算表!C20</f>
        <v>2-屬性派生</v>
      </c>
      <c r="D20" s="2" t="str">
        <f>計算表!D20</f>
        <v>生命上限</v>
      </c>
      <c r="E20" s="2" t="str">
        <f>計算表!E20</f>
        <v>(a+(等級-1)×b+耐力×c+生命定值)×(1+生命%)</v>
      </c>
      <c r="F20" s="2" t="str">
        <f>計算表!F20</f>
        <v>a=基礎 b=每級 c=每點耐力。再乘轉生倍率。</v>
      </c>
      <c r="G20" s="2">
        <f>計算表!G20</f>
        <v>120</v>
      </c>
      <c r="H20" s="2">
        <f>計算表!H20</f>
        <v>22</v>
      </c>
      <c r="I20" s="2">
        <f>計算表!I20</f>
        <v>10</v>
      </c>
      <c r="J20" s="2">
        <f>計算表!J20</f>
        <v>0</v>
      </c>
      <c r="K20" s="2">
        <f>計算表!K20</f>
        <v>0</v>
      </c>
      <c r="L20" s="2">
        <f>計算表!L20</f>
        <v>0</v>
      </c>
      <c r="M20" s="2">
        <f>計算表!M20</f>
        <v>0</v>
      </c>
      <c r="N20" s="2">
        <f>計算表!N20</f>
        <v>0</v>
      </c>
      <c r="O20" s="2">
        <f>計算表!O20</f>
        <v>0</v>
      </c>
      <c r="P20" s="2">
        <f>計算表!P20</f>
        <v>0</v>
      </c>
      <c r="Q20" s="2">
        <f>計算表!Q20</f>
        <v>0</v>
      </c>
      <c r="R20" s="2">
        <f>計算表!R20</f>
        <v>0</v>
      </c>
    </row>
    <row r="21" spans="1:18" x14ac:dyDescent="0.25">
      <c r="A21">
        <f t="shared" si="0"/>
        <v>20</v>
      </c>
      <c r="B21" s="2">
        <f>計算表!B21</f>
        <v>0</v>
      </c>
      <c r="C21" s="2" t="str">
        <f>計算表!C21</f>
        <v>2-屬性派生</v>
      </c>
      <c r="D21" s="2" t="str">
        <f>計算表!D21</f>
        <v>法力上限</v>
      </c>
      <c r="E21" s="2" t="str">
        <f>計算表!E21</f>
        <v>(a+智力×b+法力定值)</v>
      </c>
      <c r="F21" s="2" t="str">
        <f>計算表!F21</f>
        <v>a=基礎 b=每點智力。再乘轉生倍率。</v>
      </c>
      <c r="G21" s="2">
        <f>計算表!G21</f>
        <v>40</v>
      </c>
      <c r="H21" s="2">
        <f>計算表!H21</f>
        <v>4</v>
      </c>
      <c r="I21" s="2">
        <f>計算表!I21</f>
        <v>0</v>
      </c>
      <c r="J21" s="2">
        <f>計算表!J21</f>
        <v>0</v>
      </c>
      <c r="K21" s="2">
        <f>計算表!K21</f>
        <v>0</v>
      </c>
      <c r="L21" s="2">
        <f>計算表!L21</f>
        <v>0</v>
      </c>
      <c r="M21" s="2">
        <f>計算表!M21</f>
        <v>0</v>
      </c>
      <c r="N21" s="2">
        <f>計算表!N21</f>
        <v>0</v>
      </c>
      <c r="O21" s="2">
        <f>計算表!O21</f>
        <v>0</v>
      </c>
      <c r="P21" s="2">
        <f>計算表!P21</f>
        <v>0</v>
      </c>
      <c r="Q21" s="2">
        <f>計算表!Q21</f>
        <v>0</v>
      </c>
      <c r="R21" s="2">
        <f>計算表!R21</f>
        <v>0</v>
      </c>
    </row>
    <row r="22" spans="1:18" x14ac:dyDescent="0.25">
      <c r="A22">
        <f t="shared" si="0"/>
        <v>21</v>
      </c>
      <c r="B22" s="2">
        <f>計算表!B22</f>
        <v>0</v>
      </c>
      <c r="C22" s="2" t="str">
        <f>計算表!C22</f>
        <v>2-屬性派生</v>
      </c>
      <c r="D22" s="2" t="str">
        <f>計算表!D22</f>
        <v>法力恢復/秒</v>
      </c>
      <c r="E22" s="2" t="str">
        <f>計算表!E22</f>
        <v>a+智力×b+加成</v>
      </c>
      <c r="F22" s="2" t="str">
        <f>計算表!F22</f>
        <v>a=基礎 b=每點智力。</v>
      </c>
      <c r="G22" s="2">
        <f>計算表!G22</f>
        <v>2</v>
      </c>
      <c r="H22" s="2">
        <f>計算表!H22</f>
        <v>0.06</v>
      </c>
      <c r="I22" s="2">
        <f>計算表!I22</f>
        <v>0</v>
      </c>
      <c r="J22" s="2">
        <f>計算表!J22</f>
        <v>0</v>
      </c>
      <c r="K22" s="2">
        <f>計算表!K22</f>
        <v>0</v>
      </c>
      <c r="L22" s="2">
        <f>計算表!L22</f>
        <v>0</v>
      </c>
      <c r="M22" s="2">
        <f>計算表!M22</f>
        <v>0</v>
      </c>
      <c r="N22" s="2">
        <f>計算表!N22</f>
        <v>0</v>
      </c>
      <c r="O22" s="2">
        <f>計算表!O22</f>
        <v>0</v>
      </c>
      <c r="P22" s="2">
        <f>計算表!P22</f>
        <v>0</v>
      </c>
      <c r="Q22" s="2">
        <f>計算表!Q22</f>
        <v>0</v>
      </c>
      <c r="R22" s="2">
        <f>計算表!R22</f>
        <v>0</v>
      </c>
    </row>
    <row r="23" spans="1:18" x14ac:dyDescent="0.25">
      <c r="A23">
        <f t="shared" si="0"/>
        <v>22</v>
      </c>
      <c r="B23" s="2">
        <f>計算表!B23</f>
        <v>0</v>
      </c>
      <c r="C23" s="2" t="str">
        <f>計算表!C23</f>
        <v>2-屬性派生</v>
      </c>
      <c r="D23" s="2" t="str">
        <f>計算表!D23</f>
        <v>物理攻擊</v>
      </c>
      <c r="E23" s="2" t="str">
        <f>計算表!E23</f>
        <v>(a+(等級-1)×b+力量×c+物攻定值)×(1+物攻%)</v>
      </c>
      <c r="F23" s="2" t="str">
        <f>計算表!F23</f>
        <v>a=基礎 b=每級 c=每點力量。</v>
      </c>
      <c r="G23" s="2">
        <f>計算表!G23</f>
        <v>8</v>
      </c>
      <c r="H23" s="2">
        <f>計算表!H23</f>
        <v>1.6</v>
      </c>
      <c r="I23" s="2">
        <f>計算表!I23</f>
        <v>2</v>
      </c>
      <c r="J23" s="2">
        <f>計算表!J23</f>
        <v>0</v>
      </c>
      <c r="K23" s="2">
        <f>計算表!K23</f>
        <v>0</v>
      </c>
      <c r="L23" s="2">
        <f>計算表!L23</f>
        <v>0</v>
      </c>
      <c r="M23" s="2">
        <f>計算表!M23</f>
        <v>0</v>
      </c>
      <c r="N23" s="2">
        <f>計算表!N23</f>
        <v>0</v>
      </c>
      <c r="O23" s="2">
        <f>計算表!O23</f>
        <v>0</v>
      </c>
      <c r="P23" s="2">
        <f>計算表!P23</f>
        <v>0</v>
      </c>
      <c r="Q23" s="2">
        <f>計算表!Q23</f>
        <v>0</v>
      </c>
      <c r="R23" s="2">
        <f>計算表!R23</f>
        <v>0</v>
      </c>
    </row>
    <row r="24" spans="1:18" x14ac:dyDescent="0.25">
      <c r="A24">
        <f t="shared" si="0"/>
        <v>23</v>
      </c>
      <c r="B24" s="2">
        <f>計算表!B24</f>
        <v>0</v>
      </c>
      <c r="C24" s="2" t="str">
        <f>計算表!C24</f>
        <v>2-屬性派生</v>
      </c>
      <c r="D24" s="2" t="str">
        <f>計算表!D24</f>
        <v>魔法攻擊</v>
      </c>
      <c r="E24" s="2" t="str">
        <f>計算表!E24</f>
        <v>(a+(等級-1)×b+智力×c+魔攻定值)×(1+魔攻%)</v>
      </c>
      <c r="F24" s="2" t="str">
        <f>計算表!F24</f>
        <v>a=基礎 b=每級 c=每點智力。</v>
      </c>
      <c r="G24" s="2">
        <f>計算表!G24</f>
        <v>6</v>
      </c>
      <c r="H24" s="2">
        <f>計算表!H24</f>
        <v>1.2</v>
      </c>
      <c r="I24" s="2">
        <f>計算表!I24</f>
        <v>2</v>
      </c>
      <c r="J24" s="2">
        <f>計算表!J24</f>
        <v>0</v>
      </c>
      <c r="K24" s="2">
        <f>計算表!K24</f>
        <v>0</v>
      </c>
      <c r="L24" s="2">
        <f>計算表!L24</f>
        <v>0</v>
      </c>
      <c r="M24" s="2">
        <f>計算表!M24</f>
        <v>0</v>
      </c>
      <c r="N24" s="2">
        <f>計算表!N24</f>
        <v>0</v>
      </c>
      <c r="O24" s="2">
        <f>計算表!O24</f>
        <v>0</v>
      </c>
      <c r="P24" s="2">
        <f>計算表!P24</f>
        <v>0</v>
      </c>
      <c r="Q24" s="2">
        <f>計算表!Q24</f>
        <v>0</v>
      </c>
      <c r="R24" s="2">
        <f>計算表!R24</f>
        <v>0</v>
      </c>
    </row>
    <row r="25" spans="1:18" x14ac:dyDescent="0.25">
      <c r="A25">
        <f t="shared" si="0"/>
        <v>24</v>
      </c>
      <c r="B25" s="2">
        <f>計算表!B25</f>
        <v>0</v>
      </c>
      <c r="C25" s="2" t="str">
        <f>計算表!C25</f>
        <v>2-屬性派生</v>
      </c>
      <c r="D25" s="2" t="str">
        <f>計算表!D25</f>
        <v>物理防禦</v>
      </c>
      <c r="E25" s="2" t="str">
        <f>計算表!E25</f>
        <v>(a+(等級-1)×b+耐力×c+物防定值)×(1+物防%)</v>
      </c>
      <c r="F25" s="2" t="str">
        <f>計算表!F25</f>
        <v>a=基礎 b=每級 c=每點耐力。</v>
      </c>
      <c r="G25" s="2">
        <f>計算表!G25</f>
        <v>4</v>
      </c>
      <c r="H25" s="2">
        <f>計算表!H25</f>
        <v>1</v>
      </c>
      <c r="I25" s="2">
        <f>計算表!I25</f>
        <v>0.9</v>
      </c>
      <c r="J25" s="2">
        <f>計算表!J25</f>
        <v>0</v>
      </c>
      <c r="K25" s="2">
        <f>計算表!K25</f>
        <v>0</v>
      </c>
      <c r="L25" s="2">
        <f>計算表!L25</f>
        <v>0</v>
      </c>
      <c r="M25" s="2">
        <f>計算表!M25</f>
        <v>0</v>
      </c>
      <c r="N25" s="2">
        <f>計算表!N25</f>
        <v>0</v>
      </c>
      <c r="O25" s="2">
        <f>計算表!O25</f>
        <v>0</v>
      </c>
      <c r="P25" s="2">
        <f>計算表!P25</f>
        <v>0</v>
      </c>
      <c r="Q25" s="2">
        <f>計算表!Q25</f>
        <v>0</v>
      </c>
      <c r="R25" s="2">
        <f>計算表!R25</f>
        <v>0</v>
      </c>
    </row>
    <row r="26" spans="1:18" x14ac:dyDescent="0.25">
      <c r="A26">
        <f t="shared" si="0"/>
        <v>25</v>
      </c>
      <c r="B26" s="2">
        <f>計算表!B26</f>
        <v>0</v>
      </c>
      <c r="C26" s="2" t="str">
        <f>計算表!C26</f>
        <v>2-屬性派生</v>
      </c>
      <c r="D26" s="2" t="str">
        <f>計算表!D26</f>
        <v>魔法防禦</v>
      </c>
      <c r="E26" s="2" t="str">
        <f>計算表!E26</f>
        <v>(a+(等級-1)×b+智力×c+魔防定值)×(1+物防%)</v>
      </c>
      <c r="F26" s="2" t="str">
        <f>計算表!F26</f>
        <v>a=基礎 b=每級 c=每點智力。共用物防%詞條。</v>
      </c>
      <c r="G26" s="2">
        <f>計算表!G26</f>
        <v>3</v>
      </c>
      <c r="H26" s="2">
        <f>計算表!H26</f>
        <v>0.8</v>
      </c>
      <c r="I26" s="2">
        <f>計算表!I26</f>
        <v>0.7</v>
      </c>
      <c r="J26" s="2">
        <f>計算表!J26</f>
        <v>0</v>
      </c>
      <c r="K26" s="2">
        <f>計算表!K26</f>
        <v>0</v>
      </c>
      <c r="L26" s="2">
        <f>計算表!L26</f>
        <v>0</v>
      </c>
      <c r="M26" s="2">
        <f>計算表!M26</f>
        <v>0</v>
      </c>
      <c r="N26" s="2">
        <f>計算表!N26</f>
        <v>0</v>
      </c>
      <c r="O26" s="2">
        <f>計算表!O26</f>
        <v>0</v>
      </c>
      <c r="P26" s="2">
        <f>計算表!P26</f>
        <v>0</v>
      </c>
      <c r="Q26" s="2">
        <f>計算表!Q26</f>
        <v>0</v>
      </c>
      <c r="R26" s="2">
        <f>計算表!R26</f>
        <v>0</v>
      </c>
    </row>
    <row r="27" spans="1:18" x14ac:dyDescent="0.25">
      <c r="A27">
        <f t="shared" si="0"/>
        <v>26</v>
      </c>
      <c r="B27" s="2">
        <f>計算表!B27</f>
        <v>0</v>
      </c>
      <c r="C27" s="2" t="str">
        <f>計算表!C27</f>
        <v>2-屬性派生</v>
      </c>
      <c r="D27" s="2" t="str">
        <f>計算表!D27</f>
        <v>暴擊率</v>
      </c>
      <c r="E27" s="2" t="str">
        <f>計算表!E27</f>
        <v>a+敏捷×b+加成</v>
      </c>
      <c r="F27" s="2" t="str">
        <f>計算表!F27</f>
        <v>a=基礎% b=每點敏捷。上限 100%。</v>
      </c>
      <c r="G27" s="2">
        <f>計算表!G27</f>
        <v>5</v>
      </c>
      <c r="H27" s="2">
        <f>計算表!H27</f>
        <v>0.06</v>
      </c>
      <c r="I27" s="2">
        <f>計算表!I27</f>
        <v>0</v>
      </c>
      <c r="J27" s="2">
        <f>計算表!J27</f>
        <v>0</v>
      </c>
      <c r="K27" s="2">
        <f>計算表!K27</f>
        <v>0</v>
      </c>
      <c r="L27" s="2">
        <f>計算表!L27</f>
        <v>0</v>
      </c>
      <c r="M27" s="2">
        <f>計算表!M27</f>
        <v>0</v>
      </c>
      <c r="N27" s="2">
        <f>計算表!N27</f>
        <v>0</v>
      </c>
      <c r="O27" s="2">
        <f>計算表!O27</f>
        <v>0</v>
      </c>
      <c r="P27" s="2">
        <f>計算表!P27</f>
        <v>0</v>
      </c>
      <c r="Q27" s="2">
        <f>計算表!Q27</f>
        <v>0</v>
      </c>
      <c r="R27" s="2">
        <f>計算表!R27</f>
        <v>0</v>
      </c>
    </row>
    <row r="28" spans="1:18" x14ac:dyDescent="0.25">
      <c r="A28">
        <f t="shared" si="0"/>
        <v>27</v>
      </c>
      <c r="B28" s="2">
        <f>計算表!B28</f>
        <v>0</v>
      </c>
      <c r="C28" s="2" t="str">
        <f>計算表!C28</f>
        <v>2-屬性派生</v>
      </c>
      <c r="D28" s="2" t="str">
        <f>計算表!D28</f>
        <v>暴擊傷害</v>
      </c>
      <c r="E28" s="2" t="str">
        <f>計算表!E28</f>
        <v>a+加成</v>
      </c>
      <c r="F28" s="2" t="str">
        <f>計算表!F28</f>
        <v>a=基礎%（無上限）。</v>
      </c>
      <c r="G28" s="2">
        <f>計算表!G28</f>
        <v>150</v>
      </c>
      <c r="H28" s="2">
        <f>計算表!H28</f>
        <v>0</v>
      </c>
      <c r="I28" s="2">
        <f>計算表!I28</f>
        <v>0</v>
      </c>
      <c r="J28" s="2">
        <f>計算表!J28</f>
        <v>0</v>
      </c>
      <c r="K28" s="2">
        <f>計算表!K28</f>
        <v>0</v>
      </c>
      <c r="L28" s="2">
        <f>計算表!L28</f>
        <v>0</v>
      </c>
      <c r="M28" s="2">
        <f>計算表!M28</f>
        <v>0</v>
      </c>
      <c r="N28" s="2">
        <f>計算表!N28</f>
        <v>0</v>
      </c>
      <c r="O28" s="2">
        <f>計算表!O28</f>
        <v>0</v>
      </c>
      <c r="P28" s="2">
        <f>計算表!P28</f>
        <v>0</v>
      </c>
      <c r="Q28" s="2">
        <f>計算表!Q28</f>
        <v>0</v>
      </c>
      <c r="R28" s="2">
        <f>計算表!R28</f>
        <v>0</v>
      </c>
    </row>
    <row r="29" spans="1:18" x14ac:dyDescent="0.25">
      <c r="A29">
        <f t="shared" si="0"/>
        <v>28</v>
      </c>
      <c r="B29" s="2">
        <f>計算表!B29</f>
        <v>0</v>
      </c>
      <c r="C29" s="2" t="str">
        <f>計算表!C29</f>
        <v>2-屬性派生</v>
      </c>
      <c r="D29" s="2" t="str">
        <f>計算表!D29</f>
        <v>攻擊速度</v>
      </c>
      <c r="E29" s="2" t="str">
        <f>計算表!E29</f>
        <v>a×(1+(攻速%+敏捷×b)/100)</v>
      </c>
      <c r="F29" s="2" t="str">
        <f>計算表!F29</f>
        <v>a=基礎次/秒 b=每點敏捷%。下限 0.2、上限 5。</v>
      </c>
      <c r="G29" s="2">
        <f>計算表!G29</f>
        <v>1</v>
      </c>
      <c r="H29" s="2">
        <f>計算表!H29</f>
        <v>0.15</v>
      </c>
      <c r="I29" s="2">
        <f>計算表!I29</f>
        <v>0</v>
      </c>
      <c r="J29" s="2">
        <f>計算表!J29</f>
        <v>0</v>
      </c>
      <c r="K29" s="2">
        <f>計算表!K29</f>
        <v>0</v>
      </c>
      <c r="L29" s="2">
        <f>計算表!L29</f>
        <v>0</v>
      </c>
      <c r="M29" s="2">
        <f>計算表!M29</f>
        <v>0</v>
      </c>
      <c r="N29" s="2">
        <f>計算表!N29</f>
        <v>0</v>
      </c>
      <c r="O29" s="2">
        <f>計算表!O29</f>
        <v>0</v>
      </c>
      <c r="P29" s="2">
        <f>計算表!P29</f>
        <v>0</v>
      </c>
      <c r="Q29" s="2">
        <f>計算表!Q29</f>
        <v>0</v>
      </c>
      <c r="R29" s="2">
        <f>計算表!R29</f>
        <v>0</v>
      </c>
    </row>
    <row r="30" spans="1:18" x14ac:dyDescent="0.25">
      <c r="A30">
        <f t="shared" si="0"/>
        <v>29</v>
      </c>
      <c r="B30" s="2">
        <f>計算表!B30</f>
        <v>0</v>
      </c>
      <c r="C30" s="2" t="str">
        <f>計算表!C30</f>
        <v>2-屬性派生</v>
      </c>
      <c r="D30" s="2" t="str">
        <f>計算表!D30</f>
        <v>命中率</v>
      </c>
      <c r="E30" s="2" t="str">
        <f>計算表!E30</f>
        <v>a+加成</v>
      </c>
      <c r="F30" s="2" t="str">
        <f>計算表!F30</f>
        <v>a=基礎%（減去敵方閃避後最低 5%）。</v>
      </c>
      <c r="G30" s="2">
        <f>計算表!G30</f>
        <v>100</v>
      </c>
      <c r="H30" s="2">
        <f>計算表!H30</f>
        <v>0</v>
      </c>
      <c r="I30" s="2">
        <f>計算表!I30</f>
        <v>0</v>
      </c>
      <c r="J30" s="2">
        <f>計算表!J30</f>
        <v>0</v>
      </c>
      <c r="K30" s="2">
        <f>計算表!K30</f>
        <v>0</v>
      </c>
      <c r="L30" s="2">
        <f>計算表!L30</f>
        <v>0</v>
      </c>
      <c r="M30" s="2">
        <f>計算表!M30</f>
        <v>0</v>
      </c>
      <c r="N30" s="2">
        <f>計算表!N30</f>
        <v>0</v>
      </c>
      <c r="O30" s="2">
        <f>計算表!O30</f>
        <v>0</v>
      </c>
      <c r="P30" s="2">
        <f>計算表!P30</f>
        <v>0</v>
      </c>
      <c r="Q30" s="2">
        <f>計算表!Q30</f>
        <v>0</v>
      </c>
      <c r="R30" s="2">
        <f>計算表!R30</f>
        <v>0</v>
      </c>
    </row>
    <row r="31" spans="1:18" x14ac:dyDescent="0.25">
      <c r="A31">
        <f t="shared" si="0"/>
        <v>30</v>
      </c>
      <c r="B31" s="2">
        <f>計算表!B31</f>
        <v>0</v>
      </c>
      <c r="C31" s="2" t="str">
        <f>計算表!C31</f>
        <v>2-屬性派生</v>
      </c>
      <c r="D31" s="2" t="str">
        <f>計算表!D31</f>
        <v>閃避率</v>
      </c>
      <c r="E31" s="2" t="str">
        <f>計算表!E31</f>
        <v>敏捷×a+加成</v>
      </c>
      <c r="F31" s="2" t="str">
        <f>計算表!F31</f>
        <v>a=每點敏捷%。上限 40%。</v>
      </c>
      <c r="G31" s="2">
        <f>計算表!G31</f>
        <v>0.08</v>
      </c>
      <c r="H31" s="2">
        <f>計算表!H31</f>
        <v>0</v>
      </c>
      <c r="I31" s="2">
        <f>計算表!I31</f>
        <v>0</v>
      </c>
      <c r="J31" s="2">
        <f>計算表!J31</f>
        <v>0</v>
      </c>
      <c r="K31" s="2">
        <f>計算表!K31</f>
        <v>0</v>
      </c>
      <c r="L31" s="2">
        <f>計算表!L31</f>
        <v>0</v>
      </c>
      <c r="M31" s="2">
        <f>計算表!M31</f>
        <v>0</v>
      </c>
      <c r="N31" s="2">
        <f>計算表!N31</f>
        <v>0</v>
      </c>
      <c r="O31" s="2">
        <f>計算表!O31</f>
        <v>0</v>
      </c>
      <c r="P31" s="2">
        <f>計算表!P31</f>
        <v>0</v>
      </c>
      <c r="Q31" s="2">
        <f>計算表!Q31</f>
        <v>0</v>
      </c>
      <c r="R31" s="2">
        <f>計算表!R31</f>
        <v>0</v>
      </c>
    </row>
    <row r="32" spans="1:18" x14ac:dyDescent="0.25">
      <c r="A32">
        <f t="shared" si="0"/>
        <v>31</v>
      </c>
      <c r="B32" s="2">
        <f>計算表!B32</f>
        <v>0</v>
      </c>
      <c r="C32" s="2" t="str">
        <f>計算表!C32</f>
        <v>2-屬性派生</v>
      </c>
      <c r="D32" s="2" t="str">
        <f>計算表!D32</f>
        <v>負重上限</v>
      </c>
      <c r="E32" s="2" t="str">
        <f>計算表!E32</f>
        <v>力量×a+詞條</v>
      </c>
      <c r="F32" s="2" t="str">
        <f>計算表!F32</f>
        <v>a=每點力量。</v>
      </c>
      <c r="G32" s="2">
        <f>計算表!G32</f>
        <v>0.5</v>
      </c>
      <c r="H32" s="2">
        <f>計算表!H32</f>
        <v>0</v>
      </c>
      <c r="I32" s="2">
        <f>計算表!I32</f>
        <v>0</v>
      </c>
      <c r="J32" s="2">
        <f>計算表!J32</f>
        <v>0</v>
      </c>
      <c r="K32" s="2">
        <f>計算表!K32</f>
        <v>0</v>
      </c>
      <c r="L32" s="2">
        <f>計算表!L32</f>
        <v>0</v>
      </c>
      <c r="M32" s="2">
        <f>計算表!M32</f>
        <v>0</v>
      </c>
      <c r="N32" s="2">
        <f>計算表!N32</f>
        <v>0</v>
      </c>
      <c r="O32" s="2">
        <f>計算表!O32</f>
        <v>0</v>
      </c>
      <c r="P32" s="2">
        <f>計算表!P32</f>
        <v>0</v>
      </c>
      <c r="Q32" s="2">
        <f>計算表!Q32</f>
        <v>0</v>
      </c>
      <c r="R32" s="2">
        <f>計算表!R32</f>
        <v>0</v>
      </c>
    </row>
    <row r="33" spans="1:18" x14ac:dyDescent="0.25">
      <c r="A33">
        <f t="shared" si="0"/>
        <v>32</v>
      </c>
      <c r="B33" s="2">
        <f>計算表!B33</f>
        <v>0</v>
      </c>
      <c r="C33" s="2" t="str">
        <f>計算表!C33</f>
        <v>2-屬性派生</v>
      </c>
      <c r="D33" s="2" t="str">
        <f>計算表!D33</f>
        <v>野外基礎生命恢復</v>
      </c>
      <c r="E33" s="2" t="str">
        <f>計算表!E33</f>
        <v>最大生命×a%/秒</v>
      </c>
      <c r="F33" s="2" t="str">
        <f>計算表!F33</f>
        <v>a=每秒回復比例（高塔內無此回復）。</v>
      </c>
      <c r="G33" s="2">
        <f>計算表!G33</f>
        <v>1.5</v>
      </c>
      <c r="H33" s="2">
        <f>計算表!H33</f>
        <v>0</v>
      </c>
      <c r="I33" s="2">
        <f>計算表!I33</f>
        <v>0</v>
      </c>
      <c r="J33" s="2">
        <f>計算表!J33</f>
        <v>0</v>
      </c>
      <c r="K33" s="2">
        <f>計算表!K33</f>
        <v>0</v>
      </c>
      <c r="L33" s="2">
        <f>計算表!L33</f>
        <v>0</v>
      </c>
      <c r="M33" s="2">
        <f>計算表!M33</f>
        <v>0</v>
      </c>
      <c r="N33" s="2">
        <f>計算表!N33</f>
        <v>0</v>
      </c>
      <c r="O33" s="2">
        <f>計算表!O33</f>
        <v>0</v>
      </c>
      <c r="P33" s="2">
        <f>計算表!P33</f>
        <v>0</v>
      </c>
      <c r="Q33" s="2">
        <f>計算表!Q33</f>
        <v>0</v>
      </c>
      <c r="R33" s="2">
        <f>計算表!R33</f>
        <v>0</v>
      </c>
    </row>
    <row r="34" spans="1:18" x14ac:dyDescent="0.25">
      <c r="A34">
        <f t="shared" si="0"/>
        <v>33</v>
      </c>
      <c r="B34" s="2">
        <f>計算表!B34</f>
        <v>0</v>
      </c>
      <c r="C34" s="2" t="str">
        <f>計算表!C34</f>
        <v>2-屬性派生</v>
      </c>
      <c r="D34" s="2" t="str">
        <f>計算表!D34</f>
        <v>全局減傷</v>
      </c>
      <c r="E34" s="2" t="str">
        <f>計算表!E34</f>
        <v>min(a%, 總合/(總合+b))</v>
      </c>
      <c r="F34" s="2" t="str">
        <f>計算表!F34</f>
        <v>a=減傷上限% b=分母常數。無此詞綴時倍率為 1。</v>
      </c>
      <c r="G34" s="2">
        <f>計算表!G34</f>
        <v>95</v>
      </c>
      <c r="H34" s="2">
        <f>計算表!H34</f>
        <v>40000</v>
      </c>
      <c r="I34" s="2">
        <f>計算表!I34</f>
        <v>0</v>
      </c>
      <c r="J34" s="2">
        <f>計算表!J34</f>
        <v>0</v>
      </c>
      <c r="K34" s="2">
        <f>計算表!K34</f>
        <v>0</v>
      </c>
      <c r="L34" s="2">
        <f>計算表!L34</f>
        <v>0</v>
      </c>
      <c r="M34" s="2">
        <f>計算表!M34</f>
        <v>0</v>
      </c>
      <c r="N34" s="2">
        <f>計算表!N34</f>
        <v>0</v>
      </c>
      <c r="O34" s="2">
        <f>計算表!O34</f>
        <v>0</v>
      </c>
      <c r="P34" s="2">
        <f>計算表!P34</f>
        <v>0</v>
      </c>
      <c r="Q34" s="2">
        <f>計算表!Q34</f>
        <v>0</v>
      </c>
      <c r="R34" s="2">
        <f>計算表!R34</f>
        <v>0</v>
      </c>
    </row>
    <row r="35" spans="1:18" x14ac:dyDescent="0.25">
      <c r="A35">
        <f t="shared" si="0"/>
        <v>34</v>
      </c>
      <c r="B35" s="2">
        <f>計算表!B35</f>
        <v>0</v>
      </c>
      <c r="C35" s="2" t="str">
        <f>計算表!C35</f>
        <v>2-屬性上限</v>
      </c>
      <c r="D35" s="2" t="str">
        <f>計算表!D35</f>
        <v>暴擊率 上限</v>
      </c>
      <c r="E35" s="2" t="str">
        <f>計算表!E35</f>
        <v>上限 = a</v>
      </c>
      <c r="F35" s="2" t="str">
        <f>計算表!F35</f>
        <v>a=暴擊率上限（%）。攻擊時造成額外暴擊傷害的機率。</v>
      </c>
      <c r="G35" s="2">
        <f>計算表!G35</f>
        <v>100</v>
      </c>
      <c r="H35" s="2">
        <f>計算表!H35</f>
        <v>0</v>
      </c>
      <c r="I35" s="2">
        <f>計算表!I35</f>
        <v>0</v>
      </c>
      <c r="J35" s="2">
        <f>計算表!J35</f>
        <v>0</v>
      </c>
      <c r="K35" s="2">
        <f>計算表!K35</f>
        <v>0</v>
      </c>
      <c r="L35" s="2">
        <f>計算表!L35</f>
        <v>0</v>
      </c>
      <c r="M35" s="2">
        <f>計算表!M35</f>
        <v>0</v>
      </c>
      <c r="N35" s="2">
        <f>計算表!N35</f>
        <v>0</v>
      </c>
      <c r="O35" s="2">
        <f>計算表!O35</f>
        <v>0</v>
      </c>
      <c r="P35" s="2">
        <f>計算表!P35</f>
        <v>0</v>
      </c>
      <c r="Q35" s="2">
        <f>計算表!Q35</f>
        <v>0</v>
      </c>
      <c r="R35" s="2">
        <f>計算表!R35</f>
        <v>0</v>
      </c>
    </row>
    <row r="36" spans="1:18" x14ac:dyDescent="0.25">
      <c r="A36">
        <f t="shared" si="0"/>
        <v>35</v>
      </c>
      <c r="B36" s="2">
        <f>計算表!B36</f>
        <v>0</v>
      </c>
      <c r="C36" s="2" t="str">
        <f>計算表!C36</f>
        <v>2-屬性上限</v>
      </c>
      <c r="D36" s="2" t="str">
        <f>計算表!D36</f>
        <v>物理穿透 上限</v>
      </c>
      <c r="E36" s="2" t="str">
        <f>計算表!E36</f>
        <v>上限 = a</v>
      </c>
      <c r="F36" s="2" t="str">
        <f>計算表!F36</f>
        <v>a=物理穿透上限（%）。造成物理傷害時無視敵方一定比例的物理防禦。</v>
      </c>
      <c r="G36" s="2">
        <f>計算表!G36</f>
        <v>80</v>
      </c>
      <c r="H36" s="2">
        <f>計算表!H36</f>
        <v>0</v>
      </c>
      <c r="I36" s="2">
        <f>計算表!I36</f>
        <v>0</v>
      </c>
      <c r="J36" s="2">
        <f>計算表!J36</f>
        <v>0</v>
      </c>
      <c r="K36" s="2">
        <f>計算表!K36</f>
        <v>0</v>
      </c>
      <c r="L36" s="2">
        <f>計算表!L36</f>
        <v>0</v>
      </c>
      <c r="M36" s="2">
        <f>計算表!M36</f>
        <v>0</v>
      </c>
      <c r="N36" s="2">
        <f>計算表!N36</f>
        <v>0</v>
      </c>
      <c r="O36" s="2">
        <f>計算表!O36</f>
        <v>0</v>
      </c>
      <c r="P36" s="2">
        <f>計算表!P36</f>
        <v>0</v>
      </c>
      <c r="Q36" s="2">
        <f>計算表!Q36</f>
        <v>0</v>
      </c>
      <c r="R36" s="2">
        <f>計算表!R36</f>
        <v>0</v>
      </c>
    </row>
    <row r="37" spans="1:18" x14ac:dyDescent="0.25">
      <c r="A37">
        <f t="shared" si="0"/>
        <v>36</v>
      </c>
      <c r="B37" s="2">
        <f>計算表!B37</f>
        <v>0</v>
      </c>
      <c r="C37" s="2" t="str">
        <f>計算表!C37</f>
        <v>2-屬性上限</v>
      </c>
      <c r="D37" s="2" t="str">
        <f>計算表!D37</f>
        <v>魔法穿透 上限</v>
      </c>
      <c r="E37" s="2" t="str">
        <f>計算表!E37</f>
        <v>上限 = a</v>
      </c>
      <c r="F37" s="2" t="str">
        <f>計算表!F37</f>
        <v>a=魔法穿透上限（%）。造成魔法傷害時無視敵方一定比例的魔法防禦。</v>
      </c>
      <c r="G37" s="2">
        <f>計算表!G37</f>
        <v>80</v>
      </c>
      <c r="H37" s="2">
        <f>計算表!H37</f>
        <v>0</v>
      </c>
      <c r="I37" s="2">
        <f>計算表!I37</f>
        <v>0</v>
      </c>
      <c r="J37" s="2">
        <f>計算表!J37</f>
        <v>0</v>
      </c>
      <c r="K37" s="2">
        <f>計算表!K37</f>
        <v>0</v>
      </c>
      <c r="L37" s="2">
        <f>計算表!L37</f>
        <v>0</v>
      </c>
      <c r="M37" s="2">
        <f>計算表!M37</f>
        <v>0</v>
      </c>
      <c r="N37" s="2">
        <f>計算表!N37</f>
        <v>0</v>
      </c>
      <c r="O37" s="2">
        <f>計算表!O37</f>
        <v>0</v>
      </c>
      <c r="P37" s="2">
        <f>計算表!P37</f>
        <v>0</v>
      </c>
      <c r="Q37" s="2">
        <f>計算表!Q37</f>
        <v>0</v>
      </c>
      <c r="R37" s="2">
        <f>計算表!R37</f>
        <v>0</v>
      </c>
    </row>
    <row r="38" spans="1:18" x14ac:dyDescent="0.25">
      <c r="A38">
        <f t="shared" si="0"/>
        <v>37</v>
      </c>
      <c r="B38" s="2">
        <f>計算表!B38</f>
        <v>0</v>
      </c>
      <c r="C38" s="2" t="str">
        <f>計算表!C38</f>
        <v>2-屬性上限</v>
      </c>
      <c r="D38" s="2" t="str">
        <f>計算表!D38</f>
        <v>冷卻縮減 上限</v>
      </c>
      <c r="E38" s="2" t="str">
        <f>計算表!E38</f>
        <v>上限 = a</v>
      </c>
      <c r="F38" s="2" t="str">
        <f>計算表!F38</f>
        <v>a=冷卻縮減上限（%）。減少技能所需的冷卻時間。</v>
      </c>
      <c r="G38" s="2">
        <f>計算表!G38</f>
        <v>60</v>
      </c>
      <c r="H38" s="2">
        <f>計算表!H38</f>
        <v>0</v>
      </c>
      <c r="I38" s="2">
        <f>計算表!I38</f>
        <v>0</v>
      </c>
      <c r="J38" s="2">
        <f>計算表!J38</f>
        <v>0</v>
      </c>
      <c r="K38" s="2">
        <f>計算表!K38</f>
        <v>0</v>
      </c>
      <c r="L38" s="2">
        <f>計算表!L38</f>
        <v>0</v>
      </c>
      <c r="M38" s="2">
        <f>計算表!M38</f>
        <v>0</v>
      </c>
      <c r="N38" s="2">
        <f>計算表!N38</f>
        <v>0</v>
      </c>
      <c r="O38" s="2">
        <f>計算表!O38</f>
        <v>0</v>
      </c>
      <c r="P38" s="2">
        <f>計算表!P38</f>
        <v>0</v>
      </c>
      <c r="Q38" s="2">
        <f>計算表!Q38</f>
        <v>0</v>
      </c>
      <c r="R38" s="2">
        <f>計算表!R38</f>
        <v>0</v>
      </c>
    </row>
    <row r="39" spans="1:18" x14ac:dyDescent="0.25">
      <c r="A39">
        <f t="shared" si="0"/>
        <v>38</v>
      </c>
      <c r="B39" s="2">
        <f>計算表!B39</f>
        <v>0</v>
      </c>
      <c r="C39" s="2" t="str">
        <f>計算表!C39</f>
        <v>2-屬性上限</v>
      </c>
      <c r="D39" s="2" t="str">
        <f>計算表!D39</f>
        <v>施法速度 上限</v>
      </c>
      <c r="E39" s="2" t="str">
        <f>計算表!E39</f>
        <v>上限 = a</v>
      </c>
      <c r="F39" s="2" t="str">
        <f>計算表!F39</f>
        <v>a=施法速度上限（%）。縮短技能的施放延遲或詠唱時間。</v>
      </c>
      <c r="G39" s="2">
        <f>計算表!G39</f>
        <v>50</v>
      </c>
      <c r="H39" s="2">
        <f>計算表!H39</f>
        <v>0</v>
      </c>
      <c r="I39" s="2">
        <f>計算表!I39</f>
        <v>0</v>
      </c>
      <c r="J39" s="2">
        <f>計算表!J39</f>
        <v>0</v>
      </c>
      <c r="K39" s="2">
        <f>計算表!K39</f>
        <v>0</v>
      </c>
      <c r="L39" s="2">
        <f>計算表!L39</f>
        <v>0</v>
      </c>
      <c r="M39" s="2">
        <f>計算表!M39</f>
        <v>0</v>
      </c>
      <c r="N39" s="2">
        <f>計算表!N39</f>
        <v>0</v>
      </c>
      <c r="O39" s="2">
        <f>計算表!O39</f>
        <v>0</v>
      </c>
      <c r="P39" s="2">
        <f>計算表!P39</f>
        <v>0</v>
      </c>
      <c r="Q39" s="2">
        <f>計算表!Q39</f>
        <v>0</v>
      </c>
      <c r="R39" s="2">
        <f>計算表!R39</f>
        <v>0</v>
      </c>
    </row>
    <row r="40" spans="1:18" x14ac:dyDescent="0.25">
      <c r="A40">
        <f t="shared" si="0"/>
        <v>39</v>
      </c>
      <c r="B40" s="2">
        <f>計算表!B40</f>
        <v>0</v>
      </c>
      <c r="C40" s="2" t="str">
        <f>計算表!C40</f>
        <v>2-屬性上限</v>
      </c>
      <c r="D40" s="2" t="str">
        <f>計算表!D40</f>
        <v>吸血 上限</v>
      </c>
      <c r="E40" s="2" t="str">
        <f>計算表!E40</f>
        <v>上限 = a</v>
      </c>
      <c r="F40" s="2" t="str">
        <f>計算表!F40</f>
        <v>a=吸血上限（%）。造成傷害時將部分傷害轉化為自身生命值。</v>
      </c>
      <c r="G40" s="2">
        <f>計算表!G40</f>
        <v>60</v>
      </c>
      <c r="H40" s="2">
        <f>計算表!H40</f>
        <v>0</v>
      </c>
      <c r="I40" s="2">
        <f>計算表!I40</f>
        <v>0</v>
      </c>
      <c r="J40" s="2">
        <f>計算表!J40</f>
        <v>0</v>
      </c>
      <c r="K40" s="2">
        <f>計算表!K40</f>
        <v>0</v>
      </c>
      <c r="L40" s="2">
        <f>計算表!L40</f>
        <v>0</v>
      </c>
      <c r="M40" s="2">
        <f>計算表!M40</f>
        <v>0</v>
      </c>
      <c r="N40" s="2">
        <f>計算表!N40</f>
        <v>0</v>
      </c>
      <c r="O40" s="2">
        <f>計算表!O40</f>
        <v>0</v>
      </c>
      <c r="P40" s="2">
        <f>計算表!P40</f>
        <v>0</v>
      </c>
      <c r="Q40" s="2">
        <f>計算表!Q40</f>
        <v>0</v>
      </c>
      <c r="R40" s="2">
        <f>計算表!R40</f>
        <v>0</v>
      </c>
    </row>
    <row r="41" spans="1:18" x14ac:dyDescent="0.25">
      <c r="A41">
        <f t="shared" si="0"/>
        <v>40</v>
      </c>
      <c r="B41" s="2">
        <f>計算表!B41</f>
        <v>0</v>
      </c>
      <c r="C41" s="2" t="str">
        <f>計算表!C41</f>
        <v>2-屬性上限</v>
      </c>
      <c r="D41" s="2" t="str">
        <f>計算表!D41</f>
        <v>吸魔 上限</v>
      </c>
      <c r="E41" s="2" t="str">
        <f>計算表!E41</f>
        <v>上限 = a</v>
      </c>
      <c r="F41" s="2" t="str">
        <f>計算表!F41</f>
        <v>a=吸魔上限（%）。造成傷害時將部分傷害轉化為自身法力值。</v>
      </c>
      <c r="G41" s="2">
        <f>計算表!G41</f>
        <v>30</v>
      </c>
      <c r="H41" s="2">
        <f>計算表!H41</f>
        <v>0</v>
      </c>
      <c r="I41" s="2">
        <f>計算表!I41</f>
        <v>0</v>
      </c>
      <c r="J41" s="2">
        <f>計算表!J41</f>
        <v>0</v>
      </c>
      <c r="K41" s="2">
        <f>計算表!K41</f>
        <v>0</v>
      </c>
      <c r="L41" s="2">
        <f>計算表!L41</f>
        <v>0</v>
      </c>
      <c r="M41" s="2">
        <f>計算表!M41</f>
        <v>0</v>
      </c>
      <c r="N41" s="2">
        <f>計算表!N41</f>
        <v>0</v>
      </c>
      <c r="O41" s="2">
        <f>計算表!O41</f>
        <v>0</v>
      </c>
      <c r="P41" s="2">
        <f>計算表!P41</f>
        <v>0</v>
      </c>
      <c r="Q41" s="2">
        <f>計算表!Q41</f>
        <v>0</v>
      </c>
      <c r="R41" s="2">
        <f>計算表!R41</f>
        <v>0</v>
      </c>
    </row>
    <row r="42" spans="1:18" x14ac:dyDescent="0.25">
      <c r="A42">
        <f t="shared" si="0"/>
        <v>41</v>
      </c>
      <c r="B42" s="2">
        <f>計算表!B42</f>
        <v>0</v>
      </c>
      <c r="C42" s="2" t="str">
        <f>計算表!C42</f>
        <v>2-屬性上限</v>
      </c>
      <c r="D42" s="2" t="str">
        <f>計算表!D42</f>
        <v>格擋率 上限</v>
      </c>
      <c r="E42" s="2" t="str">
        <f>計算表!E42</f>
        <v>上限 = a</v>
      </c>
      <c r="F42" s="2" t="str">
        <f>計算表!F42</f>
        <v>a=格擋率上限（%）。受到攻擊時觸發格擋以減輕傷害的機率。</v>
      </c>
      <c r="G42" s="2">
        <f>計算表!G42</f>
        <v>50</v>
      </c>
      <c r="H42" s="2">
        <f>計算表!H42</f>
        <v>0</v>
      </c>
      <c r="I42" s="2">
        <f>計算表!I42</f>
        <v>0</v>
      </c>
      <c r="J42" s="2">
        <f>計算表!J42</f>
        <v>0</v>
      </c>
      <c r="K42" s="2">
        <f>計算表!K42</f>
        <v>0</v>
      </c>
      <c r="L42" s="2">
        <f>計算表!L42</f>
        <v>0</v>
      </c>
      <c r="M42" s="2">
        <f>計算表!M42</f>
        <v>0</v>
      </c>
      <c r="N42" s="2">
        <f>計算表!N42</f>
        <v>0</v>
      </c>
      <c r="O42" s="2">
        <f>計算表!O42</f>
        <v>0</v>
      </c>
      <c r="P42" s="2">
        <f>計算表!P42</f>
        <v>0</v>
      </c>
      <c r="Q42" s="2">
        <f>計算表!Q42</f>
        <v>0</v>
      </c>
      <c r="R42" s="2">
        <f>計算表!R42</f>
        <v>0</v>
      </c>
    </row>
    <row r="43" spans="1:18" x14ac:dyDescent="0.25">
      <c r="A43">
        <f t="shared" si="0"/>
        <v>42</v>
      </c>
      <c r="B43" s="2">
        <f>計算表!B43</f>
        <v>0</v>
      </c>
      <c r="C43" s="2" t="str">
        <f>計算表!C43</f>
        <v>2-屬性上限</v>
      </c>
      <c r="D43" s="2" t="str">
        <f>計算表!D43</f>
        <v>格擋減傷(詞條部分) 上限</v>
      </c>
      <c r="E43" s="2" t="str">
        <f>計算表!E43</f>
        <v>上限 = a</v>
      </c>
      <c r="F43" s="2" t="str">
        <f>計算表!F43</f>
        <v>a=格擋減傷「詞條部分」上限（%）。實際格擋減傷 = 30%基礎 + 詞條(≤a)，合計上限 80%。</v>
      </c>
      <c r="G43" s="2">
        <f>計算表!G43</f>
        <v>50</v>
      </c>
      <c r="H43" s="2">
        <f>計算表!H43</f>
        <v>0</v>
      </c>
      <c r="I43" s="2">
        <f>計算表!I43</f>
        <v>0</v>
      </c>
      <c r="J43" s="2">
        <f>計算表!J43</f>
        <v>0</v>
      </c>
      <c r="K43" s="2">
        <f>計算表!K43</f>
        <v>0</v>
      </c>
      <c r="L43" s="2">
        <f>計算表!L43</f>
        <v>0</v>
      </c>
      <c r="M43" s="2">
        <f>計算表!M43</f>
        <v>0</v>
      </c>
      <c r="N43" s="2">
        <f>計算表!N43</f>
        <v>0</v>
      </c>
      <c r="O43" s="2">
        <f>計算表!O43</f>
        <v>0</v>
      </c>
      <c r="P43" s="2">
        <f>計算表!P43</f>
        <v>0</v>
      </c>
      <c r="Q43" s="2">
        <f>計算表!Q43</f>
        <v>0</v>
      </c>
      <c r="R43" s="2">
        <f>計算表!R43</f>
        <v>0</v>
      </c>
    </row>
    <row r="44" spans="1:18" x14ac:dyDescent="0.25">
      <c r="A44">
        <f t="shared" si="0"/>
        <v>43</v>
      </c>
      <c r="B44" s="2">
        <f>計算表!B44</f>
        <v>0</v>
      </c>
      <c r="C44" s="2" t="str">
        <f>計算表!C44</f>
        <v>2-屬性上限</v>
      </c>
      <c r="D44" s="2" t="str">
        <f>計算表!D44</f>
        <v>閃避率 上限</v>
      </c>
      <c r="E44" s="2" t="str">
        <f>計算表!E44</f>
        <v>上限 = a</v>
      </c>
      <c r="F44" s="2" t="str">
        <f>計算表!F44</f>
        <v>a=閃避率上限（%）。完全避開敵人攻擊的機率（受敵方命中率影響）。</v>
      </c>
      <c r="G44" s="2">
        <f>計算表!G44</f>
        <v>40</v>
      </c>
      <c r="H44" s="2">
        <f>計算表!H44</f>
        <v>0</v>
      </c>
      <c r="I44" s="2">
        <f>計算表!I44</f>
        <v>0</v>
      </c>
      <c r="J44" s="2">
        <f>計算表!J44</f>
        <v>0</v>
      </c>
      <c r="K44" s="2">
        <f>計算表!K44</f>
        <v>0</v>
      </c>
      <c r="L44" s="2">
        <f>計算表!L44</f>
        <v>0</v>
      </c>
      <c r="M44" s="2">
        <f>計算表!M44</f>
        <v>0</v>
      </c>
      <c r="N44" s="2">
        <f>計算表!N44</f>
        <v>0</v>
      </c>
      <c r="O44" s="2">
        <f>計算表!O44</f>
        <v>0</v>
      </c>
      <c r="P44" s="2">
        <f>計算表!P44</f>
        <v>0</v>
      </c>
      <c r="Q44" s="2">
        <f>計算表!Q44</f>
        <v>0</v>
      </c>
      <c r="R44" s="2">
        <f>計算表!R44</f>
        <v>0</v>
      </c>
    </row>
    <row r="45" spans="1:18" x14ac:dyDescent="0.25">
      <c r="A45">
        <f t="shared" si="0"/>
        <v>44</v>
      </c>
      <c r="B45" s="2">
        <f>計算表!B45</f>
        <v>0</v>
      </c>
      <c r="C45" s="2" t="str">
        <f>計算表!C45</f>
        <v>2-屬性上限</v>
      </c>
      <c r="D45" s="2" t="str">
        <f>計算表!D45</f>
        <v>韌性 上限</v>
      </c>
      <c r="E45" s="2" t="str">
        <f>計算表!E45</f>
        <v>上限 = a</v>
      </c>
      <c r="F45" s="2" t="str">
        <f>計算表!F45</f>
        <v>a=韌性上限（%）。降低自身被暈眩、減速等控制狀態的機率。</v>
      </c>
      <c r="G45" s="2">
        <f>計算表!G45</f>
        <v>60</v>
      </c>
      <c r="H45" s="2">
        <f>計算表!H45</f>
        <v>0</v>
      </c>
      <c r="I45" s="2">
        <f>計算表!I45</f>
        <v>0</v>
      </c>
      <c r="J45" s="2">
        <f>計算表!J45</f>
        <v>0</v>
      </c>
      <c r="K45" s="2">
        <f>計算表!K45</f>
        <v>0</v>
      </c>
      <c r="L45" s="2">
        <f>計算表!L45</f>
        <v>0</v>
      </c>
      <c r="M45" s="2">
        <f>計算表!M45</f>
        <v>0</v>
      </c>
      <c r="N45" s="2">
        <f>計算表!N45</f>
        <v>0</v>
      </c>
      <c r="O45" s="2">
        <f>計算表!O45</f>
        <v>0</v>
      </c>
      <c r="P45" s="2">
        <f>計算表!P45</f>
        <v>0</v>
      </c>
      <c r="Q45" s="2">
        <f>計算表!Q45</f>
        <v>0</v>
      </c>
      <c r="R45" s="2">
        <f>計算表!R45</f>
        <v>0</v>
      </c>
    </row>
    <row r="46" spans="1:18" x14ac:dyDescent="0.25">
      <c r="A46">
        <f t="shared" si="0"/>
        <v>45</v>
      </c>
      <c r="B46" s="2">
        <f>計算表!B46</f>
        <v>0</v>
      </c>
      <c r="C46" s="2" t="str">
        <f>計算表!C46</f>
        <v>2-屬性上限</v>
      </c>
      <c r="D46" s="2" t="str">
        <f>計算表!D46</f>
        <v>物理抗性 上限</v>
      </c>
      <c r="E46" s="2" t="str">
        <f>計算表!E46</f>
        <v>上限 = a</v>
      </c>
      <c r="F46" s="2" t="str">
        <f>計算表!F46</f>
        <v>a=物理抗性上限（%）。結算防禦後再按比例直接減免物理傷害。</v>
      </c>
      <c r="G46" s="2">
        <f>計算表!G46</f>
        <v>60</v>
      </c>
      <c r="H46" s="2">
        <f>計算表!H46</f>
        <v>0</v>
      </c>
      <c r="I46" s="2">
        <f>計算表!I46</f>
        <v>0</v>
      </c>
      <c r="J46" s="2">
        <f>計算表!J46</f>
        <v>0</v>
      </c>
      <c r="K46" s="2">
        <f>計算表!K46</f>
        <v>0</v>
      </c>
      <c r="L46" s="2">
        <f>計算表!L46</f>
        <v>0</v>
      </c>
      <c r="M46" s="2">
        <f>計算表!M46</f>
        <v>0</v>
      </c>
      <c r="N46" s="2">
        <f>計算表!N46</f>
        <v>0</v>
      </c>
      <c r="O46" s="2">
        <f>計算表!O46</f>
        <v>0</v>
      </c>
      <c r="P46" s="2">
        <f>計算表!P46</f>
        <v>0</v>
      </c>
      <c r="Q46" s="2">
        <f>計算表!Q46</f>
        <v>0</v>
      </c>
      <c r="R46" s="2">
        <f>計算表!R46</f>
        <v>0</v>
      </c>
    </row>
    <row r="47" spans="1:18" x14ac:dyDescent="0.25">
      <c r="A47">
        <f t="shared" si="0"/>
        <v>46</v>
      </c>
      <c r="B47" s="2">
        <f>計算表!B47</f>
        <v>0</v>
      </c>
      <c r="C47" s="2" t="str">
        <f>計算表!C47</f>
        <v>2-屬性上限</v>
      </c>
      <c r="D47" s="2" t="str">
        <f>計算表!D47</f>
        <v>魔法抗性 上限</v>
      </c>
      <c r="E47" s="2" t="str">
        <f>計算表!E47</f>
        <v>上限 = a</v>
      </c>
      <c r="F47" s="2" t="str">
        <f>計算表!F47</f>
        <v>a=魔法抗性上限（%）。結算防禦後再按比例直接減免魔法傷害。</v>
      </c>
      <c r="G47" s="2">
        <f>計算表!G47</f>
        <v>60</v>
      </c>
      <c r="H47" s="2">
        <f>計算表!H47</f>
        <v>0</v>
      </c>
      <c r="I47" s="2">
        <f>計算表!I47</f>
        <v>0</v>
      </c>
      <c r="J47" s="2">
        <f>計算表!J47</f>
        <v>0</v>
      </c>
      <c r="K47" s="2">
        <f>計算表!K47</f>
        <v>0</v>
      </c>
      <c r="L47" s="2">
        <f>計算表!L47</f>
        <v>0</v>
      </c>
      <c r="M47" s="2">
        <f>計算表!M47</f>
        <v>0</v>
      </c>
      <c r="N47" s="2">
        <f>計算表!N47</f>
        <v>0</v>
      </c>
      <c r="O47" s="2">
        <f>計算表!O47</f>
        <v>0</v>
      </c>
      <c r="P47" s="2">
        <f>計算表!P47</f>
        <v>0</v>
      </c>
      <c r="Q47" s="2">
        <f>計算表!Q47</f>
        <v>0</v>
      </c>
      <c r="R47" s="2">
        <f>計算表!R47</f>
        <v>0</v>
      </c>
    </row>
    <row r="48" spans="1:18" x14ac:dyDescent="0.25">
      <c r="A48">
        <f t="shared" si="0"/>
        <v>47</v>
      </c>
      <c r="B48" s="2">
        <f>計算表!B48</f>
        <v>0</v>
      </c>
      <c r="C48" s="2" t="str">
        <f>計算表!C48</f>
        <v>2-屬性上限</v>
      </c>
      <c r="D48" s="2" t="str">
        <f>計算表!D48</f>
        <v>六系元素抗性 上限</v>
      </c>
      <c r="E48" s="2" t="str">
        <f>計算表!E48</f>
        <v>上限 = a</v>
      </c>
      <c r="F48" s="2" t="str">
        <f>計算表!F48</f>
        <v>a=六系元素（火/冰/雷/毒/光/暗）抗性各自的上限（%）。按比例降低該屬性傷害。</v>
      </c>
      <c r="G48" s="2">
        <f>計算表!G48</f>
        <v>75</v>
      </c>
      <c r="H48" s="2">
        <f>計算表!H48</f>
        <v>0</v>
      </c>
      <c r="I48" s="2">
        <f>計算表!I48</f>
        <v>0</v>
      </c>
      <c r="J48" s="2">
        <f>計算表!J48</f>
        <v>0</v>
      </c>
      <c r="K48" s="2">
        <f>計算表!K48</f>
        <v>0</v>
      </c>
      <c r="L48" s="2">
        <f>計算表!L48</f>
        <v>0</v>
      </c>
      <c r="M48" s="2">
        <f>計算表!M48</f>
        <v>0</v>
      </c>
      <c r="N48" s="2">
        <f>計算表!N48</f>
        <v>0</v>
      </c>
      <c r="O48" s="2">
        <f>計算表!O48</f>
        <v>0</v>
      </c>
      <c r="P48" s="2">
        <f>計算表!P48</f>
        <v>0</v>
      </c>
      <c r="Q48" s="2">
        <f>計算表!Q48</f>
        <v>0</v>
      </c>
      <c r="R48" s="2">
        <f>計算表!R48</f>
        <v>0</v>
      </c>
    </row>
    <row r="49" spans="1:18" x14ac:dyDescent="0.25">
      <c r="A49">
        <f t="shared" si="0"/>
        <v>48</v>
      </c>
      <c r="B49" s="2">
        <f>計算表!B49</f>
        <v>0</v>
      </c>
      <c r="C49" s="2" t="str">
        <f>計算表!C49</f>
        <v>2-屬性上限</v>
      </c>
      <c r="D49" s="2" t="str">
        <f>計算表!D49</f>
        <v>控制抵抗 上限</v>
      </c>
      <c r="E49" s="2" t="str">
        <f>計算表!E49</f>
        <v>上限 = a</v>
      </c>
      <c r="F49" s="2" t="str">
        <f>計算表!F49</f>
        <v>a=控制抵抗上限（%）。全面降低所有負面異常狀態的命中率。</v>
      </c>
      <c r="G49" s="2">
        <f>計算表!G49</f>
        <v>80</v>
      </c>
      <c r="H49" s="2">
        <f>計算表!H49</f>
        <v>0</v>
      </c>
      <c r="I49" s="2">
        <f>計算表!I49</f>
        <v>0</v>
      </c>
      <c r="J49" s="2">
        <f>計算表!J49</f>
        <v>0</v>
      </c>
      <c r="K49" s="2">
        <f>計算表!K49</f>
        <v>0</v>
      </c>
      <c r="L49" s="2">
        <f>計算表!L49</f>
        <v>0</v>
      </c>
      <c r="M49" s="2">
        <f>計算表!M49</f>
        <v>0</v>
      </c>
      <c r="N49" s="2">
        <f>計算表!N49</f>
        <v>0</v>
      </c>
      <c r="O49" s="2">
        <f>計算表!O49</f>
        <v>0</v>
      </c>
      <c r="P49" s="2">
        <f>計算表!P49</f>
        <v>0</v>
      </c>
      <c r="Q49" s="2">
        <f>計算表!Q49</f>
        <v>0</v>
      </c>
      <c r="R49" s="2">
        <f>計算表!R49</f>
        <v>0</v>
      </c>
    </row>
    <row r="50" spans="1:18" x14ac:dyDescent="0.25">
      <c r="A50">
        <f t="shared" si="0"/>
        <v>49</v>
      </c>
      <c r="B50" s="2">
        <f>計算表!B50</f>
        <v>0</v>
      </c>
      <c r="C50" s="2" t="str">
        <f>計算表!C50</f>
        <v>2-屬性上限</v>
      </c>
      <c r="D50" s="2" t="str">
        <f>計算表!D50</f>
        <v>控制時間縮減 上限</v>
      </c>
      <c r="E50" s="2" t="str">
        <f>計算表!E50</f>
        <v>上限 = a</v>
      </c>
      <c r="F50" s="2" t="str">
        <f>計算表!F50</f>
        <v>a=控制時間縮減上限（%）。減少被暈眩、減速等控制狀態的持續時間。</v>
      </c>
      <c r="G50" s="2">
        <f>計算表!G50</f>
        <v>60</v>
      </c>
      <c r="H50" s="2">
        <f>計算表!H50</f>
        <v>0</v>
      </c>
      <c r="I50" s="2">
        <f>計算表!I50</f>
        <v>0</v>
      </c>
      <c r="J50" s="2">
        <f>計算表!J50</f>
        <v>0</v>
      </c>
      <c r="K50" s="2">
        <f>計算表!K50</f>
        <v>0</v>
      </c>
      <c r="L50" s="2">
        <f>計算表!L50</f>
        <v>0</v>
      </c>
      <c r="M50" s="2">
        <f>計算表!M50</f>
        <v>0</v>
      </c>
      <c r="N50" s="2">
        <f>計算表!N50</f>
        <v>0</v>
      </c>
      <c r="O50" s="2">
        <f>計算表!O50</f>
        <v>0</v>
      </c>
      <c r="P50" s="2">
        <f>計算表!P50</f>
        <v>0</v>
      </c>
      <c r="Q50" s="2">
        <f>計算表!Q50</f>
        <v>0</v>
      </c>
      <c r="R50" s="2">
        <f>計算表!R50</f>
        <v>0</v>
      </c>
    </row>
    <row r="51" spans="1:18" x14ac:dyDescent="0.25">
      <c r="A51">
        <f t="shared" si="0"/>
        <v>50</v>
      </c>
      <c r="B51" s="2">
        <f>計算表!B51</f>
        <v>0</v>
      </c>
      <c r="C51" s="2" t="str">
        <f>計算表!C51</f>
        <v>2-屬性上限</v>
      </c>
      <c r="D51" s="2" t="str">
        <f>計算表!D51</f>
        <v>移動速度 上限</v>
      </c>
      <c r="E51" s="2" t="str">
        <f>計算表!E51</f>
        <v>上限 = a</v>
      </c>
      <c r="F51" s="2" t="str">
        <f>計算表!F51</f>
        <v>a=移動速度上限（%）。提高探索地圖、遇敵或到達終點的速度。</v>
      </c>
      <c r="G51" s="2">
        <f>計算表!G51</f>
        <v>50</v>
      </c>
      <c r="H51" s="2">
        <f>計算表!H51</f>
        <v>0</v>
      </c>
      <c r="I51" s="2">
        <f>計算表!I51</f>
        <v>0</v>
      </c>
      <c r="J51" s="2">
        <f>計算表!J51</f>
        <v>0</v>
      </c>
      <c r="K51" s="2">
        <f>計算表!K51</f>
        <v>0</v>
      </c>
      <c r="L51" s="2">
        <f>計算表!L51</f>
        <v>0</v>
      </c>
      <c r="M51" s="2">
        <f>計算表!M51</f>
        <v>0</v>
      </c>
      <c r="N51" s="2">
        <f>計算表!N51</f>
        <v>0</v>
      </c>
      <c r="O51" s="2">
        <f>計算表!O51</f>
        <v>0</v>
      </c>
      <c r="P51" s="2">
        <f>計算表!P51</f>
        <v>0</v>
      </c>
      <c r="Q51" s="2">
        <f>計算表!Q51</f>
        <v>0</v>
      </c>
      <c r="R51" s="2">
        <f>計算表!R51</f>
        <v>0</v>
      </c>
    </row>
    <row r="52" spans="1:18" x14ac:dyDescent="0.25">
      <c r="A52">
        <f t="shared" si="0"/>
        <v>51</v>
      </c>
      <c r="B52" s="2">
        <f>計算表!B52</f>
        <v>0</v>
      </c>
      <c r="C52" s="2" t="str">
        <f>計算表!C52</f>
        <v>2-屬性上限</v>
      </c>
      <c r="D52" s="2" t="str">
        <f>計算表!D52</f>
        <v>幸運值 上限</v>
      </c>
      <c r="E52" s="2" t="str">
        <f>計算表!E52</f>
        <v>上限 = a</v>
      </c>
      <c r="F52" s="2" t="str">
        <f>計算表!F52</f>
        <v>a=幸運值上限（數值，非%）。提升洗煉或合成時出現高階詞條的機率。</v>
      </c>
      <c r="G52" s="2">
        <f>計算表!G52</f>
        <v>100</v>
      </c>
      <c r="H52" s="2">
        <f>計算表!H52</f>
        <v>0</v>
      </c>
      <c r="I52" s="2">
        <f>計算表!I52</f>
        <v>0</v>
      </c>
      <c r="J52" s="2">
        <f>計算表!J52</f>
        <v>0</v>
      </c>
      <c r="K52" s="2">
        <f>計算表!K52</f>
        <v>0</v>
      </c>
      <c r="L52" s="2">
        <f>計算表!L52</f>
        <v>0</v>
      </c>
      <c r="M52" s="2">
        <f>計算表!M52</f>
        <v>0</v>
      </c>
      <c r="N52" s="2">
        <f>計算表!N52</f>
        <v>0</v>
      </c>
      <c r="O52" s="2">
        <f>計算表!O52</f>
        <v>0</v>
      </c>
      <c r="P52" s="2">
        <f>計算表!P52</f>
        <v>0</v>
      </c>
      <c r="Q52" s="2">
        <f>計算表!Q52</f>
        <v>0</v>
      </c>
      <c r="R52" s="2">
        <f>計算表!R52</f>
        <v>0</v>
      </c>
    </row>
    <row r="53" spans="1:18" x14ac:dyDescent="0.25">
      <c r="A53">
        <f t="shared" si="0"/>
        <v>52</v>
      </c>
      <c r="B53" s="2">
        <f>計算表!B53</f>
        <v>0</v>
      </c>
      <c r="C53" s="2" t="str">
        <f>計算表!C53</f>
        <v>2-屬性上限</v>
      </c>
      <c r="D53" s="2" t="str">
        <f>計算表!D53</f>
        <v>合成變異率 上限</v>
      </c>
      <c r="E53" s="2" t="str">
        <f>計算表!E53</f>
        <v>上限 = a</v>
      </c>
      <c r="F53" s="2" t="str">
        <f>計算表!F53</f>
        <v>a=合成變異率上限（%）。合成時發生特殊異變（如詞條升級）的機率。</v>
      </c>
      <c r="G53" s="2">
        <f>計算表!G53</f>
        <v>60</v>
      </c>
      <c r="H53" s="2">
        <f>計算表!H53</f>
        <v>0</v>
      </c>
      <c r="I53" s="2">
        <f>計算表!I53</f>
        <v>0</v>
      </c>
      <c r="J53" s="2">
        <f>計算表!J53</f>
        <v>0</v>
      </c>
      <c r="K53" s="2">
        <f>計算表!K53</f>
        <v>0</v>
      </c>
      <c r="L53" s="2">
        <f>計算表!L53</f>
        <v>0</v>
      </c>
      <c r="M53" s="2">
        <f>計算表!M53</f>
        <v>0</v>
      </c>
      <c r="N53" s="2">
        <f>計算表!N53</f>
        <v>0</v>
      </c>
      <c r="O53" s="2">
        <f>計算表!O53</f>
        <v>0</v>
      </c>
      <c r="P53" s="2">
        <f>計算表!P53</f>
        <v>0</v>
      </c>
      <c r="Q53" s="2">
        <f>計算表!Q53</f>
        <v>0</v>
      </c>
      <c r="R53" s="2">
        <f>計算表!R53</f>
        <v>0</v>
      </c>
    </row>
    <row r="54" spans="1:18" x14ac:dyDescent="0.25">
      <c r="A54">
        <f t="shared" si="0"/>
        <v>53</v>
      </c>
      <c r="B54" s="2">
        <f>計算表!B54</f>
        <v>0</v>
      </c>
      <c r="C54" s="2" t="str">
        <f>計算表!C54</f>
        <v>2-屬性上限</v>
      </c>
      <c r="D54" s="2" t="str">
        <f>計算表!D54</f>
        <v>狂暴閾值 上限</v>
      </c>
      <c r="E54" s="2" t="str">
        <f>計算表!E54</f>
        <v>上限 = a</v>
      </c>
      <c r="F54" s="2" t="str">
        <f>計算表!F54</f>
        <v>a=狂暴閾值上限（%）。影響怪物進入狂暴狀態的時間點或血量條件。</v>
      </c>
      <c r="G54" s="2">
        <f>計算表!G54</f>
        <v>30</v>
      </c>
      <c r="H54" s="2">
        <f>計算表!H54</f>
        <v>0</v>
      </c>
      <c r="I54" s="2">
        <f>計算表!I54</f>
        <v>0</v>
      </c>
      <c r="J54" s="2">
        <f>計算表!J54</f>
        <v>0</v>
      </c>
      <c r="K54" s="2">
        <f>計算表!K54</f>
        <v>0</v>
      </c>
      <c r="L54" s="2">
        <f>計算表!L54</f>
        <v>0</v>
      </c>
      <c r="M54" s="2">
        <f>計算表!M54</f>
        <v>0</v>
      </c>
      <c r="N54" s="2">
        <f>計算表!N54</f>
        <v>0</v>
      </c>
      <c r="O54" s="2">
        <f>計算表!O54</f>
        <v>0</v>
      </c>
      <c r="P54" s="2">
        <f>計算表!P54</f>
        <v>0</v>
      </c>
      <c r="Q54" s="2">
        <f>計算表!Q54</f>
        <v>0</v>
      </c>
      <c r="R54" s="2">
        <f>計算表!R54</f>
        <v>0</v>
      </c>
    </row>
    <row r="55" spans="1:18" x14ac:dyDescent="0.25">
      <c r="A55">
        <f t="shared" si="0"/>
        <v>54</v>
      </c>
      <c r="B55" s="2">
        <f>計算表!B55</f>
        <v>0</v>
      </c>
      <c r="C55" s="2" t="str">
        <f>計算表!C55</f>
        <v>2-屬性上限</v>
      </c>
      <c r="D55" s="2" t="str">
        <f>計算表!D55</f>
        <v>詞條上限率 上限</v>
      </c>
      <c r="E55" s="2" t="str">
        <f>計算表!E55</f>
        <v>上限 = a</v>
      </c>
      <c r="F55" s="2" t="str">
        <f>計算表!F55</f>
        <v>a=詞條上限率上限（%）。影響洗煉或生成時獲得更多詞條的機率。</v>
      </c>
      <c r="G55" s="2">
        <f>計算表!G55</f>
        <v>100</v>
      </c>
      <c r="H55" s="2">
        <f>計算表!H55</f>
        <v>0</v>
      </c>
      <c r="I55" s="2">
        <f>計算表!I55</f>
        <v>0</v>
      </c>
      <c r="J55" s="2">
        <f>計算表!J55</f>
        <v>0</v>
      </c>
      <c r="K55" s="2">
        <f>計算表!K55</f>
        <v>0</v>
      </c>
      <c r="L55" s="2">
        <f>計算表!L55</f>
        <v>0</v>
      </c>
      <c r="M55" s="2">
        <f>計算表!M55</f>
        <v>0</v>
      </c>
      <c r="N55" s="2">
        <f>計算表!N55</f>
        <v>0</v>
      </c>
      <c r="O55" s="2">
        <f>計算表!O55</f>
        <v>0</v>
      </c>
      <c r="P55" s="2">
        <f>計算表!P55</f>
        <v>0</v>
      </c>
      <c r="Q55" s="2">
        <f>計算表!Q55</f>
        <v>0</v>
      </c>
      <c r="R55" s="2">
        <f>計算表!R55</f>
        <v>0</v>
      </c>
    </row>
    <row r="56" spans="1:18" x14ac:dyDescent="0.25">
      <c r="A56">
        <f t="shared" si="0"/>
        <v>55</v>
      </c>
      <c r="B56" s="2">
        <f>計算表!B56</f>
        <v>0</v>
      </c>
      <c r="C56" s="2" t="str">
        <f>計算表!C56</f>
        <v>2-屬性上限</v>
      </c>
      <c r="D56" s="2" t="str">
        <f>計算表!D56</f>
        <v>被動-連擊 上限</v>
      </c>
      <c r="E56" s="2" t="str">
        <f>計算表!E56</f>
        <v>上限 = a</v>
      </c>
      <c r="F56" s="2" t="str">
        <f>計算表!F56</f>
        <v>a=連擊被動觸發率上限（%）。</v>
      </c>
      <c r="G56" s="2">
        <f>計算表!G56</f>
        <v>45</v>
      </c>
      <c r="H56" s="2">
        <f>計算表!H56</f>
        <v>0</v>
      </c>
      <c r="I56" s="2">
        <f>計算表!I56</f>
        <v>0</v>
      </c>
      <c r="J56" s="2">
        <f>計算表!J56</f>
        <v>0</v>
      </c>
      <c r="K56" s="2">
        <f>計算表!K56</f>
        <v>0</v>
      </c>
      <c r="L56" s="2">
        <f>計算表!L56</f>
        <v>0</v>
      </c>
      <c r="M56" s="2">
        <f>計算表!M56</f>
        <v>0</v>
      </c>
      <c r="N56" s="2">
        <f>計算表!N56</f>
        <v>0</v>
      </c>
      <c r="O56" s="2">
        <f>計算表!O56</f>
        <v>0</v>
      </c>
      <c r="P56" s="2">
        <f>計算表!P56</f>
        <v>0</v>
      </c>
      <c r="Q56" s="2">
        <f>計算表!Q56</f>
        <v>0</v>
      </c>
      <c r="R56" s="2">
        <f>計算表!R56</f>
        <v>0</v>
      </c>
    </row>
    <row r="57" spans="1:18" x14ac:dyDescent="0.25">
      <c r="A57">
        <f t="shared" si="0"/>
        <v>56</v>
      </c>
      <c r="B57" s="2">
        <f>計算表!B57</f>
        <v>0</v>
      </c>
      <c r="C57" s="2" t="str">
        <f>計算表!C57</f>
        <v>2-屬性上限</v>
      </c>
      <c r="D57" s="2" t="str">
        <f>計算表!D57</f>
        <v>被動-暈眩 上限</v>
      </c>
      <c r="E57" s="2" t="str">
        <f>計算表!E57</f>
        <v>上限 = a</v>
      </c>
      <c r="F57" s="2" t="str">
        <f>計算表!F57</f>
        <v>a=暈眩被動觸發率上限（%）。</v>
      </c>
      <c r="G57" s="2">
        <f>計算表!G57</f>
        <v>30</v>
      </c>
      <c r="H57" s="2">
        <f>計算表!H57</f>
        <v>0</v>
      </c>
      <c r="I57" s="2">
        <f>計算表!I57</f>
        <v>0</v>
      </c>
      <c r="J57" s="2">
        <f>計算表!J57</f>
        <v>0</v>
      </c>
      <c r="K57" s="2">
        <f>計算表!K57</f>
        <v>0</v>
      </c>
      <c r="L57" s="2">
        <f>計算表!L57</f>
        <v>0</v>
      </c>
      <c r="M57" s="2">
        <f>計算表!M57</f>
        <v>0</v>
      </c>
      <c r="N57" s="2">
        <f>計算表!N57</f>
        <v>0</v>
      </c>
      <c r="O57" s="2">
        <f>計算表!O57</f>
        <v>0</v>
      </c>
      <c r="P57" s="2">
        <f>計算表!P57</f>
        <v>0</v>
      </c>
      <c r="Q57" s="2">
        <f>計算表!Q57</f>
        <v>0</v>
      </c>
      <c r="R57" s="2">
        <f>計算表!R57</f>
        <v>0</v>
      </c>
    </row>
    <row r="58" spans="1:18" x14ac:dyDescent="0.25">
      <c r="A58">
        <f t="shared" si="0"/>
        <v>57</v>
      </c>
      <c r="B58" s="2">
        <f>計算表!B58</f>
        <v>0</v>
      </c>
      <c r="C58" s="2" t="str">
        <f>計算表!C58</f>
        <v>2-屬性上限</v>
      </c>
      <c r="D58" s="2" t="str">
        <f>計算表!D58</f>
        <v>全局減傷 上限</v>
      </c>
      <c r="E58" s="2" t="str">
        <f>計算表!E58</f>
        <v>上限 = a</v>
      </c>
      <c r="F58" s="2" t="str">
        <f>計算表!F58</f>
        <v>a=全局減傷上限（%）。於最終傷害階段對所有傷害生效，上限 85%。</v>
      </c>
      <c r="G58" s="2">
        <f>計算表!G58</f>
        <v>85</v>
      </c>
      <c r="H58" s="2">
        <f>計算表!H58</f>
        <v>0</v>
      </c>
      <c r="I58" s="2">
        <f>計算表!I58</f>
        <v>0</v>
      </c>
      <c r="J58" s="2">
        <f>計算表!J58</f>
        <v>0</v>
      </c>
      <c r="K58" s="2">
        <f>計算表!K58</f>
        <v>0</v>
      </c>
      <c r="L58" s="2">
        <f>計算表!L58</f>
        <v>0</v>
      </c>
      <c r="M58" s="2">
        <f>計算表!M58</f>
        <v>0</v>
      </c>
      <c r="N58" s="2">
        <f>計算表!N58</f>
        <v>0</v>
      </c>
      <c r="O58" s="2">
        <f>計算表!O58</f>
        <v>0</v>
      </c>
      <c r="P58" s="2">
        <f>計算表!P58</f>
        <v>0</v>
      </c>
      <c r="Q58" s="2">
        <f>計算表!Q58</f>
        <v>0</v>
      </c>
      <c r="R58" s="2">
        <f>計算表!R58</f>
        <v>0</v>
      </c>
    </row>
    <row r="59" spans="1:18" x14ac:dyDescent="0.25">
      <c r="A59">
        <f t="shared" si="0"/>
        <v>58</v>
      </c>
      <c r="B59" s="2">
        <f>計算表!B59</f>
        <v>0</v>
      </c>
      <c r="C59" s="2" t="str">
        <f>計算表!C59</f>
        <v>3-戰鬥核心</v>
      </c>
      <c r="D59" s="2" t="str">
        <f>計算表!D59</f>
        <v>防禦減傷率</v>
      </c>
      <c r="E59" s="2" t="str">
        <f>計算表!E59</f>
        <v>防禦/(防禦+a+b×攻擊者等級)</v>
      </c>
      <c r="F59" s="2" t="str">
        <f>計算表!F59</f>
        <v>a=常數 b=每級係數。有效防禦≤0 時視為 0% 減傷。</v>
      </c>
      <c r="G59" s="2">
        <f>計算表!G59</f>
        <v>60</v>
      </c>
      <c r="H59" s="2">
        <f>計算表!H59</f>
        <v>8</v>
      </c>
      <c r="I59" s="2">
        <f>計算表!I59</f>
        <v>0</v>
      </c>
      <c r="J59" s="2">
        <f>計算表!J59</f>
        <v>0</v>
      </c>
      <c r="K59" s="2">
        <f>計算表!K59</f>
        <v>0</v>
      </c>
      <c r="L59" s="2">
        <f>計算表!L59</f>
        <v>0</v>
      </c>
      <c r="M59" s="2">
        <f>計算表!M59</f>
        <v>0</v>
      </c>
      <c r="N59" s="2">
        <f>計算表!N59</f>
        <v>0</v>
      </c>
      <c r="O59" s="2">
        <f>計算表!O59</f>
        <v>0</v>
      </c>
      <c r="P59" s="2">
        <f>計算表!P59</f>
        <v>0</v>
      </c>
      <c r="Q59" s="2">
        <f>計算表!Q59</f>
        <v>0</v>
      </c>
      <c r="R59" s="2">
        <f>計算表!R59</f>
        <v>0</v>
      </c>
    </row>
    <row r="60" spans="1:18" x14ac:dyDescent="0.25">
      <c r="A60">
        <f t="shared" si="0"/>
        <v>59</v>
      </c>
      <c r="B60" s="2">
        <f>計算表!B60</f>
        <v>0</v>
      </c>
      <c r="C60" s="2" t="str">
        <f>計算表!C60</f>
        <v>3-戰鬥核心</v>
      </c>
      <c r="D60" s="2" t="str">
        <f>計算表!D60</f>
        <v>傷害浮動</v>
      </c>
      <c r="E60" s="2" t="str">
        <f>計算表!E60</f>
        <v>×rnd(a, b)</v>
      </c>
      <c r="F60" s="2" t="str">
        <f>計算表!F60</f>
        <v>每次傷害的隨機浮動區間。</v>
      </c>
      <c r="G60" s="2">
        <f>計算表!G60</f>
        <v>0.9</v>
      </c>
      <c r="H60" s="2">
        <f>計算表!H60</f>
        <v>1.1000000000000001</v>
      </c>
      <c r="I60" s="2">
        <f>計算表!I60</f>
        <v>0</v>
      </c>
      <c r="J60" s="2">
        <f>計算表!J60</f>
        <v>0</v>
      </c>
      <c r="K60" s="2">
        <f>計算表!K60</f>
        <v>0</v>
      </c>
      <c r="L60" s="2">
        <f>計算表!L60</f>
        <v>0</v>
      </c>
      <c r="M60" s="2">
        <f>計算表!M60</f>
        <v>0</v>
      </c>
      <c r="N60" s="2">
        <f>計算表!N60</f>
        <v>0</v>
      </c>
      <c r="O60" s="2">
        <f>計算表!O60</f>
        <v>0</v>
      </c>
      <c r="P60" s="2">
        <f>計算表!P60</f>
        <v>0</v>
      </c>
      <c r="Q60" s="2">
        <f>計算表!Q60</f>
        <v>0</v>
      </c>
      <c r="R60" s="2">
        <f>計算表!R60</f>
        <v>0</v>
      </c>
    </row>
    <row r="61" spans="1:18" x14ac:dyDescent="0.25">
      <c r="A61">
        <f t="shared" si="0"/>
        <v>60</v>
      </c>
      <c r="B61" s="2">
        <f>計算表!B61</f>
        <v>0</v>
      </c>
      <c r="C61" s="2" t="str">
        <f>計算表!C61</f>
        <v>3-戰鬥核心</v>
      </c>
      <c r="D61" s="2" t="str">
        <f>計算表!D61</f>
        <v>最低傷害下限</v>
      </c>
      <c r="E61" s="2" t="str">
        <f>計算表!E61</f>
        <v>max(a, 傷害)</v>
      </c>
      <c r="F61" s="2" t="str">
        <f>計算表!F61</f>
        <v>所有減傷/抗性/格擋結算後、護盾吸收前，每次命中至少造成 a 點傷害。</v>
      </c>
      <c r="G61" s="2">
        <f>計算表!G61</f>
        <v>1</v>
      </c>
      <c r="H61" s="2">
        <f>計算表!H61</f>
        <v>0</v>
      </c>
      <c r="I61" s="2">
        <f>計算表!I61</f>
        <v>0</v>
      </c>
      <c r="J61" s="2">
        <f>計算表!J61</f>
        <v>0</v>
      </c>
      <c r="K61" s="2">
        <f>計算表!K61</f>
        <v>0</v>
      </c>
      <c r="L61" s="2">
        <f>計算表!L61</f>
        <v>0</v>
      </c>
      <c r="M61" s="2">
        <f>計算表!M61</f>
        <v>0</v>
      </c>
      <c r="N61" s="2">
        <f>計算表!N61</f>
        <v>0</v>
      </c>
      <c r="O61" s="2">
        <f>計算表!O61</f>
        <v>0</v>
      </c>
      <c r="P61" s="2">
        <f>計算表!P61</f>
        <v>0</v>
      </c>
      <c r="Q61" s="2">
        <f>計算表!Q61</f>
        <v>0</v>
      </c>
      <c r="R61" s="2">
        <f>計算表!R61</f>
        <v>0</v>
      </c>
    </row>
    <row r="62" spans="1:18" x14ac:dyDescent="0.25">
      <c r="A62">
        <f t="shared" si="0"/>
        <v>61</v>
      </c>
      <c r="B62" s="2">
        <f>計算表!B62</f>
        <v>0</v>
      </c>
      <c r="C62" s="2" t="str">
        <f>計算表!C62</f>
        <v>3-戰鬥核心</v>
      </c>
      <c r="D62" s="2" t="str">
        <f>計算表!D62</f>
        <v>減速狀態攻速</v>
      </c>
      <c r="E62" s="2" t="str">
        <f>計算表!E62</f>
        <v>攻速×a</v>
      </c>
      <c r="F62" s="2" t="str">
        <f>計算表!F62</f>
        <v>a=減速時攻擊冷卻累積倍率（-30%）。</v>
      </c>
      <c r="G62" s="2">
        <f>計算表!G62</f>
        <v>0.7</v>
      </c>
      <c r="H62" s="2">
        <f>計算表!H62</f>
        <v>0</v>
      </c>
      <c r="I62" s="2">
        <f>計算表!I62</f>
        <v>0</v>
      </c>
      <c r="J62" s="2">
        <f>計算表!J62</f>
        <v>0</v>
      </c>
      <c r="K62" s="2">
        <f>計算表!K62</f>
        <v>0</v>
      </c>
      <c r="L62" s="2">
        <f>計算表!L62</f>
        <v>0</v>
      </c>
      <c r="M62" s="2">
        <f>計算表!M62</f>
        <v>0</v>
      </c>
      <c r="N62" s="2">
        <f>計算表!N62</f>
        <v>0</v>
      </c>
      <c r="O62" s="2">
        <f>計算表!O62</f>
        <v>0</v>
      </c>
      <c r="P62" s="2">
        <f>計算表!P62</f>
        <v>0</v>
      </c>
      <c r="Q62" s="2">
        <f>計算表!Q62</f>
        <v>0</v>
      </c>
      <c r="R62" s="2">
        <f>計算表!R62</f>
        <v>0</v>
      </c>
    </row>
    <row r="63" spans="1:18" x14ac:dyDescent="0.25">
      <c r="A63">
        <f t="shared" si="0"/>
        <v>62</v>
      </c>
      <c r="B63" s="2">
        <f>計算表!B63</f>
        <v>0</v>
      </c>
      <c r="C63" s="2" t="str">
        <f>計算表!C63</f>
        <v>3-戰鬥核心</v>
      </c>
      <c r="D63" s="2" t="str">
        <f>計算表!D63</f>
        <v>擊殺回復</v>
      </c>
      <c r="E63" s="2" t="str">
        <f>計算表!E63</f>
        <v>最大生命×a%</v>
      </c>
      <c r="F63" s="2" t="str">
        <f>計算表!F63</f>
        <v>野外每擊殺一隻回復（吸魂被動再另加）。</v>
      </c>
      <c r="G63" s="2">
        <f>計算表!G63</f>
        <v>12</v>
      </c>
      <c r="H63" s="2">
        <f>計算表!H63</f>
        <v>0</v>
      </c>
      <c r="I63" s="2">
        <f>計算表!I63</f>
        <v>0</v>
      </c>
      <c r="J63" s="2">
        <f>計算表!J63</f>
        <v>0</v>
      </c>
      <c r="K63" s="2">
        <f>計算表!K63</f>
        <v>0</v>
      </c>
      <c r="L63" s="2">
        <f>計算表!L63</f>
        <v>0</v>
      </c>
      <c r="M63" s="2">
        <f>計算表!M63</f>
        <v>0</v>
      </c>
      <c r="N63" s="2">
        <f>計算表!N63</f>
        <v>0</v>
      </c>
      <c r="O63" s="2">
        <f>計算表!O63</f>
        <v>0</v>
      </c>
      <c r="P63" s="2">
        <f>計算表!P63</f>
        <v>0</v>
      </c>
      <c r="Q63" s="2">
        <f>計算表!Q63</f>
        <v>0</v>
      </c>
      <c r="R63" s="2">
        <f>計算表!R63</f>
        <v>0</v>
      </c>
    </row>
    <row r="64" spans="1:18" x14ac:dyDescent="0.25">
      <c r="A64">
        <f t="shared" si="0"/>
        <v>63</v>
      </c>
      <c r="B64" s="2">
        <f>計算表!B64</f>
        <v>0</v>
      </c>
      <c r="C64" s="2" t="str">
        <f>計算表!C64</f>
        <v>3-戰鬥核心</v>
      </c>
      <c r="D64" s="2" t="str">
        <f>計算表!D64</f>
        <v>溢出治療轉護盾</v>
      </c>
      <c r="E64" s="2" t="str">
        <f>計算表!E64</f>
        <v>溢出×a%</v>
      </c>
      <c r="F64" s="2" t="str">
        <f>計算表!F64</f>
        <v>a=溢出治療轉為護盾的比例。</v>
      </c>
      <c r="G64" s="2">
        <f>計算表!G64</f>
        <v>1</v>
      </c>
      <c r="H64" s="2">
        <f>計算表!H64</f>
        <v>0</v>
      </c>
      <c r="I64" s="2">
        <f>計算表!I64</f>
        <v>0</v>
      </c>
      <c r="J64" s="2">
        <f>計算表!J64</f>
        <v>0</v>
      </c>
      <c r="K64" s="2">
        <f>計算表!K64</f>
        <v>0</v>
      </c>
      <c r="L64" s="2">
        <f>計算表!L64</f>
        <v>0</v>
      </c>
      <c r="M64" s="2">
        <f>計算表!M64</f>
        <v>0</v>
      </c>
      <c r="N64" s="2">
        <f>計算表!N64</f>
        <v>0</v>
      </c>
      <c r="O64" s="2">
        <f>計算表!O64</f>
        <v>0</v>
      </c>
      <c r="P64" s="2">
        <f>計算表!P64</f>
        <v>0</v>
      </c>
      <c r="Q64" s="2">
        <f>計算表!Q64</f>
        <v>0</v>
      </c>
      <c r="R64" s="2">
        <f>計算表!R64</f>
        <v>0</v>
      </c>
    </row>
    <row r="65" spans="1:18" x14ac:dyDescent="0.25">
      <c r="A65">
        <f t="shared" si="0"/>
        <v>64</v>
      </c>
      <c r="B65" s="2">
        <f>計算表!B65</f>
        <v>0</v>
      </c>
      <c r="C65" s="2" t="str">
        <f>計算表!C65</f>
        <v>3-戰鬥核心</v>
      </c>
      <c r="D65" s="2" t="str">
        <f>計算表!D65</f>
        <v>護盾上限(治療轉化)</v>
      </c>
      <c r="E65" s="2" t="str">
        <f>計算表!E65</f>
        <v>最大生命×a%×(1+護盾效率%)</v>
      </c>
      <c r="F65" s="2" t="str">
        <f>計算表!F65</f>
        <v>a=治療轉護盾的上限比例。</v>
      </c>
      <c r="G65" s="2">
        <f>計算表!G65</f>
        <v>10</v>
      </c>
      <c r="H65" s="2">
        <f>計算表!H65</f>
        <v>0</v>
      </c>
      <c r="I65" s="2">
        <f>計算表!I65</f>
        <v>0</v>
      </c>
      <c r="J65" s="2">
        <f>計算表!J65</f>
        <v>0</v>
      </c>
      <c r="K65" s="2">
        <f>計算表!K65</f>
        <v>0</v>
      </c>
      <c r="L65" s="2">
        <f>計算表!L65</f>
        <v>0</v>
      </c>
      <c r="M65" s="2">
        <f>計算表!M65</f>
        <v>0</v>
      </c>
      <c r="N65" s="2">
        <f>計算表!N65</f>
        <v>0</v>
      </c>
      <c r="O65" s="2">
        <f>計算表!O65</f>
        <v>0</v>
      </c>
      <c r="P65" s="2">
        <f>計算表!P65</f>
        <v>0</v>
      </c>
      <c r="Q65" s="2">
        <f>計算表!Q65</f>
        <v>0</v>
      </c>
      <c r="R65" s="2">
        <f>計算表!R65</f>
        <v>0</v>
      </c>
    </row>
    <row r="66" spans="1:18" x14ac:dyDescent="0.25">
      <c r="A66">
        <f t="shared" si="0"/>
        <v>65</v>
      </c>
      <c r="B66" s="2">
        <f>計算表!B66</f>
        <v>0</v>
      </c>
      <c r="C66" s="2" t="str">
        <f>計算表!C66</f>
        <v>3-戰鬥核心</v>
      </c>
      <c r="D66" s="2" t="str">
        <f>計算表!D66</f>
        <v>護盾上限(技能給予)</v>
      </c>
      <c r="E66" s="2" t="str">
        <f>計算表!E66</f>
        <v>最大生命×a%</v>
      </c>
      <c r="F66" s="2" t="str">
        <f>計算表!F66</f>
        <v>a=技能護盾上限比例；量本身再×(1+護盾效率%)。</v>
      </c>
      <c r="G66" s="2">
        <f>計算表!G66</f>
        <v>50</v>
      </c>
      <c r="H66" s="2">
        <f>計算表!H66</f>
        <v>0</v>
      </c>
      <c r="I66" s="2">
        <f>計算表!I66</f>
        <v>0</v>
      </c>
      <c r="J66" s="2">
        <f>計算表!J66</f>
        <v>0</v>
      </c>
      <c r="K66" s="2">
        <f>計算表!K66</f>
        <v>0</v>
      </c>
      <c r="L66" s="2">
        <f>計算表!L66</f>
        <v>0</v>
      </c>
      <c r="M66" s="2">
        <f>計算表!M66</f>
        <v>0</v>
      </c>
      <c r="N66" s="2">
        <f>計算表!N66</f>
        <v>0</v>
      </c>
      <c r="O66" s="2">
        <f>計算表!O66</f>
        <v>0</v>
      </c>
      <c r="P66" s="2">
        <f>計算表!P66</f>
        <v>0</v>
      </c>
      <c r="Q66" s="2">
        <f>計算表!Q66</f>
        <v>0</v>
      </c>
      <c r="R66" s="2">
        <f>計算表!R66</f>
        <v>0</v>
      </c>
    </row>
    <row r="67" spans="1:18" x14ac:dyDescent="0.25">
      <c r="A67">
        <f t="shared" si="0"/>
        <v>66</v>
      </c>
      <c r="B67" s="2">
        <f>計算表!B67</f>
        <v>0</v>
      </c>
      <c r="C67" s="2" t="str">
        <f>計算表!C67</f>
        <v>3-戰鬥核心</v>
      </c>
      <c r="D67" s="2" t="str">
        <f>計算表!D67</f>
        <v>聖佑(神鑄)減傷上限</v>
      </c>
      <c r="E67" s="2" t="str">
        <f>計算表!E67</f>
        <v>受傷×(1-min(值,a%))</v>
      </c>
      <c r="F67" s="2" t="str">
        <f>計算表!F67</f>
        <v>a=聖佑特效減傷上限。</v>
      </c>
      <c r="G67" s="2">
        <f>計算表!G67</f>
        <v>50</v>
      </c>
      <c r="H67" s="2">
        <f>計算表!H67</f>
        <v>0</v>
      </c>
      <c r="I67" s="2">
        <f>計算表!I67</f>
        <v>0</v>
      </c>
      <c r="J67" s="2">
        <f>計算表!J67</f>
        <v>0</v>
      </c>
      <c r="K67" s="2">
        <f>計算表!K67</f>
        <v>0</v>
      </c>
      <c r="L67" s="2">
        <f>計算表!L67</f>
        <v>0</v>
      </c>
      <c r="M67" s="2">
        <f>計算表!M67</f>
        <v>0</v>
      </c>
      <c r="N67" s="2">
        <f>計算表!N67</f>
        <v>0</v>
      </c>
      <c r="O67" s="2">
        <f>計算表!O67</f>
        <v>0</v>
      </c>
      <c r="P67" s="2">
        <f>計算表!P67</f>
        <v>0</v>
      </c>
      <c r="Q67" s="2">
        <f>計算表!Q67</f>
        <v>0</v>
      </c>
      <c r="R67" s="2">
        <f>計算表!R67</f>
        <v>0</v>
      </c>
    </row>
    <row r="68" spans="1:18" x14ac:dyDescent="0.25">
      <c r="A68">
        <f t="shared" ref="A68:A131" si="1">A67+1</f>
        <v>67</v>
      </c>
      <c r="B68" s="2">
        <f>計算表!B68</f>
        <v>0</v>
      </c>
      <c r="C68" s="2" t="str">
        <f>計算表!C68</f>
        <v>3-戰鬥核心</v>
      </c>
      <c r="D68" s="2" t="str">
        <f>計算表!D68</f>
        <v>不朽(神鑄)回復</v>
      </c>
      <c r="E68" s="2" t="str">
        <f>計算表!E68</f>
        <v>致命時保 1 血並回復 a%，b 秒限一次</v>
      </c>
      <c r="F68" s="2" t="str">
        <f>計算表!F68</f>
        <v>a=回復最大生命% b=冷卻秒數。</v>
      </c>
      <c r="G68" s="2">
        <f>計算表!G68</f>
        <v>30</v>
      </c>
      <c r="H68" s="2">
        <f>計算表!H68</f>
        <v>60</v>
      </c>
      <c r="I68" s="2">
        <f>計算表!I68</f>
        <v>0</v>
      </c>
      <c r="J68" s="2">
        <f>計算表!J68</f>
        <v>0</v>
      </c>
      <c r="K68" s="2">
        <f>計算表!K68</f>
        <v>0</v>
      </c>
      <c r="L68" s="2">
        <f>計算表!L68</f>
        <v>0</v>
      </c>
      <c r="M68" s="2">
        <f>計算表!M68</f>
        <v>0</v>
      </c>
      <c r="N68" s="2">
        <f>計算表!N68</f>
        <v>0</v>
      </c>
      <c r="O68" s="2">
        <f>計算表!O68</f>
        <v>0</v>
      </c>
      <c r="P68" s="2">
        <f>計算表!P68</f>
        <v>0</v>
      </c>
      <c r="Q68" s="2">
        <f>計算表!Q68</f>
        <v>0</v>
      </c>
      <c r="R68" s="2">
        <f>計算表!R68</f>
        <v>0</v>
      </c>
    </row>
    <row r="69" spans="1:18" x14ac:dyDescent="0.25">
      <c r="A69">
        <f t="shared" si="1"/>
        <v>68</v>
      </c>
      <c r="B69" s="2">
        <f>計算表!B69</f>
        <v>0</v>
      </c>
      <c r="C69" s="2" t="str">
        <f>計算表!C69</f>
        <v>3-戰鬥核心</v>
      </c>
      <c r="D69" s="2" t="str">
        <f>計算表!D69</f>
        <v>怪物固定戰鬥值</v>
      </c>
      <c r="E69" s="2" t="str">
        <f>計算表!E69</f>
        <v>暴擊a% 暴傷b% 命中c% 攻速d</v>
      </c>
      <c r="F69" s="2" t="str">
        <f>計算表!F69</f>
        <v>怪物固定值；初次出手延遲 = 1/攻速 + 0.4 秒。</v>
      </c>
      <c r="G69" s="2">
        <f>計算表!G69</f>
        <v>5</v>
      </c>
      <c r="H69" s="2">
        <f>計算表!H69</f>
        <v>150</v>
      </c>
      <c r="I69" s="2">
        <f>計算表!I69</f>
        <v>100</v>
      </c>
      <c r="J69" s="2">
        <f>計算表!J69</f>
        <v>0.75</v>
      </c>
      <c r="K69" s="2">
        <f>計算表!K69</f>
        <v>0</v>
      </c>
      <c r="L69" s="2">
        <f>計算表!L69</f>
        <v>0</v>
      </c>
      <c r="M69" s="2">
        <f>計算表!M69</f>
        <v>0</v>
      </c>
      <c r="N69" s="2">
        <f>計算表!N69</f>
        <v>0</v>
      </c>
      <c r="O69" s="2">
        <f>計算表!O69</f>
        <v>0</v>
      </c>
      <c r="P69" s="2">
        <f>計算表!P69</f>
        <v>0</v>
      </c>
      <c r="Q69" s="2">
        <f>計算表!Q69</f>
        <v>0</v>
      </c>
      <c r="R69" s="2">
        <f>計算表!R69</f>
        <v>0</v>
      </c>
    </row>
    <row r="70" spans="1:18" x14ac:dyDescent="0.25">
      <c r="A70">
        <f t="shared" si="1"/>
        <v>69</v>
      </c>
      <c r="B70" s="2">
        <f>計算表!B70</f>
        <v>0</v>
      </c>
      <c r="C70" s="2" t="str">
        <f>計算表!C70</f>
        <v>3-元素特效</v>
      </c>
      <c r="D70" s="2" t="str">
        <f>計算表!D70</f>
        <v>冰霜 特效</v>
      </c>
      <c r="E70" s="2" t="str">
        <f>計算表!E70</f>
        <v>每次命中 a% 機率觸發</v>
      </c>
      <c r="F70" s="2" t="str">
        <f>計算表!F70</f>
        <v>敵人減速 2 秒（受控制時間縮減影響、可被控制抵抗擋下）</v>
      </c>
      <c r="G70" s="2">
        <f>計算表!G70</f>
        <v>15</v>
      </c>
      <c r="H70" s="2">
        <f>計算表!H70</f>
        <v>0</v>
      </c>
      <c r="I70" s="2">
        <f>計算表!I70</f>
        <v>0</v>
      </c>
      <c r="J70" s="2">
        <f>計算表!J70</f>
        <v>0</v>
      </c>
      <c r="K70" s="2">
        <f>計算表!K70</f>
        <v>0</v>
      </c>
      <c r="L70" s="2">
        <f>計算表!L70</f>
        <v>0</v>
      </c>
      <c r="M70" s="2">
        <f>計算表!M70</f>
        <v>0</v>
      </c>
      <c r="N70" s="2">
        <f>計算表!N70</f>
        <v>0</v>
      </c>
      <c r="O70" s="2">
        <f>計算表!O70</f>
        <v>0</v>
      </c>
      <c r="P70" s="2">
        <f>計算表!P70</f>
        <v>0</v>
      </c>
      <c r="Q70" s="2">
        <f>計算表!Q70</f>
        <v>0</v>
      </c>
      <c r="R70" s="2">
        <f>計算表!R70</f>
        <v>0</v>
      </c>
    </row>
    <row r="71" spans="1:18" x14ac:dyDescent="0.25">
      <c r="A71">
        <f t="shared" si="1"/>
        <v>70</v>
      </c>
      <c r="B71" s="2">
        <f>計算表!B71</f>
        <v>0</v>
      </c>
      <c r="C71" s="2" t="str">
        <f>計算表!C71</f>
        <v>3-元素特效</v>
      </c>
      <c r="D71" s="2" t="str">
        <f>計算表!D71</f>
        <v>雷電 特效</v>
      </c>
      <c r="E71" s="2" t="str">
        <f>計算表!E71</f>
        <v>每次命中 a% 機率觸發</v>
      </c>
      <c r="F71" s="2" t="str">
        <f>計算表!F71</f>
        <v>追加該次元素傷害 80% 的連鎖電擊</v>
      </c>
      <c r="G71" s="2">
        <f>計算表!G71</f>
        <v>10</v>
      </c>
      <c r="H71" s="2">
        <f>計算表!H71</f>
        <v>0</v>
      </c>
      <c r="I71" s="2">
        <f>計算表!I71</f>
        <v>0</v>
      </c>
      <c r="J71" s="2">
        <f>計算表!J71</f>
        <v>0</v>
      </c>
      <c r="K71" s="2">
        <f>計算表!K71</f>
        <v>0</v>
      </c>
      <c r="L71" s="2">
        <f>計算表!L71</f>
        <v>0</v>
      </c>
      <c r="M71" s="2">
        <f>計算表!M71</f>
        <v>0</v>
      </c>
      <c r="N71" s="2">
        <f>計算表!N71</f>
        <v>0</v>
      </c>
      <c r="O71" s="2">
        <f>計算表!O71</f>
        <v>0</v>
      </c>
      <c r="P71" s="2">
        <f>計算表!P71</f>
        <v>0</v>
      </c>
      <c r="Q71" s="2">
        <f>計算表!Q71</f>
        <v>0</v>
      </c>
      <c r="R71" s="2">
        <f>計算表!R71</f>
        <v>0</v>
      </c>
    </row>
    <row r="72" spans="1:18" x14ac:dyDescent="0.25">
      <c r="A72">
        <f t="shared" si="1"/>
        <v>71</v>
      </c>
      <c r="B72" s="2">
        <f>計算表!B72</f>
        <v>0</v>
      </c>
      <c r="C72" s="2" t="str">
        <f>計算表!C72</f>
        <v>3-元素特效</v>
      </c>
      <c r="D72" s="2" t="str">
        <f>計算表!D72</f>
        <v>劇毒 特效</v>
      </c>
      <c r="E72" s="2" t="str">
        <f>計算表!E72</f>
        <v>每次命中 a% 機率觸發</v>
      </c>
      <c r="F72" s="2" t="str">
        <f>計算表!F72</f>
        <v>中毒：每秒受元素傷害 50% 的跳傷，持續 4 秒（無視防禦）</v>
      </c>
      <c r="G72" s="2">
        <f>計算表!G72</f>
        <v>25</v>
      </c>
      <c r="H72" s="2">
        <f>計算表!H72</f>
        <v>0</v>
      </c>
      <c r="I72" s="2">
        <f>計算表!I72</f>
        <v>0</v>
      </c>
      <c r="J72" s="2">
        <f>計算表!J72</f>
        <v>0</v>
      </c>
      <c r="K72" s="2">
        <f>計算表!K72</f>
        <v>0</v>
      </c>
      <c r="L72" s="2">
        <f>計算表!L72</f>
        <v>0</v>
      </c>
      <c r="M72" s="2">
        <f>計算表!M72</f>
        <v>0</v>
      </c>
      <c r="N72" s="2">
        <f>計算表!N72</f>
        <v>0</v>
      </c>
      <c r="O72" s="2">
        <f>計算表!O72</f>
        <v>0</v>
      </c>
      <c r="P72" s="2">
        <f>計算表!P72</f>
        <v>0</v>
      </c>
      <c r="Q72" s="2">
        <f>計算表!Q72</f>
        <v>0</v>
      </c>
      <c r="R72" s="2">
        <f>計算表!R72</f>
        <v>0</v>
      </c>
    </row>
    <row r="73" spans="1:18" x14ac:dyDescent="0.25">
      <c r="A73">
        <f t="shared" si="1"/>
        <v>72</v>
      </c>
      <c r="B73" s="2">
        <f>計算表!B73</f>
        <v>0</v>
      </c>
      <c r="C73" s="2" t="str">
        <f>計算表!C73</f>
        <v>3-元素特效</v>
      </c>
      <c r="D73" s="2" t="str">
        <f>計算表!D73</f>
        <v>聖光 特效</v>
      </c>
      <c r="E73" s="2" t="str">
        <f>計算表!E73</f>
        <v>每次命中 a% 機率觸發</v>
      </c>
      <c r="F73" s="2" t="str">
        <f>計算表!F73</f>
        <v>淨化攻擊者自身全部負面狀態</v>
      </c>
      <c r="G73" s="2">
        <f>計算表!G73</f>
        <v>20</v>
      </c>
      <c r="H73" s="2">
        <f>計算表!H73</f>
        <v>0</v>
      </c>
      <c r="I73" s="2">
        <f>計算表!I73</f>
        <v>0</v>
      </c>
      <c r="J73" s="2">
        <f>計算表!J73</f>
        <v>0</v>
      </c>
      <c r="K73" s="2">
        <f>計算表!K73</f>
        <v>0</v>
      </c>
      <c r="L73" s="2">
        <f>計算表!L73</f>
        <v>0</v>
      </c>
      <c r="M73" s="2">
        <f>計算表!M73</f>
        <v>0</v>
      </c>
      <c r="N73" s="2">
        <f>計算表!N73</f>
        <v>0</v>
      </c>
      <c r="O73" s="2">
        <f>計算表!O73</f>
        <v>0</v>
      </c>
      <c r="P73" s="2">
        <f>計算表!P73</f>
        <v>0</v>
      </c>
      <c r="Q73" s="2">
        <f>計算表!Q73</f>
        <v>0</v>
      </c>
      <c r="R73" s="2">
        <f>計算表!R73</f>
        <v>0</v>
      </c>
    </row>
    <row r="74" spans="1:18" x14ac:dyDescent="0.25">
      <c r="A74">
        <f t="shared" si="1"/>
        <v>73</v>
      </c>
      <c r="B74" s="2">
        <f>計算表!B74</f>
        <v>0</v>
      </c>
      <c r="C74" s="2" t="str">
        <f>計算表!C74</f>
        <v>3-元素特效</v>
      </c>
      <c r="D74" s="2" t="str">
        <f>計算表!D74</f>
        <v>暗影 特效</v>
      </c>
      <c r="E74" s="2" t="str">
        <f>計算表!E74</f>
        <v>每次命中 a% 機率觸發</v>
      </c>
      <c r="F74" s="2" t="str">
        <f>計算表!F74</f>
        <v>汲取元素傷害的 25% 回復生命</v>
      </c>
      <c r="G74" s="2">
        <f>計算表!G74</f>
        <v>100</v>
      </c>
      <c r="H74" s="2">
        <f>計算表!H74</f>
        <v>0</v>
      </c>
      <c r="I74" s="2">
        <f>計算表!I74</f>
        <v>0</v>
      </c>
      <c r="J74" s="2">
        <f>計算表!J74</f>
        <v>0</v>
      </c>
      <c r="K74" s="2">
        <f>計算表!K74</f>
        <v>0</v>
      </c>
      <c r="L74" s="2">
        <f>計算表!L74</f>
        <v>0</v>
      </c>
      <c r="M74" s="2">
        <f>計算表!M74</f>
        <v>0</v>
      </c>
      <c r="N74" s="2">
        <f>計算表!N74</f>
        <v>0</v>
      </c>
      <c r="O74" s="2">
        <f>計算表!O74</f>
        <v>0</v>
      </c>
      <c r="P74" s="2">
        <f>計算表!P74</f>
        <v>0</v>
      </c>
      <c r="Q74" s="2">
        <f>計算表!Q74</f>
        <v>0</v>
      </c>
      <c r="R74" s="2">
        <f>計算表!R74</f>
        <v>0</v>
      </c>
    </row>
    <row r="75" spans="1:18" x14ac:dyDescent="0.25">
      <c r="A75">
        <f t="shared" si="1"/>
        <v>74</v>
      </c>
      <c r="B75" s="2">
        <f>計算表!B75</f>
        <v>0</v>
      </c>
      <c r="C75" s="2" t="str">
        <f>計算表!C75</f>
        <v>4-野外怪物</v>
      </c>
      <c r="D75" s="2" t="str">
        <f>計算表!D75</f>
        <v>生命</v>
      </c>
      <c r="E75" s="2" t="str">
        <f>計算表!E75</f>
        <v>(a+階段×b)×c^(階段-1)</v>
      </c>
      <c r="F75" s="2" t="str">
        <f>計算表!F75</f>
        <v>a=常數 b=每階 c=指數底。</v>
      </c>
      <c r="G75" s="2">
        <f>計算表!G75</f>
        <v>30</v>
      </c>
      <c r="H75" s="2">
        <f>計算表!H75</f>
        <v>8</v>
      </c>
      <c r="I75" s="2">
        <f>計算表!I75</f>
        <v>1.08</v>
      </c>
      <c r="J75" s="2">
        <f>計算表!J75</f>
        <v>0</v>
      </c>
      <c r="K75" s="2">
        <f>計算表!K75</f>
        <v>0</v>
      </c>
      <c r="L75" s="2">
        <f>計算表!L75</f>
        <v>0</v>
      </c>
      <c r="M75" s="2">
        <f>計算表!M75</f>
        <v>0</v>
      </c>
      <c r="N75" s="2">
        <f>計算表!N75</f>
        <v>0</v>
      </c>
      <c r="O75" s="2">
        <f>計算表!O75</f>
        <v>0</v>
      </c>
      <c r="P75" s="2">
        <f>計算表!P75</f>
        <v>0</v>
      </c>
      <c r="Q75" s="2">
        <f>計算表!Q75</f>
        <v>0</v>
      </c>
      <c r="R75" s="2">
        <f>計算表!R75</f>
        <v>0</v>
      </c>
    </row>
    <row r="76" spans="1:18" x14ac:dyDescent="0.25">
      <c r="A76">
        <f t="shared" si="1"/>
        <v>75</v>
      </c>
      <c r="B76" s="2">
        <f>計算表!B76</f>
        <v>0</v>
      </c>
      <c r="C76" s="2" t="str">
        <f>計算表!C76</f>
        <v>4-野外怪物</v>
      </c>
      <c r="D76" s="2" t="str">
        <f>計算表!D76</f>
        <v>攻擊</v>
      </c>
      <c r="E76" s="2" t="str">
        <f>計算表!E76</f>
        <v>(a+階段×b)×c^(階段-1)</v>
      </c>
      <c r="F76" s="2" t="str">
        <f>計算表!F76</f>
        <v>a=常數 b=每階 c=指數底。</v>
      </c>
      <c r="G76" s="2">
        <f>計算表!G76</f>
        <v>6</v>
      </c>
      <c r="H76" s="2">
        <f>計算表!H76</f>
        <v>1.2</v>
      </c>
      <c r="I76" s="2">
        <f>計算表!I76</f>
        <v>1.1100000000000001</v>
      </c>
      <c r="J76" s="2">
        <f>計算表!J76</f>
        <v>0</v>
      </c>
      <c r="K76" s="2">
        <f>計算表!K76</f>
        <v>0</v>
      </c>
      <c r="L76" s="2">
        <f>計算表!L76</f>
        <v>0</v>
      </c>
      <c r="M76" s="2">
        <f>計算表!M76</f>
        <v>0</v>
      </c>
      <c r="N76" s="2">
        <f>計算表!N76</f>
        <v>0</v>
      </c>
      <c r="O76" s="2">
        <f>計算表!O76</f>
        <v>0</v>
      </c>
      <c r="P76" s="2">
        <f>計算表!P76</f>
        <v>0</v>
      </c>
      <c r="Q76" s="2">
        <f>計算表!Q76</f>
        <v>0</v>
      </c>
      <c r="R76" s="2">
        <f>計算表!R76</f>
        <v>0</v>
      </c>
    </row>
    <row r="77" spans="1:18" x14ac:dyDescent="0.25">
      <c r="A77">
        <f t="shared" si="1"/>
        <v>76</v>
      </c>
      <c r="B77" s="2">
        <f>計算表!B77</f>
        <v>0</v>
      </c>
      <c r="C77" s="2" t="str">
        <f>計算表!C77</f>
        <v>4-野外怪物</v>
      </c>
      <c r="D77" s="2" t="str">
        <f>計算表!D77</f>
        <v>物理防禦</v>
      </c>
      <c r="E77" s="2" t="str">
        <f>計算表!E77</f>
        <v>(a+階段×b)×c^(階段-1)</v>
      </c>
      <c r="F77" s="2" t="str">
        <f>計算表!F77</f>
        <v>魔法防禦 = 物理防禦×0.75。</v>
      </c>
      <c r="G77" s="2">
        <f>計算表!G77</f>
        <v>2</v>
      </c>
      <c r="H77" s="2">
        <f>計算表!H77</f>
        <v>0.5</v>
      </c>
      <c r="I77" s="2">
        <f>計算表!I77</f>
        <v>1.08</v>
      </c>
      <c r="J77" s="2">
        <f>計算表!J77</f>
        <v>0</v>
      </c>
      <c r="K77" s="2">
        <f>計算表!K77</f>
        <v>0</v>
      </c>
      <c r="L77" s="2">
        <f>計算表!L77</f>
        <v>0</v>
      </c>
      <c r="M77" s="2">
        <f>計算表!M77</f>
        <v>0</v>
      </c>
      <c r="N77" s="2">
        <f>計算表!N77</f>
        <v>0</v>
      </c>
      <c r="O77" s="2">
        <f>計算表!O77</f>
        <v>0</v>
      </c>
      <c r="P77" s="2">
        <f>計算表!P77</f>
        <v>0</v>
      </c>
      <c r="Q77" s="2">
        <f>計算表!Q77</f>
        <v>0</v>
      </c>
      <c r="R77" s="2">
        <f>計算表!R77</f>
        <v>0</v>
      </c>
    </row>
    <row r="78" spans="1:18" x14ac:dyDescent="0.25">
      <c r="A78">
        <f t="shared" si="1"/>
        <v>77</v>
      </c>
      <c r="B78" s="2">
        <f>計算表!B78</f>
        <v>0</v>
      </c>
      <c r="C78" s="2" t="str">
        <f>計算表!C78</f>
        <v>4-野外怪物</v>
      </c>
      <c r="D78" s="2" t="str">
        <f>計算表!D78</f>
        <v>金幣</v>
      </c>
      <c r="E78" s="2" t="str">
        <f>計算表!E78</f>
        <v>(a+階段×b)×c^(階段-1)</v>
      </c>
      <c r="F78" s="2" t="str">
        <f>計算表!F78</f>
        <v>a=常數 b=每階 c=指數底。</v>
      </c>
      <c r="G78" s="2">
        <f>計算表!G78</f>
        <v>20</v>
      </c>
      <c r="H78" s="2">
        <f>計算表!H78</f>
        <v>1</v>
      </c>
      <c r="I78" s="2">
        <f>計算表!I78</f>
        <v>1.05</v>
      </c>
      <c r="J78" s="2">
        <f>計算表!J78</f>
        <v>0</v>
      </c>
      <c r="K78" s="2">
        <f>計算表!K78</f>
        <v>0</v>
      </c>
      <c r="L78" s="2">
        <f>計算表!L78</f>
        <v>0</v>
      </c>
      <c r="M78" s="2">
        <f>計算表!M78</f>
        <v>0</v>
      </c>
      <c r="N78" s="2">
        <f>計算表!N78</f>
        <v>0</v>
      </c>
      <c r="O78" s="2">
        <f>計算表!O78</f>
        <v>0</v>
      </c>
      <c r="P78" s="2">
        <f>計算表!P78</f>
        <v>0</v>
      </c>
      <c r="Q78" s="2">
        <f>計算表!Q78</f>
        <v>0</v>
      </c>
      <c r="R78" s="2">
        <f>計算表!R78</f>
        <v>0</v>
      </c>
    </row>
    <row r="79" spans="1:18" x14ac:dyDescent="0.25">
      <c r="A79">
        <f t="shared" si="1"/>
        <v>78</v>
      </c>
      <c r="B79" s="2">
        <f>計算表!B79</f>
        <v>0</v>
      </c>
      <c r="C79" s="2" t="str">
        <f>計算表!C79</f>
        <v>4-野外怪物</v>
      </c>
      <c r="D79" s="2" t="str">
        <f>計算表!D79</f>
        <v>經驗</v>
      </c>
      <c r="E79" s="2" t="str">
        <f>計算表!E79</f>
        <v>(a+階段×b)×c^(階段-1)</v>
      </c>
      <c r="F79" s="2" t="str">
        <f>計算表!F79</f>
        <v>a=常數 b=每階 c=指數底。</v>
      </c>
      <c r="G79" s="2">
        <f>計算表!G79</f>
        <v>8</v>
      </c>
      <c r="H79" s="2">
        <f>計算表!H79</f>
        <v>1</v>
      </c>
      <c r="I79" s="2">
        <f>計算表!I79</f>
        <v>1.06</v>
      </c>
      <c r="J79" s="2">
        <f>計算表!J79</f>
        <v>0</v>
      </c>
      <c r="K79" s="2">
        <f>計算表!K79</f>
        <v>0</v>
      </c>
      <c r="L79" s="2">
        <f>計算表!L79</f>
        <v>0</v>
      </c>
      <c r="M79" s="2">
        <f>計算表!M79</f>
        <v>0</v>
      </c>
      <c r="N79" s="2">
        <f>計算表!N79</f>
        <v>0</v>
      </c>
      <c r="O79" s="2">
        <f>計算表!O79</f>
        <v>0</v>
      </c>
      <c r="P79" s="2">
        <f>計算表!P79</f>
        <v>0</v>
      </c>
      <c r="Q79" s="2">
        <f>計算表!Q79</f>
        <v>0</v>
      </c>
      <c r="R79" s="2">
        <f>計算表!R79</f>
        <v>0</v>
      </c>
    </row>
    <row r="80" spans="1:18" x14ac:dyDescent="0.25">
      <c r="A80">
        <f t="shared" si="1"/>
        <v>79</v>
      </c>
      <c r="B80" s="2">
        <f>計算表!B80</f>
        <v>0</v>
      </c>
      <c r="C80" s="2" t="str">
        <f>計算表!C80</f>
        <v>4-野外怪物</v>
      </c>
      <c r="D80" s="2" t="str">
        <f>計算表!D80</f>
        <v>攻擊速度</v>
      </c>
      <c r="E80" s="2" t="str">
        <f>計算表!E80</f>
        <v>a 次/秒</v>
      </c>
      <c r="F80" s="2" t="str">
        <f>計算表!F80</f>
        <v>a=普通怪攻速。</v>
      </c>
      <c r="G80" s="2">
        <f>計算表!G80</f>
        <v>2</v>
      </c>
      <c r="H80" s="2">
        <f>計算表!H80</f>
        <v>0</v>
      </c>
      <c r="I80" s="2">
        <f>計算表!I80</f>
        <v>0</v>
      </c>
      <c r="J80" s="2">
        <f>計算表!J80</f>
        <v>0</v>
      </c>
      <c r="K80" s="2">
        <f>計算表!K80</f>
        <v>0</v>
      </c>
      <c r="L80" s="2">
        <f>計算表!L80</f>
        <v>0</v>
      </c>
      <c r="M80" s="2">
        <f>計算表!M80</f>
        <v>0</v>
      </c>
      <c r="N80" s="2">
        <f>計算表!N80</f>
        <v>0</v>
      </c>
      <c r="O80" s="2">
        <f>計算表!O80</f>
        <v>0</v>
      </c>
      <c r="P80" s="2">
        <f>計算表!P80</f>
        <v>0</v>
      </c>
      <c r="Q80" s="2">
        <f>計算表!Q80</f>
        <v>0</v>
      </c>
      <c r="R80" s="2">
        <f>計算表!R80</f>
        <v>0</v>
      </c>
    </row>
    <row r="81" spans="1:18" x14ac:dyDescent="0.25">
      <c r="A81">
        <f t="shared" si="1"/>
        <v>80</v>
      </c>
      <c r="B81" s="2">
        <f>計算表!B81</f>
        <v>0</v>
      </c>
      <c r="C81" s="2" t="str">
        <f>計算表!C81</f>
        <v>4-野外怪物</v>
      </c>
      <c r="D81" s="2" t="str">
        <f>計算表!D81</f>
        <v>菁英倍率</v>
      </c>
      <c r="E81" s="2" t="str">
        <f>計算表!E81</f>
        <v>生命×a 攻擊×b 金幣經驗×c 閃避d 攻速e</v>
      </c>
      <c r="F81" s="2" t="str">
        <f>計算表!F81</f>
        <v>菁英出現於階段為 10 的倍數，敵人數量與普通怪一致。</v>
      </c>
      <c r="G81" s="2">
        <f>計算表!G81</f>
        <v>2.5</v>
      </c>
      <c r="H81" s="2">
        <f>計算表!H81</f>
        <v>1.5</v>
      </c>
      <c r="I81" s="2">
        <f>計算表!I81</f>
        <v>3</v>
      </c>
      <c r="J81" s="2">
        <f>計算表!J81</f>
        <v>5</v>
      </c>
      <c r="K81" s="2">
        <f>計算表!K81</f>
        <v>1.25</v>
      </c>
      <c r="L81" s="2">
        <f>計算表!L81</f>
        <v>0</v>
      </c>
      <c r="M81" s="2">
        <f>計算表!M81</f>
        <v>0</v>
      </c>
      <c r="N81" s="2">
        <f>計算表!N81</f>
        <v>0</v>
      </c>
      <c r="O81" s="2">
        <f>計算表!O81</f>
        <v>0</v>
      </c>
      <c r="P81" s="2">
        <f>計算表!P81</f>
        <v>0</v>
      </c>
      <c r="Q81" s="2">
        <f>計算表!Q81</f>
        <v>0</v>
      </c>
      <c r="R81" s="2">
        <f>計算表!R81</f>
        <v>0</v>
      </c>
    </row>
    <row r="82" spans="1:18" x14ac:dyDescent="0.25">
      <c r="A82">
        <f t="shared" si="1"/>
        <v>81</v>
      </c>
      <c r="B82" s="2">
        <f>計算表!B82</f>
        <v>0</v>
      </c>
      <c r="C82" s="2" t="str">
        <f>計算表!C82</f>
        <v>4-野外怪物</v>
      </c>
      <c r="D82" s="2" t="str">
        <f>計算表!D82</f>
        <v>野外菁英掉落倍率</v>
      </c>
      <c r="E82" s="2" t="str">
        <f>計算表!E82</f>
        <v>所有掉落 ×a</v>
      </c>
      <c r="F82" s="2" t="str">
        <f>計算表!F82</f>
        <v>菁英敵人裝備/材料/寶石/零件掉落率統一乘 a（程式實際值）。</v>
      </c>
      <c r="G82" s="2">
        <f>計算表!G82</f>
        <v>1.5</v>
      </c>
      <c r="H82" s="2">
        <f>計算表!H82</f>
        <v>0</v>
      </c>
      <c r="I82" s="2">
        <f>計算表!I82</f>
        <v>0</v>
      </c>
      <c r="J82" s="2">
        <f>計算表!J82</f>
        <v>0</v>
      </c>
      <c r="K82" s="2">
        <f>計算表!K82</f>
        <v>0</v>
      </c>
      <c r="L82" s="2">
        <f>計算表!L82</f>
        <v>0</v>
      </c>
      <c r="M82" s="2">
        <f>計算表!M82</f>
        <v>0</v>
      </c>
      <c r="N82" s="2">
        <f>計算表!N82</f>
        <v>0</v>
      </c>
      <c r="O82" s="2">
        <f>計算表!O82</f>
        <v>0</v>
      </c>
      <c r="P82" s="2">
        <f>計算表!P82</f>
        <v>0</v>
      </c>
      <c r="Q82" s="2">
        <f>計算表!Q82</f>
        <v>0</v>
      </c>
      <c r="R82" s="2">
        <f>計算表!R82</f>
        <v>0</v>
      </c>
    </row>
    <row r="83" spans="1:18" x14ac:dyDescent="0.25">
      <c r="A83">
        <f t="shared" si="1"/>
        <v>82</v>
      </c>
      <c r="B83" s="2">
        <f>計算表!B83</f>
        <v>0</v>
      </c>
      <c r="C83" s="2" t="str">
        <f>計算表!C83</f>
        <v>4-敵人數量</v>
      </c>
      <c r="D83" s="2" t="str">
        <f>計算表!D83</f>
        <v>1 隻</v>
      </c>
      <c r="E83" s="2" t="str">
        <f>計算表!E83</f>
        <v>權重 = a</v>
      </c>
      <c r="F83" s="2" t="str">
        <f>計算表!F83</f>
        <v>普通與菁英每波獨立擲骰；高塔 BOSS 固定單一。權重總和 100。</v>
      </c>
      <c r="G83" s="2">
        <f>計算表!G83</f>
        <v>60</v>
      </c>
      <c r="H83" s="2">
        <f>計算表!H83</f>
        <v>0</v>
      </c>
      <c r="I83" s="2">
        <f>計算表!I83</f>
        <v>0</v>
      </c>
      <c r="J83" s="2">
        <f>計算表!J83</f>
        <v>0</v>
      </c>
      <c r="K83" s="2">
        <f>計算表!K83</f>
        <v>0</v>
      </c>
      <c r="L83" s="2">
        <f>計算表!L83</f>
        <v>0</v>
      </c>
      <c r="M83" s="2">
        <f>計算表!M83</f>
        <v>0</v>
      </c>
      <c r="N83" s="2">
        <f>計算表!N83</f>
        <v>0</v>
      </c>
      <c r="O83" s="2">
        <f>計算表!O83</f>
        <v>0</v>
      </c>
      <c r="P83" s="2">
        <f>計算表!P83</f>
        <v>0</v>
      </c>
      <c r="Q83" s="2">
        <f>計算表!Q83</f>
        <v>0</v>
      </c>
      <c r="R83" s="2">
        <f>計算表!R83</f>
        <v>0</v>
      </c>
    </row>
    <row r="84" spans="1:18" x14ac:dyDescent="0.25">
      <c r="A84">
        <f t="shared" si="1"/>
        <v>83</v>
      </c>
      <c r="B84" s="2">
        <f>計算表!B84</f>
        <v>0</v>
      </c>
      <c r="C84" s="2" t="str">
        <f>計算表!C84</f>
        <v>4-敵人數量</v>
      </c>
      <c r="D84" s="2" t="str">
        <f>計算表!D84</f>
        <v>2 隻</v>
      </c>
      <c r="E84" s="2" t="str">
        <f>計算表!E84</f>
        <v>權重 = a</v>
      </c>
      <c r="F84" s="2" t="str">
        <f>計算表!F84</f>
        <v>普通與菁英每波獨立擲骰；高塔 BOSS 固定單一。權重總和 100。</v>
      </c>
      <c r="G84" s="2">
        <f>計算表!G84</f>
        <v>25</v>
      </c>
      <c r="H84" s="2">
        <f>計算表!H84</f>
        <v>0</v>
      </c>
      <c r="I84" s="2">
        <f>計算表!I84</f>
        <v>0</v>
      </c>
      <c r="J84" s="2">
        <f>計算表!J84</f>
        <v>0</v>
      </c>
      <c r="K84" s="2">
        <f>計算表!K84</f>
        <v>0</v>
      </c>
      <c r="L84" s="2">
        <f>計算表!L84</f>
        <v>0</v>
      </c>
      <c r="M84" s="2">
        <f>計算表!M84</f>
        <v>0</v>
      </c>
      <c r="N84" s="2">
        <f>計算表!N84</f>
        <v>0</v>
      </c>
      <c r="O84" s="2">
        <f>計算表!O84</f>
        <v>0</v>
      </c>
      <c r="P84" s="2">
        <f>計算表!P84</f>
        <v>0</v>
      </c>
      <c r="Q84" s="2">
        <f>計算表!Q84</f>
        <v>0</v>
      </c>
      <c r="R84" s="2">
        <f>計算表!R84</f>
        <v>0</v>
      </c>
    </row>
    <row r="85" spans="1:18" x14ac:dyDescent="0.25">
      <c r="A85">
        <f t="shared" si="1"/>
        <v>84</v>
      </c>
      <c r="B85" s="2">
        <f>計算表!B85</f>
        <v>0</v>
      </c>
      <c r="C85" s="2" t="str">
        <f>計算表!C85</f>
        <v>4-敵人數量</v>
      </c>
      <c r="D85" s="2" t="str">
        <f>計算表!D85</f>
        <v>3 隻</v>
      </c>
      <c r="E85" s="2" t="str">
        <f>計算表!E85</f>
        <v>權重 = a</v>
      </c>
      <c r="F85" s="2" t="str">
        <f>計算表!F85</f>
        <v>普通與菁英每波獨立擲骰；高塔 BOSS 固定單一。權重總和 100。</v>
      </c>
      <c r="G85" s="2">
        <f>計算表!G85</f>
        <v>10</v>
      </c>
      <c r="H85" s="2">
        <f>計算表!H85</f>
        <v>0</v>
      </c>
      <c r="I85" s="2">
        <f>計算表!I85</f>
        <v>0</v>
      </c>
      <c r="J85" s="2">
        <f>計算表!J85</f>
        <v>0</v>
      </c>
      <c r="K85" s="2">
        <f>計算表!K85</f>
        <v>0</v>
      </c>
      <c r="L85" s="2">
        <f>計算表!L85</f>
        <v>0</v>
      </c>
      <c r="M85" s="2">
        <f>計算表!M85</f>
        <v>0</v>
      </c>
      <c r="N85" s="2">
        <f>計算表!N85</f>
        <v>0</v>
      </c>
      <c r="O85" s="2">
        <f>計算表!O85</f>
        <v>0</v>
      </c>
      <c r="P85" s="2">
        <f>計算表!P85</f>
        <v>0</v>
      </c>
      <c r="Q85" s="2">
        <f>計算表!Q85</f>
        <v>0</v>
      </c>
      <c r="R85" s="2">
        <f>計算表!R85</f>
        <v>0</v>
      </c>
    </row>
    <row r="86" spans="1:18" x14ac:dyDescent="0.25">
      <c r="A86">
        <f t="shared" si="1"/>
        <v>85</v>
      </c>
      <c r="B86" s="2">
        <f>計算表!B86</f>
        <v>0</v>
      </c>
      <c r="C86" s="2" t="str">
        <f>計算表!C86</f>
        <v>4-敵人數量</v>
      </c>
      <c r="D86" s="2" t="str">
        <f>計算表!D86</f>
        <v>4 隻</v>
      </c>
      <c r="E86" s="2" t="str">
        <f>計算表!E86</f>
        <v>權重 = a</v>
      </c>
      <c r="F86" s="2" t="str">
        <f>計算表!F86</f>
        <v>普通與菁英每波獨立擲骰；高塔 BOSS 固定單一。權重總和 100。</v>
      </c>
      <c r="G86" s="2">
        <f>計算表!G86</f>
        <v>5</v>
      </c>
      <c r="H86" s="2">
        <f>計算表!H86</f>
        <v>0</v>
      </c>
      <c r="I86" s="2">
        <f>計算表!I86</f>
        <v>0</v>
      </c>
      <c r="J86" s="2">
        <f>計算表!J86</f>
        <v>0</v>
      </c>
      <c r="K86" s="2">
        <f>計算表!K86</f>
        <v>0</v>
      </c>
      <c r="L86" s="2">
        <f>計算表!L86</f>
        <v>0</v>
      </c>
      <c r="M86" s="2">
        <f>計算表!M86</f>
        <v>0</v>
      </c>
      <c r="N86" s="2">
        <f>計算表!N86</f>
        <v>0</v>
      </c>
      <c r="O86" s="2">
        <f>計算表!O86</f>
        <v>0</v>
      </c>
      <c r="P86" s="2">
        <f>計算表!P86</f>
        <v>0</v>
      </c>
      <c r="Q86" s="2">
        <f>計算表!Q86</f>
        <v>0</v>
      </c>
      <c r="R86" s="2">
        <f>計算表!R86</f>
        <v>0</v>
      </c>
    </row>
    <row r="87" spans="1:18" x14ac:dyDescent="0.25">
      <c r="A87">
        <f t="shared" si="1"/>
        <v>86</v>
      </c>
      <c r="B87" s="2">
        <f>計算表!B87</f>
        <v>0</v>
      </c>
      <c r="C87" s="2" t="str">
        <f>計算表!C87</f>
        <v>4-場景倍率</v>
      </c>
      <c r="D87" s="2" t="str">
        <f>計算表!D87</f>
        <v>草原</v>
      </c>
      <c r="E87" s="2" t="str">
        <f>計算表!E87</f>
        <v>（查表）</v>
      </c>
      <c r="F87" s="2" t="str">
        <f>計算表!F87</f>
        <v>a=生命 b=攻擊 c=防禦 d=攻速 e=經驗/金幣/材料倍率 f=解鎖條件。裝備掉落表不受場景倍率影響。</v>
      </c>
      <c r="G87" s="2">
        <f>計算表!G87</f>
        <v>1</v>
      </c>
      <c r="H87" s="2">
        <f>計算表!H87</f>
        <v>1</v>
      </c>
      <c r="I87" s="2">
        <f>計算表!I87</f>
        <v>1</v>
      </c>
      <c r="J87" s="2">
        <f>計算表!J87</f>
        <v>1</v>
      </c>
      <c r="K87" s="2">
        <f>計算表!K87</f>
        <v>1</v>
      </c>
      <c r="L87" s="2" t="str">
        <f>計算表!L87</f>
        <v>—</v>
      </c>
      <c r="M87" s="2">
        <f>計算表!M87</f>
        <v>0</v>
      </c>
      <c r="N87" s="2">
        <f>計算表!N87</f>
        <v>0</v>
      </c>
      <c r="O87" s="2">
        <f>計算表!O87</f>
        <v>0</v>
      </c>
      <c r="P87" s="2">
        <f>計算表!P87</f>
        <v>0</v>
      </c>
      <c r="Q87" s="2">
        <f>計算表!Q87</f>
        <v>0</v>
      </c>
      <c r="R87" s="2">
        <f>計算表!R87</f>
        <v>0</v>
      </c>
    </row>
    <row r="88" spans="1:18" x14ac:dyDescent="0.25">
      <c r="A88">
        <f t="shared" si="1"/>
        <v>87</v>
      </c>
      <c r="B88" s="2">
        <f>計算表!B88</f>
        <v>0</v>
      </c>
      <c r="C88" s="2" t="str">
        <f>計算表!C88</f>
        <v>4-場景倍率</v>
      </c>
      <c r="D88" s="2" t="str">
        <f>計算表!D88</f>
        <v>荒漠</v>
      </c>
      <c r="E88" s="2" t="str">
        <f>計算表!E88</f>
        <v>（查表）</v>
      </c>
      <c r="F88" s="2" t="str">
        <f>計算表!F88</f>
        <v>a=生命 b=攻擊 c=防禦 d=攻速 e=經驗/金幣/材料倍率 f=解鎖條件。裝備掉落表不受場景倍率影響。</v>
      </c>
      <c r="G88" s="2">
        <f>計算表!G88</f>
        <v>2.2000000000000002</v>
      </c>
      <c r="H88" s="2">
        <f>計算表!H88</f>
        <v>1.8</v>
      </c>
      <c r="I88" s="2">
        <f>計算表!I88</f>
        <v>1.6</v>
      </c>
      <c r="J88" s="2">
        <f>計算表!J88</f>
        <v>1.5</v>
      </c>
      <c r="K88" s="2">
        <f>計算表!K88</f>
        <v>1.25</v>
      </c>
      <c r="L88" s="2" t="str">
        <f>計算表!L88</f>
        <v>草原最高 100 階</v>
      </c>
      <c r="M88" s="2">
        <f>計算表!M88</f>
        <v>0</v>
      </c>
      <c r="N88" s="2">
        <f>計算表!N88</f>
        <v>0</v>
      </c>
      <c r="O88" s="2">
        <f>計算表!O88</f>
        <v>0</v>
      </c>
      <c r="P88" s="2">
        <f>計算表!P88</f>
        <v>0</v>
      </c>
      <c r="Q88" s="2">
        <f>計算表!Q88</f>
        <v>0</v>
      </c>
      <c r="R88" s="2">
        <f>計算表!R88</f>
        <v>0</v>
      </c>
    </row>
    <row r="89" spans="1:18" x14ac:dyDescent="0.25">
      <c r="A89">
        <f t="shared" si="1"/>
        <v>88</v>
      </c>
      <c r="B89" s="2">
        <f>計算表!B89</f>
        <v>0</v>
      </c>
      <c r="C89" s="2" t="str">
        <f>計算表!C89</f>
        <v>4-場景倍率</v>
      </c>
      <c r="D89" s="2" t="str">
        <f>計算表!D89</f>
        <v>沼澤</v>
      </c>
      <c r="E89" s="2" t="str">
        <f>計算表!E89</f>
        <v>（查表）</v>
      </c>
      <c r="F89" s="2" t="str">
        <f>計算表!F89</f>
        <v>a=生命 b=攻擊 c=防禦 d=攻速 e=經驗/金幣/材料倍率 f=解鎖條件。裝備掉落表不受場景倍率影響。</v>
      </c>
      <c r="G89" s="2">
        <f>計算表!G89</f>
        <v>4</v>
      </c>
      <c r="H89" s="2">
        <f>計算表!H89</f>
        <v>2.8</v>
      </c>
      <c r="I89" s="2">
        <f>計算表!I89</f>
        <v>2.4</v>
      </c>
      <c r="J89" s="2">
        <f>計算表!J89</f>
        <v>2</v>
      </c>
      <c r="K89" s="2">
        <f>計算表!K89</f>
        <v>1.5</v>
      </c>
      <c r="L89" s="2" t="str">
        <f>計算表!L89</f>
        <v>荒漠最高 100 階</v>
      </c>
      <c r="M89" s="2">
        <f>計算表!M89</f>
        <v>0</v>
      </c>
      <c r="N89" s="2">
        <f>計算表!N89</f>
        <v>0</v>
      </c>
      <c r="O89" s="2">
        <f>計算表!O89</f>
        <v>0</v>
      </c>
      <c r="P89" s="2">
        <f>計算表!P89</f>
        <v>0</v>
      </c>
      <c r="Q89" s="2">
        <f>計算表!Q89</f>
        <v>0</v>
      </c>
      <c r="R89" s="2">
        <f>計算表!R89</f>
        <v>0</v>
      </c>
    </row>
    <row r="90" spans="1:18" x14ac:dyDescent="0.25">
      <c r="A90">
        <f t="shared" si="1"/>
        <v>89</v>
      </c>
      <c r="B90" s="2">
        <f>計算表!B90</f>
        <v>0</v>
      </c>
      <c r="C90" s="2" t="str">
        <f>計算表!C90</f>
        <v>4-高塔BOSS</v>
      </c>
      <c r="D90" s="2" t="str">
        <f>計算表!D90</f>
        <v>對應野外階段</v>
      </c>
      <c r="E90" s="2" t="str">
        <f>計算表!E90</f>
        <v>a+樓層×b</v>
      </c>
      <c r="F90" s="2" t="str">
        <f>計算表!F90</f>
        <v>以此階段的野外怪為基準。</v>
      </c>
      <c r="G90" s="2">
        <f>計算表!G90</f>
        <v>4</v>
      </c>
      <c r="H90" s="2">
        <f>計算表!H90</f>
        <v>5</v>
      </c>
      <c r="I90" s="2">
        <f>計算表!I90</f>
        <v>0</v>
      </c>
      <c r="J90" s="2">
        <f>計算表!J90</f>
        <v>0</v>
      </c>
      <c r="K90" s="2">
        <f>計算表!K90</f>
        <v>0</v>
      </c>
      <c r="L90" s="2">
        <f>計算表!L90</f>
        <v>0</v>
      </c>
      <c r="M90" s="2">
        <f>計算表!M90</f>
        <v>0</v>
      </c>
      <c r="N90" s="2">
        <f>計算表!N90</f>
        <v>0</v>
      </c>
      <c r="O90" s="2">
        <f>計算表!O90</f>
        <v>0</v>
      </c>
      <c r="P90" s="2">
        <f>計算表!P90</f>
        <v>0</v>
      </c>
      <c r="Q90" s="2">
        <f>計算表!Q90</f>
        <v>0</v>
      </c>
      <c r="R90" s="2">
        <f>計算表!R90</f>
        <v>0</v>
      </c>
    </row>
    <row r="91" spans="1:18" x14ac:dyDescent="0.25">
      <c r="A91">
        <f t="shared" si="1"/>
        <v>90</v>
      </c>
      <c r="B91" s="2">
        <f>計算表!B91</f>
        <v>0</v>
      </c>
      <c r="C91" s="2" t="str">
        <f>計算表!C91</f>
        <v>4-高塔BOSS</v>
      </c>
      <c r="D91" s="2" t="str">
        <f>計算表!D91</f>
        <v>BOSS 等級</v>
      </c>
      <c r="E91" s="2" t="str">
        <f>計算表!E91</f>
        <v>對應階段+a</v>
      </c>
      <c r="F91" s="2" t="str">
        <f>計算表!F91</f>
        <v>a=等級加值。</v>
      </c>
      <c r="G91" s="2">
        <f>計算表!G91</f>
        <v>3</v>
      </c>
      <c r="H91" s="2">
        <f>計算表!H91</f>
        <v>0</v>
      </c>
      <c r="I91" s="2">
        <f>計算表!I91</f>
        <v>0</v>
      </c>
      <c r="J91" s="2">
        <f>計算表!J91</f>
        <v>0</v>
      </c>
      <c r="K91" s="2">
        <f>計算表!K91</f>
        <v>0</v>
      </c>
      <c r="L91" s="2">
        <f>計算表!L91</f>
        <v>0</v>
      </c>
      <c r="M91" s="2">
        <f>計算表!M91</f>
        <v>0</v>
      </c>
      <c r="N91" s="2">
        <f>計算表!N91</f>
        <v>0</v>
      </c>
      <c r="O91" s="2">
        <f>計算表!O91</f>
        <v>0</v>
      </c>
      <c r="P91" s="2">
        <f>計算表!P91</f>
        <v>0</v>
      </c>
      <c r="Q91" s="2">
        <f>計算表!Q91</f>
        <v>0</v>
      </c>
      <c r="R91" s="2">
        <f>計算表!R91</f>
        <v>0</v>
      </c>
    </row>
    <row r="92" spans="1:18" x14ac:dyDescent="0.25">
      <c r="A92">
        <f t="shared" si="1"/>
        <v>91</v>
      </c>
      <c r="B92" s="2">
        <f>計算表!B92</f>
        <v>0</v>
      </c>
      <c r="C92" s="2" t="str">
        <f>計算表!C92</f>
        <v>4-高塔BOSS</v>
      </c>
      <c r="D92" s="2" t="str">
        <f>計算表!D92</f>
        <v>挑戰金幣消耗</v>
      </c>
      <c r="E92" s="2" t="str">
        <f>計算表!E92</f>
        <v>round(a×樓層^b)</v>
      </c>
      <c r="F92" s="2" t="str">
        <f>計算表!F92</f>
        <v>開始挑戰前扣除，失敗或撤退不退回。</v>
      </c>
      <c r="G92" s="2">
        <f>計算表!G92</f>
        <v>100000</v>
      </c>
      <c r="H92" s="2">
        <f>計算表!H92</f>
        <v>2.6</v>
      </c>
      <c r="I92" s="2">
        <f>計算表!I92</f>
        <v>0</v>
      </c>
      <c r="J92" s="2">
        <f>計算表!J92</f>
        <v>0</v>
      </c>
      <c r="K92" s="2">
        <f>計算表!K92</f>
        <v>0</v>
      </c>
      <c r="L92" s="2">
        <f>計算表!L92</f>
        <v>0</v>
      </c>
      <c r="M92" s="2">
        <f>計算表!M92</f>
        <v>0</v>
      </c>
      <c r="N92" s="2">
        <f>計算表!N92</f>
        <v>0</v>
      </c>
      <c r="O92" s="2">
        <f>計算表!O92</f>
        <v>0</v>
      </c>
      <c r="P92" s="2">
        <f>計算表!P92</f>
        <v>0</v>
      </c>
      <c r="Q92" s="2">
        <f>計算表!Q92</f>
        <v>0</v>
      </c>
      <c r="R92" s="2">
        <f>計算表!R92</f>
        <v>0</v>
      </c>
    </row>
    <row r="93" spans="1:18" x14ac:dyDescent="0.25">
      <c r="A93">
        <f t="shared" si="1"/>
        <v>92</v>
      </c>
      <c r="B93" s="2">
        <f>計算表!B93</f>
        <v>0</v>
      </c>
      <c r="C93" s="2" t="str">
        <f>計算表!C93</f>
        <v>4-高塔BOSS</v>
      </c>
      <c r="D93" s="2" t="str">
        <f>計算表!D93</f>
        <v>生命</v>
      </c>
      <c r="E93" s="2" t="str">
        <f>計算表!E93</f>
        <v>基準生命×a（地獄之塔再×b）</v>
      </c>
      <c r="F93" s="2" t="str">
        <f>計算表!F93</f>
        <v>a=一般倍率 b=地獄之塔倍率。</v>
      </c>
      <c r="G93" s="2">
        <f>計算表!G93</f>
        <v>22</v>
      </c>
      <c r="H93" s="2">
        <f>計算表!H93</f>
        <v>5</v>
      </c>
      <c r="I93" s="2">
        <f>計算表!I93</f>
        <v>0</v>
      </c>
      <c r="J93" s="2">
        <f>計算表!J93</f>
        <v>0</v>
      </c>
      <c r="K93" s="2">
        <f>計算表!K93</f>
        <v>0</v>
      </c>
      <c r="L93" s="2">
        <f>計算表!L93</f>
        <v>0</v>
      </c>
      <c r="M93" s="2">
        <f>計算表!M93</f>
        <v>0</v>
      </c>
      <c r="N93" s="2">
        <f>計算表!N93</f>
        <v>0</v>
      </c>
      <c r="O93" s="2">
        <f>計算表!O93</f>
        <v>0</v>
      </c>
      <c r="P93" s="2">
        <f>計算表!P93</f>
        <v>0</v>
      </c>
      <c r="Q93" s="2">
        <f>計算表!Q93</f>
        <v>0</v>
      </c>
      <c r="R93" s="2">
        <f>計算表!R93</f>
        <v>0</v>
      </c>
    </row>
    <row r="94" spans="1:18" x14ac:dyDescent="0.25">
      <c r="A94">
        <f t="shared" si="1"/>
        <v>93</v>
      </c>
      <c r="B94" s="2">
        <f>計算表!B94</f>
        <v>0</v>
      </c>
      <c r="C94" s="2" t="str">
        <f>計算表!C94</f>
        <v>4-高塔BOSS</v>
      </c>
      <c r="D94" s="2" t="str">
        <f>計算表!D94</f>
        <v>攻擊</v>
      </c>
      <c r="E94" s="2" t="str">
        <f>計算表!E94</f>
        <v>基準攻擊×a（地獄之塔再×b）</v>
      </c>
      <c r="F94" s="2" t="str">
        <f>計算表!F94</f>
        <v>a=一般倍率 b=地獄之塔倍率。</v>
      </c>
      <c r="G94" s="2">
        <f>計算表!G94</f>
        <v>1.9</v>
      </c>
      <c r="H94" s="2">
        <f>計算表!H94</f>
        <v>2</v>
      </c>
      <c r="I94" s="2">
        <f>計算表!I94</f>
        <v>0</v>
      </c>
      <c r="J94" s="2">
        <f>計算表!J94</f>
        <v>0</v>
      </c>
      <c r="K94" s="2">
        <f>計算表!K94</f>
        <v>0</v>
      </c>
      <c r="L94" s="2">
        <f>計算表!L94</f>
        <v>0</v>
      </c>
      <c r="M94" s="2">
        <f>計算表!M94</f>
        <v>0</v>
      </c>
      <c r="N94" s="2">
        <f>計算表!N94</f>
        <v>0</v>
      </c>
      <c r="O94" s="2">
        <f>計算表!O94</f>
        <v>0</v>
      </c>
      <c r="P94" s="2">
        <f>計算表!P94</f>
        <v>0</v>
      </c>
      <c r="Q94" s="2">
        <f>計算表!Q94</f>
        <v>0</v>
      </c>
      <c r="R94" s="2">
        <f>計算表!R94</f>
        <v>0</v>
      </c>
    </row>
    <row r="95" spans="1:18" x14ac:dyDescent="0.25">
      <c r="A95">
        <f t="shared" si="1"/>
        <v>94</v>
      </c>
      <c r="B95" s="2">
        <f>計算表!B95</f>
        <v>0</v>
      </c>
      <c r="C95" s="2" t="str">
        <f>計算表!C95</f>
        <v>4-高塔BOSS</v>
      </c>
      <c r="D95" s="2" t="str">
        <f>計算表!D95</f>
        <v>物/魔防</v>
      </c>
      <c r="E95" s="2" t="str">
        <f>計算表!E95</f>
        <v>基準物/魔防×a</v>
      </c>
      <c r="F95" s="2" t="str">
        <f>計算表!F95</f>
        <v>a=防禦倍率。</v>
      </c>
      <c r="G95" s="2">
        <f>計算表!G95</f>
        <v>1.5</v>
      </c>
      <c r="H95" s="2">
        <f>計算表!H95</f>
        <v>0</v>
      </c>
      <c r="I95" s="2">
        <f>計算表!I95</f>
        <v>0</v>
      </c>
      <c r="J95" s="2">
        <f>計算表!J95</f>
        <v>0</v>
      </c>
      <c r="K95" s="2">
        <f>計算表!K95</f>
        <v>0</v>
      </c>
      <c r="L95" s="2">
        <f>計算表!L95</f>
        <v>0</v>
      </c>
      <c r="M95" s="2">
        <f>計算表!M95</f>
        <v>0</v>
      </c>
      <c r="N95" s="2">
        <f>計算表!N95</f>
        <v>0</v>
      </c>
      <c r="O95" s="2">
        <f>計算表!O95</f>
        <v>0</v>
      </c>
      <c r="P95" s="2">
        <f>計算表!P95</f>
        <v>0</v>
      </c>
      <c r="Q95" s="2">
        <f>計算表!Q95</f>
        <v>0</v>
      </c>
      <c r="R95" s="2">
        <f>計算表!R95</f>
        <v>0</v>
      </c>
    </row>
    <row r="96" spans="1:18" x14ac:dyDescent="0.25">
      <c r="A96">
        <f t="shared" si="1"/>
        <v>95</v>
      </c>
      <c r="B96" s="2">
        <f>計算表!B96</f>
        <v>0</v>
      </c>
      <c r="C96" s="2" t="str">
        <f>計算表!C96</f>
        <v>4-高塔BOSS</v>
      </c>
      <c r="D96" s="2" t="str">
        <f>計算表!D96</f>
        <v>攻速 / 控制抵抗</v>
      </c>
      <c r="E96" s="2" t="str">
        <f>計算表!E96</f>
        <v>攻速a 次/秒；控制抵抗b%</v>
      </c>
      <c r="F96" s="2" t="str">
        <f>計算表!F96</f>
        <v>a=攻速 b=控制抵抗。</v>
      </c>
      <c r="G96" s="2">
        <f>計算表!G96</f>
        <v>2</v>
      </c>
      <c r="H96" s="2">
        <f>計算表!H96</f>
        <v>70</v>
      </c>
      <c r="I96" s="2">
        <f>計算表!I96</f>
        <v>0</v>
      </c>
      <c r="J96" s="2">
        <f>計算表!J96</f>
        <v>0</v>
      </c>
      <c r="K96" s="2">
        <f>計算表!K96</f>
        <v>0</v>
      </c>
      <c r="L96" s="2">
        <f>計算表!L96</f>
        <v>0</v>
      </c>
      <c r="M96" s="2">
        <f>計算表!M96</f>
        <v>0</v>
      </c>
      <c r="N96" s="2">
        <f>計算表!N96</f>
        <v>0</v>
      </c>
      <c r="O96" s="2">
        <f>計算表!O96</f>
        <v>0</v>
      </c>
      <c r="P96" s="2">
        <f>計算表!P96</f>
        <v>0</v>
      </c>
      <c r="Q96" s="2">
        <f>計算表!Q96</f>
        <v>0</v>
      </c>
      <c r="R96" s="2">
        <f>計算表!R96</f>
        <v>0</v>
      </c>
    </row>
    <row r="97" spans="1:18" x14ac:dyDescent="0.25">
      <c r="A97">
        <f t="shared" si="1"/>
        <v>96</v>
      </c>
      <c r="B97" s="2">
        <f>計算表!B97</f>
        <v>0</v>
      </c>
      <c r="C97" s="2" t="str">
        <f>計算表!C97</f>
        <v>4-高塔BOSS</v>
      </c>
      <c r="D97" s="2" t="str">
        <f>計算表!D97</f>
        <v>閃避</v>
      </c>
      <c r="E97" s="2" t="str">
        <f>計算表!E97</f>
        <v>min(a+樓層, b)%</v>
      </c>
      <c r="F97" s="2" t="str">
        <f>計算表!F97</f>
        <v>a=基礎 b=上限。</v>
      </c>
      <c r="G97" s="2">
        <f>計算表!G97</f>
        <v>5</v>
      </c>
      <c r="H97" s="2">
        <f>計算表!H97</f>
        <v>20</v>
      </c>
      <c r="I97" s="2">
        <f>計算表!I97</f>
        <v>0</v>
      </c>
      <c r="J97" s="2">
        <f>計算表!J97</f>
        <v>0</v>
      </c>
      <c r="K97" s="2">
        <f>計算表!K97</f>
        <v>0</v>
      </c>
      <c r="L97" s="2">
        <f>計算表!L97</f>
        <v>0</v>
      </c>
      <c r="M97" s="2">
        <f>計算表!M97</f>
        <v>0</v>
      </c>
      <c r="N97" s="2">
        <f>計算表!N97</f>
        <v>0</v>
      </c>
      <c r="O97" s="2">
        <f>計算表!O97</f>
        <v>0</v>
      </c>
      <c r="P97" s="2">
        <f>計算表!P97</f>
        <v>0</v>
      </c>
      <c r="Q97" s="2">
        <f>計算表!Q97</f>
        <v>0</v>
      </c>
      <c r="R97" s="2">
        <f>計算表!R97</f>
        <v>0</v>
      </c>
    </row>
    <row r="98" spans="1:18" x14ac:dyDescent="0.25">
      <c r="A98">
        <f t="shared" si="1"/>
        <v>97</v>
      </c>
      <c r="B98" s="2">
        <f>計算表!B98</f>
        <v>0</v>
      </c>
      <c r="C98" s="2" t="str">
        <f>計算表!C98</f>
        <v>4-高塔BOSS</v>
      </c>
      <c r="D98" s="2" t="str">
        <f>計算表!D98</f>
        <v>元素附傷(元素 BOSS)</v>
      </c>
      <c r="E98" s="2" t="str">
        <f>計算表!E98</f>
        <v>基準攻擊×a（地獄之塔再×b）</v>
      </c>
      <c r="F98" s="2" t="str">
        <f>計算表!F98</f>
        <v>a=係數 b=地獄之塔倍率。以魔法攻擊結算。</v>
      </c>
      <c r="G98" s="2">
        <f>計算表!G98</f>
        <v>0.5</v>
      </c>
      <c r="H98" s="2">
        <f>計算表!H98</f>
        <v>2</v>
      </c>
      <c r="I98" s="2">
        <f>計算表!I98</f>
        <v>0</v>
      </c>
      <c r="J98" s="2">
        <f>計算表!J98</f>
        <v>0</v>
      </c>
      <c r="K98" s="2">
        <f>計算表!K98</f>
        <v>0</v>
      </c>
      <c r="L98" s="2">
        <f>計算表!L98</f>
        <v>0</v>
      </c>
      <c r="M98" s="2">
        <f>計算表!M98</f>
        <v>0</v>
      </c>
      <c r="N98" s="2">
        <f>計算表!N98</f>
        <v>0</v>
      </c>
      <c r="O98" s="2">
        <f>計算表!O98</f>
        <v>0</v>
      </c>
      <c r="P98" s="2">
        <f>計算表!P98</f>
        <v>0</v>
      </c>
      <c r="Q98" s="2">
        <f>計算表!Q98</f>
        <v>0</v>
      </c>
      <c r="R98" s="2">
        <f>計算表!R98</f>
        <v>0</v>
      </c>
    </row>
    <row r="99" spans="1:18" x14ac:dyDescent="0.25">
      <c r="A99">
        <f t="shared" si="1"/>
        <v>98</v>
      </c>
      <c r="B99" s="2">
        <f>計算表!B99</f>
        <v>0</v>
      </c>
      <c r="C99" s="2" t="str">
        <f>計算表!C99</f>
        <v>4-高塔BOSS</v>
      </c>
      <c r="D99" s="2" t="str">
        <f>計算表!D99</f>
        <v>經驗</v>
      </c>
      <c r="E99" s="2" t="str">
        <f>計算表!E99</f>
        <v>建議野外階段普通怪經驗×a</v>
      </c>
      <c r="F99" s="2" t="str">
        <f>計算表!F99</f>
        <v>再套用玩家經驗加成。</v>
      </c>
      <c r="G99" s="2">
        <f>計算表!G99</f>
        <v>2</v>
      </c>
      <c r="H99" s="2">
        <f>計算表!H99</f>
        <v>0</v>
      </c>
      <c r="I99" s="2">
        <f>計算表!I99</f>
        <v>0</v>
      </c>
      <c r="J99" s="2">
        <f>計算表!J99</f>
        <v>0</v>
      </c>
      <c r="K99" s="2">
        <f>計算表!K99</f>
        <v>0</v>
      </c>
      <c r="L99" s="2">
        <f>計算表!L99</f>
        <v>0</v>
      </c>
      <c r="M99" s="2">
        <f>計算表!M99</f>
        <v>0</v>
      </c>
      <c r="N99" s="2">
        <f>計算表!N99</f>
        <v>0</v>
      </c>
      <c r="O99" s="2">
        <f>計算表!O99</f>
        <v>0</v>
      </c>
      <c r="P99" s="2">
        <f>計算表!P99</f>
        <v>0</v>
      </c>
      <c r="Q99" s="2">
        <f>計算表!Q99</f>
        <v>0</v>
      </c>
      <c r="R99" s="2">
        <f>計算表!R99</f>
        <v>0</v>
      </c>
    </row>
    <row r="100" spans="1:18" x14ac:dyDescent="0.25">
      <c r="A100">
        <f t="shared" si="1"/>
        <v>99</v>
      </c>
      <c r="B100" s="2">
        <f>計算表!B100</f>
        <v>0</v>
      </c>
      <c r="C100" s="2" t="str">
        <f>計算表!C100</f>
        <v>4-高塔BOSS</v>
      </c>
      <c r="D100" s="2" t="str">
        <f>計算表!D100</f>
        <v>戰鬥規則</v>
      </c>
      <c r="E100" s="2" t="str">
        <f>計算表!E100</f>
        <v>限時a秒；b秒檢查狂暴（血量&gt;50%+狂暴閾值→傷害×c）；每d秒蓄力重擊×2.2</v>
      </c>
      <c r="F100" s="2" t="str">
        <f>計算表!F100</f>
        <v>a=限時 b=狂暴檢查 c=狂暴傷害倍率 d=蓄力周期。</v>
      </c>
      <c r="G100" s="2">
        <f>計算表!G100</f>
        <v>60</v>
      </c>
      <c r="H100" s="2">
        <f>計算表!H100</f>
        <v>40</v>
      </c>
      <c r="I100" s="2">
        <f>計算表!I100</f>
        <v>3</v>
      </c>
      <c r="J100" s="2">
        <f>計算表!J100</f>
        <v>8</v>
      </c>
      <c r="K100" s="2">
        <f>計算表!K100</f>
        <v>0</v>
      </c>
      <c r="L100" s="2">
        <f>計算表!L100</f>
        <v>0</v>
      </c>
      <c r="M100" s="2">
        <f>計算表!M100</f>
        <v>0</v>
      </c>
      <c r="N100" s="2">
        <f>計算表!N100</f>
        <v>0</v>
      </c>
      <c r="O100" s="2">
        <f>計算表!O100</f>
        <v>0</v>
      </c>
      <c r="P100" s="2">
        <f>計算表!P100</f>
        <v>0</v>
      </c>
      <c r="Q100" s="2">
        <f>計算表!Q100</f>
        <v>0</v>
      </c>
      <c r="R100" s="2">
        <f>計算表!R100</f>
        <v>0</v>
      </c>
    </row>
    <row r="101" spans="1:18" x14ac:dyDescent="0.25">
      <c r="A101">
        <f t="shared" si="1"/>
        <v>100</v>
      </c>
      <c r="B101" s="2">
        <f>計算表!B101</f>
        <v>0</v>
      </c>
      <c r="C101" s="2" t="str">
        <f>計算表!C101</f>
        <v>4-高塔BOSS</v>
      </c>
      <c r="D101" s="2" t="str">
        <f>計算表!D101</f>
        <v>地獄之塔範圍</v>
      </c>
      <c r="E101" s="2" t="str">
        <f>計算表!E101</f>
        <v>第a~b層</v>
      </c>
      <c r="F101" s="2" t="str">
        <f>計算表!F101</f>
        <v>a=起始層 b=結束層（100 層後未開放）。生命×5、攻擊×2。</v>
      </c>
      <c r="G101" s="2">
        <f>計算表!G101</f>
        <v>51</v>
      </c>
      <c r="H101" s="2">
        <f>計算表!H101</f>
        <v>100</v>
      </c>
      <c r="I101" s="2">
        <f>計算表!I101</f>
        <v>0</v>
      </c>
      <c r="J101" s="2">
        <f>計算表!J101</f>
        <v>0</v>
      </c>
      <c r="K101" s="2">
        <f>計算表!K101</f>
        <v>0</v>
      </c>
      <c r="L101" s="2">
        <f>計算表!L101</f>
        <v>0</v>
      </c>
      <c r="M101" s="2">
        <f>計算表!M101</f>
        <v>0</v>
      </c>
      <c r="N101" s="2">
        <f>計算表!N101</f>
        <v>0</v>
      </c>
      <c r="O101" s="2">
        <f>計算表!O101</f>
        <v>0</v>
      </c>
      <c r="P101" s="2">
        <f>計算表!P101</f>
        <v>0</v>
      </c>
      <c r="Q101" s="2">
        <f>計算表!Q101</f>
        <v>0</v>
      </c>
      <c r="R101" s="2">
        <f>計算表!R101</f>
        <v>0</v>
      </c>
    </row>
    <row r="102" spans="1:18" x14ac:dyDescent="0.25">
      <c r="A102">
        <f t="shared" si="1"/>
        <v>101</v>
      </c>
      <c r="B102" s="2">
        <f>計算表!B102</f>
        <v>0</v>
      </c>
      <c r="C102" s="2" t="str">
        <f>計算表!C102</f>
        <v>4-高塔BOSS</v>
      </c>
      <c r="D102" s="2" t="str">
        <f>計算表!D102</f>
        <v>試煉之塔範圍</v>
      </c>
      <c r="E102" s="2" t="str">
        <f>計算表!E102</f>
        <v>第a~b層</v>
      </c>
      <c r="F102" s="2" t="str">
        <f>計算表!F102</f>
        <v>a=起始層 b=結束層。</v>
      </c>
      <c r="G102" s="2">
        <f>計算表!G102</f>
        <v>1</v>
      </c>
      <c r="H102" s="2">
        <f>計算表!H102</f>
        <v>50</v>
      </c>
      <c r="I102" s="2">
        <f>計算表!I102</f>
        <v>0</v>
      </c>
      <c r="J102" s="2">
        <f>計算表!J102</f>
        <v>0</v>
      </c>
      <c r="K102" s="2">
        <f>計算表!K102</f>
        <v>0</v>
      </c>
      <c r="L102" s="2">
        <f>計算表!L102</f>
        <v>0</v>
      </c>
      <c r="M102" s="2">
        <f>計算表!M102</f>
        <v>0</v>
      </c>
      <c r="N102" s="2">
        <f>計算表!N102</f>
        <v>0</v>
      </c>
      <c r="O102" s="2">
        <f>計算表!O102</f>
        <v>0</v>
      </c>
      <c r="P102" s="2">
        <f>計算表!P102</f>
        <v>0</v>
      </c>
      <c r="Q102" s="2">
        <f>計算表!Q102</f>
        <v>0</v>
      </c>
      <c r="R102" s="2">
        <f>計算表!R102</f>
        <v>0</v>
      </c>
    </row>
    <row r="103" spans="1:18" x14ac:dyDescent="0.25">
      <c r="A103">
        <f t="shared" si="1"/>
        <v>102</v>
      </c>
      <c r="B103" s="2">
        <f>計算表!B103</f>
        <v>0</v>
      </c>
      <c r="C103" s="2" t="str">
        <f>計算表!C103</f>
        <v>4-高塔BOSS</v>
      </c>
      <c r="D103" s="2" t="str">
        <f>計算表!D103</f>
        <v>魔魂本源(地獄之塔)</v>
      </c>
      <c r="E103" s="2" t="str">
        <f>計算表!E103</f>
        <v>min(100, a% + (樓層-51)×b%)</v>
      </c>
      <c r="F103" s="2" t="str">
        <f>計算表!F103</f>
        <v>僅地獄之塔；獨立判定 1 顆。</v>
      </c>
      <c r="G103" s="2">
        <f>計算表!G103</f>
        <v>5</v>
      </c>
      <c r="H103" s="2">
        <f>計算表!H103</f>
        <v>1</v>
      </c>
      <c r="I103" s="2">
        <f>計算表!I103</f>
        <v>0</v>
      </c>
      <c r="J103" s="2">
        <f>計算表!J103</f>
        <v>0</v>
      </c>
      <c r="K103" s="2">
        <f>計算表!K103</f>
        <v>0</v>
      </c>
      <c r="L103" s="2">
        <f>計算表!L103</f>
        <v>0</v>
      </c>
      <c r="M103" s="2">
        <f>計算表!M103</f>
        <v>0</v>
      </c>
      <c r="N103" s="2">
        <f>計算表!N103</f>
        <v>0</v>
      </c>
      <c r="O103" s="2">
        <f>計算表!O103</f>
        <v>0</v>
      </c>
      <c r="P103" s="2">
        <f>計算表!P103</f>
        <v>0</v>
      </c>
      <c r="Q103" s="2">
        <f>計算表!Q103</f>
        <v>0</v>
      </c>
      <c r="R103" s="2">
        <f>計算表!R103</f>
        <v>0</v>
      </c>
    </row>
    <row r="104" spans="1:18" x14ac:dyDescent="0.25">
      <c r="A104">
        <f t="shared" si="1"/>
        <v>103</v>
      </c>
      <c r="B104" s="2">
        <f>計算表!B104</f>
        <v>0</v>
      </c>
      <c r="C104" s="2" t="str">
        <f>計算表!C104</f>
        <v>4-高塔BOSS</v>
      </c>
      <c r="D104" s="2" t="str">
        <f>計算表!D104</f>
        <v>高塔 BOSS 魔塵</v>
      </c>
      <c r="E104" s="2" t="str">
        <f>計算表!E104</f>
        <v>min(a%, b% + 樓層×c%)</v>
      </c>
      <c r="F104" s="2" t="str">
        <f>計算表!F104</f>
        <v>a=上限 b=基礎 c=每層。</v>
      </c>
      <c r="G104" s="2">
        <f>計算表!G104</f>
        <v>30</v>
      </c>
      <c r="H104" s="2">
        <f>計算表!H104</f>
        <v>2</v>
      </c>
      <c r="I104" s="2">
        <f>計算表!I104</f>
        <v>0.2</v>
      </c>
      <c r="J104" s="2">
        <f>計算表!J104</f>
        <v>0</v>
      </c>
      <c r="K104" s="2">
        <f>計算表!K104</f>
        <v>0</v>
      </c>
      <c r="L104" s="2">
        <f>計算表!L104</f>
        <v>0</v>
      </c>
      <c r="M104" s="2">
        <f>計算表!M104</f>
        <v>0</v>
      </c>
      <c r="N104" s="2">
        <f>計算表!N104</f>
        <v>0</v>
      </c>
      <c r="O104" s="2">
        <f>計算表!O104</f>
        <v>0</v>
      </c>
      <c r="P104" s="2">
        <f>計算表!P104</f>
        <v>0</v>
      </c>
      <c r="Q104" s="2">
        <f>計算表!Q104</f>
        <v>0</v>
      </c>
      <c r="R104" s="2">
        <f>計算表!R104</f>
        <v>0</v>
      </c>
    </row>
    <row r="105" spans="1:18" x14ac:dyDescent="0.25">
      <c r="A105">
        <f t="shared" si="1"/>
        <v>104</v>
      </c>
      <c r="B105" s="2">
        <f>計算表!B105</f>
        <v>0</v>
      </c>
      <c r="C105" s="2" t="str">
        <f>計算表!C105</f>
        <v>5-掉落通則</v>
      </c>
      <c r="D105" s="2" t="str">
        <f>計算表!D105</f>
        <v>掉寶率效果折半</v>
      </c>
      <c r="E105" s="2" t="str">
        <f>計算表!E105</f>
        <v>有效掉寶率 = 來源合計×a</v>
      </c>
      <c r="F105" s="2" t="str">
        <f>計算表!F105</f>
        <v>裝備詞條/附魔/神鑄貪婪/技能尋寶/相關分解零件的掉寶率效果統一×a。</v>
      </c>
      <c r="G105" s="2">
        <f>計算表!G105</f>
        <v>0.5</v>
      </c>
      <c r="H105" s="2">
        <f>計算表!H105</f>
        <v>0</v>
      </c>
      <c r="I105" s="2">
        <f>計算表!I105</f>
        <v>0</v>
      </c>
      <c r="J105" s="2">
        <f>計算表!J105</f>
        <v>0</v>
      </c>
      <c r="K105" s="2">
        <f>計算表!K105</f>
        <v>0</v>
      </c>
      <c r="L105" s="2">
        <f>計算表!L105</f>
        <v>0</v>
      </c>
      <c r="M105" s="2">
        <f>計算表!M105</f>
        <v>0</v>
      </c>
      <c r="N105" s="2">
        <f>計算表!N105</f>
        <v>0</v>
      </c>
      <c r="O105" s="2">
        <f>計算表!O105</f>
        <v>0</v>
      </c>
      <c r="P105" s="2">
        <f>計算表!P105</f>
        <v>0</v>
      </c>
      <c r="Q105" s="2">
        <f>計算表!Q105</f>
        <v>0</v>
      </c>
      <c r="R105" s="2">
        <f>計算表!R105</f>
        <v>0</v>
      </c>
    </row>
    <row r="106" spans="1:18" x14ac:dyDescent="0.25">
      <c r="A106">
        <f t="shared" si="1"/>
        <v>105</v>
      </c>
      <c r="B106" s="2">
        <f>計算表!B106</f>
        <v>0</v>
      </c>
      <c r="C106" s="2" t="str">
        <f>計算表!C106</f>
        <v>5-掉落通則</v>
      </c>
      <c r="D106" s="2" t="str">
        <f>計算表!D106</f>
        <v>加速齒輪固定加成</v>
      </c>
      <c r="E106" s="2" t="str">
        <f>計算表!E106</f>
        <v>實際加成 = 每階×階級 + a</v>
      </c>
      <c r="F106" s="2" t="str">
        <f>計算表!F106</f>
        <v>a=分解速度固定加成（個百分點）。</v>
      </c>
      <c r="G106" s="2">
        <f>計算表!G106</f>
        <v>50</v>
      </c>
      <c r="H106" s="2">
        <f>計算表!H106</f>
        <v>0</v>
      </c>
      <c r="I106" s="2">
        <f>計算表!I106</f>
        <v>0</v>
      </c>
      <c r="J106" s="2">
        <f>計算表!J106</f>
        <v>0</v>
      </c>
      <c r="K106" s="2">
        <f>計算表!K106</f>
        <v>0</v>
      </c>
      <c r="L106" s="2">
        <f>計算表!L106</f>
        <v>0</v>
      </c>
      <c r="M106" s="2">
        <f>計算表!M106</f>
        <v>0</v>
      </c>
      <c r="N106" s="2">
        <f>計算表!N106</f>
        <v>0</v>
      </c>
      <c r="O106" s="2">
        <f>計算表!O106</f>
        <v>0</v>
      </c>
      <c r="P106" s="2">
        <f>計算表!P106</f>
        <v>0</v>
      </c>
      <c r="Q106" s="2">
        <f>計算表!Q106</f>
        <v>0</v>
      </c>
      <c r="R106" s="2">
        <f>計算表!R106</f>
        <v>0</v>
      </c>
    </row>
    <row r="107" spans="1:18" x14ac:dyDescent="0.25">
      <c r="A107">
        <f t="shared" si="1"/>
        <v>106</v>
      </c>
      <c r="B107" s="2">
        <f>計算表!B107</f>
        <v>0</v>
      </c>
      <c r="C107" s="2" t="str">
        <f>計算表!C107</f>
        <v>5-掉落通則</v>
      </c>
      <c r="D107" s="2" t="str">
        <f>計算表!D107</f>
        <v>掉落件數規則(&gt;100%)</v>
      </c>
      <c r="E107" s="2" t="str">
        <f>計算表!E107</f>
        <v>⌊機率/100⌋ + (餘數% 再 1 件)</v>
      </c>
      <c r="F107" s="2" t="str">
        <f>計算表!F107</f>
        <v>每品質獨立擲骰；實際機率 = 表值×(1+有效掉寶率%)，野外菁英再×1.5。</v>
      </c>
      <c r="G107" s="2">
        <f>計算表!G107</f>
        <v>0</v>
      </c>
      <c r="H107" s="2">
        <f>計算表!H107</f>
        <v>0</v>
      </c>
      <c r="I107" s="2">
        <f>計算表!I107</f>
        <v>0</v>
      </c>
      <c r="J107" s="2">
        <f>計算表!J107</f>
        <v>0</v>
      </c>
      <c r="K107" s="2">
        <f>計算表!K107</f>
        <v>0</v>
      </c>
      <c r="L107" s="2">
        <f>計算表!L107</f>
        <v>0</v>
      </c>
      <c r="M107" s="2">
        <f>計算表!M107</f>
        <v>0</v>
      </c>
      <c r="N107" s="2">
        <f>計算表!N107</f>
        <v>0</v>
      </c>
      <c r="O107" s="2">
        <f>計算表!O107</f>
        <v>0</v>
      </c>
      <c r="P107" s="2">
        <f>計算表!P107</f>
        <v>0</v>
      </c>
      <c r="Q107" s="2">
        <f>計算表!Q107</f>
        <v>0</v>
      </c>
      <c r="R107" s="2">
        <f>計算表!R107</f>
        <v>0</v>
      </c>
    </row>
    <row r="108" spans="1:18" x14ac:dyDescent="0.25">
      <c r="A108">
        <f t="shared" si="1"/>
        <v>107</v>
      </c>
      <c r="B108" s="2">
        <f>計算表!B108</f>
        <v>0</v>
      </c>
      <c r="C108" s="2" t="str">
        <f>計算表!C108</f>
        <v>5-稀有度擲骰</v>
      </c>
      <c r="D108" s="2" t="str">
        <f>計算表!D108</f>
        <v>權重加成 b</v>
      </c>
      <c r="E108" s="2" t="str">
        <f>計算表!E108</f>
        <v>b = 1 + 有效掉寶加成/a + 階段×c</v>
      </c>
      <c r="F108" s="2" t="str">
        <f>計算表!F108</f>
        <v>a=掉寶除數 c=每階加成。</v>
      </c>
      <c r="G108" s="2">
        <f>計算表!G108</f>
        <v>200</v>
      </c>
      <c r="H108" s="2">
        <f>計算表!H108</f>
        <v>6.0000000000000001E-3</v>
      </c>
      <c r="I108" s="2">
        <f>計算表!I108</f>
        <v>0</v>
      </c>
      <c r="J108" s="2">
        <f>計算表!J108</f>
        <v>0</v>
      </c>
      <c r="K108" s="2">
        <f>計算表!K108</f>
        <v>0</v>
      </c>
      <c r="L108" s="2">
        <f>計算表!L108</f>
        <v>0</v>
      </c>
      <c r="M108" s="2">
        <f>計算表!M108</f>
        <v>0</v>
      </c>
      <c r="N108" s="2">
        <f>計算表!N108</f>
        <v>0</v>
      </c>
      <c r="O108" s="2">
        <f>計算表!O108</f>
        <v>0</v>
      </c>
      <c r="P108" s="2">
        <f>計算表!P108</f>
        <v>0</v>
      </c>
      <c r="Q108" s="2">
        <f>計算表!Q108</f>
        <v>0</v>
      </c>
      <c r="R108" s="2">
        <f>計算表!R108</f>
        <v>0</v>
      </c>
    </row>
    <row r="109" spans="1:18" x14ac:dyDescent="0.25">
      <c r="A109">
        <f t="shared" si="1"/>
        <v>108</v>
      </c>
      <c r="B109" s="2">
        <f>計算表!B109</f>
        <v>0</v>
      </c>
      <c r="C109" s="2" t="str">
        <f>計算表!C109</f>
        <v>5-稀有度擲骰</v>
      </c>
      <c r="D109" s="2" t="str">
        <f>計算表!D109</f>
        <v>普通 權重</v>
      </c>
      <c r="E109" s="2" t="str">
        <f>計算表!E109</f>
        <v>權重 = a×min(b, c)</v>
      </c>
      <c r="F109" s="2" t="str">
        <f>計算表!F109</f>
        <v>a=基礎權重 b=權重加成 c=加成上限 d=出現門檻。普通無加成。神鑄創世不參與此擲骰。(目前裝備合成功能關閉中)</v>
      </c>
      <c r="G109" s="2">
        <f>計算表!G109</f>
        <v>55</v>
      </c>
      <c r="H109" s="2" t="str">
        <f>計算表!H109</f>
        <v>b</v>
      </c>
      <c r="I109" s="2" t="str">
        <f>計算表!I109</f>
        <v>-</v>
      </c>
      <c r="J109" s="2" t="str">
        <f>計算表!J109</f>
        <v>—</v>
      </c>
      <c r="K109" s="2">
        <f>計算表!K109</f>
        <v>0</v>
      </c>
      <c r="L109" s="2">
        <f>計算表!L109</f>
        <v>0</v>
      </c>
      <c r="M109" s="2">
        <f>計算表!M109</f>
        <v>0</v>
      </c>
      <c r="N109" s="2">
        <f>計算表!N109</f>
        <v>0</v>
      </c>
      <c r="O109" s="2">
        <f>計算表!O109</f>
        <v>0</v>
      </c>
      <c r="P109" s="2">
        <f>計算表!P109</f>
        <v>0</v>
      </c>
      <c r="Q109" s="2">
        <f>計算表!Q109</f>
        <v>0</v>
      </c>
      <c r="R109" s="2">
        <f>計算表!R109</f>
        <v>0</v>
      </c>
    </row>
    <row r="110" spans="1:18" x14ac:dyDescent="0.25">
      <c r="A110">
        <f t="shared" si="1"/>
        <v>109</v>
      </c>
      <c r="B110" s="2">
        <f>計算表!B110</f>
        <v>0</v>
      </c>
      <c r="C110" s="2" t="str">
        <f>計算表!C110</f>
        <v>5-稀有度擲骰</v>
      </c>
      <c r="D110" s="2" t="str">
        <f>計算表!D110</f>
        <v>精良 權重</v>
      </c>
      <c r="E110" s="2" t="str">
        <f>計算表!E110</f>
        <v>權重 = a×min(b, c)</v>
      </c>
      <c r="F110" s="2" t="str">
        <f>計算表!F110</f>
        <v>a=基礎權重 b=權重加成 c=加成上限 d=出現門檻。普通無加成。神鑄創世不參與此擲骰。(目前裝備合成功能關閉中)</v>
      </c>
      <c r="G110" s="2">
        <f>計算表!G110</f>
        <v>25</v>
      </c>
      <c r="H110" s="2" t="str">
        <f>計算表!H110</f>
        <v>b</v>
      </c>
      <c r="I110" s="2">
        <f>計算表!I110</f>
        <v>2</v>
      </c>
      <c r="J110" s="2" t="str">
        <f>計算表!J110</f>
        <v>—</v>
      </c>
      <c r="K110" s="2">
        <f>計算表!K110</f>
        <v>0</v>
      </c>
      <c r="L110" s="2">
        <f>計算表!L110</f>
        <v>0</v>
      </c>
      <c r="M110" s="2">
        <f>計算表!M110</f>
        <v>0</v>
      </c>
      <c r="N110" s="2">
        <f>計算表!N110</f>
        <v>0</v>
      </c>
      <c r="O110" s="2">
        <f>計算表!O110</f>
        <v>0</v>
      </c>
      <c r="P110" s="2">
        <f>計算表!P110</f>
        <v>0</v>
      </c>
      <c r="Q110" s="2">
        <f>計算表!Q110</f>
        <v>0</v>
      </c>
      <c r="R110" s="2">
        <f>計算表!R110</f>
        <v>0</v>
      </c>
    </row>
    <row r="111" spans="1:18" x14ac:dyDescent="0.25">
      <c r="A111">
        <f t="shared" si="1"/>
        <v>110</v>
      </c>
      <c r="B111" s="2">
        <f>計算表!B111</f>
        <v>0</v>
      </c>
      <c r="C111" s="2" t="str">
        <f>計算表!C111</f>
        <v>5-稀有度擲骰</v>
      </c>
      <c r="D111" s="2" t="str">
        <f>計算表!D111</f>
        <v>稀有 權重</v>
      </c>
      <c r="E111" s="2" t="str">
        <f>計算表!E111</f>
        <v>權重 = a×min(b, c)</v>
      </c>
      <c r="F111" s="2" t="str">
        <f>計算表!F111</f>
        <v>a=基礎權重 b=權重加成 c=加成上限 d=出現門檻。普通無加成。神鑄創世不參與此擲骰。(目前裝備合成功能關閉中)</v>
      </c>
      <c r="G111" s="2">
        <f>計算表!G111</f>
        <v>12</v>
      </c>
      <c r="H111" s="2" t="str">
        <f>計算表!H111</f>
        <v>b</v>
      </c>
      <c r="I111" s="2">
        <f>計算表!I111</f>
        <v>2.5</v>
      </c>
      <c r="J111" s="2" t="str">
        <f>計算表!J111</f>
        <v>—</v>
      </c>
      <c r="K111" s="2">
        <f>計算表!K111</f>
        <v>0</v>
      </c>
      <c r="L111" s="2">
        <f>計算表!L111</f>
        <v>0</v>
      </c>
      <c r="M111" s="2">
        <f>計算表!M111</f>
        <v>0</v>
      </c>
      <c r="N111" s="2">
        <f>計算表!N111</f>
        <v>0</v>
      </c>
      <c r="O111" s="2">
        <f>計算表!O111</f>
        <v>0</v>
      </c>
      <c r="P111" s="2">
        <f>計算表!P111</f>
        <v>0</v>
      </c>
      <c r="Q111" s="2">
        <f>計算表!Q111</f>
        <v>0</v>
      </c>
      <c r="R111" s="2">
        <f>計算表!R111</f>
        <v>0</v>
      </c>
    </row>
    <row r="112" spans="1:18" x14ac:dyDescent="0.25">
      <c r="A112">
        <f t="shared" si="1"/>
        <v>111</v>
      </c>
      <c r="B112" s="2">
        <f>計算表!B112</f>
        <v>0</v>
      </c>
      <c r="C112" s="2" t="str">
        <f>計算表!C112</f>
        <v>5-稀有度擲骰</v>
      </c>
      <c r="D112" s="2" t="str">
        <f>計算表!D112</f>
        <v>獨特 權重</v>
      </c>
      <c r="E112" s="2" t="str">
        <f>計算表!E112</f>
        <v>權重 = a×min(b, c)</v>
      </c>
      <c r="F112" s="2" t="str">
        <f>計算表!F112</f>
        <v>a=基礎權重 b=權重加成 c=加成上限 d=出現門檻。普通無加成。神鑄創世不參與此擲骰。(目前裝備合成功能關閉中)</v>
      </c>
      <c r="G112" s="2">
        <f>計算表!G112</f>
        <v>5.5</v>
      </c>
      <c r="H112" s="2" t="str">
        <f>計算表!H112</f>
        <v>b</v>
      </c>
      <c r="I112" s="2">
        <f>計算表!I112</f>
        <v>3</v>
      </c>
      <c r="J112" s="2" t="str">
        <f>計算表!J112</f>
        <v>—</v>
      </c>
      <c r="K112" s="2">
        <f>計算表!K112</f>
        <v>0</v>
      </c>
      <c r="L112" s="2">
        <f>計算表!L112</f>
        <v>0</v>
      </c>
      <c r="M112" s="2">
        <f>計算表!M112</f>
        <v>0</v>
      </c>
      <c r="N112" s="2">
        <f>計算表!N112</f>
        <v>0</v>
      </c>
      <c r="O112" s="2">
        <f>計算表!O112</f>
        <v>0</v>
      </c>
      <c r="P112" s="2">
        <f>計算表!P112</f>
        <v>0</v>
      </c>
      <c r="Q112" s="2">
        <f>計算表!Q112</f>
        <v>0</v>
      </c>
      <c r="R112" s="2">
        <f>計算表!R112</f>
        <v>0</v>
      </c>
    </row>
    <row r="113" spans="1:18" x14ac:dyDescent="0.25">
      <c r="A113">
        <f t="shared" si="1"/>
        <v>112</v>
      </c>
      <c r="B113" s="2">
        <f>計算表!B113</f>
        <v>0</v>
      </c>
      <c r="C113" s="2" t="str">
        <f>計算表!C113</f>
        <v>5-稀有度擲骰</v>
      </c>
      <c r="D113" s="2" t="str">
        <f>計算表!D113</f>
        <v>史詩 權重</v>
      </c>
      <c r="E113" s="2" t="str">
        <f>計算表!E113</f>
        <v>權重 = a×min(b, c)</v>
      </c>
      <c r="F113" s="2" t="str">
        <f>計算表!F113</f>
        <v>a=基礎權重 b=權重加成 c=加成上限 d=出現門檻。普通無加成。神鑄創世不參與此擲骰。(目前裝備合成功能關閉中)</v>
      </c>
      <c r="G113" s="2">
        <f>計算表!G113</f>
        <v>1.8</v>
      </c>
      <c r="H113" s="2" t="str">
        <f>計算表!H113</f>
        <v>b</v>
      </c>
      <c r="I113" s="2">
        <f>計算表!I113</f>
        <v>3.5</v>
      </c>
      <c r="J113" s="2" t="str">
        <f>計算表!J113</f>
        <v>階段 8+</v>
      </c>
      <c r="K113" s="2">
        <f>計算表!K113</f>
        <v>0</v>
      </c>
      <c r="L113" s="2">
        <f>計算表!L113</f>
        <v>0</v>
      </c>
      <c r="M113" s="2">
        <f>計算表!M113</f>
        <v>0</v>
      </c>
      <c r="N113" s="2">
        <f>計算表!N113</f>
        <v>0</v>
      </c>
      <c r="O113" s="2">
        <f>計算表!O113</f>
        <v>0</v>
      </c>
      <c r="P113" s="2">
        <f>計算表!P113</f>
        <v>0</v>
      </c>
      <c r="Q113" s="2">
        <f>計算表!Q113</f>
        <v>0</v>
      </c>
      <c r="R113" s="2">
        <f>計算表!R113</f>
        <v>0</v>
      </c>
    </row>
    <row r="114" spans="1:18" x14ac:dyDescent="0.25">
      <c r="A114">
        <f t="shared" si="1"/>
        <v>113</v>
      </c>
      <c r="B114" s="2">
        <f>計算表!B114</f>
        <v>0</v>
      </c>
      <c r="C114" s="2" t="str">
        <f>計算表!C114</f>
        <v>5-稀有度擲骰</v>
      </c>
      <c r="D114" s="2" t="str">
        <f>計算表!D114</f>
        <v>傳說 權重</v>
      </c>
      <c r="E114" s="2" t="str">
        <f>計算表!E114</f>
        <v>權重 = a×min(b, c)</v>
      </c>
      <c r="F114" s="2" t="str">
        <f>計算表!F114</f>
        <v>a=基礎權重 b=權重加成 c=加成上限 d=出現門檻。普通無加成。神鑄創世不參與此擲骰。(目前裝備合成功能關閉中)</v>
      </c>
      <c r="G114" s="2">
        <f>計算表!G114</f>
        <v>0.35</v>
      </c>
      <c r="H114" s="2" t="str">
        <f>計算表!H114</f>
        <v>b</v>
      </c>
      <c r="I114" s="2">
        <f>計算表!I114</f>
        <v>4</v>
      </c>
      <c r="J114" s="2" t="str">
        <f>計算表!J114</f>
        <v>階段 15+</v>
      </c>
      <c r="K114" s="2">
        <f>計算表!K114</f>
        <v>0</v>
      </c>
      <c r="L114" s="2">
        <f>計算表!L114</f>
        <v>0</v>
      </c>
      <c r="M114" s="2">
        <f>計算表!M114</f>
        <v>0</v>
      </c>
      <c r="N114" s="2">
        <f>計算表!N114</f>
        <v>0</v>
      </c>
      <c r="O114" s="2">
        <f>計算表!O114</f>
        <v>0</v>
      </c>
      <c r="P114" s="2">
        <f>計算表!P114</f>
        <v>0</v>
      </c>
      <c r="Q114" s="2">
        <f>計算表!Q114</f>
        <v>0</v>
      </c>
      <c r="R114" s="2">
        <f>計算表!R114</f>
        <v>0</v>
      </c>
    </row>
    <row r="115" spans="1:18" x14ac:dyDescent="0.25">
      <c r="A115">
        <f t="shared" si="1"/>
        <v>114</v>
      </c>
      <c r="B115" s="2">
        <f>計算表!B115</f>
        <v>0</v>
      </c>
      <c r="C115" s="2" t="str">
        <f>計算表!C115</f>
        <v>5-稀有度擲骰</v>
      </c>
      <c r="D115" s="2" t="str">
        <f>計算表!D115</f>
        <v>神話 權重</v>
      </c>
      <c r="E115" s="2" t="str">
        <f>計算表!E115</f>
        <v>權重 = a×min(b, c)</v>
      </c>
      <c r="F115" s="2" t="str">
        <f>計算表!F115</f>
        <v>a=基礎權重 b=權重加成 c=加成上限 d=出現門檻。普通無加成。神鑄創世不參與此擲骰。(目前裝備合成功能關閉中)</v>
      </c>
      <c r="G115" s="2">
        <f>計算表!G115</f>
        <v>0.08</v>
      </c>
      <c r="H115" s="2" t="str">
        <f>計算表!H115</f>
        <v>b</v>
      </c>
      <c r="I115" s="2">
        <f>計算表!I115</f>
        <v>4.5</v>
      </c>
      <c r="J115" s="2" t="str">
        <f>計算表!J115</f>
        <v>階段 25+</v>
      </c>
      <c r="K115" s="2">
        <f>計算表!K115</f>
        <v>0</v>
      </c>
      <c r="L115" s="2">
        <f>計算表!L115</f>
        <v>0</v>
      </c>
      <c r="M115" s="2">
        <f>計算表!M115</f>
        <v>0</v>
      </c>
      <c r="N115" s="2">
        <f>計算表!N115</f>
        <v>0</v>
      </c>
      <c r="O115" s="2">
        <f>計算表!O115</f>
        <v>0</v>
      </c>
      <c r="P115" s="2">
        <f>計算表!P115</f>
        <v>0</v>
      </c>
      <c r="Q115" s="2">
        <f>計算表!Q115</f>
        <v>0</v>
      </c>
      <c r="R115" s="2">
        <f>計算表!R115</f>
        <v>0</v>
      </c>
    </row>
    <row r="116" spans="1:18" x14ac:dyDescent="0.25">
      <c r="A116">
        <f t="shared" si="1"/>
        <v>115</v>
      </c>
      <c r="B116" s="2">
        <f>計算表!B116</f>
        <v>0</v>
      </c>
      <c r="C116" s="2" t="str">
        <f>計算表!C116</f>
        <v>5-稀有度擲骰</v>
      </c>
      <c r="D116" s="2" t="str">
        <f>計算表!D116</f>
        <v>創世 權重</v>
      </c>
      <c r="E116" s="2" t="str">
        <f>計算表!E116</f>
        <v>權重 = a×min(b, c)</v>
      </c>
      <c r="F116" s="2" t="str">
        <f>計算表!F116</f>
        <v>a=基礎權重 b=權重加成 c=加成上限 d=出現門檻。普通無加成。神鑄創世不參與此擲骰。(目前裝備合成功能關閉中)</v>
      </c>
      <c r="G116" s="2">
        <f>計算表!G116</f>
        <v>1.4999999999999999E-2</v>
      </c>
      <c r="H116" s="2" t="str">
        <f>計算表!H116</f>
        <v>b</v>
      </c>
      <c r="I116" s="2">
        <f>計算表!I116</f>
        <v>5</v>
      </c>
      <c r="J116" s="2" t="str">
        <f>計算表!J116</f>
        <v>階段 40+</v>
      </c>
      <c r="K116" s="2">
        <f>計算表!K116</f>
        <v>0</v>
      </c>
      <c r="L116" s="2">
        <f>計算表!L116</f>
        <v>0</v>
      </c>
      <c r="M116" s="2">
        <f>計算表!M116</f>
        <v>0</v>
      </c>
      <c r="N116" s="2">
        <f>計算表!N116</f>
        <v>0</v>
      </c>
      <c r="O116" s="2">
        <f>計算表!O116</f>
        <v>0</v>
      </c>
      <c r="P116" s="2">
        <f>計算表!P116</f>
        <v>0</v>
      </c>
      <c r="Q116" s="2">
        <f>計算表!Q116</f>
        <v>0</v>
      </c>
      <c r="R116" s="2">
        <f>計算表!R116</f>
        <v>0</v>
      </c>
    </row>
    <row r="117" spans="1:18" x14ac:dyDescent="0.25">
      <c r="A117">
        <f t="shared" si="1"/>
        <v>116</v>
      </c>
      <c r="B117" s="2">
        <f>計算表!B117</f>
        <v>0</v>
      </c>
      <c r="C117" s="2" t="str">
        <f>計算表!C117</f>
        <v>5-野外裝備掉落</v>
      </c>
      <c r="D117" s="2" t="str">
        <f>計算表!D117</f>
        <v>普通裝備</v>
      </c>
      <c r="E117" s="2" t="str">
        <f>計算表!E117</f>
        <v>各怪物等級區間掉落率%（{等級下限~上限=機率}）</v>
      </c>
      <c r="F117" s="2" t="str">
        <f>計算表!F117</f>
        <v>每品質獨立擲骰。實際機率 = 表值×(1+有效掉寶率%)，菁英再×1.5；場景倍率不作用於裝備。</v>
      </c>
      <c r="G117" s="2" t="str">
        <f>計算表!G117</f>
        <v>{1~49=15}</v>
      </c>
      <c r="H117" s="2" t="str">
        <f>計算表!H117</f>
        <v>{50~99=10}</v>
      </c>
      <c r="I117" s="2" t="str">
        <f>計算表!I117</f>
        <v>{100~149=0}</v>
      </c>
      <c r="J117" s="2" t="str">
        <f>計算表!J117</f>
        <v>{150+=0}</v>
      </c>
      <c r="K117" s="2">
        <f>計算表!K117</f>
        <v>0</v>
      </c>
      <c r="L117" s="2">
        <f>計算表!L117</f>
        <v>0</v>
      </c>
      <c r="M117" s="2">
        <f>計算表!M117</f>
        <v>0</v>
      </c>
      <c r="N117" s="2">
        <f>計算表!N117</f>
        <v>0</v>
      </c>
      <c r="O117" s="2">
        <f>計算表!O117</f>
        <v>0</v>
      </c>
      <c r="P117" s="2">
        <f>計算表!P117</f>
        <v>0</v>
      </c>
      <c r="Q117" s="2">
        <f>計算表!Q117</f>
        <v>0</v>
      </c>
      <c r="R117" s="2">
        <f>計算表!R117</f>
        <v>0</v>
      </c>
    </row>
    <row r="118" spans="1:18" x14ac:dyDescent="0.25">
      <c r="A118">
        <f t="shared" si="1"/>
        <v>117</v>
      </c>
      <c r="B118" s="2">
        <f>計算表!B118</f>
        <v>0</v>
      </c>
      <c r="C118" s="2" t="str">
        <f>計算表!C118</f>
        <v>5-野外裝備掉落</v>
      </c>
      <c r="D118" s="2" t="str">
        <f>計算表!D118</f>
        <v>精良裝備</v>
      </c>
      <c r="E118" s="2" t="str">
        <f>計算表!E118</f>
        <v>各怪物等級區間掉落率%（{等級下限~上限=機率}）</v>
      </c>
      <c r="F118" s="2" t="str">
        <f>計算表!F118</f>
        <v>每品質獨立擲骰。實際機率 = 表值×(1+有效掉寶率%)，菁英再×1.5；場景倍率不作用於裝備。</v>
      </c>
      <c r="G118" s="2" t="str">
        <f>計算表!G118</f>
        <v>{1~49=10}</v>
      </c>
      <c r="H118" s="2" t="str">
        <f>計算表!H118</f>
        <v>{50~99=10}</v>
      </c>
      <c r="I118" s="2" t="str">
        <f>計算表!I118</f>
        <v>{100~149=10}</v>
      </c>
      <c r="J118" s="2" t="str">
        <f>計算表!J118</f>
        <v>{150+=0}</v>
      </c>
      <c r="K118" s="2">
        <f>計算表!K118</f>
        <v>0</v>
      </c>
      <c r="L118" s="2">
        <f>計算表!L118</f>
        <v>0</v>
      </c>
      <c r="M118" s="2">
        <f>計算表!M118</f>
        <v>0</v>
      </c>
      <c r="N118" s="2">
        <f>計算表!N118</f>
        <v>0</v>
      </c>
      <c r="O118" s="2">
        <f>計算表!O118</f>
        <v>0</v>
      </c>
      <c r="P118" s="2">
        <f>計算表!P118</f>
        <v>0</v>
      </c>
      <c r="Q118" s="2">
        <f>計算表!Q118</f>
        <v>0</v>
      </c>
      <c r="R118" s="2">
        <f>計算表!R118</f>
        <v>0</v>
      </c>
    </row>
    <row r="119" spans="1:18" x14ac:dyDescent="0.25">
      <c r="A119">
        <f t="shared" si="1"/>
        <v>118</v>
      </c>
      <c r="B119" s="2">
        <f>計算表!B119</f>
        <v>0</v>
      </c>
      <c r="C119" s="2" t="str">
        <f>計算表!C119</f>
        <v>5-野外裝備掉落</v>
      </c>
      <c r="D119" s="2" t="str">
        <f>計算表!D119</f>
        <v>稀有裝備</v>
      </c>
      <c r="E119" s="2" t="str">
        <f>計算表!E119</f>
        <v>各怪物等級區間掉落率%（{等級下限~上限=機率}）</v>
      </c>
      <c r="F119" s="2" t="str">
        <f>計算表!F119</f>
        <v>每品質獨立擲骰。實際機率 = 表值×(1+有效掉寶率%)，菁英再×1.5；場景倍率不作用於裝備。</v>
      </c>
      <c r="G119" s="2" t="str">
        <f>計算表!G119</f>
        <v>{1~49=5}</v>
      </c>
      <c r="H119" s="2" t="str">
        <f>計算表!H119</f>
        <v>{50~99=5}</v>
      </c>
      <c r="I119" s="2" t="str">
        <f>計算表!I119</f>
        <v>{100~149=8}</v>
      </c>
      <c r="J119" s="2" t="str">
        <f>計算表!J119</f>
        <v>{150+=0}</v>
      </c>
      <c r="K119" s="2">
        <f>計算表!K119</f>
        <v>0</v>
      </c>
      <c r="L119" s="2">
        <f>計算表!L119</f>
        <v>0</v>
      </c>
      <c r="M119" s="2">
        <f>計算表!M119</f>
        <v>0</v>
      </c>
      <c r="N119" s="2">
        <f>計算表!N119</f>
        <v>0</v>
      </c>
      <c r="O119" s="2">
        <f>計算表!O119</f>
        <v>0</v>
      </c>
      <c r="P119" s="2">
        <f>計算表!P119</f>
        <v>0</v>
      </c>
      <c r="Q119" s="2">
        <f>計算表!Q119</f>
        <v>0</v>
      </c>
      <c r="R119" s="2">
        <f>計算表!R119</f>
        <v>0</v>
      </c>
    </row>
    <row r="120" spans="1:18" x14ac:dyDescent="0.25">
      <c r="A120">
        <f t="shared" si="1"/>
        <v>119</v>
      </c>
      <c r="B120" s="2">
        <f>計算表!B120</f>
        <v>0</v>
      </c>
      <c r="C120" s="2" t="str">
        <f>計算表!C120</f>
        <v>5-野外裝備掉落</v>
      </c>
      <c r="D120" s="2" t="str">
        <f>計算表!D120</f>
        <v>獨特裝備</v>
      </c>
      <c r="E120" s="2" t="str">
        <f>計算表!E120</f>
        <v>各怪物等級區間掉落率%（{等級下限~上限=機率}）</v>
      </c>
      <c r="F120" s="2" t="str">
        <f>計算表!F120</f>
        <v>每品質獨立擲骰。實際機率 = 表值×(1+有效掉寶率%)，菁英再×1.5；場景倍率不作用於裝備。</v>
      </c>
      <c r="G120" s="2" t="str">
        <f>計算表!G120</f>
        <v>{1~49=0}</v>
      </c>
      <c r="H120" s="2" t="str">
        <f>計算表!H120</f>
        <v>{50~99=5}</v>
      </c>
      <c r="I120" s="2" t="str">
        <f>計算表!I120</f>
        <v>{100~149=6}</v>
      </c>
      <c r="J120" s="2" t="str">
        <f>計算表!J120</f>
        <v>{150+=10}</v>
      </c>
      <c r="K120" s="2">
        <f>計算表!K120</f>
        <v>0</v>
      </c>
      <c r="L120" s="2">
        <f>計算表!L120</f>
        <v>0</v>
      </c>
      <c r="M120" s="2">
        <f>計算表!M120</f>
        <v>0</v>
      </c>
      <c r="N120" s="2">
        <f>計算表!N120</f>
        <v>0</v>
      </c>
      <c r="O120" s="2">
        <f>計算表!O120</f>
        <v>0</v>
      </c>
      <c r="P120" s="2">
        <f>計算表!P120</f>
        <v>0</v>
      </c>
      <c r="Q120" s="2">
        <f>計算表!Q120</f>
        <v>0</v>
      </c>
      <c r="R120" s="2">
        <f>計算表!R120</f>
        <v>0</v>
      </c>
    </row>
    <row r="121" spans="1:18" x14ac:dyDescent="0.25">
      <c r="A121">
        <f t="shared" si="1"/>
        <v>120</v>
      </c>
      <c r="B121" s="2">
        <f>計算表!B121</f>
        <v>0</v>
      </c>
      <c r="C121" s="2" t="str">
        <f>計算表!C121</f>
        <v>5-野外裝備掉落</v>
      </c>
      <c r="D121" s="2" t="str">
        <f>計算表!D121</f>
        <v>史詩裝備</v>
      </c>
      <c r="E121" s="2" t="str">
        <f>計算表!E121</f>
        <v>各怪物等級區間掉落率%（{等級下限~上限=機率}）</v>
      </c>
      <c r="F121" s="2" t="str">
        <f>計算表!F121</f>
        <v>每品質獨立擲骰。實際機率 = 表值×(1+有效掉寶率%)，菁英再×1.5；場景倍率不作用於裝備。</v>
      </c>
      <c r="G121" s="2" t="str">
        <f>計算表!G121</f>
        <v>{1~49=0}</v>
      </c>
      <c r="H121" s="2" t="str">
        <f>計算表!H121</f>
        <v>{50~99=0}</v>
      </c>
      <c r="I121" s="2" t="str">
        <f>計算表!I121</f>
        <v>{100~149=5}</v>
      </c>
      <c r="J121" s="2" t="str">
        <f>計算表!J121</f>
        <v>{150+=4}</v>
      </c>
      <c r="K121" s="2">
        <f>計算表!K121</f>
        <v>0</v>
      </c>
      <c r="L121" s="2">
        <f>計算表!L121</f>
        <v>0</v>
      </c>
      <c r="M121" s="2">
        <f>計算表!M121</f>
        <v>0</v>
      </c>
      <c r="N121" s="2">
        <f>計算表!N121</f>
        <v>0</v>
      </c>
      <c r="O121" s="2">
        <f>計算表!O121</f>
        <v>0</v>
      </c>
      <c r="P121" s="2">
        <f>計算表!P121</f>
        <v>0</v>
      </c>
      <c r="Q121" s="2">
        <f>計算表!Q121</f>
        <v>0</v>
      </c>
      <c r="R121" s="2">
        <f>計算表!R121</f>
        <v>0</v>
      </c>
    </row>
    <row r="122" spans="1:18" x14ac:dyDescent="0.25">
      <c r="A122">
        <f t="shared" si="1"/>
        <v>121</v>
      </c>
      <c r="B122" s="2">
        <f>計算表!B122</f>
        <v>0</v>
      </c>
      <c r="C122" s="2" t="str">
        <f>計算表!C122</f>
        <v>5-野外裝備掉落</v>
      </c>
      <c r="D122" s="2" t="str">
        <f>計算表!D122</f>
        <v>傳說裝備</v>
      </c>
      <c r="E122" s="2" t="str">
        <f>計算表!E122</f>
        <v>各怪物等級區間掉落率%（{等級下限~上限=機率}）</v>
      </c>
      <c r="F122" s="2" t="str">
        <f>計算表!F122</f>
        <v>每品質獨立擲骰。實際機率 = 表值×(1+有效掉寶率%)，菁英再×1.5；場景倍率不作用於裝備。</v>
      </c>
      <c r="G122" s="2" t="str">
        <f>計算表!G122</f>
        <v>{1~49=0}</v>
      </c>
      <c r="H122" s="2" t="str">
        <f>計算表!H122</f>
        <v>{50~99=0}</v>
      </c>
      <c r="I122" s="2" t="str">
        <f>計算表!I122</f>
        <v>{100~149=1.5}</v>
      </c>
      <c r="J122" s="2" t="str">
        <f>計算表!J122</f>
        <v>{150+=2}</v>
      </c>
      <c r="K122" s="2">
        <f>計算表!K122</f>
        <v>0</v>
      </c>
      <c r="L122" s="2">
        <f>計算表!L122</f>
        <v>0</v>
      </c>
      <c r="M122" s="2">
        <f>計算表!M122</f>
        <v>0</v>
      </c>
      <c r="N122" s="2">
        <f>計算表!N122</f>
        <v>0</v>
      </c>
      <c r="O122" s="2">
        <f>計算表!O122</f>
        <v>0</v>
      </c>
      <c r="P122" s="2">
        <f>計算表!P122</f>
        <v>0</v>
      </c>
      <c r="Q122" s="2">
        <f>計算表!Q122</f>
        <v>0</v>
      </c>
      <c r="R122" s="2">
        <f>計算表!R122</f>
        <v>0</v>
      </c>
    </row>
    <row r="123" spans="1:18" x14ac:dyDescent="0.25">
      <c r="A123">
        <f t="shared" si="1"/>
        <v>122</v>
      </c>
      <c r="B123" s="2">
        <f>計算表!B123</f>
        <v>0</v>
      </c>
      <c r="C123" s="2" t="str">
        <f>計算表!C123</f>
        <v>5-野外裝備掉落</v>
      </c>
      <c r="D123" s="2" t="str">
        <f>計算表!D123</f>
        <v>神話裝備</v>
      </c>
      <c r="E123" s="2" t="str">
        <f>計算表!E123</f>
        <v>各怪物等級區間掉落率%（{等級下限~上限=機率}）</v>
      </c>
      <c r="F123" s="2" t="str">
        <f>計算表!F123</f>
        <v>每品質獨立擲骰。實際機率 = 表值×(1+有效掉寶率%)，菁英再×1.5；場景倍率不作用於裝備。</v>
      </c>
      <c r="G123" s="2" t="str">
        <f>計算表!G123</f>
        <v>{1~49=0}</v>
      </c>
      <c r="H123" s="2" t="str">
        <f>計算表!H123</f>
        <v>{50~99=0}</v>
      </c>
      <c r="I123" s="2" t="str">
        <f>計算表!I123</f>
        <v>{100~149=0}</v>
      </c>
      <c r="J123" s="2" t="str">
        <f>計算表!J123</f>
        <v>{150+=0.2}</v>
      </c>
      <c r="K123" s="2">
        <f>計算表!K123</f>
        <v>0</v>
      </c>
      <c r="L123" s="2">
        <f>計算表!L123</f>
        <v>0</v>
      </c>
      <c r="M123" s="2">
        <f>計算表!M123</f>
        <v>0</v>
      </c>
      <c r="N123" s="2">
        <f>計算表!N123</f>
        <v>0</v>
      </c>
      <c r="O123" s="2">
        <f>計算表!O123</f>
        <v>0</v>
      </c>
      <c r="P123" s="2">
        <f>計算表!P123</f>
        <v>0</v>
      </c>
      <c r="Q123" s="2">
        <f>計算表!Q123</f>
        <v>0</v>
      </c>
      <c r="R123" s="2">
        <f>計算表!R123</f>
        <v>0</v>
      </c>
    </row>
    <row r="124" spans="1:18" x14ac:dyDescent="0.25">
      <c r="A124">
        <f t="shared" si="1"/>
        <v>123</v>
      </c>
      <c r="B124" s="2">
        <f>計算表!B124</f>
        <v>0</v>
      </c>
      <c r="C124" s="2" t="str">
        <f>計算表!C124</f>
        <v>5-野外裝備掉落</v>
      </c>
      <c r="D124" s="2" t="str">
        <f>計算表!D124</f>
        <v>創世裝備</v>
      </c>
      <c r="E124" s="2" t="str">
        <f>計算表!E124</f>
        <v>各怪物等級區間掉落率%（{等級下限~上限=機率}）</v>
      </c>
      <c r="F124" s="2" t="str">
        <f>計算表!F124</f>
        <v>每品質獨立擲骰。實際機率 = 表值×(1+有效掉寶率%)，菁英再×1.5；場景倍率不作用於裝備。</v>
      </c>
      <c r="G124" s="2" t="str">
        <f>計算表!G124</f>
        <v>{1~49=0}</v>
      </c>
      <c r="H124" s="2" t="str">
        <f>計算表!H124</f>
        <v>{50~99=0}</v>
      </c>
      <c r="I124" s="2" t="str">
        <f>計算表!I124</f>
        <v>{100~149=0}</v>
      </c>
      <c r="J124" s="2" t="str">
        <f>計算表!J124</f>
        <v>{150+=0}</v>
      </c>
      <c r="K124" s="2">
        <f>計算表!K124</f>
        <v>0</v>
      </c>
      <c r="L124" s="2">
        <f>計算表!L124</f>
        <v>0</v>
      </c>
      <c r="M124" s="2">
        <f>計算表!M124</f>
        <v>0</v>
      </c>
      <c r="N124" s="2">
        <f>計算表!N124</f>
        <v>0</v>
      </c>
      <c r="O124" s="2">
        <f>計算表!O124</f>
        <v>0</v>
      </c>
      <c r="P124" s="2">
        <f>計算表!P124</f>
        <v>0</v>
      </c>
      <c r="Q124" s="2">
        <f>計算表!Q124</f>
        <v>0</v>
      </c>
      <c r="R124" s="2">
        <f>計算表!R124</f>
        <v>0</v>
      </c>
    </row>
    <row r="125" spans="1:18" x14ac:dyDescent="0.25">
      <c r="A125">
        <f t="shared" si="1"/>
        <v>124</v>
      </c>
      <c r="B125" s="2">
        <f>計算表!B125</f>
        <v>0</v>
      </c>
      <c r="C125" s="2" t="str">
        <f>計算表!C125</f>
        <v>5-野外寶石掉落</v>
      </c>
      <c r="D125" s="2" t="str">
        <f>計算表!D125</f>
        <v>怪物等級 1~50</v>
      </c>
      <c r="E125" s="2" t="str">
        <f>計算表!E125</f>
        <v>各階級獨立判定機率%</v>
      </c>
      <c r="F125" s="2" t="str">
        <f>計算表!F125</f>
        <v>a=1級 b=2級 c=3級 d=4級 e=5級。實際機率 ×(1+掉寶率%)×場景倍率。</v>
      </c>
      <c r="G125" s="2">
        <f>計算表!G125</f>
        <v>2</v>
      </c>
      <c r="H125" s="2">
        <f>計算表!H125</f>
        <v>0.5</v>
      </c>
      <c r="I125" s="2">
        <f>計算表!I125</f>
        <v>0.2</v>
      </c>
      <c r="J125" s="2">
        <f>計算表!J125</f>
        <v>0</v>
      </c>
      <c r="K125" s="2">
        <f>計算表!K125</f>
        <v>0</v>
      </c>
      <c r="L125" s="2">
        <f>計算表!L125</f>
        <v>0</v>
      </c>
      <c r="M125" s="2">
        <f>計算表!M125</f>
        <v>0</v>
      </c>
      <c r="N125" s="2">
        <f>計算表!N125</f>
        <v>0</v>
      </c>
      <c r="O125" s="2">
        <f>計算表!O125</f>
        <v>0</v>
      </c>
      <c r="P125" s="2">
        <f>計算表!P125</f>
        <v>0</v>
      </c>
      <c r="Q125" s="2">
        <f>計算表!Q125</f>
        <v>0</v>
      </c>
      <c r="R125" s="2">
        <f>計算表!R125</f>
        <v>0</v>
      </c>
    </row>
    <row r="126" spans="1:18" x14ac:dyDescent="0.25">
      <c r="A126">
        <f t="shared" si="1"/>
        <v>125</v>
      </c>
      <c r="B126" s="2">
        <f>計算表!B126</f>
        <v>0</v>
      </c>
      <c r="C126" s="2" t="str">
        <f>計算表!C126</f>
        <v>5-野外寶石掉落</v>
      </c>
      <c r="D126" s="2" t="str">
        <f>計算表!D126</f>
        <v>怪物等級 51~100</v>
      </c>
      <c r="E126" s="2" t="str">
        <f>計算表!E126</f>
        <v>各階級獨立判定機率%</v>
      </c>
      <c r="F126" s="2" t="str">
        <f>計算表!F126</f>
        <v>a=1級 b=2級 c=3級 d=4級 e=5級。實際機率 ×(1+掉寶率%)×場景倍率。</v>
      </c>
      <c r="G126" s="2">
        <f>計算表!G126</f>
        <v>4</v>
      </c>
      <c r="H126" s="2">
        <f>計算表!H126</f>
        <v>0.8</v>
      </c>
      <c r="I126" s="2">
        <f>計算表!I126</f>
        <v>0.3</v>
      </c>
      <c r="J126" s="2">
        <f>計算表!J126</f>
        <v>0</v>
      </c>
      <c r="K126" s="2">
        <f>計算表!K126</f>
        <v>0</v>
      </c>
      <c r="L126" s="2">
        <f>計算表!L126</f>
        <v>0</v>
      </c>
      <c r="M126" s="2">
        <f>計算表!M126</f>
        <v>0</v>
      </c>
      <c r="N126" s="2">
        <f>計算表!N126</f>
        <v>0</v>
      </c>
      <c r="O126" s="2">
        <f>計算表!O126</f>
        <v>0</v>
      </c>
      <c r="P126" s="2">
        <f>計算表!P126</f>
        <v>0</v>
      </c>
      <c r="Q126" s="2">
        <f>計算表!Q126</f>
        <v>0</v>
      </c>
      <c r="R126" s="2">
        <f>計算表!R126</f>
        <v>0</v>
      </c>
    </row>
    <row r="127" spans="1:18" x14ac:dyDescent="0.25">
      <c r="A127">
        <f t="shared" si="1"/>
        <v>126</v>
      </c>
      <c r="B127" s="2">
        <f>計算表!B127</f>
        <v>0</v>
      </c>
      <c r="C127" s="2" t="str">
        <f>計算表!C127</f>
        <v>5-野外寶石掉落</v>
      </c>
      <c r="D127" s="2" t="str">
        <f>計算表!D127</f>
        <v>怪物等級 101~150</v>
      </c>
      <c r="E127" s="2" t="str">
        <f>計算表!E127</f>
        <v>各階級獨立判定機率%</v>
      </c>
      <c r="F127" s="2" t="str">
        <f>計算表!F127</f>
        <v>a=1級 b=2級 c=3級 d=4級 e=5級。實際機率 ×(1+掉寶率%)×場景倍率。</v>
      </c>
      <c r="G127" s="2">
        <f>計算表!G127</f>
        <v>6</v>
      </c>
      <c r="H127" s="2">
        <f>計算表!H127</f>
        <v>1.1000000000000001</v>
      </c>
      <c r="I127" s="2">
        <f>計算表!I127</f>
        <v>0.4</v>
      </c>
      <c r="J127" s="2">
        <f>計算表!J127</f>
        <v>0</v>
      </c>
      <c r="K127" s="2">
        <f>計算表!K127</f>
        <v>0</v>
      </c>
      <c r="L127" s="2">
        <f>計算表!L127</f>
        <v>0</v>
      </c>
      <c r="M127" s="2">
        <f>計算表!M127</f>
        <v>0</v>
      </c>
      <c r="N127" s="2">
        <f>計算表!N127</f>
        <v>0</v>
      </c>
      <c r="O127" s="2">
        <f>計算表!O127</f>
        <v>0</v>
      </c>
      <c r="P127" s="2">
        <f>計算表!P127</f>
        <v>0</v>
      </c>
      <c r="Q127" s="2">
        <f>計算表!Q127</f>
        <v>0</v>
      </c>
      <c r="R127" s="2">
        <f>計算表!R127</f>
        <v>0</v>
      </c>
    </row>
    <row r="128" spans="1:18" x14ac:dyDescent="0.25">
      <c r="A128">
        <f t="shared" si="1"/>
        <v>127</v>
      </c>
      <c r="B128" s="2">
        <f>計算表!B128</f>
        <v>0</v>
      </c>
      <c r="C128" s="2" t="str">
        <f>計算表!C128</f>
        <v>5-野外寶石掉落</v>
      </c>
      <c r="D128" s="2" t="str">
        <f>計算表!D128</f>
        <v>怪物等級 151~200</v>
      </c>
      <c r="E128" s="2" t="str">
        <f>計算表!E128</f>
        <v>各階級獨立判定機率%</v>
      </c>
      <c r="F128" s="2" t="str">
        <f>計算表!F128</f>
        <v>a=1級 b=2級 c=3級 d=4級 e=5級。實際機率 ×(1+掉寶率%)×場景倍率。</v>
      </c>
      <c r="G128" s="2">
        <f>計算表!G128</f>
        <v>8</v>
      </c>
      <c r="H128" s="2">
        <f>計算表!H128</f>
        <v>1.4</v>
      </c>
      <c r="I128" s="2">
        <f>計算表!I128</f>
        <v>0.5</v>
      </c>
      <c r="J128" s="2">
        <f>計算表!J128</f>
        <v>0.1</v>
      </c>
      <c r="K128" s="2">
        <f>計算表!K128</f>
        <v>0</v>
      </c>
      <c r="L128" s="2">
        <f>計算表!L128</f>
        <v>0</v>
      </c>
      <c r="M128" s="2">
        <f>計算表!M128</f>
        <v>0</v>
      </c>
      <c r="N128" s="2">
        <f>計算表!N128</f>
        <v>0</v>
      </c>
      <c r="O128" s="2">
        <f>計算表!O128</f>
        <v>0</v>
      </c>
      <c r="P128" s="2">
        <f>計算表!P128</f>
        <v>0</v>
      </c>
      <c r="Q128" s="2">
        <f>計算表!Q128</f>
        <v>0</v>
      </c>
      <c r="R128" s="2">
        <f>計算表!R128</f>
        <v>0</v>
      </c>
    </row>
    <row r="129" spans="1:18" x14ac:dyDescent="0.25">
      <c r="A129">
        <f t="shared" si="1"/>
        <v>128</v>
      </c>
      <c r="B129" s="2">
        <f>計算表!B129</f>
        <v>0</v>
      </c>
      <c r="C129" s="2" t="str">
        <f>計算表!C129</f>
        <v>5-野外寶石掉落</v>
      </c>
      <c r="D129" s="2" t="str">
        <f>計算表!D129</f>
        <v>怪物等級 201~250</v>
      </c>
      <c r="E129" s="2" t="str">
        <f>計算表!E129</f>
        <v>各階級獨立判定機率%</v>
      </c>
      <c r="F129" s="2" t="str">
        <f>計算表!F129</f>
        <v>a=1級 b=2級 c=3級 d=4級 e=5級。實際機率 ×(1+掉寶率%)×場景倍率。</v>
      </c>
      <c r="G129" s="2">
        <f>計算表!G129</f>
        <v>10</v>
      </c>
      <c r="H129" s="2">
        <f>計算表!H129</f>
        <v>1.7</v>
      </c>
      <c r="I129" s="2">
        <f>計算表!I129</f>
        <v>0.6</v>
      </c>
      <c r="J129" s="2">
        <f>計算表!J129</f>
        <v>0.2</v>
      </c>
      <c r="K129" s="2">
        <f>計算表!K129</f>
        <v>0</v>
      </c>
      <c r="L129" s="2">
        <f>計算表!L129</f>
        <v>0</v>
      </c>
      <c r="M129" s="2">
        <f>計算表!M129</f>
        <v>0</v>
      </c>
      <c r="N129" s="2">
        <f>計算表!N129</f>
        <v>0</v>
      </c>
      <c r="O129" s="2">
        <f>計算表!O129</f>
        <v>0</v>
      </c>
      <c r="P129" s="2">
        <f>計算表!P129</f>
        <v>0</v>
      </c>
      <c r="Q129" s="2">
        <f>計算表!Q129</f>
        <v>0</v>
      </c>
      <c r="R129" s="2">
        <f>計算表!R129</f>
        <v>0</v>
      </c>
    </row>
    <row r="130" spans="1:18" x14ac:dyDescent="0.25">
      <c r="A130">
        <f t="shared" si="1"/>
        <v>129</v>
      </c>
      <c r="B130" s="2">
        <f>計算表!B130</f>
        <v>0</v>
      </c>
      <c r="C130" s="2" t="str">
        <f>計算表!C130</f>
        <v>5-野外寶石掉落</v>
      </c>
      <c r="D130" s="2" t="str">
        <f>計算表!D130</f>
        <v>怪物等級 251~300</v>
      </c>
      <c r="E130" s="2" t="str">
        <f>計算表!E130</f>
        <v>各階級獨立判定機率%</v>
      </c>
      <c r="F130" s="2" t="str">
        <f>計算表!F130</f>
        <v>a=1級 b=2級 c=3級 d=4級 e=5級。實際機率 ×(1+掉寶率%)×場景倍率。</v>
      </c>
      <c r="G130" s="2">
        <f>計算表!G130</f>
        <v>12</v>
      </c>
      <c r="H130" s="2">
        <f>計算表!H130</f>
        <v>2</v>
      </c>
      <c r="I130" s="2">
        <f>計算表!I130</f>
        <v>0.7</v>
      </c>
      <c r="J130" s="2">
        <f>計算表!J130</f>
        <v>0.3</v>
      </c>
      <c r="K130" s="2">
        <f>計算表!K130</f>
        <v>0.2</v>
      </c>
      <c r="L130" s="2">
        <f>計算表!L130</f>
        <v>0</v>
      </c>
      <c r="M130" s="2">
        <f>計算表!M130</f>
        <v>0</v>
      </c>
      <c r="N130" s="2">
        <f>計算表!N130</f>
        <v>0</v>
      </c>
      <c r="O130" s="2">
        <f>計算表!O130</f>
        <v>0</v>
      </c>
      <c r="P130" s="2">
        <f>計算表!P130</f>
        <v>0</v>
      </c>
      <c r="Q130" s="2">
        <f>計算表!Q130</f>
        <v>0</v>
      </c>
      <c r="R130" s="2">
        <f>計算表!R130</f>
        <v>0</v>
      </c>
    </row>
    <row r="131" spans="1:18" x14ac:dyDescent="0.25">
      <c r="A131">
        <f t="shared" si="1"/>
        <v>130</v>
      </c>
      <c r="B131" s="2">
        <f>計算表!B131</f>
        <v>0</v>
      </c>
      <c r="C131" s="2" t="str">
        <f>計算表!C131</f>
        <v>5-野外寶石掉落</v>
      </c>
      <c r="D131" s="2" t="str">
        <f>計算表!D131</f>
        <v>怪物等級 301+</v>
      </c>
      <c r="E131" s="2" t="str">
        <f>計算表!E131</f>
        <v>各階級獨立判定機率%</v>
      </c>
      <c r="F131" s="2" t="str">
        <f>計算表!F131</f>
        <v>a=1級 b=2級 c=3級 d=4級 e=5級。實際機率 ×(1+掉寶率%)×場景倍率。</v>
      </c>
      <c r="G131" s="2">
        <f>計算表!G131</f>
        <v>14</v>
      </c>
      <c r="H131" s="2">
        <f>計算表!H131</f>
        <v>2.2999999999999998</v>
      </c>
      <c r="I131" s="2">
        <f>計算表!I131</f>
        <v>0.8</v>
      </c>
      <c r="J131" s="2">
        <f>計算表!J131</f>
        <v>0.4</v>
      </c>
      <c r="K131" s="2">
        <f>計算表!K131</f>
        <v>0.3</v>
      </c>
      <c r="L131" s="2">
        <f>計算表!L131</f>
        <v>0</v>
      </c>
      <c r="M131" s="2">
        <f>計算表!M131</f>
        <v>0</v>
      </c>
      <c r="N131" s="2">
        <f>計算表!N131</f>
        <v>0</v>
      </c>
      <c r="O131" s="2">
        <f>計算表!O131</f>
        <v>0</v>
      </c>
      <c r="P131" s="2">
        <f>計算表!P131</f>
        <v>0</v>
      </c>
      <c r="Q131" s="2">
        <f>計算表!Q131</f>
        <v>0</v>
      </c>
      <c r="R131" s="2">
        <f>計算表!R131</f>
        <v>0</v>
      </c>
    </row>
    <row r="132" spans="1:18" x14ac:dyDescent="0.25">
      <c r="A132">
        <f t="shared" ref="A132:A195" si="2">A131+1</f>
        <v>131</v>
      </c>
      <c r="B132" s="2">
        <f>計算表!B132</f>
        <v>0</v>
      </c>
      <c r="C132" s="2" t="str">
        <f>計算表!C132</f>
        <v>5-野外材料</v>
      </c>
      <c r="D132" s="2" t="str">
        <f>計算表!D132</f>
        <v>附魔書</v>
      </c>
      <c r="E132" s="2" t="str">
        <f>計算表!E132</f>
        <v>a% × (1+掉寶率%) × 場景倍率</v>
      </c>
      <c r="F132" s="2" t="str">
        <f>計算表!F132</f>
        <v>階段 8+，隨機一種。</v>
      </c>
      <c r="G132" s="2">
        <f>計算表!G132</f>
        <v>4</v>
      </c>
      <c r="H132" s="2">
        <f>計算表!H132</f>
        <v>0</v>
      </c>
      <c r="I132" s="2">
        <f>計算表!I132</f>
        <v>0</v>
      </c>
      <c r="J132" s="2">
        <f>計算表!J132</f>
        <v>0</v>
      </c>
      <c r="K132" s="2">
        <f>計算表!K132</f>
        <v>0</v>
      </c>
      <c r="L132" s="2">
        <f>計算表!L132</f>
        <v>0</v>
      </c>
      <c r="M132" s="2">
        <f>計算表!M132</f>
        <v>0</v>
      </c>
      <c r="N132" s="2">
        <f>計算表!N132</f>
        <v>0</v>
      </c>
      <c r="O132" s="2">
        <f>計算表!O132</f>
        <v>0</v>
      </c>
      <c r="P132" s="2">
        <f>計算表!P132</f>
        <v>0</v>
      </c>
      <c r="Q132" s="2">
        <f>計算表!Q132</f>
        <v>0</v>
      </c>
      <c r="R132" s="2">
        <f>計算表!R132</f>
        <v>0</v>
      </c>
    </row>
    <row r="133" spans="1:18" x14ac:dyDescent="0.25">
      <c r="A133">
        <f t="shared" si="2"/>
        <v>132</v>
      </c>
      <c r="B133" s="2">
        <f>計算表!B133</f>
        <v>0</v>
      </c>
      <c r="C133" s="2" t="str">
        <f>計算表!C133</f>
        <v>5-野外材料</v>
      </c>
      <c r="D133" s="2" t="str">
        <f>計算表!D133</f>
        <v>魔塵</v>
      </c>
      <c r="E133" s="2" t="str">
        <f>計算表!E133</f>
        <v>min(a%, b% + (敵人等級-c)×d%)</v>
      </c>
      <c r="F133" s="2" t="str">
        <f>計算表!F133</f>
        <v>敵人等級 150+，每次成功固定 1 顆；不受掉寶率與場景倍率影響。</v>
      </c>
      <c r="G133" s="2">
        <f>計算表!G133</f>
        <v>5</v>
      </c>
      <c r="H133" s="2">
        <f>計算表!H133</f>
        <v>0.1</v>
      </c>
      <c r="I133" s="2">
        <f>計算表!I133</f>
        <v>150</v>
      </c>
      <c r="J133" s="2">
        <f>計算表!J133</f>
        <v>0.1</v>
      </c>
      <c r="K133" s="2">
        <f>計算表!K133</f>
        <v>0</v>
      </c>
      <c r="L133" s="2">
        <f>計算表!L133</f>
        <v>0</v>
      </c>
      <c r="M133" s="2">
        <f>計算表!M133</f>
        <v>0</v>
      </c>
      <c r="N133" s="2">
        <f>計算表!N133</f>
        <v>0</v>
      </c>
      <c r="O133" s="2">
        <f>計算表!O133</f>
        <v>0</v>
      </c>
      <c r="P133" s="2">
        <f>計算表!P133</f>
        <v>0</v>
      </c>
      <c r="Q133" s="2">
        <f>計算表!Q133</f>
        <v>0</v>
      </c>
      <c r="R133" s="2">
        <f>計算表!R133</f>
        <v>0</v>
      </c>
    </row>
    <row r="134" spans="1:18" x14ac:dyDescent="0.25">
      <c r="A134">
        <f t="shared" si="2"/>
        <v>133</v>
      </c>
      <c r="B134" s="2">
        <f>計算表!B134</f>
        <v>0</v>
      </c>
      <c r="C134" s="2" t="str">
        <f>計算表!C134</f>
        <v>5-野外材料</v>
      </c>
      <c r="D134" s="2" t="str">
        <f>計算表!D134</f>
        <v>太古精華</v>
      </c>
      <c r="E134" s="2" t="str">
        <f>計算表!E134</f>
        <v>min(a%, b% + (敵人等級-c)×d%)</v>
      </c>
      <c r="F134" s="2" t="str">
        <f>計算表!F134</f>
        <v>敵人等級 250+，每隻獨立判定 1 顆；不受掉寶率與場景倍率影響。</v>
      </c>
      <c r="G134" s="2">
        <f>計算表!G134</f>
        <v>20</v>
      </c>
      <c r="H134" s="2">
        <f>計算表!H134</f>
        <v>2</v>
      </c>
      <c r="I134" s="2">
        <f>計算表!I134</f>
        <v>250</v>
      </c>
      <c r="J134" s="2">
        <f>計算表!J134</f>
        <v>0.2</v>
      </c>
      <c r="K134" s="2">
        <f>計算表!K134</f>
        <v>0</v>
      </c>
      <c r="L134" s="2">
        <f>計算表!L134</f>
        <v>0</v>
      </c>
      <c r="M134" s="2">
        <f>計算表!M134</f>
        <v>0</v>
      </c>
      <c r="N134" s="2">
        <f>計算表!N134</f>
        <v>0</v>
      </c>
      <c r="O134" s="2">
        <f>計算表!O134</f>
        <v>0</v>
      </c>
      <c r="P134" s="2">
        <f>計算表!P134</f>
        <v>0</v>
      </c>
      <c r="Q134" s="2">
        <f>計算表!Q134</f>
        <v>0</v>
      </c>
      <c r="R134" s="2">
        <f>計算表!R134</f>
        <v>0</v>
      </c>
    </row>
    <row r="135" spans="1:18" x14ac:dyDescent="0.25">
      <c r="A135">
        <f t="shared" si="2"/>
        <v>134</v>
      </c>
      <c r="B135" s="2">
        <f>計算表!B135</f>
        <v>0</v>
      </c>
      <c r="C135" s="2" t="str">
        <f>計算表!C135</f>
        <v>5-野外材料</v>
      </c>
      <c r="D135" s="2" t="str">
        <f>計算表!D135</f>
        <v>自動機組零件</v>
      </c>
      <c r="E135" s="2" t="str">
        <f>計算表!E135</f>
        <v>機率a%（菁英×1.5）</v>
      </c>
      <c r="F135" s="2" t="str">
        <f>計算表!F135</f>
        <v>階段 5+。階級 = clamp(1+⌊階段/12⌋+(菁英?1:0), 1, 7)。</v>
      </c>
      <c r="G135" s="2">
        <f>計算表!G135</f>
        <v>0.5</v>
      </c>
      <c r="H135" s="2">
        <f>計算表!H135</f>
        <v>0</v>
      </c>
      <c r="I135" s="2">
        <f>計算表!I135</f>
        <v>0</v>
      </c>
      <c r="J135" s="2">
        <f>計算表!J135</f>
        <v>0</v>
      </c>
      <c r="K135" s="2">
        <f>計算表!K135</f>
        <v>0</v>
      </c>
      <c r="L135" s="2">
        <f>計算表!L135</f>
        <v>0</v>
      </c>
      <c r="M135" s="2">
        <f>計算表!M135</f>
        <v>0</v>
      </c>
      <c r="N135" s="2">
        <f>計算表!N135</f>
        <v>0</v>
      </c>
      <c r="O135" s="2">
        <f>計算表!O135</f>
        <v>0</v>
      </c>
      <c r="P135" s="2">
        <f>計算表!P135</f>
        <v>0</v>
      </c>
      <c r="Q135" s="2">
        <f>計算表!Q135</f>
        <v>0</v>
      </c>
      <c r="R135" s="2">
        <f>計算表!R135</f>
        <v>0</v>
      </c>
    </row>
    <row r="136" spans="1:18" x14ac:dyDescent="0.25">
      <c r="A136">
        <f t="shared" si="2"/>
        <v>135</v>
      </c>
      <c r="B136" s="2">
        <f>計算表!B136</f>
        <v>0</v>
      </c>
      <c r="C136" s="2" t="str">
        <f>計算表!C136</f>
        <v>5-太古詞條</v>
      </c>
      <c r="D136" s="2" t="str">
        <f>計算表!D136</f>
        <v>野外太古詞條機率</v>
      </c>
      <c r="E136" s="2" t="str">
        <f>計算表!E136</f>
        <v>min(a%, b% + (敵人等級-c)×d%)</v>
      </c>
      <c r="F136" s="2" t="str">
        <f>計算表!F136</f>
        <v>等級≥200 且史詩以上裝備逐詞條判定；敵人等級&lt;250 時維持基礎 b%。</v>
      </c>
      <c r="G136" s="2">
        <f>計算表!G136</f>
        <v>3</v>
      </c>
      <c r="H136" s="2">
        <f>計算表!H136</f>
        <v>1</v>
      </c>
      <c r="I136" s="2">
        <f>計算表!I136</f>
        <v>250</v>
      </c>
      <c r="J136" s="2">
        <f>計算表!J136</f>
        <v>0.1</v>
      </c>
      <c r="K136" s="2">
        <f>計算表!K136</f>
        <v>0</v>
      </c>
      <c r="L136" s="2">
        <f>計算表!L136</f>
        <v>0</v>
      </c>
      <c r="M136" s="2">
        <f>計算表!M136</f>
        <v>0</v>
      </c>
      <c r="N136" s="2">
        <f>計算表!N136</f>
        <v>0</v>
      </c>
      <c r="O136" s="2">
        <f>計算表!O136</f>
        <v>0</v>
      </c>
      <c r="P136" s="2">
        <f>計算表!P136</f>
        <v>0</v>
      </c>
      <c r="Q136" s="2">
        <f>計算表!Q136</f>
        <v>0</v>
      </c>
      <c r="R136" s="2">
        <f>計算表!R136</f>
        <v>0</v>
      </c>
    </row>
    <row r="137" spans="1:18" x14ac:dyDescent="0.25">
      <c r="A137">
        <f t="shared" si="2"/>
        <v>136</v>
      </c>
      <c r="B137" s="2">
        <f>計算表!B137</f>
        <v>0</v>
      </c>
      <c r="C137" s="2" t="str">
        <f>計算表!C137</f>
        <v>5-太古詞條</v>
      </c>
      <c r="D137" s="2" t="str">
        <f>計算表!D137</f>
        <v>高塔太古詞條機率</v>
      </c>
      <c r="E137" s="2" t="str">
        <f>計算表!E137</f>
        <v>min(a%, b% + (樓層-c)×d%)</v>
      </c>
      <c r="F137" s="2" t="str">
        <f>計算表!F137</f>
        <v>以樓層計算；樓層&lt;40 時為 0。裝備等級≥200 且史詩以上逐詞條判定。</v>
      </c>
      <c r="G137" s="2">
        <f>計算表!G137</f>
        <v>100</v>
      </c>
      <c r="H137" s="2">
        <f>計算表!H137</f>
        <v>5</v>
      </c>
      <c r="I137" s="2">
        <f>計算表!I137</f>
        <v>40</v>
      </c>
      <c r="J137" s="2">
        <f>計算表!J137</f>
        <v>0.5</v>
      </c>
      <c r="K137" s="2">
        <f>計算表!K137</f>
        <v>0</v>
      </c>
      <c r="L137" s="2">
        <f>計算表!L137</f>
        <v>0</v>
      </c>
      <c r="M137" s="2">
        <f>計算表!M137</f>
        <v>0</v>
      </c>
      <c r="N137" s="2">
        <f>計算表!N137</f>
        <v>0</v>
      </c>
      <c r="O137" s="2">
        <f>計算表!O137</f>
        <v>0</v>
      </c>
      <c r="P137" s="2">
        <f>計算表!P137</f>
        <v>0</v>
      </c>
      <c r="Q137" s="2">
        <f>計算表!Q137</f>
        <v>0</v>
      </c>
      <c r="R137" s="2">
        <f>計算表!R137</f>
        <v>0</v>
      </c>
    </row>
    <row r="138" spans="1:18" x14ac:dyDescent="0.25">
      <c r="A138">
        <f t="shared" si="2"/>
        <v>137</v>
      </c>
      <c r="B138" s="2">
        <f>計算表!B138</f>
        <v>0</v>
      </c>
      <c r="C138" s="2" t="str">
        <f>計算表!C138</f>
        <v>5-太古詞條</v>
      </c>
      <c r="D138" s="2" t="str">
        <f>計算表!D138</f>
        <v>高塔太古精華機率</v>
      </c>
      <c r="E138" s="2" t="str">
        <f>計算表!E138</f>
        <v>min(a%, b% + (樓層-c)×d%)</v>
      </c>
      <c r="F138" s="2" t="str">
        <f>計算表!F138</f>
        <v>以樓層計算；每場獨立判定 1 顆。</v>
      </c>
      <c r="G138" s="2">
        <f>計算表!G138</f>
        <v>100</v>
      </c>
      <c r="H138" s="2">
        <f>計算表!H138</f>
        <v>10</v>
      </c>
      <c r="I138" s="2">
        <f>計算表!I138</f>
        <v>40</v>
      </c>
      <c r="J138" s="2">
        <f>計算表!J138</f>
        <v>2</v>
      </c>
      <c r="K138" s="2">
        <f>計算表!K138</f>
        <v>0</v>
      </c>
      <c r="L138" s="2">
        <f>計算表!L138</f>
        <v>0</v>
      </c>
      <c r="M138" s="2">
        <f>計算表!M138</f>
        <v>0</v>
      </c>
      <c r="N138" s="2">
        <f>計算表!N138</f>
        <v>0</v>
      </c>
      <c r="O138" s="2">
        <f>計算表!O138</f>
        <v>0</v>
      </c>
      <c r="P138" s="2">
        <f>計算表!P138</f>
        <v>0</v>
      </c>
      <c r="Q138" s="2">
        <f>計算表!Q138</f>
        <v>0</v>
      </c>
      <c r="R138" s="2">
        <f>計算表!R138</f>
        <v>0</v>
      </c>
    </row>
    <row r="139" spans="1:18" x14ac:dyDescent="0.25">
      <c r="A139">
        <f t="shared" si="2"/>
        <v>138</v>
      </c>
      <c r="B139" s="2">
        <f>計算表!B139</f>
        <v>0</v>
      </c>
      <c r="C139" s="2" t="str">
        <f>計算表!C139</f>
        <v>5-太古詞條</v>
      </c>
      <c r="D139" s="2" t="str">
        <f>計算表!D139</f>
        <v>太古詞條數值倍率</v>
      </c>
      <c r="E139" s="2" t="str">
        <f>計算表!E139</f>
        <v>原詞條上限 × a</v>
      </c>
      <c r="F139" s="2" t="str">
        <f>計算表!F139</f>
        <v>a=太古詞條強度倍率（上限已含×1.2，再×a）。</v>
      </c>
      <c r="G139" s="2">
        <f>計算表!G139</f>
        <v>1.35</v>
      </c>
      <c r="H139" s="2">
        <f>計算表!H139</f>
        <v>0</v>
      </c>
      <c r="I139" s="2">
        <f>計算表!I139</f>
        <v>0</v>
      </c>
      <c r="J139" s="2">
        <f>計算表!J139</f>
        <v>0</v>
      </c>
      <c r="K139" s="2">
        <f>計算表!K139</f>
        <v>0</v>
      </c>
      <c r="L139" s="2">
        <f>計算表!L139</f>
        <v>0</v>
      </c>
      <c r="M139" s="2">
        <f>計算表!M139</f>
        <v>0</v>
      </c>
      <c r="N139" s="2">
        <f>計算表!N139</f>
        <v>0</v>
      </c>
      <c r="O139" s="2">
        <f>計算表!O139</f>
        <v>0</v>
      </c>
      <c r="P139" s="2">
        <f>計算表!P139</f>
        <v>0</v>
      </c>
      <c r="Q139" s="2">
        <f>計算表!Q139</f>
        <v>0</v>
      </c>
      <c r="R139" s="2">
        <f>計算表!R139</f>
        <v>0</v>
      </c>
    </row>
    <row r="140" spans="1:18" x14ac:dyDescent="0.25">
      <c r="A140">
        <f t="shared" si="2"/>
        <v>139</v>
      </c>
      <c r="B140" s="2">
        <f>計算表!B140</f>
        <v>0</v>
      </c>
      <c r="C140" s="2" t="str">
        <f>計算表!C140</f>
        <v>5-高塔獎勵</v>
      </c>
      <c r="D140" s="2" t="str">
        <f>計算表!D140</f>
        <v>零件階級</v>
      </c>
      <c r="E140" s="2" t="str">
        <f>計算表!E140</f>
        <v>clamp(1+⌊(樓層-1)/a⌋, 1, 7)</v>
      </c>
      <c r="F140" s="2" t="str">
        <f>計算表!F140</f>
        <v>首通必得、重複通關 30%。</v>
      </c>
      <c r="G140" s="2">
        <f>計算表!G140</f>
        <v>4</v>
      </c>
      <c r="H140" s="2">
        <f>計算表!H140</f>
        <v>0</v>
      </c>
      <c r="I140" s="2">
        <f>計算表!I140</f>
        <v>0</v>
      </c>
      <c r="J140" s="2">
        <f>計算表!J140</f>
        <v>0</v>
      </c>
      <c r="K140" s="2">
        <f>計算表!K140</f>
        <v>0</v>
      </c>
      <c r="L140" s="2">
        <f>計算表!L140</f>
        <v>0</v>
      </c>
      <c r="M140" s="2">
        <f>計算表!M140</f>
        <v>0</v>
      </c>
      <c r="N140" s="2">
        <f>計算表!N140</f>
        <v>0</v>
      </c>
      <c r="O140" s="2">
        <f>計算表!O140</f>
        <v>0</v>
      </c>
      <c r="P140" s="2">
        <f>計算表!P140</f>
        <v>0</v>
      </c>
      <c r="Q140" s="2">
        <f>計算表!Q140</f>
        <v>0</v>
      </c>
      <c r="R140" s="2">
        <f>計算表!R140</f>
        <v>0</v>
      </c>
    </row>
    <row r="141" spans="1:18" x14ac:dyDescent="0.25">
      <c r="A141">
        <f t="shared" si="2"/>
        <v>140</v>
      </c>
      <c r="B141" s="2">
        <f>計算表!B141</f>
        <v>0</v>
      </c>
      <c r="C141" s="2" t="str">
        <f>計算表!C141</f>
        <v>5-高塔獎勵</v>
      </c>
      <c r="D141" s="2" t="str">
        <f>計算表!D141</f>
        <v>金幣</v>
      </c>
      <c r="E141" s="2" t="str">
        <f>計算表!E141</f>
        <v>a×樓層（首通×2）</v>
      </c>
      <c r="F141" s="2" t="str">
        <f>計算表!F141</f>
        <v>a=每層金幣。</v>
      </c>
      <c r="G141" s="2">
        <f>計算表!G141</f>
        <v>200</v>
      </c>
      <c r="H141" s="2">
        <f>計算表!H141</f>
        <v>0</v>
      </c>
      <c r="I141" s="2">
        <f>計算表!I141</f>
        <v>0</v>
      </c>
      <c r="J141" s="2">
        <f>計算表!J141</f>
        <v>0</v>
      </c>
      <c r="K141" s="2">
        <f>計算表!K141</f>
        <v>0</v>
      </c>
      <c r="L141" s="2">
        <f>計算表!L141</f>
        <v>0</v>
      </c>
      <c r="M141" s="2">
        <f>計算表!M141</f>
        <v>0</v>
      </c>
      <c r="N141" s="2">
        <f>計算表!N141</f>
        <v>0</v>
      </c>
      <c r="O141" s="2">
        <f>計算表!O141</f>
        <v>0</v>
      </c>
      <c r="P141" s="2">
        <f>計算表!P141</f>
        <v>0</v>
      </c>
      <c r="Q141" s="2">
        <f>計算表!Q141</f>
        <v>0</v>
      </c>
      <c r="R141" s="2">
        <f>計算表!R141</f>
        <v>0</v>
      </c>
    </row>
    <row r="142" spans="1:18" x14ac:dyDescent="0.25">
      <c r="A142">
        <f t="shared" si="2"/>
        <v>141</v>
      </c>
      <c r="B142" s="2">
        <f>計算表!B142</f>
        <v>0</v>
      </c>
      <c r="C142" s="2" t="str">
        <f>計算表!C142</f>
        <v>5-高塔獎勵</v>
      </c>
      <c r="D142" s="2" t="str">
        <f>計算表!D142</f>
        <v>寶石</v>
      </c>
      <c r="E142" s="2" t="str">
        <f>計算表!E142</f>
        <v>clamp(1+⌊樓層/a⌋, 1, 5)，隨機種類×2 顆</v>
      </c>
      <c r="F142" s="2" t="str">
        <f>計算表!F142</f>
        <v>a=樓層除數。</v>
      </c>
      <c r="G142" s="2">
        <f>計算表!G142</f>
        <v>4</v>
      </c>
      <c r="H142" s="2">
        <f>計算表!H142</f>
        <v>0</v>
      </c>
      <c r="I142" s="2">
        <f>計算表!I142</f>
        <v>0</v>
      </c>
      <c r="J142" s="2">
        <f>計算表!J142</f>
        <v>0</v>
      </c>
      <c r="K142" s="2">
        <f>計算表!K142</f>
        <v>0</v>
      </c>
      <c r="L142" s="2">
        <f>計算表!L142</f>
        <v>0</v>
      </c>
      <c r="M142" s="2">
        <f>計算表!M142</f>
        <v>0</v>
      </c>
      <c r="N142" s="2">
        <f>計算表!N142</f>
        <v>0</v>
      </c>
      <c r="O142" s="2">
        <f>計算表!O142</f>
        <v>0</v>
      </c>
      <c r="P142" s="2">
        <f>計算表!P142</f>
        <v>0</v>
      </c>
      <c r="Q142" s="2">
        <f>計算表!Q142</f>
        <v>0</v>
      </c>
      <c r="R142" s="2">
        <f>計算表!R142</f>
        <v>0</v>
      </c>
    </row>
    <row r="143" spans="1:18" x14ac:dyDescent="0.25">
      <c r="A143">
        <f t="shared" si="2"/>
        <v>142</v>
      </c>
      <c r="B143" s="2">
        <f>計算表!B143</f>
        <v>0</v>
      </c>
      <c r="C143" s="2" t="str">
        <f>計算表!C143</f>
        <v>5-高塔獎勵</v>
      </c>
      <c r="D143" s="2" t="str">
        <f>計算表!D143</f>
        <v>附魔精華</v>
      </c>
      <c r="E143" s="2" t="str">
        <f>計算表!E143</f>
        <v>a+樓層</v>
      </c>
      <c r="F143" s="2" t="str">
        <f>計算表!F143</f>
        <v>a=常數（另附魔書×2）。</v>
      </c>
      <c r="G143" s="2">
        <f>計算表!G143</f>
        <v>3</v>
      </c>
      <c r="H143" s="2">
        <f>計算表!H143</f>
        <v>0</v>
      </c>
      <c r="I143" s="2">
        <f>計算表!I143</f>
        <v>0</v>
      </c>
      <c r="J143" s="2">
        <f>計算表!J143</f>
        <v>0</v>
      </c>
      <c r="K143" s="2">
        <f>計算表!K143</f>
        <v>0</v>
      </c>
      <c r="L143" s="2">
        <f>計算表!L143</f>
        <v>0</v>
      </c>
      <c r="M143" s="2">
        <f>計算表!M143</f>
        <v>0</v>
      </c>
      <c r="N143" s="2">
        <f>計算表!N143</f>
        <v>0</v>
      </c>
      <c r="O143" s="2">
        <f>計算表!O143</f>
        <v>0</v>
      </c>
      <c r="P143" s="2">
        <f>計算表!P143</f>
        <v>0</v>
      </c>
      <c r="Q143" s="2">
        <f>計算表!Q143</f>
        <v>0</v>
      </c>
      <c r="R143" s="2">
        <f>計算表!R143</f>
        <v>0</v>
      </c>
    </row>
    <row r="144" spans="1:18" x14ac:dyDescent="0.25">
      <c r="A144">
        <f t="shared" si="2"/>
        <v>143</v>
      </c>
      <c r="B144" s="2">
        <f>計算表!B144</f>
        <v>0</v>
      </c>
      <c r="C144" s="2" t="str">
        <f>計算表!C144</f>
        <v>5-高塔獎勵</v>
      </c>
      <c r="D144" s="2" t="str">
        <f>計算表!D144</f>
        <v>裝備戰利品等級</v>
      </c>
      <c r="E144" s="2" t="str">
        <f>計算表!E144</f>
        <v>a+樓層×b</v>
      </c>
      <c r="F144" s="2" t="str">
        <f>計算表!F144</f>
        <v>依 BOSS 掉落表擲骰。</v>
      </c>
      <c r="G144" s="2">
        <f>計算表!G144</f>
        <v>4</v>
      </c>
      <c r="H144" s="2">
        <f>計算表!H144</f>
        <v>5</v>
      </c>
      <c r="I144" s="2">
        <f>計算表!I144</f>
        <v>0</v>
      </c>
      <c r="J144" s="2">
        <f>計算表!J144</f>
        <v>0</v>
      </c>
      <c r="K144" s="2">
        <f>計算表!K144</f>
        <v>0</v>
      </c>
      <c r="L144" s="2">
        <f>計算表!L144</f>
        <v>0</v>
      </c>
      <c r="M144" s="2">
        <f>計算表!M144</f>
        <v>0</v>
      </c>
      <c r="N144" s="2">
        <f>計算表!N144</f>
        <v>0</v>
      </c>
      <c r="O144" s="2">
        <f>計算表!O144</f>
        <v>0</v>
      </c>
      <c r="P144" s="2">
        <f>計算表!P144</f>
        <v>0</v>
      </c>
      <c r="Q144" s="2">
        <f>計算表!Q144</f>
        <v>0</v>
      </c>
      <c r="R144" s="2">
        <f>計算表!R144</f>
        <v>0</v>
      </c>
    </row>
    <row r="145" spans="1:18" x14ac:dyDescent="0.25">
      <c r="A145">
        <f t="shared" si="2"/>
        <v>144</v>
      </c>
      <c r="B145" s="2">
        <f>計算表!B145</f>
        <v>0</v>
      </c>
      <c r="C145" s="2" t="str">
        <f>計算表!C145</f>
        <v>5-高塔裝備掉落</v>
      </c>
      <c r="D145" s="2" t="str">
        <f>計算表!D145</f>
        <v>普通裝備</v>
      </c>
      <c r="E145" s="2" t="str">
        <f>計算表!E145</f>
        <v>各樓層區間掉落率%（{樓層下限~上限=機率}）</v>
      </c>
      <c r="F145" s="2" t="str">
        <f>計算表!F145</f>
        <v>每品質獨立擲骰，&gt;100% 依必掉+餘數規則；實際機率 ×(1+有效掉寶率%)。</v>
      </c>
      <c r="G145" s="2" t="str">
        <f>計算表!G145</f>
        <v>{1~5=0}</v>
      </c>
      <c r="H145" s="2" t="str">
        <f>計算表!H145</f>
        <v>{6~10=0}</v>
      </c>
      <c r="I145" s="2" t="str">
        <f>計算表!I145</f>
        <v>{11~15=0}</v>
      </c>
      <c r="J145" s="2" t="str">
        <f>計算表!J145</f>
        <v>{16~20=0}</v>
      </c>
      <c r="K145" s="2" t="str">
        <f>計算表!K145</f>
        <v>{21~25=0}</v>
      </c>
      <c r="L145" s="2" t="str">
        <f>計算表!L145</f>
        <v>{26~30=0}</v>
      </c>
      <c r="M145" s="2" t="str">
        <f>計算表!M145</f>
        <v>{31+=0}</v>
      </c>
      <c r="N145" s="2">
        <f>計算表!N145</f>
        <v>0</v>
      </c>
      <c r="O145" s="2">
        <f>計算表!O145</f>
        <v>0</v>
      </c>
      <c r="P145" s="2">
        <f>計算表!P145</f>
        <v>0</v>
      </c>
      <c r="Q145" s="2">
        <f>計算表!Q145</f>
        <v>0</v>
      </c>
      <c r="R145" s="2">
        <f>計算表!R145</f>
        <v>0</v>
      </c>
    </row>
    <row r="146" spans="1:18" x14ac:dyDescent="0.25">
      <c r="A146">
        <f t="shared" si="2"/>
        <v>145</v>
      </c>
      <c r="B146" s="2">
        <f>計算表!B146</f>
        <v>0</v>
      </c>
      <c r="C146" s="2" t="str">
        <f>計算表!C146</f>
        <v>5-高塔裝備掉落</v>
      </c>
      <c r="D146" s="2" t="str">
        <f>計算表!D146</f>
        <v>精良裝備</v>
      </c>
      <c r="E146" s="2" t="str">
        <f>計算表!E146</f>
        <v>各樓層區間掉落率%（{樓層下限~上限=機率}）</v>
      </c>
      <c r="F146" s="2" t="str">
        <f>計算表!F146</f>
        <v>每品質獨立擲骰，&gt;100% 依必掉+餘數規則；實際機率 ×(1+有效掉寶率%)。</v>
      </c>
      <c r="G146" s="2" t="str">
        <f>計算表!G146</f>
        <v>{1~5=0}</v>
      </c>
      <c r="H146" s="2" t="str">
        <f>計算表!H146</f>
        <v>{6~10=0}</v>
      </c>
      <c r="I146" s="2" t="str">
        <f>計算表!I146</f>
        <v>{11~15=0}</v>
      </c>
      <c r="J146" s="2" t="str">
        <f>計算表!J146</f>
        <v>{16~20=0}</v>
      </c>
      <c r="K146" s="2" t="str">
        <f>計算表!K146</f>
        <v>{21~25=0}</v>
      </c>
      <c r="L146" s="2" t="str">
        <f>計算表!L146</f>
        <v>{26~30=0}</v>
      </c>
      <c r="M146" s="2" t="str">
        <f>計算表!M146</f>
        <v>{31+=0}</v>
      </c>
      <c r="N146" s="2">
        <f>計算表!N146</f>
        <v>0</v>
      </c>
      <c r="O146" s="2">
        <f>計算表!O146</f>
        <v>0</v>
      </c>
      <c r="P146" s="2">
        <f>計算表!P146</f>
        <v>0</v>
      </c>
      <c r="Q146" s="2">
        <f>計算表!Q146</f>
        <v>0</v>
      </c>
      <c r="R146" s="2">
        <f>計算表!R146</f>
        <v>0</v>
      </c>
    </row>
    <row r="147" spans="1:18" x14ac:dyDescent="0.25">
      <c r="A147">
        <f t="shared" si="2"/>
        <v>146</v>
      </c>
      <c r="B147" s="2">
        <f>計算表!B147</f>
        <v>0</v>
      </c>
      <c r="C147" s="2" t="str">
        <f>計算表!C147</f>
        <v>5-高塔裝備掉落</v>
      </c>
      <c r="D147" s="2" t="str">
        <f>計算表!D147</f>
        <v>稀有裝備</v>
      </c>
      <c r="E147" s="2" t="str">
        <f>計算表!E147</f>
        <v>各樓層區間掉落率%（{樓層下限~上限=機率}）</v>
      </c>
      <c r="F147" s="2" t="str">
        <f>計算表!F147</f>
        <v>每品質獨立擲骰，&gt;100% 依必掉+餘數規則；實際機率 ×(1+有效掉寶率%)。</v>
      </c>
      <c r="G147" s="2" t="str">
        <f>計算表!G147</f>
        <v>{1~5=100}</v>
      </c>
      <c r="H147" s="2" t="str">
        <f>計算表!H147</f>
        <v>{6~10=100}</v>
      </c>
      <c r="I147" s="2" t="str">
        <f>計算表!I147</f>
        <v>{11~15=0}</v>
      </c>
      <c r="J147" s="2" t="str">
        <f>計算表!J147</f>
        <v>{16~20=0}</v>
      </c>
      <c r="K147" s="2" t="str">
        <f>計算表!K147</f>
        <v>{21~25=0}</v>
      </c>
      <c r="L147" s="2" t="str">
        <f>計算表!L147</f>
        <v>{26~30=0}</v>
      </c>
      <c r="M147" s="2" t="str">
        <f>計算表!M147</f>
        <v>{31+=0}</v>
      </c>
      <c r="N147" s="2">
        <f>計算表!N147</f>
        <v>0</v>
      </c>
      <c r="O147" s="2">
        <f>計算表!O147</f>
        <v>0</v>
      </c>
      <c r="P147" s="2">
        <f>計算表!P147</f>
        <v>0</v>
      </c>
      <c r="Q147" s="2">
        <f>計算表!Q147</f>
        <v>0</v>
      </c>
      <c r="R147" s="2">
        <f>計算表!R147</f>
        <v>0</v>
      </c>
    </row>
    <row r="148" spans="1:18" x14ac:dyDescent="0.25">
      <c r="A148">
        <f t="shared" si="2"/>
        <v>147</v>
      </c>
      <c r="B148" s="2">
        <f>計算表!B148</f>
        <v>0</v>
      </c>
      <c r="C148" s="2" t="str">
        <f>計算表!C148</f>
        <v>5-高塔裝備掉落</v>
      </c>
      <c r="D148" s="2" t="str">
        <f>計算表!D148</f>
        <v>獨特裝備</v>
      </c>
      <c r="E148" s="2" t="str">
        <f>計算表!E148</f>
        <v>各樓層區間掉落率%（{樓層下限~上限=機率}）</v>
      </c>
      <c r="F148" s="2" t="str">
        <f>計算表!F148</f>
        <v>每品質獨立擲骰，&gt;100% 依必掉+餘數規則；實際機率 ×(1+有效掉寶率%)。</v>
      </c>
      <c r="G148" s="2" t="str">
        <f>計算表!G148</f>
        <v>{1~5=50}</v>
      </c>
      <c r="H148" s="2" t="str">
        <f>計算表!H148</f>
        <v>{6~10=100}</v>
      </c>
      <c r="I148" s="2" t="str">
        <f>計算表!I148</f>
        <v>{11~15=100}</v>
      </c>
      <c r="J148" s="2" t="str">
        <f>計算表!J148</f>
        <v>{16~20=150}</v>
      </c>
      <c r="K148" s="2" t="str">
        <f>計算表!K148</f>
        <v>{21~25=250}</v>
      </c>
      <c r="L148" s="2" t="str">
        <f>計算表!L148</f>
        <v>{26~30=300}</v>
      </c>
      <c r="M148" s="2" t="str">
        <f>計算表!M148</f>
        <v>{31+=300}</v>
      </c>
      <c r="N148" s="2">
        <f>計算表!N148</f>
        <v>0</v>
      </c>
      <c r="O148" s="2">
        <f>計算表!O148</f>
        <v>0</v>
      </c>
      <c r="P148" s="2">
        <f>計算表!P148</f>
        <v>0</v>
      </c>
      <c r="Q148" s="2">
        <f>計算表!Q148</f>
        <v>0</v>
      </c>
      <c r="R148" s="2">
        <f>計算表!R148</f>
        <v>0</v>
      </c>
    </row>
    <row r="149" spans="1:18" x14ac:dyDescent="0.25">
      <c r="A149">
        <f t="shared" si="2"/>
        <v>148</v>
      </c>
      <c r="B149" s="2">
        <f>計算表!B149</f>
        <v>0</v>
      </c>
      <c r="C149" s="2" t="str">
        <f>計算表!C149</f>
        <v>5-高塔裝備掉落</v>
      </c>
      <c r="D149" s="2" t="str">
        <f>計算表!D149</f>
        <v>史詩裝備</v>
      </c>
      <c r="E149" s="2" t="str">
        <f>計算表!E149</f>
        <v>各樓層區間掉落率%（{樓層下限~上限=機率}）</v>
      </c>
      <c r="F149" s="2" t="str">
        <f>計算表!F149</f>
        <v>每品質獨立擲骰，&gt;100% 依必掉+餘數規則；實際機率 ×(1+有效掉寶率%)。</v>
      </c>
      <c r="G149" s="2" t="str">
        <f>計算表!G149</f>
        <v>{1~5=10}</v>
      </c>
      <c r="H149" s="2" t="str">
        <f>計算表!H149</f>
        <v>{6~10=20}</v>
      </c>
      <c r="I149" s="2" t="str">
        <f>計算表!I149</f>
        <v>{11~15=100}</v>
      </c>
      <c r="J149" s="2" t="str">
        <f>計算表!J149</f>
        <v>{16~20=100}</v>
      </c>
      <c r="K149" s="2" t="str">
        <f>計算表!K149</f>
        <v>{21~25=150}</v>
      </c>
      <c r="L149" s="2" t="str">
        <f>計算表!L149</f>
        <v>{26~30=200}</v>
      </c>
      <c r="M149" s="2" t="str">
        <f>計算表!M149</f>
        <v>{31+=200}</v>
      </c>
      <c r="N149" s="2">
        <f>計算表!N149</f>
        <v>0</v>
      </c>
      <c r="O149" s="2">
        <f>計算表!O149</f>
        <v>0</v>
      </c>
      <c r="P149" s="2">
        <f>計算表!P149</f>
        <v>0</v>
      </c>
      <c r="Q149" s="2">
        <f>計算表!Q149</f>
        <v>0</v>
      </c>
      <c r="R149" s="2">
        <f>計算表!R149</f>
        <v>0</v>
      </c>
    </row>
    <row r="150" spans="1:18" x14ac:dyDescent="0.25">
      <c r="A150">
        <f t="shared" si="2"/>
        <v>149</v>
      </c>
      <c r="B150" s="2">
        <f>計算表!B150</f>
        <v>0</v>
      </c>
      <c r="C150" s="2" t="str">
        <f>計算表!C150</f>
        <v>5-高塔裝備掉落</v>
      </c>
      <c r="D150" s="2" t="str">
        <f>計算表!D150</f>
        <v>傳說裝備</v>
      </c>
      <c r="E150" s="2" t="str">
        <f>計算表!E150</f>
        <v>各樓層區間掉落率%（{樓層下限~上限=機率}）</v>
      </c>
      <c r="F150" s="2" t="str">
        <f>計算表!F150</f>
        <v>每品質獨立擲骰，&gt;100% 依必掉+餘數規則；實際機率 ×(1+有效掉寶率%)。</v>
      </c>
      <c r="G150" s="2" t="str">
        <f>計算表!G150</f>
        <v>{1~5=5}</v>
      </c>
      <c r="H150" s="2" t="str">
        <f>計算表!H150</f>
        <v>{6~10=10}</v>
      </c>
      <c r="I150" s="2" t="str">
        <f>計算表!I150</f>
        <v>{11~15=50}</v>
      </c>
      <c r="J150" s="2" t="str">
        <f>計算表!J150</f>
        <v>{16~20=50}</v>
      </c>
      <c r="K150" s="2" t="str">
        <f>計算表!K150</f>
        <v>{21~25=100}</v>
      </c>
      <c r="L150" s="2" t="str">
        <f>計算表!L150</f>
        <v>{26~30=150}</v>
      </c>
      <c r="M150" s="2" t="str">
        <f>計算表!M150</f>
        <v>{31+=150}</v>
      </c>
      <c r="N150" s="2">
        <f>計算表!N150</f>
        <v>0</v>
      </c>
      <c r="O150" s="2">
        <f>計算表!O150</f>
        <v>0</v>
      </c>
      <c r="P150" s="2">
        <f>計算表!P150</f>
        <v>0</v>
      </c>
      <c r="Q150" s="2">
        <f>計算表!Q150</f>
        <v>0</v>
      </c>
      <c r="R150" s="2">
        <f>計算表!R150</f>
        <v>0</v>
      </c>
    </row>
    <row r="151" spans="1:18" x14ac:dyDescent="0.25">
      <c r="A151">
        <f t="shared" si="2"/>
        <v>150</v>
      </c>
      <c r="B151" s="2">
        <f>計算表!B151</f>
        <v>0</v>
      </c>
      <c r="C151" s="2" t="str">
        <f>計算表!C151</f>
        <v>5-高塔裝備掉落</v>
      </c>
      <c r="D151" s="2" t="str">
        <f>計算表!D151</f>
        <v>神話裝備</v>
      </c>
      <c r="E151" s="2" t="str">
        <f>計算表!E151</f>
        <v>各樓層區間掉落率%（{樓層下限~上限=機率}）</v>
      </c>
      <c r="F151" s="2" t="str">
        <f>計算表!F151</f>
        <v>每品質獨立擲骰，&gt;100% 依必掉+餘數規則；實際機率 ×(1+有效掉寶率%)。</v>
      </c>
      <c r="G151" s="2" t="str">
        <f>計算表!G151</f>
        <v>{1~5=0}</v>
      </c>
      <c r="H151" s="2" t="str">
        <f>計算表!H151</f>
        <v>{6~10=2}</v>
      </c>
      <c r="I151" s="2" t="str">
        <f>計算表!I151</f>
        <v>{11~15=5}</v>
      </c>
      <c r="J151" s="2" t="str">
        <f>計算表!J151</f>
        <v>{16~20=20}</v>
      </c>
      <c r="K151" s="2" t="str">
        <f>計算表!K151</f>
        <v>{21~25=33}</v>
      </c>
      <c r="L151" s="2" t="str">
        <f>計算表!L151</f>
        <v>{26~30=40}</v>
      </c>
      <c r="M151" s="2" t="str">
        <f>計算表!M151</f>
        <v>{31+=50}</v>
      </c>
      <c r="N151" s="2">
        <f>計算表!N151</f>
        <v>0</v>
      </c>
      <c r="O151" s="2">
        <f>計算表!O151</f>
        <v>0</v>
      </c>
      <c r="P151" s="2">
        <f>計算表!P151</f>
        <v>0</v>
      </c>
      <c r="Q151" s="2">
        <f>計算表!Q151</f>
        <v>0</v>
      </c>
      <c r="R151" s="2">
        <f>計算表!R151</f>
        <v>0</v>
      </c>
    </row>
    <row r="152" spans="1:18" x14ac:dyDescent="0.25">
      <c r="A152">
        <f t="shared" si="2"/>
        <v>151</v>
      </c>
      <c r="B152" s="2">
        <f>計算表!B152</f>
        <v>0</v>
      </c>
      <c r="C152" s="2" t="str">
        <f>計算表!C152</f>
        <v>5-高塔裝備掉落</v>
      </c>
      <c r="D152" s="2" t="str">
        <f>計算表!D152</f>
        <v>創世裝備</v>
      </c>
      <c r="E152" s="2" t="str">
        <f>計算表!E152</f>
        <v>各樓層區間掉落率%（{樓層下限~上限=機率}）</v>
      </c>
      <c r="F152" s="2" t="str">
        <f>計算表!F152</f>
        <v>每品質獨立擲骰，&gt;100% 依必掉+餘數規則；實際機率 ×(1+有效掉寶率%)。</v>
      </c>
      <c r="G152" s="2" t="str">
        <f>計算表!G152</f>
        <v>{1~5=0}</v>
      </c>
      <c r="H152" s="2" t="str">
        <f>計算表!H152</f>
        <v>{6~10=0}</v>
      </c>
      <c r="I152" s="2" t="str">
        <f>計算表!I152</f>
        <v>{11~15=1}</v>
      </c>
      <c r="J152" s="2" t="str">
        <f>計算表!J152</f>
        <v>{16~20=2.5}</v>
      </c>
      <c r="K152" s="2" t="str">
        <f>計算表!K152</f>
        <v>{21~25=5}</v>
      </c>
      <c r="L152" s="2" t="str">
        <f>計算表!L152</f>
        <v>{26~30=10}</v>
      </c>
      <c r="M152" s="2" t="str">
        <f>計算表!M152</f>
        <v>{31+=15}</v>
      </c>
      <c r="N152" s="2">
        <f>計算表!N152</f>
        <v>0</v>
      </c>
      <c r="O152" s="2">
        <f>計算表!O152</f>
        <v>0</v>
      </c>
      <c r="P152" s="2">
        <f>計算表!P152</f>
        <v>0</v>
      </c>
      <c r="Q152" s="2">
        <f>計算表!Q152</f>
        <v>0</v>
      </c>
      <c r="R152" s="2">
        <f>計算表!R152</f>
        <v>0</v>
      </c>
    </row>
    <row r="153" spans="1:18" x14ac:dyDescent="0.25">
      <c r="A153">
        <f t="shared" si="2"/>
        <v>152</v>
      </c>
      <c r="B153" s="2">
        <f>計算表!B153</f>
        <v>0</v>
      </c>
      <c r="C153" s="2" t="str">
        <f>計算表!C153</f>
        <v>6-裝備</v>
      </c>
      <c r="D153" s="2" t="str">
        <f>計算表!D153</f>
        <v>詞條數值</v>
      </c>
      <c r="E153" s="2" t="str">
        <f>計算表!E153</f>
        <v>(base+base×lv係數×(裝備等級-1))×稀有度倍率×rnd(0.8,1.2)</v>
      </c>
      <c r="F153" s="2" t="str">
        <f>計算表!F153</f>
        <v>base/lv係數見「詞條池」；稀有度倍率見「稀有度表」。</v>
      </c>
      <c r="G153" s="2">
        <f>計算表!G153</f>
        <v>0</v>
      </c>
      <c r="H153" s="2">
        <f>計算表!H153</f>
        <v>0</v>
      </c>
      <c r="I153" s="2">
        <f>計算表!I153</f>
        <v>0</v>
      </c>
      <c r="J153" s="2">
        <f>計算表!J153</f>
        <v>0</v>
      </c>
      <c r="K153" s="2">
        <f>計算表!K153</f>
        <v>0</v>
      </c>
      <c r="L153" s="2">
        <f>計算表!L153</f>
        <v>0</v>
      </c>
      <c r="M153" s="2">
        <f>計算表!M153</f>
        <v>0</v>
      </c>
      <c r="N153" s="2">
        <f>計算表!N153</f>
        <v>0</v>
      </c>
      <c r="O153" s="2">
        <f>計算表!O153</f>
        <v>0</v>
      </c>
      <c r="P153" s="2">
        <f>計算表!P153</f>
        <v>0</v>
      </c>
      <c r="Q153" s="2">
        <f>計算表!Q153</f>
        <v>0</v>
      </c>
      <c r="R153" s="2">
        <f>計算表!R153</f>
        <v>0</v>
      </c>
    </row>
    <row r="154" spans="1:18" x14ac:dyDescent="0.25">
      <c r="A154">
        <f t="shared" si="2"/>
        <v>153</v>
      </c>
      <c r="B154" s="2">
        <f>計算表!B154</f>
        <v>0</v>
      </c>
      <c r="C154" s="2" t="str">
        <f>計算表!C154</f>
        <v>6-裝備</v>
      </c>
      <c r="D154" s="2" t="str">
        <f>計算表!D154</f>
        <v>太古詞條數值</v>
      </c>
      <c r="E154" s="2" t="str">
        <f>計算表!E154</f>
        <v>基準值×1.2×a</v>
      </c>
      <c r="F154" s="2" t="str">
        <f>計算表!F154</f>
        <v>a=太古倍率（=原上限的 135%）。</v>
      </c>
      <c r="G154" s="2">
        <f>計算表!G154</f>
        <v>1.35</v>
      </c>
      <c r="H154" s="2">
        <f>計算表!H154</f>
        <v>0</v>
      </c>
      <c r="I154" s="2">
        <f>計算表!I154</f>
        <v>0</v>
      </c>
      <c r="J154" s="2">
        <f>計算表!J154</f>
        <v>0</v>
      </c>
      <c r="K154" s="2">
        <f>計算表!K154</f>
        <v>0</v>
      </c>
      <c r="L154" s="2">
        <f>計算表!L154</f>
        <v>0</v>
      </c>
      <c r="M154" s="2">
        <f>計算表!M154</f>
        <v>0</v>
      </c>
      <c r="N154" s="2">
        <f>計算表!N154</f>
        <v>0</v>
      </c>
      <c r="O154" s="2">
        <f>計算表!O154</f>
        <v>0</v>
      </c>
      <c r="P154" s="2">
        <f>計算表!P154</f>
        <v>0</v>
      </c>
      <c r="Q154" s="2">
        <f>計算表!Q154</f>
        <v>0</v>
      </c>
      <c r="R154" s="2">
        <f>計算表!R154</f>
        <v>0</v>
      </c>
    </row>
    <row r="155" spans="1:18" x14ac:dyDescent="0.25">
      <c r="A155">
        <f t="shared" si="2"/>
        <v>154</v>
      </c>
      <c r="B155" s="2">
        <f>計算表!B155</f>
        <v>0</v>
      </c>
      <c r="C155" s="2" t="str">
        <f>計算表!C155</f>
        <v>6-裝備</v>
      </c>
      <c r="D155" s="2" t="str">
        <f>計算表!D155</f>
        <v>強化倍率</v>
      </c>
      <c r="E155" s="2" t="str">
        <f>計算表!E155</f>
        <v>1 + a×強化等級</v>
      </c>
      <c r="F155" s="2" t="str">
        <f>計算表!F155</f>
        <v>裝備每 +1，全詞條數值 +5%。</v>
      </c>
      <c r="G155" s="2">
        <f>計算表!G155</f>
        <v>0.05</v>
      </c>
      <c r="H155" s="2">
        <f>計算表!H155</f>
        <v>0</v>
      </c>
      <c r="I155" s="2">
        <f>計算表!I155</f>
        <v>0</v>
      </c>
      <c r="J155" s="2">
        <f>計算表!J155</f>
        <v>0</v>
      </c>
      <c r="K155" s="2">
        <f>計算表!K155</f>
        <v>0</v>
      </c>
      <c r="L155" s="2">
        <f>計算表!L155</f>
        <v>0</v>
      </c>
      <c r="M155" s="2">
        <f>計算表!M155</f>
        <v>0</v>
      </c>
      <c r="N155" s="2">
        <f>計算表!N155</f>
        <v>0</v>
      </c>
      <c r="O155" s="2">
        <f>計算表!O155</f>
        <v>0</v>
      </c>
      <c r="P155" s="2">
        <f>計算表!P155</f>
        <v>0</v>
      </c>
      <c r="Q155" s="2">
        <f>計算表!Q155</f>
        <v>0</v>
      </c>
      <c r="R155" s="2">
        <f>計算表!R155</f>
        <v>0</v>
      </c>
    </row>
    <row r="156" spans="1:18" x14ac:dyDescent="0.25">
      <c r="A156">
        <f t="shared" si="2"/>
        <v>155</v>
      </c>
      <c r="B156" s="2">
        <f>計算表!B156</f>
        <v>0</v>
      </c>
      <c r="C156" s="2" t="str">
        <f>計算表!C156</f>
        <v>6-裝備</v>
      </c>
      <c r="D156" s="2" t="str">
        <f>計算表!D156</f>
        <v>特殊被動數值</v>
      </c>
      <c r="E156" s="2" t="str">
        <f>計算表!E156</f>
        <v>base + perR×(稀有度-a)</v>
      </c>
      <c r="F156" s="2" t="str">
        <f>計算表!F156</f>
        <v>a=稀有級索引（稀有=基準）。base/perR 見「特殊被動表」。</v>
      </c>
      <c r="G156" s="2">
        <f>計算表!G156</f>
        <v>2</v>
      </c>
      <c r="H156" s="2">
        <f>計算表!H156</f>
        <v>0</v>
      </c>
      <c r="I156" s="2">
        <f>計算表!I156</f>
        <v>0</v>
      </c>
      <c r="J156" s="2">
        <f>計算表!J156</f>
        <v>0</v>
      </c>
      <c r="K156" s="2">
        <f>計算表!K156</f>
        <v>0</v>
      </c>
      <c r="L156" s="2">
        <f>計算表!L156</f>
        <v>0</v>
      </c>
      <c r="M156" s="2">
        <f>計算表!M156</f>
        <v>0</v>
      </c>
      <c r="N156" s="2">
        <f>計算表!N156</f>
        <v>0</v>
      </c>
      <c r="O156" s="2">
        <f>計算表!O156</f>
        <v>0</v>
      </c>
      <c r="P156" s="2">
        <f>計算表!P156</f>
        <v>0</v>
      </c>
      <c r="Q156" s="2">
        <f>計算表!Q156</f>
        <v>0</v>
      </c>
      <c r="R156" s="2">
        <f>計算表!R156</f>
        <v>0</v>
      </c>
    </row>
    <row r="157" spans="1:18" x14ac:dyDescent="0.25">
      <c r="A157">
        <f t="shared" si="2"/>
        <v>156</v>
      </c>
      <c r="B157" s="2">
        <f>計算表!B157</f>
        <v>0</v>
      </c>
      <c r="C157" s="2" t="str">
        <f>計算表!C157</f>
        <v>6-裝備</v>
      </c>
      <c r="D157" s="2" t="str">
        <f>計算表!D157</f>
        <v>神鑄特效數值</v>
      </c>
      <c r="E157" s="2" t="str">
        <f>計算表!E157</f>
        <v>base × rnd(0.8, 1.2)</v>
      </c>
      <c r="F157" s="2" t="str">
        <f>計算表!F157</f>
        <v>base 見「神鑄特效表」。神力為額外乘區、彼此相乘。</v>
      </c>
      <c r="G157" s="2">
        <f>計算表!G157</f>
        <v>0</v>
      </c>
      <c r="H157" s="2">
        <f>計算表!H157</f>
        <v>0</v>
      </c>
      <c r="I157" s="2">
        <f>計算表!I157</f>
        <v>0</v>
      </c>
      <c r="J157" s="2">
        <f>計算表!J157</f>
        <v>0</v>
      </c>
      <c r="K157" s="2">
        <f>計算表!K157</f>
        <v>0</v>
      </c>
      <c r="L157" s="2">
        <f>計算表!L157</f>
        <v>0</v>
      </c>
      <c r="M157" s="2">
        <f>計算表!M157</f>
        <v>0</v>
      </c>
      <c r="N157" s="2">
        <f>計算表!N157</f>
        <v>0</v>
      </c>
      <c r="O157" s="2">
        <f>計算表!O157</f>
        <v>0</v>
      </c>
      <c r="P157" s="2">
        <f>計算表!P157</f>
        <v>0</v>
      </c>
      <c r="Q157" s="2">
        <f>計算表!Q157</f>
        <v>0</v>
      </c>
      <c r="R157" s="2">
        <f>計算表!R157</f>
        <v>0</v>
      </c>
    </row>
    <row r="158" spans="1:18" x14ac:dyDescent="0.25">
      <c r="A158">
        <f t="shared" si="2"/>
        <v>157</v>
      </c>
      <c r="B158" s="2">
        <f>計算表!B158</f>
        <v>0</v>
      </c>
      <c r="C158" s="2" t="str">
        <f>計算表!C158</f>
        <v>6-裝備</v>
      </c>
      <c r="D158" s="2" t="str">
        <f>計算表!D158</f>
        <v>附魔-攻擊類</v>
      </c>
      <c r="E158" s="2" t="str">
        <f>計算表!E158</f>
        <v>(a+裝備等級×b)×稀有度倍率×(1+c×寶石等級)</v>
      </c>
      <c r="F158" s="2" t="str">
        <f>計算表!F158</f>
        <v>火焰附魔再×1.25。寶石等級只在混合合成帶入。</v>
      </c>
      <c r="G158" s="2">
        <f>計算表!G158</f>
        <v>5</v>
      </c>
      <c r="H158" s="2">
        <f>計算表!H158</f>
        <v>1.2</v>
      </c>
      <c r="I158" s="2">
        <f>計算表!I158</f>
        <v>0.15</v>
      </c>
      <c r="J158" s="2">
        <f>計算表!J158</f>
        <v>0</v>
      </c>
      <c r="K158" s="2">
        <f>計算表!K158</f>
        <v>0</v>
      </c>
      <c r="L158" s="2">
        <f>計算表!L158</f>
        <v>0</v>
      </c>
      <c r="M158" s="2">
        <f>計算表!M158</f>
        <v>0</v>
      </c>
      <c r="N158" s="2">
        <f>計算表!N158</f>
        <v>0</v>
      </c>
      <c r="O158" s="2">
        <f>計算表!O158</f>
        <v>0</v>
      </c>
      <c r="P158" s="2">
        <f>計算表!P158</f>
        <v>0</v>
      </c>
      <c r="Q158" s="2">
        <f>計算表!Q158</f>
        <v>0</v>
      </c>
      <c r="R158" s="2">
        <f>計算表!R158</f>
        <v>0</v>
      </c>
    </row>
    <row r="159" spans="1:18" x14ac:dyDescent="0.25">
      <c r="A159">
        <f t="shared" si="2"/>
        <v>158</v>
      </c>
      <c r="B159" s="2">
        <f>計算表!B159</f>
        <v>0</v>
      </c>
      <c r="C159" s="2" t="str">
        <f>計算表!C159</f>
        <v>6-裝備</v>
      </c>
      <c r="D159" s="2" t="str">
        <f>計算表!D159</f>
        <v>附魔-防禦/功能類</v>
      </c>
      <c r="E159" s="2" t="str">
        <f>計算表!E159</f>
        <v>min(a + 稀有度×b + 寶石等級×c, d)</v>
      </c>
      <c r="F159" s="2" t="str">
        <f>計算表!F159</f>
        <v>a=基礎 b=每階 c=每寶石等級 d=上限%。</v>
      </c>
      <c r="G159" s="2">
        <f>計算表!G159</f>
        <v>8</v>
      </c>
      <c r="H159" s="2">
        <f>計算表!H159</f>
        <v>4</v>
      </c>
      <c r="I159" s="2">
        <f>計算表!I159</f>
        <v>3</v>
      </c>
      <c r="J159" s="2">
        <f>計算表!J159</f>
        <v>60</v>
      </c>
      <c r="K159" s="2">
        <f>計算表!K159</f>
        <v>0</v>
      </c>
      <c r="L159" s="2">
        <f>計算表!L159</f>
        <v>0</v>
      </c>
      <c r="M159" s="2">
        <f>計算表!M159</f>
        <v>0</v>
      </c>
      <c r="N159" s="2">
        <f>計算表!N159</f>
        <v>0</v>
      </c>
      <c r="O159" s="2">
        <f>計算表!O159</f>
        <v>0</v>
      </c>
      <c r="P159" s="2">
        <f>計算表!P159</f>
        <v>0</v>
      </c>
      <c r="Q159" s="2">
        <f>計算表!Q159</f>
        <v>0</v>
      </c>
      <c r="R159" s="2">
        <f>計算表!R159</f>
        <v>0</v>
      </c>
    </row>
    <row r="160" spans="1:18" x14ac:dyDescent="0.25">
      <c r="A160">
        <f t="shared" si="2"/>
        <v>159</v>
      </c>
      <c r="B160" s="2">
        <f>計算表!B160</f>
        <v>0</v>
      </c>
      <c r="C160" s="2" t="str">
        <f>計算表!C160</f>
        <v>6-裝備</v>
      </c>
      <c r="D160" s="2" t="str">
        <f>計算表!D160</f>
        <v>手動附魔費用</v>
      </c>
      <c r="E160" s="2" t="str">
        <f>計算表!E160</f>
        <v>a 本附魔書 + b 附魔精華</v>
      </c>
      <c r="F160" s="2" t="str">
        <f>計算表!F160</f>
        <v>取下返還書、不退精華。</v>
      </c>
      <c r="G160" s="2">
        <f>計算表!G160</f>
        <v>1</v>
      </c>
      <c r="H160" s="2">
        <f>計算表!H160</f>
        <v>5</v>
      </c>
      <c r="I160" s="2">
        <f>計算表!I160</f>
        <v>0</v>
      </c>
      <c r="J160" s="2">
        <f>計算表!J160</f>
        <v>0</v>
      </c>
      <c r="K160" s="2">
        <f>計算表!K160</f>
        <v>0</v>
      </c>
      <c r="L160" s="2">
        <f>計算表!L160</f>
        <v>0</v>
      </c>
      <c r="M160" s="2">
        <f>計算表!M160</f>
        <v>0</v>
      </c>
      <c r="N160" s="2">
        <f>計算表!N160</f>
        <v>0</v>
      </c>
      <c r="O160" s="2">
        <f>計算表!O160</f>
        <v>0</v>
      </c>
      <c r="P160" s="2">
        <f>計算表!P160</f>
        <v>0</v>
      </c>
      <c r="Q160" s="2">
        <f>計算表!Q160</f>
        <v>0</v>
      </c>
      <c r="R160" s="2">
        <f>計算表!R160</f>
        <v>0</v>
      </c>
    </row>
    <row r="161" spans="1:18" x14ac:dyDescent="0.25">
      <c r="A161">
        <f t="shared" si="2"/>
        <v>160</v>
      </c>
      <c r="B161" s="2">
        <f>計算表!B161</f>
        <v>0</v>
      </c>
      <c r="C161" s="2" t="str">
        <f>計算表!C161</f>
        <v>6-裝備</v>
      </c>
      <c r="D161" s="2" t="str">
        <f>計算表!D161</f>
        <v>戰力評分</v>
      </c>
      <c r="E161" s="2" t="str">
        <f>計算表!E161</f>
        <v>Σ(詞條×權重×強化)+Σ(寶石×權重) →被動×1.15 →神鑄特效×(1+a×件數) →+Σ(附魔×1.2攻/×2防) →×(1+稀有度×b)</v>
      </c>
      <c r="F161" s="2" t="str">
        <f>計算表!F161</f>
        <v>詞條/寶石權重見「戰力權重表」。a=每條神鑄特效加成 b=稀有度加成。自動換裝門檻：新評分&gt;舊×1.02。</v>
      </c>
      <c r="G161" s="2">
        <f>計算表!G161</f>
        <v>0.15</v>
      </c>
      <c r="H161" s="2">
        <f>計算表!H161</f>
        <v>0.06</v>
      </c>
      <c r="I161" s="2">
        <f>計算表!I161</f>
        <v>0</v>
      </c>
      <c r="J161" s="2">
        <f>計算表!J161</f>
        <v>0</v>
      </c>
      <c r="K161" s="2">
        <f>計算表!K161</f>
        <v>0</v>
      </c>
      <c r="L161" s="2">
        <f>計算表!L161</f>
        <v>0</v>
      </c>
      <c r="M161" s="2">
        <f>計算表!M161</f>
        <v>0</v>
      </c>
      <c r="N161" s="2">
        <f>計算表!N161</f>
        <v>0</v>
      </c>
      <c r="O161" s="2">
        <f>計算表!O161</f>
        <v>0</v>
      </c>
      <c r="P161" s="2">
        <f>計算表!P161</f>
        <v>0</v>
      </c>
      <c r="Q161" s="2">
        <f>計算表!Q161</f>
        <v>0</v>
      </c>
      <c r="R161" s="2">
        <f>計算表!R161</f>
        <v>0</v>
      </c>
    </row>
    <row r="162" spans="1:18" x14ac:dyDescent="0.25">
      <c r="A162">
        <f t="shared" si="2"/>
        <v>161</v>
      </c>
      <c r="B162" s="2">
        <f>計算表!B162</f>
        <v>0</v>
      </c>
      <c r="C162" s="2" t="str">
        <f>計算表!C162</f>
        <v>6-裝備</v>
      </c>
      <c r="D162" s="2" t="str">
        <f>計算表!D162</f>
        <v>分解-碎片</v>
      </c>
      <c r="E162" s="2" t="str">
        <f>計算表!E162</f>
        <v>max(1, (a+裝備等級×b)×分解係數×rnd(0.85,1.15))</v>
      </c>
      <c r="F162" s="2" t="str">
        <f>計算表!F162</f>
        <v>分解係數見「稀有度表」salv 欄。</v>
      </c>
      <c r="G162" s="2">
        <f>計算表!G162</f>
        <v>2</v>
      </c>
      <c r="H162" s="2">
        <f>計算表!H162</f>
        <v>0.6</v>
      </c>
      <c r="I162" s="2">
        <f>計算表!I162</f>
        <v>0</v>
      </c>
      <c r="J162" s="2">
        <f>計算表!J162</f>
        <v>0</v>
      </c>
      <c r="K162" s="2">
        <f>計算表!K162</f>
        <v>0</v>
      </c>
      <c r="L162" s="2">
        <f>計算表!L162</f>
        <v>0</v>
      </c>
      <c r="M162" s="2">
        <f>計算表!M162</f>
        <v>0</v>
      </c>
      <c r="N162" s="2">
        <f>計算表!N162</f>
        <v>0</v>
      </c>
      <c r="O162" s="2">
        <f>計算表!O162</f>
        <v>0</v>
      </c>
      <c r="P162" s="2">
        <f>計算表!P162</f>
        <v>0</v>
      </c>
      <c r="Q162" s="2">
        <f>計算表!Q162</f>
        <v>0</v>
      </c>
      <c r="R162" s="2">
        <f>計算表!R162</f>
        <v>0</v>
      </c>
    </row>
    <row r="163" spans="1:18" x14ac:dyDescent="0.25">
      <c r="A163">
        <f t="shared" si="2"/>
        <v>162</v>
      </c>
      <c r="B163" s="2">
        <f>計算表!B163</f>
        <v>0</v>
      </c>
      <c r="C163" s="2" t="str">
        <f>計算表!C163</f>
        <v>6-裝備</v>
      </c>
      <c r="D163" s="2" t="str">
        <f>計算表!D163</f>
        <v>分解-金幣</v>
      </c>
      <c r="E163" s="2" t="str">
        <f>計算表!E163</f>
        <v>(a+裝備等級)×分解係數×b</v>
      </c>
      <c r="F163" s="2" t="str">
        <f>計算表!F163</f>
        <v>a=常數 b=金幣係數。</v>
      </c>
      <c r="G163" s="2">
        <f>計算表!G163</f>
        <v>3</v>
      </c>
      <c r="H163" s="2">
        <f>計算表!H163</f>
        <v>0.5</v>
      </c>
      <c r="I163" s="2">
        <f>計算表!I163</f>
        <v>0</v>
      </c>
      <c r="J163" s="2">
        <f>計算表!J163</f>
        <v>0</v>
      </c>
      <c r="K163" s="2">
        <f>計算表!K163</f>
        <v>0</v>
      </c>
      <c r="L163" s="2">
        <f>計算表!L163</f>
        <v>0</v>
      </c>
      <c r="M163" s="2">
        <f>計算表!M163</f>
        <v>0</v>
      </c>
      <c r="N163" s="2">
        <f>計算表!N163</f>
        <v>0</v>
      </c>
      <c r="O163" s="2">
        <f>計算表!O163</f>
        <v>0</v>
      </c>
      <c r="P163" s="2">
        <f>計算表!P163</f>
        <v>0</v>
      </c>
      <c r="Q163" s="2">
        <f>計算表!Q163</f>
        <v>0</v>
      </c>
      <c r="R163" s="2">
        <f>計算表!R163</f>
        <v>0</v>
      </c>
    </row>
    <row r="164" spans="1:18" x14ac:dyDescent="0.25">
      <c r="A164">
        <f t="shared" si="2"/>
        <v>163</v>
      </c>
      <c r="B164" s="2">
        <f>計算表!B164</f>
        <v>0</v>
      </c>
      <c r="C164" s="2" t="str">
        <f>計算表!C164</f>
        <v>6-分解精華機率</v>
      </c>
      <c r="D164" s="2" t="str">
        <f>計算表!D164</f>
        <v>附魔精華拆解機率</v>
      </c>
      <c r="E164" s="2" t="str">
        <f>計算表!E164</f>
        <v>稀有度基礎機率 × (1+精粹透鏡加成/100)</v>
      </c>
      <c r="F164" s="2" t="str">
        <f>計算表!F164</f>
        <v>一列列出各稀有度基礎機率%。&gt;100% 採必得+餘數。</v>
      </c>
      <c r="G164" s="2">
        <f>計算表!G164</f>
        <v>0.1</v>
      </c>
      <c r="H164" s="2">
        <f>計算表!H164</f>
        <v>0.5</v>
      </c>
      <c r="I164" s="2">
        <f>計算表!I164</f>
        <v>1</v>
      </c>
      <c r="J164" s="2">
        <f>計算表!J164</f>
        <v>2</v>
      </c>
      <c r="K164" s="2">
        <f>計算表!K164</f>
        <v>4</v>
      </c>
      <c r="L164" s="2">
        <f>計算表!L164</f>
        <v>8</v>
      </c>
      <c r="M164" s="2">
        <f>計算表!M164</f>
        <v>20</v>
      </c>
      <c r="N164" s="2">
        <f>計算表!N164</f>
        <v>100</v>
      </c>
      <c r="O164" s="2">
        <f>計算表!O164</f>
        <v>100</v>
      </c>
      <c r="P164" s="2">
        <f>計算表!P164</f>
        <v>0</v>
      </c>
      <c r="Q164" s="2">
        <f>計算表!Q164</f>
        <v>0</v>
      </c>
      <c r="R164" s="2">
        <f>計算表!R164</f>
        <v>0</v>
      </c>
    </row>
    <row r="165" spans="1:18" x14ac:dyDescent="0.25">
      <c r="A165">
        <f t="shared" si="2"/>
        <v>164</v>
      </c>
      <c r="B165" s="2">
        <f>計算表!B165</f>
        <v>0</v>
      </c>
      <c r="C165" s="2" t="str">
        <f>計算表!C165</f>
        <v>6-分解精華機率</v>
      </c>
      <c r="D165" s="2" t="str">
        <f>計算表!D165</f>
        <v>太古精華拆解機率(依稀有度)</v>
      </c>
      <c r="E165" s="2" t="str">
        <f>計算表!E165</f>
        <v>基礎機率×太古萃取器倍率；另每條太古詞條 50% 判定</v>
      </c>
      <c r="F165" s="2" t="str">
        <f>計算表!F165</f>
        <v>史詩0.5 傳說1 神話10 創世100 神鑄100（普通~獨特不掉）。</v>
      </c>
      <c r="G165" s="2">
        <f>計算表!G165</f>
        <v>0</v>
      </c>
      <c r="H165" s="2">
        <f>計算表!H165</f>
        <v>0</v>
      </c>
      <c r="I165" s="2">
        <f>計算表!I165</f>
        <v>0</v>
      </c>
      <c r="J165" s="2">
        <f>計算表!J165</f>
        <v>0</v>
      </c>
      <c r="K165" s="2">
        <f>計算表!K165</f>
        <v>0.5</v>
      </c>
      <c r="L165" s="2">
        <f>計算表!L165</f>
        <v>1</v>
      </c>
      <c r="M165" s="2">
        <f>計算表!M165</f>
        <v>10</v>
      </c>
      <c r="N165" s="2">
        <f>計算表!N165</f>
        <v>100</v>
      </c>
      <c r="O165" s="2">
        <f>計算表!O165</f>
        <v>100</v>
      </c>
      <c r="P165" s="2">
        <f>計算表!P165</f>
        <v>0</v>
      </c>
      <c r="Q165" s="2">
        <f>計算表!Q165</f>
        <v>0</v>
      </c>
      <c r="R165" s="2">
        <f>計算表!R165</f>
        <v>0</v>
      </c>
    </row>
    <row r="166" spans="1:18" x14ac:dyDescent="0.25">
      <c r="A166">
        <f t="shared" si="2"/>
        <v>165</v>
      </c>
      <c r="B166" s="2">
        <f>計算表!B166</f>
        <v>0</v>
      </c>
      <c r="C166" s="2" t="str">
        <f>計算表!C166</f>
        <v>6-神鑄</v>
      </c>
      <c r="D166" s="2" t="str">
        <f>計算表!D166</f>
        <v>裝備神鑄成功率</v>
      </c>
      <c r="E166" s="2" t="str">
        <f>計算表!E166</f>
        <v>clamp(基礎 + 魔塵數×a, 0, 100)</v>
      </c>
      <c r="F166" s="2" t="str">
        <f>計算表!F166</f>
        <v>基礎：傳說55 神話40 創世25。a=每魔塵加成%。</v>
      </c>
      <c r="G166" s="2">
        <f>計算表!G166</f>
        <v>5</v>
      </c>
      <c r="H166" s="2">
        <f>計算表!H166</f>
        <v>0</v>
      </c>
      <c r="I166" s="2">
        <f>計算表!I166</f>
        <v>0</v>
      </c>
      <c r="J166" s="2">
        <f>計算表!J166</f>
        <v>0</v>
      </c>
      <c r="K166" s="2">
        <f>計算表!K166</f>
        <v>0</v>
      </c>
      <c r="L166" s="2">
        <f>計算表!L166</f>
        <v>0</v>
      </c>
      <c r="M166" s="2">
        <f>計算表!M166</f>
        <v>0</v>
      </c>
      <c r="N166" s="2">
        <f>計算表!N166</f>
        <v>0</v>
      </c>
      <c r="O166" s="2">
        <f>計算表!O166</f>
        <v>0</v>
      </c>
      <c r="P166" s="2">
        <f>計算表!P166</f>
        <v>0</v>
      </c>
      <c r="Q166" s="2">
        <f>計算表!Q166</f>
        <v>0</v>
      </c>
      <c r="R166" s="2">
        <f>計算表!R166</f>
        <v>0</v>
      </c>
    </row>
    <row r="167" spans="1:18" x14ac:dyDescent="0.25">
      <c r="A167">
        <f t="shared" si="2"/>
        <v>166</v>
      </c>
      <c r="B167" s="2">
        <f>計算表!B167</f>
        <v>0</v>
      </c>
      <c r="C167" s="2" t="str">
        <f>計算表!C167</f>
        <v>6-神鑄</v>
      </c>
      <c r="D167" s="2" t="str">
        <f>計算表!D167</f>
        <v>裝備神鑄基礎成功率</v>
      </c>
      <c r="E167" s="2" t="str">
        <f>計算表!E167</f>
        <v>傳說a 神話b 創世c（%）</v>
      </c>
      <c r="F167" s="2" t="str">
        <f>計算表!F167</f>
        <v>依素材品質。</v>
      </c>
      <c r="G167" s="2">
        <f>計算表!G167</f>
        <v>55</v>
      </c>
      <c r="H167" s="2">
        <f>計算表!H167</f>
        <v>40</v>
      </c>
      <c r="I167" s="2">
        <f>計算表!I167</f>
        <v>25</v>
      </c>
      <c r="J167" s="2">
        <f>計算表!J167</f>
        <v>0</v>
      </c>
      <c r="K167" s="2">
        <f>計算表!K167</f>
        <v>0</v>
      </c>
      <c r="L167" s="2">
        <f>計算表!L167</f>
        <v>0</v>
      </c>
      <c r="M167" s="2">
        <f>計算表!M167</f>
        <v>0</v>
      </c>
      <c r="N167" s="2">
        <f>計算表!N167</f>
        <v>0</v>
      </c>
      <c r="O167" s="2">
        <f>計算表!O167</f>
        <v>0</v>
      </c>
      <c r="P167" s="2">
        <f>計算表!P167</f>
        <v>0</v>
      </c>
      <c r="Q167" s="2">
        <f>計算表!Q167</f>
        <v>0</v>
      </c>
      <c r="R167" s="2">
        <f>計算表!R167</f>
        <v>0</v>
      </c>
    </row>
    <row r="168" spans="1:18" x14ac:dyDescent="0.25">
      <c r="A168">
        <f t="shared" si="2"/>
        <v>167</v>
      </c>
      <c r="B168" s="2">
        <f>計算表!B168</f>
        <v>0</v>
      </c>
      <c r="C168" s="2" t="str">
        <f>計算表!C168</f>
        <v>6-神鑄</v>
      </c>
      <c r="D168" s="2" t="str">
        <f>計算表!D168</f>
        <v>裝備神鑄金幣</v>
      </c>
      <c r="E168" s="2" t="str">
        <f>計算表!E168</f>
        <v>傳說a 神話b 創世c</v>
      </c>
      <c r="F168" s="2" t="str">
        <f>計算表!F168</f>
        <v>單次金幣消耗。</v>
      </c>
      <c r="G168" s="2">
        <f>計算表!G168</f>
        <v>5000000</v>
      </c>
      <c r="H168" s="2">
        <f>計算表!H168</f>
        <v>20000000</v>
      </c>
      <c r="I168" s="2">
        <f>計算表!I168</f>
        <v>100000000</v>
      </c>
      <c r="J168" s="2">
        <f>計算表!J168</f>
        <v>0</v>
      </c>
      <c r="K168" s="2">
        <f>計算表!K168</f>
        <v>0</v>
      </c>
      <c r="L168" s="2">
        <f>計算表!L168</f>
        <v>0</v>
      </c>
      <c r="M168" s="2">
        <f>計算表!M168</f>
        <v>0</v>
      </c>
      <c r="N168" s="2">
        <f>計算表!N168</f>
        <v>0</v>
      </c>
      <c r="O168" s="2">
        <f>計算表!O168</f>
        <v>0</v>
      </c>
      <c r="P168" s="2">
        <f>計算表!P168</f>
        <v>0</v>
      </c>
      <c r="Q168" s="2">
        <f>計算表!Q168</f>
        <v>0</v>
      </c>
      <c r="R168" s="2">
        <f>計算表!R168</f>
        <v>0</v>
      </c>
    </row>
    <row r="169" spans="1:18" x14ac:dyDescent="0.25">
      <c r="A169">
        <f t="shared" si="2"/>
        <v>168</v>
      </c>
      <c r="B169" s="2">
        <f>計算表!B169</f>
        <v>0</v>
      </c>
      <c r="C169" s="2" t="str">
        <f>計算表!C169</f>
        <v>6-神鑄</v>
      </c>
      <c r="D169" s="2" t="str">
        <f>計算表!D169</f>
        <v>裝備神鑄時間(秒)</v>
      </c>
      <c r="E169" s="2" t="str">
        <f>計算表!E169</f>
        <v>傳說a 神話b 創世c</v>
      </c>
      <c r="F169" s="2">
        <f>計算表!F169</f>
        <v>0</v>
      </c>
      <c r="G169" s="2">
        <f>計算表!G169</f>
        <v>3</v>
      </c>
      <c r="H169" s="2">
        <f>計算表!H169</f>
        <v>5</v>
      </c>
      <c r="I169" s="2">
        <f>計算表!I169</f>
        <v>8</v>
      </c>
      <c r="J169" s="2">
        <f>計算表!J169</f>
        <v>0</v>
      </c>
      <c r="K169" s="2">
        <f>計算表!K169</f>
        <v>0</v>
      </c>
      <c r="L169" s="2">
        <f>計算表!L169</f>
        <v>0</v>
      </c>
      <c r="M169" s="2">
        <f>計算表!M169</f>
        <v>0</v>
      </c>
      <c r="N169" s="2">
        <f>計算表!N169</f>
        <v>0</v>
      </c>
      <c r="O169" s="2">
        <f>計算表!O169</f>
        <v>0</v>
      </c>
      <c r="P169" s="2">
        <f>計算表!P169</f>
        <v>0</v>
      </c>
      <c r="Q169" s="2">
        <f>計算表!Q169</f>
        <v>0</v>
      </c>
      <c r="R169" s="2">
        <f>計算表!R169</f>
        <v>0</v>
      </c>
    </row>
    <row r="170" spans="1:18" x14ac:dyDescent="0.25">
      <c r="A170">
        <f t="shared" si="2"/>
        <v>169</v>
      </c>
      <c r="B170" s="2">
        <f>計算表!B170</f>
        <v>0</v>
      </c>
      <c r="C170" s="2" t="str">
        <f>計算表!C170</f>
        <v>6-神鑄</v>
      </c>
      <c r="D170" s="2" t="str">
        <f>計算表!D170</f>
        <v>寶石神鑄成功率</v>
      </c>
      <c r="E170" s="2" t="str">
        <f>計算表!E170</f>
        <v>clamp(基礎 + 魔塵數×a, 0, 100)</v>
      </c>
      <c r="F170" s="2" t="str">
        <f>計算表!F170</f>
        <v>基礎：5階45 6階35 7階25 8階15 9階5。a=每魔塵加成%。</v>
      </c>
      <c r="G170" s="2">
        <f>計算表!G170</f>
        <v>3</v>
      </c>
      <c r="H170" s="2">
        <f>計算表!H170</f>
        <v>0</v>
      </c>
      <c r="I170" s="2">
        <f>計算表!I170</f>
        <v>0</v>
      </c>
      <c r="J170" s="2">
        <f>計算表!J170</f>
        <v>0</v>
      </c>
      <c r="K170" s="2">
        <f>計算表!K170</f>
        <v>0</v>
      </c>
      <c r="L170" s="2">
        <f>計算表!L170</f>
        <v>0</v>
      </c>
      <c r="M170" s="2">
        <f>計算表!M170</f>
        <v>0</v>
      </c>
      <c r="N170" s="2">
        <f>計算表!N170</f>
        <v>0</v>
      </c>
      <c r="O170" s="2">
        <f>計算表!O170</f>
        <v>0</v>
      </c>
      <c r="P170" s="2">
        <f>計算表!P170</f>
        <v>0</v>
      </c>
      <c r="Q170" s="2">
        <f>計算表!Q170</f>
        <v>0</v>
      </c>
      <c r="R170" s="2">
        <f>計算表!R170</f>
        <v>0</v>
      </c>
    </row>
    <row r="171" spans="1:18" x14ac:dyDescent="0.25">
      <c r="A171">
        <f t="shared" si="2"/>
        <v>170</v>
      </c>
      <c r="B171" s="2">
        <f>計算表!B171</f>
        <v>0</v>
      </c>
      <c r="C171" s="2" t="str">
        <f>計算表!C171</f>
        <v>6-神鑄</v>
      </c>
      <c r="D171" s="2" t="str">
        <f>計算表!D171</f>
        <v>寶石神鑄基礎成功率</v>
      </c>
      <c r="E171" s="2" t="str">
        <f>計算表!E171</f>
        <v>5階a 6階b 7階c 8階d 9階e（%）</v>
      </c>
      <c r="F171" s="2" t="str">
        <f>計算表!F171</f>
        <v>依素材階級。</v>
      </c>
      <c r="G171" s="2">
        <f>計算表!G171</f>
        <v>45</v>
      </c>
      <c r="H171" s="2">
        <f>計算表!H171</f>
        <v>35</v>
      </c>
      <c r="I171" s="2">
        <f>計算表!I171</f>
        <v>25</v>
      </c>
      <c r="J171" s="2">
        <f>計算表!J171</f>
        <v>15</v>
      </c>
      <c r="K171" s="2">
        <f>計算表!K171</f>
        <v>5</v>
      </c>
      <c r="L171" s="2">
        <f>計算表!L171</f>
        <v>0</v>
      </c>
      <c r="M171" s="2">
        <f>計算表!M171</f>
        <v>0</v>
      </c>
      <c r="N171" s="2">
        <f>計算表!N171</f>
        <v>0</v>
      </c>
      <c r="O171" s="2">
        <f>計算表!O171</f>
        <v>0</v>
      </c>
      <c r="P171" s="2">
        <f>計算表!P171</f>
        <v>0</v>
      </c>
      <c r="Q171" s="2">
        <f>計算表!Q171</f>
        <v>0</v>
      </c>
      <c r="R171" s="2">
        <f>計算表!R171</f>
        <v>0</v>
      </c>
    </row>
    <row r="172" spans="1:18" x14ac:dyDescent="0.25">
      <c r="A172">
        <f t="shared" si="2"/>
        <v>171</v>
      </c>
      <c r="B172" s="2">
        <f>計算表!B172</f>
        <v>0</v>
      </c>
      <c r="C172" s="2" t="str">
        <f>計算表!C172</f>
        <v>6-神鑄</v>
      </c>
      <c r="D172" s="2" t="str">
        <f>計算表!D172</f>
        <v>寶石神鑄金幣</v>
      </c>
      <c r="E172" s="2" t="str">
        <f>計算表!E172</f>
        <v>a + (素材階級-b)×a</v>
      </c>
      <c r="F172" s="2" t="str">
        <f>計算表!F172</f>
        <v>a=基礎 b=起始階級。</v>
      </c>
      <c r="G172" s="2">
        <f>計算表!G172</f>
        <v>1000000</v>
      </c>
      <c r="H172" s="2">
        <f>計算表!H172</f>
        <v>5</v>
      </c>
      <c r="I172" s="2">
        <f>計算表!I172</f>
        <v>0</v>
      </c>
      <c r="J172" s="2">
        <f>計算表!J172</f>
        <v>0</v>
      </c>
      <c r="K172" s="2">
        <f>計算表!K172</f>
        <v>0</v>
      </c>
      <c r="L172" s="2">
        <f>計算表!L172</f>
        <v>0</v>
      </c>
      <c r="M172" s="2">
        <f>計算表!M172</f>
        <v>0</v>
      </c>
      <c r="N172" s="2">
        <f>計算表!N172</f>
        <v>0</v>
      </c>
      <c r="O172" s="2">
        <f>計算表!O172</f>
        <v>0</v>
      </c>
      <c r="P172" s="2">
        <f>計算表!P172</f>
        <v>0</v>
      </c>
      <c r="Q172" s="2">
        <f>計算表!Q172</f>
        <v>0</v>
      </c>
      <c r="R172" s="2">
        <f>計算表!R172</f>
        <v>0</v>
      </c>
    </row>
    <row r="173" spans="1:18" x14ac:dyDescent="0.25">
      <c r="A173">
        <f t="shared" si="2"/>
        <v>172</v>
      </c>
      <c r="B173" s="2">
        <f>計算表!B173</f>
        <v>0</v>
      </c>
      <c r="C173" s="2" t="str">
        <f>計算表!C173</f>
        <v>6-神鑄</v>
      </c>
      <c r="D173" s="2" t="str">
        <f>計算表!D173</f>
        <v>寶石神鑄時間(秒)</v>
      </c>
      <c r="E173" s="2" t="str">
        <f>計算表!E173</f>
        <v>5階a 6階b 7階c 8階d 9階e</v>
      </c>
      <c r="F173" s="2">
        <f>計算表!F173</f>
        <v>0</v>
      </c>
      <c r="G173" s="2">
        <f>計算表!G173</f>
        <v>2</v>
      </c>
      <c r="H173" s="2">
        <f>計算表!H173</f>
        <v>3</v>
      </c>
      <c r="I173" s="2">
        <f>計算表!I173</f>
        <v>4</v>
      </c>
      <c r="J173" s="2">
        <f>計算表!J173</f>
        <v>5</v>
      </c>
      <c r="K173" s="2">
        <f>計算表!K173</f>
        <v>6</v>
      </c>
      <c r="L173" s="2">
        <f>計算表!L173</f>
        <v>0</v>
      </c>
      <c r="M173" s="2">
        <f>計算表!M173</f>
        <v>0</v>
      </c>
      <c r="N173" s="2">
        <f>計算表!N173</f>
        <v>0</v>
      </c>
      <c r="O173" s="2">
        <f>計算表!O173</f>
        <v>0</v>
      </c>
      <c r="P173" s="2">
        <f>計算表!P173</f>
        <v>0</v>
      </c>
      <c r="Q173" s="2">
        <f>計算表!Q173</f>
        <v>0</v>
      </c>
      <c r="R173" s="2">
        <f>計算表!R173</f>
        <v>0</v>
      </c>
    </row>
    <row r="174" spans="1:18" x14ac:dyDescent="0.25">
      <c r="A174">
        <f t="shared" si="2"/>
        <v>173</v>
      </c>
      <c r="B174" s="2">
        <f>計算表!B174</f>
        <v>0</v>
      </c>
      <c r="C174" s="2" t="str">
        <f>計算表!C174</f>
        <v>6-神鑄</v>
      </c>
      <c r="D174" s="2" t="str">
        <f>計算表!D174</f>
        <v>神鑄失敗</v>
      </c>
      <c r="E174" s="2" t="str">
        <f>計算表!E174</f>
        <v>裝備消耗a件退b件；寶石消耗a顆退b顆；每次失敗得魔塵1</v>
      </c>
      <c r="F174" s="2" t="str">
        <f>計算表!F174</f>
        <v>a=消耗 b=退回。</v>
      </c>
      <c r="G174" s="2">
        <f>計算表!G174</f>
        <v>3</v>
      </c>
      <c r="H174" s="2">
        <f>計算表!H174</f>
        <v>3</v>
      </c>
      <c r="I174" s="2">
        <f>計算表!I174</f>
        <v>0</v>
      </c>
      <c r="J174" s="2">
        <f>計算表!J174</f>
        <v>0</v>
      </c>
      <c r="K174" s="2">
        <f>計算表!K174</f>
        <v>0</v>
      </c>
      <c r="L174" s="2">
        <f>計算表!L174</f>
        <v>0</v>
      </c>
      <c r="M174" s="2">
        <f>計算表!M174</f>
        <v>0</v>
      </c>
      <c r="N174" s="2">
        <f>計算表!N174</f>
        <v>0</v>
      </c>
      <c r="O174" s="2">
        <f>計算表!O174</f>
        <v>0</v>
      </c>
      <c r="P174" s="2">
        <f>計算表!P174</f>
        <v>0</v>
      </c>
      <c r="Q174" s="2">
        <f>計算表!Q174</f>
        <v>0</v>
      </c>
      <c r="R174" s="2">
        <f>計算表!R174</f>
        <v>0</v>
      </c>
    </row>
    <row r="175" spans="1:18" x14ac:dyDescent="0.25">
      <c r="A175">
        <f t="shared" si="2"/>
        <v>174</v>
      </c>
      <c r="B175" s="2">
        <f>計算表!B175</f>
        <v>0</v>
      </c>
      <c r="C175" s="2" t="str">
        <f>計算表!C175</f>
        <v>6-神鑄</v>
      </c>
      <c r="D175" s="2" t="str">
        <f>計算表!D175</f>
        <v>神鑄槽位 / 魔塵上限</v>
      </c>
      <c r="E175" s="2" t="str">
        <f>計算表!E175</f>
        <v>法陣a格；魔塵最多b個</v>
      </c>
      <c r="F175" s="2" t="str">
        <f>計算表!F175</f>
        <v>a=槽位 b=魔塵上限。</v>
      </c>
      <c r="G175" s="2">
        <f>計算表!G175</f>
        <v>6</v>
      </c>
      <c r="H175" s="2">
        <f>計算表!H175</f>
        <v>6</v>
      </c>
      <c r="I175" s="2">
        <f>計算表!I175</f>
        <v>0</v>
      </c>
      <c r="J175" s="2">
        <f>計算表!J175</f>
        <v>0</v>
      </c>
      <c r="K175" s="2">
        <f>計算表!K175</f>
        <v>0</v>
      </c>
      <c r="L175" s="2">
        <f>計算表!L175</f>
        <v>0</v>
      </c>
      <c r="M175" s="2">
        <f>計算表!M175</f>
        <v>0</v>
      </c>
      <c r="N175" s="2">
        <f>計算表!N175</f>
        <v>0</v>
      </c>
      <c r="O175" s="2">
        <f>計算表!O175</f>
        <v>0</v>
      </c>
      <c r="P175" s="2">
        <f>計算表!P175</f>
        <v>0</v>
      </c>
      <c r="Q175" s="2">
        <f>計算表!Q175</f>
        <v>0</v>
      </c>
      <c r="R175" s="2">
        <f>計算表!R175</f>
        <v>0</v>
      </c>
    </row>
    <row r="176" spans="1:18" x14ac:dyDescent="0.25">
      <c r="A176">
        <f t="shared" si="2"/>
        <v>175</v>
      </c>
      <c r="B176" s="2">
        <f>計算表!B176</f>
        <v>0</v>
      </c>
      <c r="C176" s="2" t="str">
        <f>計算表!C176</f>
        <v>7-強化</v>
      </c>
      <c r="D176" s="2" t="str">
        <f>計算表!D176</f>
        <v>基礎成功率</v>
      </c>
      <c r="E176" s="2" t="str">
        <f>計算表!E176</f>
        <v>+5 以內 100%；之後 max(a%, 100% - (目標等級-5)×b%)</v>
      </c>
      <c r="F176" s="2" t="str">
        <f>計算表!F176</f>
        <v>a=下限 b=每級遞減。實際=基礎+強化成功率屬性。</v>
      </c>
      <c r="G176" s="2">
        <f>計算表!G176</f>
        <v>30</v>
      </c>
      <c r="H176" s="2">
        <f>計算表!H176</f>
        <v>6</v>
      </c>
      <c r="I176" s="2">
        <f>計算表!I176</f>
        <v>0</v>
      </c>
      <c r="J176" s="2">
        <f>計算表!J176</f>
        <v>0</v>
      </c>
      <c r="K176" s="2">
        <f>計算表!K176</f>
        <v>0</v>
      </c>
      <c r="L176" s="2">
        <f>計算表!L176</f>
        <v>0</v>
      </c>
      <c r="M176" s="2">
        <f>計算表!M176</f>
        <v>0</v>
      </c>
      <c r="N176" s="2">
        <f>計算表!N176</f>
        <v>0</v>
      </c>
      <c r="O176" s="2">
        <f>計算表!O176</f>
        <v>0</v>
      </c>
      <c r="P176" s="2">
        <f>計算表!P176</f>
        <v>0</v>
      </c>
      <c r="Q176" s="2">
        <f>計算表!Q176</f>
        <v>0</v>
      </c>
      <c r="R176" s="2">
        <f>計算表!R176</f>
        <v>0</v>
      </c>
    </row>
    <row r="177" spans="1:18" x14ac:dyDescent="0.25">
      <c r="A177">
        <f t="shared" si="2"/>
        <v>176</v>
      </c>
      <c r="B177" s="2">
        <f>計算表!B177</f>
        <v>0</v>
      </c>
      <c r="C177" s="2" t="str">
        <f>計算表!C177</f>
        <v>7-強化</v>
      </c>
      <c r="D177" s="2" t="str">
        <f>計算表!D177</f>
        <v>金幣費用</v>
      </c>
      <c r="E177" s="2" t="str">
        <f>計算表!E177</f>
        <v>a × b^目前強化等級 × (1+裝備等級×c)</v>
      </c>
      <c r="F177" s="2">
        <f>計算表!F177</f>
        <v>0</v>
      </c>
      <c r="G177" s="2">
        <f>計算表!G177</f>
        <v>25</v>
      </c>
      <c r="H177" s="2">
        <f>計算表!H177</f>
        <v>1.45</v>
      </c>
      <c r="I177" s="2">
        <f>計算表!I177</f>
        <v>0.08</v>
      </c>
      <c r="J177" s="2">
        <f>計算表!J177</f>
        <v>0</v>
      </c>
      <c r="K177" s="2">
        <f>計算表!K177</f>
        <v>0</v>
      </c>
      <c r="L177" s="2">
        <f>計算表!L177</f>
        <v>0</v>
      </c>
      <c r="M177" s="2">
        <f>計算表!M177</f>
        <v>0</v>
      </c>
      <c r="N177" s="2">
        <f>計算表!N177</f>
        <v>0</v>
      </c>
      <c r="O177" s="2">
        <f>計算表!O177</f>
        <v>0</v>
      </c>
      <c r="P177" s="2">
        <f>計算表!P177</f>
        <v>0</v>
      </c>
      <c r="Q177" s="2">
        <f>計算表!Q177</f>
        <v>0</v>
      </c>
      <c r="R177" s="2">
        <f>計算表!R177</f>
        <v>0</v>
      </c>
    </row>
    <row r="178" spans="1:18" x14ac:dyDescent="0.25">
      <c r="A178">
        <f t="shared" si="2"/>
        <v>177</v>
      </c>
      <c r="B178" s="2">
        <f>計算表!B178</f>
        <v>0</v>
      </c>
      <c r="C178" s="2" t="str">
        <f>計算表!C178</f>
        <v>7-強化</v>
      </c>
      <c r="D178" s="2" t="str">
        <f>計算表!D178</f>
        <v>碎片費用</v>
      </c>
      <c r="E178" s="2" t="str">
        <f>計算表!E178</f>
        <v>a × b^目前強化等級 × (1+裝備等級×c)</v>
      </c>
      <c r="F178" s="2">
        <f>計算表!F178</f>
        <v>0</v>
      </c>
      <c r="G178" s="2">
        <f>計算表!G178</f>
        <v>8</v>
      </c>
      <c r="H178" s="2">
        <f>計算表!H178</f>
        <v>1.35</v>
      </c>
      <c r="I178" s="2">
        <f>計算表!I178</f>
        <v>0.04</v>
      </c>
      <c r="J178" s="2">
        <f>計算表!J178</f>
        <v>0</v>
      </c>
      <c r="K178" s="2">
        <f>計算表!K178</f>
        <v>0</v>
      </c>
      <c r="L178" s="2">
        <f>計算表!L178</f>
        <v>0</v>
      </c>
      <c r="M178" s="2">
        <f>計算表!M178</f>
        <v>0</v>
      </c>
      <c r="N178" s="2">
        <f>計算表!N178</f>
        <v>0</v>
      </c>
      <c r="O178" s="2">
        <f>計算表!O178</f>
        <v>0</v>
      </c>
      <c r="P178" s="2">
        <f>計算表!P178</f>
        <v>0</v>
      </c>
      <c r="Q178" s="2">
        <f>計算表!Q178</f>
        <v>0</v>
      </c>
      <c r="R178" s="2">
        <f>計算表!R178</f>
        <v>0</v>
      </c>
    </row>
    <row r="179" spans="1:18" x14ac:dyDescent="0.25">
      <c r="A179">
        <f t="shared" si="2"/>
        <v>178</v>
      </c>
      <c r="B179" s="2">
        <f>計算表!B179</f>
        <v>0</v>
      </c>
      <c r="C179" s="2" t="str">
        <f>計算表!C179</f>
        <v>7-強化</v>
      </c>
      <c r="D179" s="2" t="str">
        <f>計算表!D179</f>
        <v>失敗懲罰</v>
      </c>
      <c r="E179" s="2" t="str">
        <f>計算表!E179</f>
        <v>消耗半數費用，強化等級不變</v>
      </c>
      <c r="F179" s="2">
        <f>計算表!F179</f>
        <v>0</v>
      </c>
      <c r="G179" s="2">
        <f>計算表!G179</f>
        <v>0</v>
      </c>
      <c r="H179" s="2">
        <f>計算表!H179</f>
        <v>0</v>
      </c>
      <c r="I179" s="2">
        <f>計算表!I179</f>
        <v>0</v>
      </c>
      <c r="J179" s="2">
        <f>計算表!J179</f>
        <v>0</v>
      </c>
      <c r="K179" s="2">
        <f>計算表!K179</f>
        <v>0</v>
      </c>
      <c r="L179" s="2">
        <f>計算表!L179</f>
        <v>0</v>
      </c>
      <c r="M179" s="2">
        <f>計算表!M179</f>
        <v>0</v>
      </c>
      <c r="N179" s="2">
        <f>計算表!N179</f>
        <v>0</v>
      </c>
      <c r="O179" s="2">
        <f>計算表!O179</f>
        <v>0</v>
      </c>
      <c r="P179" s="2">
        <f>計算表!P179</f>
        <v>0</v>
      </c>
      <c r="Q179" s="2">
        <f>計算表!Q179</f>
        <v>0</v>
      </c>
      <c r="R179" s="2">
        <f>計算表!R179</f>
        <v>0</v>
      </c>
    </row>
    <row r="180" spans="1:18" x14ac:dyDescent="0.25">
      <c r="A180">
        <f t="shared" si="2"/>
        <v>179</v>
      </c>
      <c r="B180" s="2">
        <f>計算表!B180</f>
        <v>0</v>
      </c>
      <c r="C180" s="2" t="str">
        <f>計算表!C180</f>
        <v>7-洗煉</v>
      </c>
      <c r="D180" s="2" t="str">
        <f>計算表!D180</f>
        <v>金幣費用</v>
      </c>
      <c r="E180" s="2" t="str">
        <f>計算表!E180</f>
        <v>a × b^稀有度 × (1+裝備等級×c)</v>
      </c>
      <c r="F180" s="2">
        <f>計算表!F180</f>
        <v>0</v>
      </c>
      <c r="G180" s="2">
        <f>計算表!G180</f>
        <v>40</v>
      </c>
      <c r="H180" s="2">
        <f>計算表!H180</f>
        <v>1.7</v>
      </c>
      <c r="I180" s="2">
        <f>計算表!I180</f>
        <v>0.15</v>
      </c>
      <c r="J180" s="2">
        <f>計算表!J180</f>
        <v>0</v>
      </c>
      <c r="K180" s="2">
        <f>計算表!K180</f>
        <v>0</v>
      </c>
      <c r="L180" s="2">
        <f>計算表!L180</f>
        <v>0</v>
      </c>
      <c r="M180" s="2">
        <f>計算表!M180</f>
        <v>0</v>
      </c>
      <c r="N180" s="2">
        <f>計算表!N180</f>
        <v>0</v>
      </c>
      <c r="O180" s="2">
        <f>計算表!O180</f>
        <v>0</v>
      </c>
      <c r="P180" s="2">
        <f>計算表!P180</f>
        <v>0</v>
      </c>
      <c r="Q180" s="2">
        <f>計算表!Q180</f>
        <v>0</v>
      </c>
      <c r="R180" s="2">
        <f>計算表!R180</f>
        <v>0</v>
      </c>
    </row>
    <row r="181" spans="1:18" x14ac:dyDescent="0.25">
      <c r="A181">
        <f t="shared" si="2"/>
        <v>180</v>
      </c>
      <c r="B181" s="2">
        <f>計算表!B181</f>
        <v>0</v>
      </c>
      <c r="C181" s="2" t="str">
        <f>計算表!C181</f>
        <v>7-洗煉</v>
      </c>
      <c r="D181" s="2" t="str">
        <f>計算表!D181</f>
        <v>精華費用</v>
      </c>
      <c r="E181" s="2" t="str">
        <f>計算表!E181</f>
        <v>普通~傳說 1+稀有度；神話a 創世b 神鑄c</v>
      </c>
      <c r="F181" s="2" t="str">
        <f>計算表!F181</f>
        <v>a/b/c=神話/創世/神鑄創世固定值。</v>
      </c>
      <c r="G181" s="2">
        <f>計算表!G181</f>
        <v>9</v>
      </c>
      <c r="H181" s="2">
        <f>計算表!H181</f>
        <v>14</v>
      </c>
      <c r="I181" s="2">
        <f>計算表!I181</f>
        <v>20</v>
      </c>
      <c r="J181" s="2">
        <f>計算表!J181</f>
        <v>0</v>
      </c>
      <c r="K181" s="2">
        <f>計算表!K181</f>
        <v>0</v>
      </c>
      <c r="L181" s="2">
        <f>計算表!L181</f>
        <v>0</v>
      </c>
      <c r="M181" s="2">
        <f>計算表!M181</f>
        <v>0</v>
      </c>
      <c r="N181" s="2">
        <f>計算表!N181</f>
        <v>0</v>
      </c>
      <c r="O181" s="2">
        <f>計算表!O181</f>
        <v>0</v>
      </c>
      <c r="P181" s="2">
        <f>計算表!P181</f>
        <v>0</v>
      </c>
      <c r="Q181" s="2">
        <f>計算表!Q181</f>
        <v>0</v>
      </c>
      <c r="R181" s="2">
        <f>計算表!R181</f>
        <v>0</v>
      </c>
    </row>
    <row r="182" spans="1:18" x14ac:dyDescent="0.25">
      <c r="A182">
        <f t="shared" si="2"/>
        <v>181</v>
      </c>
      <c r="B182" s="2">
        <f>計算表!B182</f>
        <v>0</v>
      </c>
      <c r="C182" s="2" t="str">
        <f>計算表!C182</f>
        <v>7-洗煉</v>
      </c>
      <c r="D182" s="2" t="str">
        <f>計算表!D182</f>
        <v>太古精華洗煉</v>
      </c>
      <c r="E182" s="2" t="str">
        <f>計算表!E182</f>
        <v>勾選後每次消耗 1 顆，本次每詞條 a% 成為太古</v>
      </c>
      <c r="F182" s="2" t="str">
        <f>計算表!F182</f>
        <v>a=太古機率。</v>
      </c>
      <c r="G182" s="2">
        <f>計算表!G182</f>
        <v>30</v>
      </c>
      <c r="H182" s="2">
        <f>計算表!H182</f>
        <v>0</v>
      </c>
      <c r="I182" s="2">
        <f>計算表!I182</f>
        <v>0</v>
      </c>
      <c r="J182" s="2">
        <f>計算表!J182</f>
        <v>0</v>
      </c>
      <c r="K182" s="2">
        <f>計算表!K182</f>
        <v>0</v>
      </c>
      <c r="L182" s="2">
        <f>計算表!L182</f>
        <v>0</v>
      </c>
      <c r="M182" s="2">
        <f>計算表!M182</f>
        <v>0</v>
      </c>
      <c r="N182" s="2">
        <f>計算表!N182</f>
        <v>0</v>
      </c>
      <c r="O182" s="2">
        <f>計算表!O182</f>
        <v>0</v>
      </c>
      <c r="P182" s="2">
        <f>計算表!P182</f>
        <v>0</v>
      </c>
      <c r="Q182" s="2">
        <f>計算表!Q182</f>
        <v>0</v>
      </c>
      <c r="R182" s="2">
        <f>計算表!R182</f>
        <v>0</v>
      </c>
    </row>
    <row r="183" spans="1:18" x14ac:dyDescent="0.25">
      <c r="A183">
        <f t="shared" si="2"/>
        <v>182</v>
      </c>
      <c r="B183" s="2">
        <f>計算表!B183</f>
        <v>0</v>
      </c>
      <c r="C183" s="2" t="str">
        <f>計算表!C183</f>
        <v>7-合成</v>
      </c>
      <c r="D183" s="2" t="str">
        <f>計算表!D183</f>
        <v>大成功率</v>
      </c>
      <c r="E183" s="2" t="str">
        <f>計算表!E183</f>
        <v>a% + 幸運核心×每階8% + 幸運值/2</v>
      </c>
      <c r="F183" s="2" t="str">
        <f>計算表!F183</f>
        <v>a=基礎%。</v>
      </c>
      <c r="G183" s="2">
        <f>計算表!G183</f>
        <v>5</v>
      </c>
      <c r="H183" s="2">
        <f>計算表!H183</f>
        <v>0</v>
      </c>
      <c r="I183" s="2">
        <f>計算表!I183</f>
        <v>0</v>
      </c>
      <c r="J183" s="2">
        <f>計算表!J183</f>
        <v>0</v>
      </c>
      <c r="K183" s="2">
        <f>計算表!K183</f>
        <v>0</v>
      </c>
      <c r="L183" s="2">
        <f>計算表!L183</f>
        <v>0</v>
      </c>
      <c r="M183" s="2">
        <f>計算表!M183</f>
        <v>0</v>
      </c>
      <c r="N183" s="2">
        <f>計算表!N183</f>
        <v>0</v>
      </c>
      <c r="O183" s="2">
        <f>計算表!O183</f>
        <v>0</v>
      </c>
      <c r="P183" s="2">
        <f>計算表!P183</f>
        <v>0</v>
      </c>
      <c r="Q183" s="2">
        <f>計算表!Q183</f>
        <v>0</v>
      </c>
      <c r="R183" s="2">
        <f>計算表!R183</f>
        <v>0</v>
      </c>
    </row>
    <row r="184" spans="1:18" x14ac:dyDescent="0.25">
      <c r="A184">
        <f t="shared" si="2"/>
        <v>183</v>
      </c>
      <c r="B184" s="2">
        <f>計算表!B184</f>
        <v>0</v>
      </c>
      <c r="C184" s="2" t="str">
        <f>計算表!C184</f>
        <v>7-合成</v>
      </c>
      <c r="D184" s="2" t="str">
        <f>計算表!D184</f>
        <v>品質合成</v>
      </c>
      <c r="E184" s="2" t="str">
        <f>計算表!E184</f>
        <v>3 件同稀有度 → 1 件高一階（等級=平均）；大成功再+1 階</v>
      </c>
      <c r="F184" s="2">
        <f>計算表!F184</f>
        <v>0</v>
      </c>
      <c r="G184" s="2">
        <f>計算表!G184</f>
        <v>0</v>
      </c>
      <c r="H184" s="2">
        <f>計算表!H184</f>
        <v>0</v>
      </c>
      <c r="I184" s="2">
        <f>計算表!I184</f>
        <v>0</v>
      </c>
      <c r="J184" s="2">
        <f>計算表!J184</f>
        <v>0</v>
      </c>
      <c r="K184" s="2">
        <f>計算表!K184</f>
        <v>0</v>
      </c>
      <c r="L184" s="2">
        <f>計算表!L184</f>
        <v>0</v>
      </c>
      <c r="M184" s="2">
        <f>計算表!M184</f>
        <v>0</v>
      </c>
      <c r="N184" s="2">
        <f>計算表!N184</f>
        <v>0</v>
      </c>
      <c r="O184" s="2">
        <f>計算表!O184</f>
        <v>0</v>
      </c>
      <c r="P184" s="2">
        <f>計算表!P184</f>
        <v>0</v>
      </c>
      <c r="Q184" s="2">
        <f>計算表!Q184</f>
        <v>0</v>
      </c>
      <c r="R184" s="2">
        <f>計算表!R184</f>
        <v>0</v>
      </c>
    </row>
    <row r="185" spans="1:18" x14ac:dyDescent="0.25">
      <c r="A185">
        <f t="shared" si="2"/>
        <v>184</v>
      </c>
      <c r="B185" s="2">
        <f>計算表!B185</f>
        <v>0</v>
      </c>
      <c r="C185" s="2" t="str">
        <f>計算表!C185</f>
        <v>7-合成</v>
      </c>
      <c r="D185" s="2" t="str">
        <f>計算表!D185</f>
        <v>混合合成</v>
      </c>
      <c r="E185" s="2" t="str">
        <f>計算表!E185</f>
        <v>1 裝備+1 寶石+1 附魔書 → 附魔（威力吃寶石等級）；大成功稀有度+1</v>
      </c>
      <c r="F185" s="2">
        <f>計算表!F185</f>
        <v>0</v>
      </c>
      <c r="G185" s="2">
        <f>計算表!G185</f>
        <v>0</v>
      </c>
      <c r="H185" s="2">
        <f>計算表!H185</f>
        <v>0</v>
      </c>
      <c r="I185" s="2">
        <f>計算表!I185</f>
        <v>0</v>
      </c>
      <c r="J185" s="2">
        <f>計算表!J185</f>
        <v>0</v>
      </c>
      <c r="K185" s="2">
        <f>計算表!K185</f>
        <v>0</v>
      </c>
      <c r="L185" s="2">
        <f>計算表!L185</f>
        <v>0</v>
      </c>
      <c r="M185" s="2">
        <f>計算表!M185</f>
        <v>0</v>
      </c>
      <c r="N185" s="2">
        <f>計算表!N185</f>
        <v>0</v>
      </c>
      <c r="O185" s="2">
        <f>計算表!O185</f>
        <v>0</v>
      </c>
      <c r="P185" s="2">
        <f>計算表!P185</f>
        <v>0</v>
      </c>
      <c r="Q185" s="2">
        <f>計算表!Q185</f>
        <v>0</v>
      </c>
      <c r="R185" s="2">
        <f>計算表!R185</f>
        <v>0</v>
      </c>
    </row>
    <row r="186" spans="1:18" x14ac:dyDescent="0.25">
      <c r="A186">
        <f t="shared" si="2"/>
        <v>185</v>
      </c>
      <c r="B186" s="2">
        <f>計算表!B186</f>
        <v>0</v>
      </c>
      <c r="C186" s="2" t="str">
        <f>計算表!C186</f>
        <v>7-合成</v>
      </c>
      <c r="D186" s="2" t="str">
        <f>計算表!D186</f>
        <v>合成變異</v>
      </c>
      <c r="E186" s="2" t="str">
        <f>計算表!E186</f>
        <v>機率=合成變異率屬性（上限60%）；附魔威力×1.5 並追加 1 條詞條</v>
      </c>
      <c r="F186" s="2">
        <f>計算表!F186</f>
        <v>0</v>
      </c>
      <c r="G186" s="2">
        <f>計算表!G186</f>
        <v>0</v>
      </c>
      <c r="H186" s="2">
        <f>計算表!H186</f>
        <v>0</v>
      </c>
      <c r="I186" s="2">
        <f>計算表!I186</f>
        <v>0</v>
      </c>
      <c r="J186" s="2">
        <f>計算表!J186</f>
        <v>0</v>
      </c>
      <c r="K186" s="2">
        <f>計算表!K186</f>
        <v>0</v>
      </c>
      <c r="L186" s="2">
        <f>計算表!L186</f>
        <v>0</v>
      </c>
      <c r="M186" s="2">
        <f>計算表!M186</f>
        <v>0</v>
      </c>
      <c r="N186" s="2">
        <f>計算表!N186</f>
        <v>0</v>
      </c>
      <c r="O186" s="2">
        <f>計算表!O186</f>
        <v>0</v>
      </c>
      <c r="P186" s="2">
        <f>計算表!P186</f>
        <v>0</v>
      </c>
      <c r="Q186" s="2">
        <f>計算表!Q186</f>
        <v>0</v>
      </c>
      <c r="R186" s="2">
        <f>計算表!R186</f>
        <v>0</v>
      </c>
    </row>
    <row r="187" spans="1:18" x14ac:dyDescent="0.25">
      <c r="A187">
        <f t="shared" si="2"/>
        <v>186</v>
      </c>
      <c r="B187" s="2">
        <f>計算表!B187</f>
        <v>0</v>
      </c>
      <c r="C187" s="2" t="str">
        <f>計算表!C187</f>
        <v>7-分解速度</v>
      </c>
      <c r="D187" s="2" t="str">
        <f>計算表!D187</f>
        <v>分解處理速度</v>
      </c>
      <c r="E187" s="2" t="str">
        <f>計算表!E187</f>
        <v>間隔 = a 秒 ÷ (1+加速加成)</v>
      </c>
      <c r="F187" s="2" t="str">
        <f>計算表!F187</f>
        <v>加速齒輪每階+25%，另固定+50 個百分點。</v>
      </c>
      <c r="G187" s="2">
        <f>計算表!G187</f>
        <v>2</v>
      </c>
      <c r="H187" s="2">
        <f>計算表!H187</f>
        <v>0</v>
      </c>
      <c r="I187" s="2">
        <f>計算表!I187</f>
        <v>0</v>
      </c>
      <c r="J187" s="2">
        <f>計算表!J187</f>
        <v>0</v>
      </c>
      <c r="K187" s="2">
        <f>計算表!K187</f>
        <v>0</v>
      </c>
      <c r="L187" s="2">
        <f>計算表!L187</f>
        <v>0</v>
      </c>
      <c r="M187" s="2">
        <f>計算表!M187</f>
        <v>0</v>
      </c>
      <c r="N187" s="2">
        <f>計算表!N187</f>
        <v>0</v>
      </c>
      <c r="O187" s="2">
        <f>計算表!O187</f>
        <v>0</v>
      </c>
      <c r="P187" s="2">
        <f>計算表!P187</f>
        <v>0</v>
      </c>
      <c r="Q187" s="2">
        <f>計算表!Q187</f>
        <v>0</v>
      </c>
      <c r="R187" s="2">
        <f>計算表!R187</f>
        <v>0</v>
      </c>
    </row>
    <row r="188" spans="1:18" x14ac:dyDescent="0.25">
      <c r="A188">
        <f t="shared" si="2"/>
        <v>187</v>
      </c>
      <c r="B188" s="2">
        <f>計算表!B188</f>
        <v>0</v>
      </c>
      <c r="C188" s="2" t="str">
        <f>計算表!C188</f>
        <v>7-分解槽</v>
      </c>
      <c r="D188" s="2" t="str">
        <f>計算表!D188</f>
        <v>分解槽解鎖費用</v>
      </c>
      <c r="E188" s="2" t="str">
        <f>計算表!E188</f>
        <v>a × b^(目標格數-1)</v>
      </c>
      <c r="F188" s="2" t="str">
        <f>計算表!F188</f>
        <v>初始 10 格、上限 20 格。</v>
      </c>
      <c r="G188" s="2">
        <f>計算表!G188</f>
        <v>10000</v>
      </c>
      <c r="H188" s="2">
        <f>計算表!H188</f>
        <v>3</v>
      </c>
      <c r="I188" s="2">
        <f>計算表!I188</f>
        <v>0</v>
      </c>
      <c r="J188" s="2">
        <f>計算表!J188</f>
        <v>0</v>
      </c>
      <c r="K188" s="2">
        <f>計算表!K188</f>
        <v>0</v>
      </c>
      <c r="L188" s="2">
        <f>計算表!L188</f>
        <v>0</v>
      </c>
      <c r="M188" s="2">
        <f>計算表!M188</f>
        <v>0</v>
      </c>
      <c r="N188" s="2">
        <f>計算表!N188</f>
        <v>0</v>
      </c>
      <c r="O188" s="2">
        <f>計算表!O188</f>
        <v>0</v>
      </c>
      <c r="P188" s="2">
        <f>計算表!P188</f>
        <v>0</v>
      </c>
      <c r="Q188" s="2">
        <f>計算表!Q188</f>
        <v>0</v>
      </c>
      <c r="R188" s="2">
        <f>計算表!R188</f>
        <v>0</v>
      </c>
    </row>
    <row r="189" spans="1:18" x14ac:dyDescent="0.25">
      <c r="A189">
        <f t="shared" si="2"/>
        <v>188</v>
      </c>
      <c r="B189" s="2">
        <f>計算表!B189</f>
        <v>0</v>
      </c>
      <c r="C189" s="2" t="str">
        <f>計算表!C189</f>
        <v>7-容量</v>
      </c>
      <c r="D189" s="2" t="str">
        <f>計算表!D189</f>
        <v>輸送帶容量</v>
      </c>
      <c r="E189" s="2" t="str">
        <f>計算表!E189</f>
        <v>a（固定上限）</v>
      </c>
      <c r="F189" s="2" t="str">
        <f>計算表!F189</f>
        <v>程式實際為固定 20000；超出的新裝備直接丟棄。</v>
      </c>
      <c r="G189" s="2">
        <f>計算表!G189</f>
        <v>20000</v>
      </c>
      <c r="H189" s="2">
        <f>計算表!H189</f>
        <v>0</v>
      </c>
      <c r="I189" s="2">
        <f>計算表!I189</f>
        <v>0</v>
      </c>
      <c r="J189" s="2">
        <f>計算表!J189</f>
        <v>0</v>
      </c>
      <c r="K189" s="2">
        <f>計算表!K189</f>
        <v>0</v>
      </c>
      <c r="L189" s="2">
        <f>計算表!L189</f>
        <v>0</v>
      </c>
      <c r="M189" s="2">
        <f>計算表!M189</f>
        <v>0</v>
      </c>
      <c r="N189" s="2">
        <f>計算表!N189</f>
        <v>0</v>
      </c>
      <c r="O189" s="2">
        <f>計算表!O189</f>
        <v>0</v>
      </c>
      <c r="P189" s="2">
        <f>計算表!P189</f>
        <v>0</v>
      </c>
      <c r="Q189" s="2">
        <f>計算表!Q189</f>
        <v>0</v>
      </c>
      <c r="R189" s="2">
        <f>計算表!R189</f>
        <v>0</v>
      </c>
    </row>
    <row r="190" spans="1:18" x14ac:dyDescent="0.25">
      <c r="A190">
        <f t="shared" si="2"/>
        <v>189</v>
      </c>
      <c r="B190" s="2">
        <f>計算表!B190</f>
        <v>0</v>
      </c>
      <c r="C190" s="2" t="str">
        <f>計算表!C190</f>
        <v>7-容量</v>
      </c>
      <c r="D190" s="2" t="str">
        <f>計算表!D190</f>
        <v>合成暫存區</v>
      </c>
      <c r="E190" s="2" t="str">
        <f>計算表!E190</f>
        <v>a + ⌊負重上限/b⌋</v>
      </c>
      <c r="F190" s="2">
        <f>計算表!F190</f>
        <v>0</v>
      </c>
      <c r="G190" s="2">
        <f>計算表!G190</f>
        <v>30</v>
      </c>
      <c r="H190" s="2">
        <f>計算表!H190</f>
        <v>2</v>
      </c>
      <c r="I190" s="2">
        <f>計算表!I190</f>
        <v>0</v>
      </c>
      <c r="J190" s="2">
        <f>計算表!J190</f>
        <v>0</v>
      </c>
      <c r="K190" s="2">
        <f>計算表!K190</f>
        <v>0</v>
      </c>
      <c r="L190" s="2">
        <f>計算表!L190</f>
        <v>0</v>
      </c>
      <c r="M190" s="2">
        <f>計算表!M190</f>
        <v>0</v>
      </c>
      <c r="N190" s="2">
        <f>計算表!N190</f>
        <v>0</v>
      </c>
      <c r="O190" s="2">
        <f>計算表!O190</f>
        <v>0</v>
      </c>
      <c r="P190" s="2">
        <f>計算表!P190</f>
        <v>0</v>
      </c>
      <c r="Q190" s="2">
        <f>計算表!Q190</f>
        <v>0</v>
      </c>
      <c r="R190" s="2">
        <f>計算表!R190</f>
        <v>0</v>
      </c>
    </row>
    <row r="191" spans="1:18" x14ac:dyDescent="0.25">
      <c r="A191">
        <f t="shared" si="2"/>
        <v>190</v>
      </c>
      <c r="B191" s="2">
        <f>計算表!B191</f>
        <v>0</v>
      </c>
      <c r="C191" s="2" t="str">
        <f>計算表!C191</f>
        <v>7-容量</v>
      </c>
      <c r="D191" s="2" t="str">
        <f>計算表!D191</f>
        <v>背包容量</v>
      </c>
      <c r="E191" s="2" t="str">
        <f>計算表!E191</f>
        <v>a + 背包擴充次數</v>
      </c>
      <c r="F191" s="2" t="str">
        <f>計算表!F191</f>
        <v>上限 1000 格；滿了自動分解新進裝備。</v>
      </c>
      <c r="G191" s="2">
        <f>計算表!G191</f>
        <v>60</v>
      </c>
      <c r="H191" s="2">
        <f>計算表!H191</f>
        <v>0</v>
      </c>
      <c r="I191" s="2">
        <f>計算表!I191</f>
        <v>0</v>
      </c>
      <c r="J191" s="2">
        <f>計算表!J191</f>
        <v>0</v>
      </c>
      <c r="K191" s="2">
        <f>計算表!K191</f>
        <v>0</v>
      </c>
      <c r="L191" s="2">
        <f>計算表!L191</f>
        <v>0</v>
      </c>
      <c r="M191" s="2">
        <f>計算表!M191</f>
        <v>0</v>
      </c>
      <c r="N191" s="2">
        <f>計算表!N191</f>
        <v>0</v>
      </c>
      <c r="O191" s="2">
        <f>計算表!O191</f>
        <v>0</v>
      </c>
      <c r="P191" s="2">
        <f>計算表!P191</f>
        <v>0</v>
      </c>
      <c r="Q191" s="2">
        <f>計算表!Q191</f>
        <v>0</v>
      </c>
      <c r="R191" s="2">
        <f>計算表!R191</f>
        <v>0</v>
      </c>
    </row>
    <row r="192" spans="1:18" x14ac:dyDescent="0.25">
      <c r="A192">
        <f t="shared" si="2"/>
        <v>191</v>
      </c>
      <c r="B192" s="2">
        <f>計算表!B192</f>
        <v>0</v>
      </c>
      <c r="C192" s="2" t="str">
        <f>計算表!C192</f>
        <v>7-容量</v>
      </c>
      <c r="D192" s="2" t="str">
        <f>計算表!D192</f>
        <v>背包擴充費用</v>
      </c>
      <c r="E192" s="2" t="str">
        <f>計算表!E192</f>
        <v>a × 購買次數²</v>
      </c>
      <c r="F192" s="2" t="str">
        <f>計算表!F192</f>
        <v>購買次數=本次為第幾次擴充；達 1000 格後不可再擴充。</v>
      </c>
      <c r="G192" s="2">
        <f>計算表!G192</f>
        <v>10000</v>
      </c>
      <c r="H192" s="2">
        <f>計算表!H192</f>
        <v>0</v>
      </c>
      <c r="I192" s="2">
        <f>計算表!I192</f>
        <v>0</v>
      </c>
      <c r="J192" s="2">
        <f>計算表!J192</f>
        <v>0</v>
      </c>
      <c r="K192" s="2">
        <f>計算表!K192</f>
        <v>0</v>
      </c>
      <c r="L192" s="2">
        <f>計算表!L192</f>
        <v>0</v>
      </c>
      <c r="M192" s="2">
        <f>計算表!M192</f>
        <v>0</v>
      </c>
      <c r="N192" s="2">
        <f>計算表!N192</f>
        <v>0</v>
      </c>
      <c r="O192" s="2">
        <f>計算表!O192</f>
        <v>0</v>
      </c>
      <c r="P192" s="2">
        <f>計算表!P192</f>
        <v>0</v>
      </c>
      <c r="Q192" s="2">
        <f>計算表!Q192</f>
        <v>0</v>
      </c>
      <c r="R192" s="2">
        <f>計算表!R192</f>
        <v>0</v>
      </c>
    </row>
    <row r="193" spans="1:18" x14ac:dyDescent="0.25">
      <c r="A193">
        <f t="shared" si="2"/>
        <v>192</v>
      </c>
      <c r="B193" s="2">
        <f>計算表!B193</f>
        <v>0</v>
      </c>
      <c r="C193" s="2" t="str">
        <f>計算表!C193</f>
        <v>7-容量</v>
      </c>
      <c r="D193" s="2" t="str">
        <f>計算表!D193</f>
        <v>生產線處理間隔</v>
      </c>
      <c r="E193" s="2" t="str">
        <f>計算表!E193</f>
        <v>a 秒/件</v>
      </c>
      <c r="F193" s="2">
        <f>計算表!F193</f>
        <v>0</v>
      </c>
      <c r="G193" s="2">
        <f>計算表!G193</f>
        <v>2</v>
      </c>
      <c r="H193" s="2">
        <f>計算表!H193</f>
        <v>0</v>
      </c>
      <c r="I193" s="2">
        <f>計算表!I193</f>
        <v>0</v>
      </c>
      <c r="J193" s="2">
        <f>計算表!J193</f>
        <v>0</v>
      </c>
      <c r="K193" s="2">
        <f>計算表!K193</f>
        <v>0</v>
      </c>
      <c r="L193" s="2">
        <f>計算表!L193</f>
        <v>0</v>
      </c>
      <c r="M193" s="2">
        <f>計算表!M193</f>
        <v>0</v>
      </c>
      <c r="N193" s="2">
        <f>計算表!N193</f>
        <v>0</v>
      </c>
      <c r="O193" s="2">
        <f>計算表!O193</f>
        <v>0</v>
      </c>
      <c r="P193" s="2">
        <f>計算表!P193</f>
        <v>0</v>
      </c>
      <c r="Q193" s="2">
        <f>計算表!Q193</f>
        <v>0</v>
      </c>
      <c r="R193" s="2">
        <f>計算表!R193</f>
        <v>0</v>
      </c>
    </row>
    <row r="194" spans="1:18" x14ac:dyDescent="0.25">
      <c r="A194">
        <f t="shared" si="2"/>
        <v>193</v>
      </c>
      <c r="B194" s="2">
        <f>計算表!B194</f>
        <v>0</v>
      </c>
      <c r="C194" s="2" t="str">
        <f>計算表!C194</f>
        <v>8-寶石</v>
      </c>
      <c r="D194" s="2" t="str">
        <f>計算表!D194</f>
        <v>能力數值(1~5階)</v>
      </c>
      <c r="E194" s="2" t="str">
        <f>計算表!E194</f>
        <v>base × 等級 × (1 + a×(等級-1))</v>
      </c>
      <c r="F194" s="2" t="str">
        <f>計算表!F194</f>
        <v>base 見「寶石種類表」。Lv1×1 Lv2×2.4 Lv3×4.2 Lv4×6.4 Lv5×9。</v>
      </c>
      <c r="G194" s="2">
        <f>計算表!G194</f>
        <v>0.2</v>
      </c>
      <c r="H194" s="2">
        <f>計算表!H194</f>
        <v>0</v>
      </c>
      <c r="I194" s="2">
        <f>計算表!I194</f>
        <v>0</v>
      </c>
      <c r="J194" s="2">
        <f>計算表!J194</f>
        <v>0</v>
      </c>
      <c r="K194" s="2">
        <f>計算表!K194</f>
        <v>0</v>
      </c>
      <c r="L194" s="2">
        <f>計算表!L194</f>
        <v>0</v>
      </c>
      <c r="M194" s="2">
        <f>計算表!M194</f>
        <v>0</v>
      </c>
      <c r="N194" s="2">
        <f>計算表!N194</f>
        <v>0</v>
      </c>
      <c r="O194" s="2">
        <f>計算表!O194</f>
        <v>0</v>
      </c>
      <c r="P194" s="2">
        <f>計算表!P194</f>
        <v>0</v>
      </c>
      <c r="Q194" s="2">
        <f>計算表!Q194</f>
        <v>0</v>
      </c>
      <c r="R194" s="2">
        <f>計算表!R194</f>
        <v>0</v>
      </c>
    </row>
    <row r="195" spans="1:18" x14ac:dyDescent="0.25">
      <c r="A195">
        <f t="shared" si="2"/>
        <v>194</v>
      </c>
      <c r="B195" s="2">
        <f>計算表!B195</f>
        <v>0</v>
      </c>
      <c r="C195" s="2" t="str">
        <f>計算表!C195</f>
        <v>8-寶石</v>
      </c>
      <c r="D195" s="2" t="str">
        <f>計算表!D195</f>
        <v>能力數值(6~10階神鑄)</v>
      </c>
      <c r="E195" s="2" t="str">
        <f>計算表!E195</f>
        <v>五階數值 × a^(階級-5)</v>
      </c>
      <c r="F195" s="2" t="str">
        <f>計算表!F195</f>
        <v>每高 1 階能力×a。</v>
      </c>
      <c r="G195" s="2">
        <f>計算表!G195</f>
        <v>2</v>
      </c>
      <c r="H195" s="2">
        <f>計算表!H195</f>
        <v>0</v>
      </c>
      <c r="I195" s="2">
        <f>計算表!I195</f>
        <v>0</v>
      </c>
      <c r="J195" s="2">
        <f>計算表!J195</f>
        <v>0</v>
      </c>
      <c r="K195" s="2">
        <f>計算表!K195</f>
        <v>0</v>
      </c>
      <c r="L195" s="2">
        <f>計算表!L195</f>
        <v>0</v>
      </c>
      <c r="M195" s="2">
        <f>計算表!M195</f>
        <v>0</v>
      </c>
      <c r="N195" s="2">
        <f>計算表!N195</f>
        <v>0</v>
      </c>
      <c r="O195" s="2">
        <f>計算表!O195</f>
        <v>0</v>
      </c>
      <c r="P195" s="2">
        <f>計算表!P195</f>
        <v>0</v>
      </c>
      <c r="Q195" s="2">
        <f>計算表!Q195</f>
        <v>0</v>
      </c>
      <c r="R195" s="2">
        <f>計算表!R195</f>
        <v>0</v>
      </c>
    </row>
    <row r="196" spans="1:18" x14ac:dyDescent="0.25">
      <c r="A196">
        <f t="shared" ref="A196:A259" si="3">A195+1</f>
        <v>195</v>
      </c>
      <c r="B196" s="2">
        <f>計算表!B196</f>
        <v>0</v>
      </c>
      <c r="C196" s="2" t="str">
        <f>計算表!C196</f>
        <v>8-寶石</v>
      </c>
      <c r="D196" s="2" t="str">
        <f>計算表!D196</f>
        <v>寶石升階(工廠自動)</v>
      </c>
      <c r="E196" s="2" t="str">
        <f>計算表!E196</f>
        <v>c 顆同種同級 → 1 顆同種高一級</v>
      </c>
      <c r="F196" s="2" t="str">
        <f>計算表!F196</f>
        <v>免費、自動（熔爐合成節點開關）。</v>
      </c>
      <c r="G196" s="2">
        <f>計算表!G196</f>
        <v>3</v>
      </c>
      <c r="H196" s="2">
        <f>計算表!H196</f>
        <v>0</v>
      </c>
      <c r="I196" s="2">
        <f>計算表!I196</f>
        <v>0</v>
      </c>
      <c r="J196" s="2">
        <f>計算表!J196</f>
        <v>0</v>
      </c>
      <c r="K196" s="2">
        <f>計算表!K196</f>
        <v>0</v>
      </c>
      <c r="L196" s="2">
        <f>計算表!L196</f>
        <v>0</v>
      </c>
      <c r="M196" s="2">
        <f>計算表!M196</f>
        <v>0</v>
      </c>
      <c r="N196" s="2">
        <f>計算表!N196</f>
        <v>0</v>
      </c>
      <c r="O196" s="2">
        <f>計算表!O196</f>
        <v>0</v>
      </c>
      <c r="P196" s="2">
        <f>計算表!P196</f>
        <v>0</v>
      </c>
      <c r="Q196" s="2">
        <f>計算表!Q196</f>
        <v>0</v>
      </c>
      <c r="R196" s="2">
        <f>計算表!R196</f>
        <v>0</v>
      </c>
    </row>
    <row r="197" spans="1:18" x14ac:dyDescent="0.25">
      <c r="A197">
        <f t="shared" si="3"/>
        <v>196</v>
      </c>
      <c r="B197" s="2">
        <f>計算表!B197</f>
        <v>0</v>
      </c>
      <c r="C197" s="2" t="str">
        <f>計算表!C197</f>
        <v>8-寶石</v>
      </c>
      <c r="D197" s="2" t="str">
        <f>計算表!D197</f>
        <v>寶石合成(手動)</v>
      </c>
      <c r="E197" s="2" t="str">
        <f>計算表!E197</f>
        <v>2 顆同種同級 → 1 顆同種下一階</v>
      </c>
      <c r="F197" s="2" t="str">
        <f>計算表!F197</f>
        <v>金幣費用依素材等級：100/300/900/2700/8100。</v>
      </c>
      <c r="G197" s="2">
        <f>計算表!G197</f>
        <v>0</v>
      </c>
      <c r="H197" s="2">
        <f>計算表!H197</f>
        <v>0</v>
      </c>
      <c r="I197" s="2">
        <f>計算表!I197</f>
        <v>0</v>
      </c>
      <c r="J197" s="2">
        <f>計算表!J197</f>
        <v>0</v>
      </c>
      <c r="K197" s="2">
        <f>計算表!K197</f>
        <v>0</v>
      </c>
      <c r="L197" s="2">
        <f>計算表!L197</f>
        <v>0</v>
      </c>
      <c r="M197" s="2">
        <f>計算表!M197</f>
        <v>0</v>
      </c>
      <c r="N197" s="2">
        <f>計算表!N197</f>
        <v>0</v>
      </c>
      <c r="O197" s="2">
        <f>計算表!O197</f>
        <v>0</v>
      </c>
      <c r="P197" s="2">
        <f>計算表!P197</f>
        <v>0</v>
      </c>
      <c r="Q197" s="2">
        <f>計算表!Q197</f>
        <v>0</v>
      </c>
      <c r="R197" s="2">
        <f>計算表!R197</f>
        <v>0</v>
      </c>
    </row>
    <row r="198" spans="1:18" x14ac:dyDescent="0.25">
      <c r="A198">
        <f t="shared" si="3"/>
        <v>197</v>
      </c>
      <c r="B198" s="2">
        <f>計算表!B198</f>
        <v>0</v>
      </c>
      <c r="C198" s="2" t="str">
        <f>計算表!C198</f>
        <v>8-寶石</v>
      </c>
      <c r="D198" s="2" t="str">
        <f>計算表!D198</f>
        <v>寶石合成金幣</v>
      </c>
      <c r="E198" s="2" t="str">
        <f>計算表!E198</f>
        <v>依素材等級 a/b/c/d/e</v>
      </c>
      <c r="F198" s="2" t="str">
        <f>計算表!F198</f>
        <v>1級→2級 a、2級→3級 b …。</v>
      </c>
      <c r="G198" s="2">
        <f>計算表!G198</f>
        <v>100</v>
      </c>
      <c r="H198" s="2">
        <f>計算表!H198</f>
        <v>300</v>
      </c>
      <c r="I198" s="2">
        <f>計算表!I198</f>
        <v>900</v>
      </c>
      <c r="J198" s="2">
        <f>計算表!J198</f>
        <v>2700</v>
      </c>
      <c r="K198" s="2">
        <f>計算表!K198</f>
        <v>8100</v>
      </c>
      <c r="L198" s="2">
        <f>計算表!L198</f>
        <v>0</v>
      </c>
      <c r="M198" s="2">
        <f>計算表!M198</f>
        <v>0</v>
      </c>
      <c r="N198" s="2">
        <f>計算表!N198</f>
        <v>0</v>
      </c>
      <c r="O198" s="2">
        <f>計算表!O198</f>
        <v>0</v>
      </c>
      <c r="P198" s="2">
        <f>計算表!P198</f>
        <v>0</v>
      </c>
      <c r="Q198" s="2">
        <f>計算表!Q198</f>
        <v>0</v>
      </c>
      <c r="R198" s="2">
        <f>計算表!R198</f>
        <v>0</v>
      </c>
    </row>
    <row r="199" spans="1:18" x14ac:dyDescent="0.25">
      <c r="A199">
        <f t="shared" si="3"/>
        <v>198</v>
      </c>
      <c r="B199" s="2">
        <f>計算表!B199</f>
        <v>0</v>
      </c>
      <c r="C199" s="2" t="str">
        <f>計算表!C199</f>
        <v>8-寶石</v>
      </c>
      <c r="D199" s="2" t="str">
        <f>計算表!D199</f>
        <v>寶石轉換(九宮格)</v>
      </c>
      <c r="E199" s="2" t="str">
        <f>計算表!E199</f>
        <v>a 格；每格上限 b 顆；同階轉換數量不變（免費）</v>
      </c>
      <c r="F199" s="2" t="str">
        <f>計算表!F199</f>
        <v>融合寶石無法轉換。</v>
      </c>
      <c r="G199" s="2">
        <f>計算表!G199</f>
        <v>9</v>
      </c>
      <c r="H199" s="2">
        <f>計算表!H199</f>
        <v>100</v>
      </c>
      <c r="I199" s="2">
        <f>計算表!I199</f>
        <v>0</v>
      </c>
      <c r="J199" s="2">
        <f>計算表!J199</f>
        <v>0</v>
      </c>
      <c r="K199" s="2">
        <f>計算表!K199</f>
        <v>0</v>
      </c>
      <c r="L199" s="2">
        <f>計算表!L199</f>
        <v>0</v>
      </c>
      <c r="M199" s="2">
        <f>計算表!M199</f>
        <v>0</v>
      </c>
      <c r="N199" s="2">
        <f>計算表!N199</f>
        <v>0</v>
      </c>
      <c r="O199" s="2">
        <f>計算表!O199</f>
        <v>0</v>
      </c>
      <c r="P199" s="2">
        <f>計算表!P199</f>
        <v>0</v>
      </c>
      <c r="Q199" s="2">
        <f>計算表!Q199</f>
        <v>0</v>
      </c>
      <c r="R199" s="2">
        <f>計算表!R199</f>
        <v>0</v>
      </c>
    </row>
    <row r="200" spans="1:18" x14ac:dyDescent="0.25">
      <c r="A200">
        <f t="shared" si="3"/>
        <v>199</v>
      </c>
      <c r="B200" s="2">
        <f>計算表!B200</f>
        <v>0</v>
      </c>
      <c r="C200" s="2" t="str">
        <f>計算表!C200</f>
        <v>8-寶石</v>
      </c>
      <c r="D200" s="2" t="str">
        <f>計算表!D200</f>
        <v>寶石拆解(一般)</v>
      </c>
      <c r="E200" s="2" t="str">
        <f>計算表!E200</f>
        <v>⌊2^(N-1) × a⌋ 顆同種 1 級</v>
      </c>
      <c r="F200" s="2" t="str">
        <f>計算表!F200</f>
        <v>a=保留比例（損失 30%）。2級→1 3級→2 4級→5 5級→11。</v>
      </c>
      <c r="G200" s="2">
        <f>計算表!G200</f>
        <v>0.7</v>
      </c>
      <c r="H200" s="2">
        <f>計算表!H200</f>
        <v>0</v>
      </c>
      <c r="I200" s="2">
        <f>計算表!I200</f>
        <v>0</v>
      </c>
      <c r="J200" s="2">
        <f>計算表!J200</f>
        <v>0</v>
      </c>
      <c r="K200" s="2">
        <f>計算表!K200</f>
        <v>0</v>
      </c>
      <c r="L200" s="2">
        <f>計算表!L200</f>
        <v>0</v>
      </c>
      <c r="M200" s="2">
        <f>計算表!M200</f>
        <v>0</v>
      </c>
      <c r="N200" s="2">
        <f>計算表!N200</f>
        <v>0</v>
      </c>
      <c r="O200" s="2">
        <f>計算表!O200</f>
        <v>0</v>
      </c>
      <c r="P200" s="2">
        <f>計算表!P200</f>
        <v>0</v>
      </c>
      <c r="Q200" s="2">
        <f>計算表!Q200</f>
        <v>0</v>
      </c>
      <c r="R200" s="2">
        <f>計算表!R200</f>
        <v>0</v>
      </c>
    </row>
    <row r="201" spans="1:18" x14ac:dyDescent="0.25">
      <c r="A201">
        <f t="shared" si="3"/>
        <v>200</v>
      </c>
      <c r="B201" s="2">
        <f>計算表!B201</f>
        <v>0</v>
      </c>
      <c r="C201" s="2" t="str">
        <f>計算表!C201</f>
        <v>8-寶石</v>
      </c>
      <c r="D201" s="2" t="str">
        <f>計算表!D201</f>
        <v>寶石拆解(融合)</v>
      </c>
      <c r="E201" s="2" t="str">
        <f>計算表!E201</f>
        <v>⌊16×leaves × a⌋ 顆 1 級（依屬性均分）</v>
      </c>
      <c r="F201" s="2" t="str">
        <f>計算表!F201</f>
        <v>leaves=素材 5 階總數（融合時雙方相加）。</v>
      </c>
      <c r="G201" s="2">
        <f>計算表!G201</f>
        <v>0.7</v>
      </c>
      <c r="H201" s="2">
        <f>計算表!H201</f>
        <v>0</v>
      </c>
      <c r="I201" s="2">
        <f>計算表!I201</f>
        <v>0</v>
      </c>
      <c r="J201" s="2">
        <f>計算表!J201</f>
        <v>0</v>
      </c>
      <c r="K201" s="2">
        <f>計算表!K201</f>
        <v>0</v>
      </c>
      <c r="L201" s="2">
        <f>計算表!L201</f>
        <v>0</v>
      </c>
      <c r="M201" s="2">
        <f>計算表!M201</f>
        <v>0</v>
      </c>
      <c r="N201" s="2">
        <f>計算表!N201</f>
        <v>0</v>
      </c>
      <c r="O201" s="2">
        <f>計算表!O201</f>
        <v>0</v>
      </c>
      <c r="P201" s="2">
        <f>計算表!P201</f>
        <v>0</v>
      </c>
      <c r="Q201" s="2">
        <f>計算表!Q201</f>
        <v>0</v>
      </c>
      <c r="R201" s="2">
        <f>計算表!R201</f>
        <v>0</v>
      </c>
    </row>
    <row r="202" spans="1:18" x14ac:dyDescent="0.25">
      <c r="A202">
        <f t="shared" si="3"/>
        <v>201</v>
      </c>
      <c r="B202" s="2">
        <f>計算表!B202</f>
        <v>0</v>
      </c>
      <c r="C202" s="2" t="str">
        <f>計算表!C202</f>
        <v>8-寶石</v>
      </c>
      <c r="D202" s="2" t="str">
        <f>計算表!D202</f>
        <v>寶石融合成功率</v>
      </c>
      <c r="E202" s="2" t="str">
        <f>計算表!E202</f>
        <v>max(a%, b% - c%×雙方融合次數和)</v>
      </c>
      <c r="F202" s="2" t="str">
        <f>計算表!F202</f>
        <v>僅 5 階；產出雙屬性。</v>
      </c>
      <c r="G202" s="2">
        <f>計算表!G202</f>
        <v>10</v>
      </c>
      <c r="H202" s="2">
        <f>計算表!H202</f>
        <v>60</v>
      </c>
      <c r="I202" s="2">
        <f>計算表!I202</f>
        <v>10</v>
      </c>
      <c r="J202" s="2">
        <f>計算表!J202</f>
        <v>0</v>
      </c>
      <c r="K202" s="2">
        <f>計算表!K202</f>
        <v>0</v>
      </c>
      <c r="L202" s="2">
        <f>計算表!L202</f>
        <v>0</v>
      </c>
      <c r="M202" s="2">
        <f>計算表!M202</f>
        <v>0</v>
      </c>
      <c r="N202" s="2">
        <f>計算表!N202</f>
        <v>0</v>
      </c>
      <c r="O202" s="2">
        <f>計算表!O202</f>
        <v>0</v>
      </c>
      <c r="P202" s="2">
        <f>計算表!P202</f>
        <v>0</v>
      </c>
      <c r="Q202" s="2">
        <f>計算表!Q202</f>
        <v>0</v>
      </c>
      <c r="R202" s="2">
        <f>計算表!R202</f>
        <v>0</v>
      </c>
    </row>
    <row r="203" spans="1:18" x14ac:dyDescent="0.25">
      <c r="A203">
        <f t="shared" si="3"/>
        <v>202</v>
      </c>
      <c r="B203" s="2">
        <f>計算表!B203</f>
        <v>0</v>
      </c>
      <c r="C203" s="2" t="str">
        <f>計算表!C203</f>
        <v>8-寶石</v>
      </c>
      <c r="D203" s="2" t="str">
        <f>計算表!D203</f>
        <v>寶石融合數值</v>
      </c>
      <c r="E203" s="2" t="str">
        <f>計算表!E203</f>
        <v>同屬性 rnd(較小值,較大值×2)；異屬性 原值×rnd(0.5,1.5)</v>
      </c>
      <c r="F203" s="2" t="str">
        <f>計算表!F203</f>
        <v>失敗：較弱一方降解為 50% 機率 4~8 顆 Lv1 / 50% 機率 2~4 顆 Lv2。</v>
      </c>
      <c r="G203" s="2">
        <f>計算表!G203</f>
        <v>0</v>
      </c>
      <c r="H203" s="2">
        <f>計算表!H203</f>
        <v>0</v>
      </c>
      <c r="I203" s="2">
        <f>計算表!I203</f>
        <v>0</v>
      </c>
      <c r="J203" s="2">
        <f>計算表!J203</f>
        <v>0</v>
      </c>
      <c r="K203" s="2">
        <f>計算表!K203</f>
        <v>0</v>
      </c>
      <c r="L203" s="2">
        <f>計算表!L203</f>
        <v>0</v>
      </c>
      <c r="M203" s="2">
        <f>計算表!M203</f>
        <v>0</v>
      </c>
      <c r="N203" s="2">
        <f>計算表!N203</f>
        <v>0</v>
      </c>
      <c r="O203" s="2">
        <f>計算表!O203</f>
        <v>0</v>
      </c>
      <c r="P203" s="2">
        <f>計算表!P203</f>
        <v>0</v>
      </c>
      <c r="Q203" s="2">
        <f>計算表!Q203</f>
        <v>0</v>
      </c>
      <c r="R203" s="2">
        <f>計算表!R203</f>
        <v>0</v>
      </c>
    </row>
    <row r="204" spans="1:18" x14ac:dyDescent="0.25">
      <c r="A204">
        <f t="shared" si="3"/>
        <v>203</v>
      </c>
      <c r="B204" s="2">
        <f>計算表!B204</f>
        <v>0</v>
      </c>
      <c r="C204" s="2" t="str">
        <f>計算表!C204</f>
        <v>8-寶石商店</v>
      </c>
      <c r="D204" s="2" t="str">
        <f>計算表!D204</f>
        <v>升級費用</v>
      </c>
      <c r="E204" s="2" t="str">
        <f>計算表!E204</f>
        <v>a + 商店等級^b × c</v>
      </c>
      <c r="F204" s="2" t="str">
        <f>計算表!F204</f>
        <v>Lv.1~20；Lv.20 滿級。</v>
      </c>
      <c r="G204" s="2">
        <f>計算表!G204</f>
        <v>10000</v>
      </c>
      <c r="H204" s="2">
        <f>計算表!H204</f>
        <v>3</v>
      </c>
      <c r="I204" s="2">
        <f>計算表!I204</f>
        <v>4000000</v>
      </c>
      <c r="J204" s="2">
        <f>計算表!J204</f>
        <v>0</v>
      </c>
      <c r="K204" s="2">
        <f>計算表!K204</f>
        <v>0</v>
      </c>
      <c r="L204" s="2">
        <f>計算表!L204</f>
        <v>0</v>
      </c>
      <c r="M204" s="2">
        <f>計算表!M204</f>
        <v>0</v>
      </c>
      <c r="N204" s="2">
        <f>計算表!N204</f>
        <v>0</v>
      </c>
      <c r="O204" s="2">
        <f>計算表!O204</f>
        <v>0</v>
      </c>
      <c r="P204" s="2">
        <f>計算表!P204</f>
        <v>0</v>
      </c>
      <c r="Q204" s="2">
        <f>計算表!Q204</f>
        <v>0</v>
      </c>
      <c r="R204" s="2">
        <f>計算表!R204</f>
        <v>0</v>
      </c>
    </row>
    <row r="205" spans="1:18" x14ac:dyDescent="0.25">
      <c r="A205">
        <f t="shared" si="3"/>
        <v>204</v>
      </c>
      <c r="B205" s="2">
        <f>計算表!B205</f>
        <v>0</v>
      </c>
      <c r="C205" s="2" t="str">
        <f>計算表!C205</f>
        <v>8-寶石商店</v>
      </c>
      <c r="D205" s="2" t="str">
        <f>計算表!D205</f>
        <v>手動刷新費用</v>
      </c>
      <c r="E205" s="2" t="str">
        <f>計算表!E205</f>
        <v>a × (下一次重置序號^b)</v>
      </c>
      <c r="F205" s="2" t="str">
        <f>計算表!F205</f>
        <v>第一次刷新序號為 1。</v>
      </c>
      <c r="G205" s="2">
        <f>計算表!G205</f>
        <v>5000</v>
      </c>
      <c r="H205" s="2">
        <f>計算表!H205</f>
        <v>2.5</v>
      </c>
      <c r="I205" s="2">
        <f>計算表!I205</f>
        <v>0</v>
      </c>
      <c r="J205" s="2">
        <f>計算表!J205</f>
        <v>0</v>
      </c>
      <c r="K205" s="2">
        <f>計算表!K205</f>
        <v>0</v>
      </c>
      <c r="L205" s="2">
        <f>計算表!L205</f>
        <v>0</v>
      </c>
      <c r="M205" s="2">
        <f>計算表!M205</f>
        <v>0</v>
      </c>
      <c r="N205" s="2">
        <f>計算表!N205</f>
        <v>0</v>
      </c>
      <c r="O205" s="2">
        <f>計算表!O205</f>
        <v>0</v>
      </c>
      <c r="P205" s="2">
        <f>計算表!P205</f>
        <v>0</v>
      </c>
      <c r="Q205" s="2">
        <f>計算表!Q205</f>
        <v>0</v>
      </c>
      <c r="R205" s="2">
        <f>計算表!R205</f>
        <v>0</v>
      </c>
    </row>
    <row r="206" spans="1:18" x14ac:dyDescent="0.25">
      <c r="A206">
        <f t="shared" si="3"/>
        <v>205</v>
      </c>
      <c r="B206" s="2">
        <f>計算表!B206</f>
        <v>0</v>
      </c>
      <c r="C206" s="2" t="str">
        <f>計算表!C206</f>
        <v>8-寶石商店</v>
      </c>
      <c r="D206" s="2" t="str">
        <f>計算表!D206</f>
        <v>刷新週期</v>
      </c>
      <c r="E206" s="2" t="str">
        <f>計算表!E206</f>
        <v>a 小時重置刷新次數</v>
      </c>
      <c r="F206" s="2">
        <f>計算表!F206</f>
        <v>0</v>
      </c>
      <c r="G206" s="2">
        <f>計算表!G206</f>
        <v>8</v>
      </c>
      <c r="H206" s="2">
        <f>計算表!H206</f>
        <v>0</v>
      </c>
      <c r="I206" s="2">
        <f>計算表!I206</f>
        <v>0</v>
      </c>
      <c r="J206" s="2">
        <f>計算表!J206</f>
        <v>0</v>
      </c>
      <c r="K206" s="2">
        <f>計算表!K206</f>
        <v>0</v>
      </c>
      <c r="L206" s="2">
        <f>計算表!L206</f>
        <v>0</v>
      </c>
      <c r="M206" s="2">
        <f>計算表!M206</f>
        <v>0</v>
      </c>
      <c r="N206" s="2">
        <f>計算表!N206</f>
        <v>0</v>
      </c>
      <c r="O206" s="2">
        <f>計算表!O206</f>
        <v>0</v>
      </c>
      <c r="P206" s="2">
        <f>計算表!P206</f>
        <v>0</v>
      </c>
      <c r="Q206" s="2">
        <f>計算表!Q206</f>
        <v>0</v>
      </c>
      <c r="R206" s="2">
        <f>計算表!R206</f>
        <v>0</v>
      </c>
    </row>
    <row r="207" spans="1:18" x14ac:dyDescent="0.25">
      <c r="A207">
        <f t="shared" si="3"/>
        <v>206</v>
      </c>
      <c r="B207" s="2">
        <f>計算表!B207</f>
        <v>0</v>
      </c>
      <c r="C207" s="2" t="str">
        <f>計算表!C207</f>
        <v>8-寶石商店</v>
      </c>
      <c r="D207" s="2" t="str">
        <f>計算表!D207</f>
        <v>寶石標價(Lv1~10)</v>
      </c>
      <c r="E207" s="2" t="str">
        <f>計算表!E207</f>
        <v>各階價格</v>
      </c>
      <c r="F207" s="2" t="str">
        <f>計算表!F207</f>
        <v>a=Lv1 … j=Lv10。</v>
      </c>
      <c r="G207" s="2">
        <f>計算表!G207</f>
        <v>10000</v>
      </c>
      <c r="H207" s="2">
        <f>計算表!H207</f>
        <v>100000</v>
      </c>
      <c r="I207" s="2">
        <f>計算表!I207</f>
        <v>500000</v>
      </c>
      <c r="J207" s="2">
        <f>計算表!J207</f>
        <v>2000000</v>
      </c>
      <c r="K207" s="2">
        <f>計算表!K207</f>
        <v>10000000</v>
      </c>
      <c r="L207" s="2">
        <f>計算表!L207</f>
        <v>50000000</v>
      </c>
      <c r="M207" s="2">
        <f>計算表!M207</f>
        <v>200000000</v>
      </c>
      <c r="N207" s="2">
        <f>計算表!N207</f>
        <v>1000000000</v>
      </c>
      <c r="O207" s="2">
        <f>計算表!O207</f>
        <v>10000000000</v>
      </c>
      <c r="P207" s="2">
        <f>計算表!P207</f>
        <v>1000000000000</v>
      </c>
      <c r="Q207" s="2">
        <f>計算表!Q207</f>
        <v>0</v>
      </c>
      <c r="R207" s="2">
        <f>計算表!R207</f>
        <v>0</v>
      </c>
    </row>
    <row r="208" spans="1:18" x14ac:dyDescent="0.25">
      <c r="A208">
        <f t="shared" si="3"/>
        <v>207</v>
      </c>
      <c r="B208" s="2">
        <f>計算表!B208</f>
        <v>0</v>
      </c>
      <c r="C208" s="2" t="str">
        <f>計算表!C208</f>
        <v>8-寶店刷出數量</v>
      </c>
      <c r="D208" s="2" t="str">
        <f>計算表!D208</f>
        <v>商店 Lv.1</v>
      </c>
      <c r="E208" s="2" t="str">
        <f>計算表!E208</f>
        <v>刷出數量=機率%（每格獨立）</v>
      </c>
      <c r="F208" s="2" t="str">
        <f>計算表!F208</f>
        <v>格式「刷出數量=機率%」，機率總和 100。</v>
      </c>
      <c r="G208" s="2" t="str">
        <f>計算表!G208</f>
        <v>5=50</v>
      </c>
      <c r="H208" s="2" t="str">
        <f>計算表!H208</f>
        <v>6=50</v>
      </c>
      <c r="I208" s="2">
        <f>計算表!I208</f>
        <v>0</v>
      </c>
      <c r="J208" s="2">
        <f>計算表!J208</f>
        <v>0</v>
      </c>
      <c r="K208" s="2">
        <f>計算表!K208</f>
        <v>0</v>
      </c>
      <c r="L208" s="2">
        <f>計算表!L208</f>
        <v>0</v>
      </c>
      <c r="M208" s="2">
        <f>計算表!M208</f>
        <v>0</v>
      </c>
      <c r="N208" s="2">
        <f>計算表!N208</f>
        <v>0</v>
      </c>
      <c r="O208" s="2">
        <f>計算表!O208</f>
        <v>0</v>
      </c>
      <c r="P208" s="2">
        <f>計算表!P208</f>
        <v>0</v>
      </c>
      <c r="Q208" s="2">
        <f>計算表!Q208</f>
        <v>0</v>
      </c>
      <c r="R208" s="2">
        <f>計算表!R208</f>
        <v>0</v>
      </c>
    </row>
    <row r="209" spans="1:18" x14ac:dyDescent="0.25">
      <c r="A209">
        <f t="shared" si="3"/>
        <v>208</v>
      </c>
      <c r="B209" s="2">
        <f>計算表!B209</f>
        <v>0</v>
      </c>
      <c r="C209" s="2" t="str">
        <f>計算表!C209</f>
        <v>8-寶店刷出數量</v>
      </c>
      <c r="D209" s="2" t="str">
        <f>計算表!D209</f>
        <v>商店 Lv.2</v>
      </c>
      <c r="E209" s="2" t="str">
        <f>計算表!E209</f>
        <v>刷出數量=機率%（每格獨立）</v>
      </c>
      <c r="F209" s="2" t="str">
        <f>計算表!F209</f>
        <v>格式「刷出數量=機率%」，機率總和 100。</v>
      </c>
      <c r="G209" s="2" t="str">
        <f>計算表!G209</f>
        <v>5=50</v>
      </c>
      <c r="H209" s="2" t="str">
        <f>計算表!H209</f>
        <v>6=40</v>
      </c>
      <c r="I209" s="2" t="str">
        <f>計算表!I209</f>
        <v>7=10</v>
      </c>
      <c r="J209" s="2">
        <f>計算表!J209</f>
        <v>0</v>
      </c>
      <c r="K209" s="2">
        <f>計算表!K209</f>
        <v>0</v>
      </c>
      <c r="L209" s="2">
        <f>計算表!L209</f>
        <v>0</v>
      </c>
      <c r="M209" s="2">
        <f>計算表!M209</f>
        <v>0</v>
      </c>
      <c r="N209" s="2">
        <f>計算表!N209</f>
        <v>0</v>
      </c>
      <c r="O209" s="2">
        <f>計算表!O209</f>
        <v>0</v>
      </c>
      <c r="P209" s="2">
        <f>計算表!P209</f>
        <v>0</v>
      </c>
      <c r="Q209" s="2">
        <f>計算表!Q209</f>
        <v>0</v>
      </c>
      <c r="R209" s="2">
        <f>計算表!R209</f>
        <v>0</v>
      </c>
    </row>
    <row r="210" spans="1:18" x14ac:dyDescent="0.25">
      <c r="A210">
        <f t="shared" si="3"/>
        <v>209</v>
      </c>
      <c r="B210" s="2">
        <f>計算表!B210</f>
        <v>0</v>
      </c>
      <c r="C210" s="2" t="str">
        <f>計算表!C210</f>
        <v>8-寶店刷出數量</v>
      </c>
      <c r="D210" s="2" t="str">
        <f>計算表!D210</f>
        <v>商店 Lv.3</v>
      </c>
      <c r="E210" s="2" t="str">
        <f>計算表!E210</f>
        <v>刷出數量=機率%（每格獨立）</v>
      </c>
      <c r="F210" s="2" t="str">
        <f>計算表!F210</f>
        <v>格式「刷出數量=機率%」，機率總和 100。</v>
      </c>
      <c r="G210" s="2" t="str">
        <f>計算表!G210</f>
        <v>5=50</v>
      </c>
      <c r="H210" s="2" t="str">
        <f>計算表!H210</f>
        <v>6=30</v>
      </c>
      <c r="I210" s="2" t="str">
        <f>計算表!I210</f>
        <v>7=10</v>
      </c>
      <c r="J210" s="2" t="str">
        <f>計算表!J210</f>
        <v>8=10</v>
      </c>
      <c r="K210" s="2">
        <f>計算表!K210</f>
        <v>0</v>
      </c>
      <c r="L210" s="2">
        <f>計算表!L210</f>
        <v>0</v>
      </c>
      <c r="M210" s="2">
        <f>計算表!M210</f>
        <v>0</v>
      </c>
      <c r="N210" s="2">
        <f>計算表!N210</f>
        <v>0</v>
      </c>
      <c r="O210" s="2">
        <f>計算表!O210</f>
        <v>0</v>
      </c>
      <c r="P210" s="2">
        <f>計算表!P210</f>
        <v>0</v>
      </c>
      <c r="Q210" s="2">
        <f>計算表!Q210</f>
        <v>0</v>
      </c>
      <c r="R210" s="2">
        <f>計算表!R210</f>
        <v>0</v>
      </c>
    </row>
    <row r="211" spans="1:18" x14ac:dyDescent="0.25">
      <c r="A211">
        <f t="shared" si="3"/>
        <v>210</v>
      </c>
      <c r="B211" s="2">
        <f>計算表!B211</f>
        <v>0</v>
      </c>
      <c r="C211" s="2" t="str">
        <f>計算表!C211</f>
        <v>8-寶店刷出數量</v>
      </c>
      <c r="D211" s="2" t="str">
        <f>計算表!D211</f>
        <v>商店 Lv.4</v>
      </c>
      <c r="E211" s="2" t="str">
        <f>計算表!E211</f>
        <v>刷出數量=機率%（每格獨立）</v>
      </c>
      <c r="F211" s="2" t="str">
        <f>計算表!F211</f>
        <v>格式「刷出數量=機率%」，機率總和 100。</v>
      </c>
      <c r="G211" s="2" t="str">
        <f>計算表!G211</f>
        <v>5=45</v>
      </c>
      <c r="H211" s="2" t="str">
        <f>計算表!H211</f>
        <v>6=30</v>
      </c>
      <c r="I211" s="2" t="str">
        <f>計算表!I211</f>
        <v>7=15</v>
      </c>
      <c r="J211" s="2" t="str">
        <f>計算表!J211</f>
        <v>8=10</v>
      </c>
      <c r="K211" s="2">
        <f>計算表!K211</f>
        <v>0</v>
      </c>
      <c r="L211" s="2">
        <f>計算表!L211</f>
        <v>0</v>
      </c>
      <c r="M211" s="2">
        <f>計算表!M211</f>
        <v>0</v>
      </c>
      <c r="N211" s="2">
        <f>計算表!N211</f>
        <v>0</v>
      </c>
      <c r="O211" s="2">
        <f>計算表!O211</f>
        <v>0</v>
      </c>
      <c r="P211" s="2">
        <f>計算表!P211</f>
        <v>0</v>
      </c>
      <c r="Q211" s="2">
        <f>計算表!Q211</f>
        <v>0</v>
      </c>
      <c r="R211" s="2">
        <f>計算表!R211</f>
        <v>0</v>
      </c>
    </row>
    <row r="212" spans="1:18" x14ac:dyDescent="0.25">
      <c r="A212">
        <f t="shared" si="3"/>
        <v>211</v>
      </c>
      <c r="B212" s="2">
        <f>計算表!B212</f>
        <v>0</v>
      </c>
      <c r="C212" s="2" t="str">
        <f>計算表!C212</f>
        <v>8-寶店刷出數量</v>
      </c>
      <c r="D212" s="2" t="str">
        <f>計算表!D212</f>
        <v>商店 Lv.5</v>
      </c>
      <c r="E212" s="2" t="str">
        <f>計算表!E212</f>
        <v>刷出數量=機率%（每格獨立）</v>
      </c>
      <c r="F212" s="2" t="str">
        <f>計算表!F212</f>
        <v>格式「刷出數量=機率%」，機率總和 100。</v>
      </c>
      <c r="G212" s="2" t="str">
        <f>計算表!G212</f>
        <v>5=40</v>
      </c>
      <c r="H212" s="2" t="str">
        <f>計算表!H212</f>
        <v>6=30</v>
      </c>
      <c r="I212" s="2" t="str">
        <f>計算表!I212</f>
        <v>7=15</v>
      </c>
      <c r="J212" s="2" t="str">
        <f>計算表!J212</f>
        <v>8=15</v>
      </c>
      <c r="K212" s="2">
        <f>計算表!K212</f>
        <v>0</v>
      </c>
      <c r="L212" s="2">
        <f>計算表!L212</f>
        <v>0</v>
      </c>
      <c r="M212" s="2">
        <f>計算表!M212</f>
        <v>0</v>
      </c>
      <c r="N212" s="2">
        <f>計算表!N212</f>
        <v>0</v>
      </c>
      <c r="O212" s="2">
        <f>計算表!O212</f>
        <v>0</v>
      </c>
      <c r="P212" s="2">
        <f>計算表!P212</f>
        <v>0</v>
      </c>
      <c r="Q212" s="2">
        <f>計算表!Q212</f>
        <v>0</v>
      </c>
      <c r="R212" s="2">
        <f>計算表!R212</f>
        <v>0</v>
      </c>
    </row>
    <row r="213" spans="1:18" x14ac:dyDescent="0.25">
      <c r="A213">
        <f t="shared" si="3"/>
        <v>212</v>
      </c>
      <c r="B213" s="2">
        <f>計算表!B213</f>
        <v>0</v>
      </c>
      <c r="C213" s="2" t="str">
        <f>計算表!C213</f>
        <v>8-寶店刷出數量</v>
      </c>
      <c r="D213" s="2" t="str">
        <f>計算表!D213</f>
        <v>商店 Lv.6</v>
      </c>
      <c r="E213" s="2" t="str">
        <f>計算表!E213</f>
        <v>刷出數量=機率%（每格獨立）</v>
      </c>
      <c r="F213" s="2" t="str">
        <f>計算表!F213</f>
        <v>格式「刷出數量=機率%」，機率總和 100。</v>
      </c>
      <c r="G213" s="2" t="str">
        <f>計算表!G213</f>
        <v>5=35</v>
      </c>
      <c r="H213" s="2" t="str">
        <f>計算表!H213</f>
        <v>6=30</v>
      </c>
      <c r="I213" s="2" t="str">
        <f>計算表!I213</f>
        <v>7=15</v>
      </c>
      <c r="J213" s="2" t="str">
        <f>計算表!J213</f>
        <v>8=15</v>
      </c>
      <c r="K213" s="2" t="str">
        <f>計算表!K213</f>
        <v>9=5</v>
      </c>
      <c r="L213" s="2">
        <f>計算表!L213</f>
        <v>0</v>
      </c>
      <c r="M213" s="2">
        <f>計算表!M213</f>
        <v>0</v>
      </c>
      <c r="N213" s="2">
        <f>計算表!N213</f>
        <v>0</v>
      </c>
      <c r="O213" s="2">
        <f>計算表!O213</f>
        <v>0</v>
      </c>
      <c r="P213" s="2">
        <f>計算表!P213</f>
        <v>0</v>
      </c>
      <c r="Q213" s="2">
        <f>計算表!Q213</f>
        <v>0</v>
      </c>
      <c r="R213" s="2">
        <f>計算表!R213</f>
        <v>0</v>
      </c>
    </row>
    <row r="214" spans="1:18" x14ac:dyDescent="0.25">
      <c r="A214">
        <f t="shared" si="3"/>
        <v>213</v>
      </c>
      <c r="B214" s="2">
        <f>計算表!B214</f>
        <v>0</v>
      </c>
      <c r="C214" s="2" t="str">
        <f>計算表!C214</f>
        <v>8-寶店刷出數量</v>
      </c>
      <c r="D214" s="2" t="str">
        <f>計算表!D214</f>
        <v>商店 Lv.7</v>
      </c>
      <c r="E214" s="2" t="str">
        <f>計算表!E214</f>
        <v>刷出數量=機率%（每格獨立）</v>
      </c>
      <c r="F214" s="2" t="str">
        <f>計算表!F214</f>
        <v>格式「刷出數量=機率%」，機率總和 100。</v>
      </c>
      <c r="G214" s="2" t="str">
        <f>計算表!G214</f>
        <v>6=35</v>
      </c>
      <c r="H214" s="2" t="str">
        <f>計算表!H214</f>
        <v>7=30</v>
      </c>
      <c r="I214" s="2" t="str">
        <f>計算表!I214</f>
        <v>8=15</v>
      </c>
      <c r="J214" s="2" t="str">
        <f>計算表!J214</f>
        <v>9=15</v>
      </c>
      <c r="K214" s="2" t="str">
        <f>計算表!K214</f>
        <v>10=5</v>
      </c>
      <c r="L214" s="2">
        <f>計算表!L214</f>
        <v>0</v>
      </c>
      <c r="M214" s="2">
        <f>計算表!M214</f>
        <v>0</v>
      </c>
      <c r="N214" s="2">
        <f>計算表!N214</f>
        <v>0</v>
      </c>
      <c r="O214" s="2">
        <f>計算表!O214</f>
        <v>0</v>
      </c>
      <c r="P214" s="2">
        <f>計算表!P214</f>
        <v>0</v>
      </c>
      <c r="Q214" s="2">
        <f>計算表!Q214</f>
        <v>0</v>
      </c>
      <c r="R214" s="2">
        <f>計算表!R214</f>
        <v>0</v>
      </c>
    </row>
    <row r="215" spans="1:18" x14ac:dyDescent="0.25">
      <c r="A215">
        <f t="shared" si="3"/>
        <v>214</v>
      </c>
      <c r="B215" s="2">
        <f>計算表!B215</f>
        <v>0</v>
      </c>
      <c r="C215" s="2" t="str">
        <f>計算表!C215</f>
        <v>8-寶店刷出數量</v>
      </c>
      <c r="D215" s="2" t="str">
        <f>計算表!D215</f>
        <v>商店 Lv.8</v>
      </c>
      <c r="E215" s="2" t="str">
        <f>計算表!E215</f>
        <v>刷出數量=機率%（每格獨立）</v>
      </c>
      <c r="F215" s="2" t="str">
        <f>計算表!F215</f>
        <v>格式「刷出數量=機率%」，機率總和 100。</v>
      </c>
      <c r="G215" s="2" t="str">
        <f>計算表!G215</f>
        <v>6=30</v>
      </c>
      <c r="H215" s="2" t="str">
        <f>計算表!H215</f>
        <v>7=30</v>
      </c>
      <c r="I215" s="2" t="str">
        <f>計算表!I215</f>
        <v>8=15</v>
      </c>
      <c r="J215" s="2" t="str">
        <f>計算表!J215</f>
        <v>9=15</v>
      </c>
      <c r="K215" s="2" t="str">
        <f>計算表!K215</f>
        <v>10=10</v>
      </c>
      <c r="L215" s="2">
        <f>計算表!L215</f>
        <v>0</v>
      </c>
      <c r="M215" s="2">
        <f>計算表!M215</f>
        <v>0</v>
      </c>
      <c r="N215" s="2">
        <f>計算表!N215</f>
        <v>0</v>
      </c>
      <c r="O215" s="2">
        <f>計算表!O215</f>
        <v>0</v>
      </c>
      <c r="P215" s="2">
        <f>計算表!P215</f>
        <v>0</v>
      </c>
      <c r="Q215" s="2">
        <f>計算表!Q215</f>
        <v>0</v>
      </c>
      <c r="R215" s="2">
        <f>計算表!R215</f>
        <v>0</v>
      </c>
    </row>
    <row r="216" spans="1:18" x14ac:dyDescent="0.25">
      <c r="A216">
        <f t="shared" si="3"/>
        <v>215</v>
      </c>
      <c r="B216" s="2">
        <f>計算表!B216</f>
        <v>0</v>
      </c>
      <c r="C216" s="2" t="str">
        <f>計算表!C216</f>
        <v>8-寶店刷出數量</v>
      </c>
      <c r="D216" s="2" t="str">
        <f>計算表!D216</f>
        <v>商店 Lv.9</v>
      </c>
      <c r="E216" s="2" t="str">
        <f>計算表!E216</f>
        <v>刷出數量=機率%（每格獨立）</v>
      </c>
      <c r="F216" s="2" t="str">
        <f>計算表!F216</f>
        <v>格式「刷出數量=機率%」，機率總和 100。</v>
      </c>
      <c r="G216" s="2" t="str">
        <f>計算表!G216</f>
        <v>7=30</v>
      </c>
      <c r="H216" s="2" t="str">
        <f>計算表!H216</f>
        <v>8=30</v>
      </c>
      <c r="I216" s="2" t="str">
        <f>計算表!I216</f>
        <v>9=15</v>
      </c>
      <c r="J216" s="2" t="str">
        <f>計算表!J216</f>
        <v>10=15</v>
      </c>
      <c r="K216" s="2" t="str">
        <f>計算表!K216</f>
        <v>11=10</v>
      </c>
      <c r="L216" s="2">
        <f>計算表!L216</f>
        <v>0</v>
      </c>
      <c r="M216" s="2">
        <f>計算表!M216</f>
        <v>0</v>
      </c>
      <c r="N216" s="2">
        <f>計算表!N216</f>
        <v>0</v>
      </c>
      <c r="O216" s="2">
        <f>計算表!O216</f>
        <v>0</v>
      </c>
      <c r="P216" s="2">
        <f>計算表!P216</f>
        <v>0</v>
      </c>
      <c r="Q216" s="2">
        <f>計算表!Q216</f>
        <v>0</v>
      </c>
      <c r="R216" s="2">
        <f>計算表!R216</f>
        <v>0</v>
      </c>
    </row>
    <row r="217" spans="1:18" x14ac:dyDescent="0.25">
      <c r="A217">
        <f t="shared" si="3"/>
        <v>216</v>
      </c>
      <c r="B217" s="2">
        <f>計算表!B217</f>
        <v>0</v>
      </c>
      <c r="C217" s="2" t="str">
        <f>計算表!C217</f>
        <v>8-寶店刷出數量</v>
      </c>
      <c r="D217" s="2" t="str">
        <f>計算表!D217</f>
        <v>商店 Lv.10</v>
      </c>
      <c r="E217" s="2" t="str">
        <f>計算表!E217</f>
        <v>刷出數量=機率%（每格獨立）</v>
      </c>
      <c r="F217" s="2" t="str">
        <f>計算表!F217</f>
        <v>格式「刷出數量=機率%」，機率總和 100。</v>
      </c>
      <c r="G217" s="2" t="str">
        <f>計算表!G217</f>
        <v>8=30</v>
      </c>
      <c r="H217" s="2" t="str">
        <f>計算表!H217</f>
        <v>9=30</v>
      </c>
      <c r="I217" s="2" t="str">
        <f>計算表!I217</f>
        <v>10=15</v>
      </c>
      <c r="J217" s="2" t="str">
        <f>計算表!J217</f>
        <v>11=15</v>
      </c>
      <c r="K217" s="2" t="str">
        <f>計算表!K217</f>
        <v>12=10</v>
      </c>
      <c r="L217" s="2">
        <f>計算表!L217</f>
        <v>0</v>
      </c>
      <c r="M217" s="2">
        <f>計算表!M217</f>
        <v>0</v>
      </c>
      <c r="N217" s="2">
        <f>計算表!N217</f>
        <v>0</v>
      </c>
      <c r="O217" s="2">
        <f>計算表!O217</f>
        <v>0</v>
      </c>
      <c r="P217" s="2">
        <f>計算表!P217</f>
        <v>0</v>
      </c>
      <c r="Q217" s="2">
        <f>計算表!Q217</f>
        <v>0</v>
      </c>
      <c r="R217" s="2">
        <f>計算表!R217</f>
        <v>0</v>
      </c>
    </row>
    <row r="218" spans="1:18" x14ac:dyDescent="0.25">
      <c r="A218">
        <f t="shared" si="3"/>
        <v>217</v>
      </c>
      <c r="B218" s="2">
        <f>計算表!B218</f>
        <v>0</v>
      </c>
      <c r="C218" s="2" t="str">
        <f>計算表!C218</f>
        <v>8-寶店刷出數量</v>
      </c>
      <c r="D218" s="2" t="str">
        <f>計算表!D218</f>
        <v>商店 Lv.11</v>
      </c>
      <c r="E218" s="2" t="str">
        <f>計算表!E218</f>
        <v>刷出數量=機率%（每格獨立）</v>
      </c>
      <c r="F218" s="2" t="str">
        <f>計算表!F218</f>
        <v>格式「刷出數量=機率%」，機率總和 100。</v>
      </c>
      <c r="G218" s="2" t="str">
        <f>計算表!G218</f>
        <v>9=30</v>
      </c>
      <c r="H218" s="2" t="str">
        <f>計算表!H218</f>
        <v>10=30</v>
      </c>
      <c r="I218" s="2" t="str">
        <f>計算表!I218</f>
        <v>11=15</v>
      </c>
      <c r="J218" s="2" t="str">
        <f>計算表!J218</f>
        <v>12=15</v>
      </c>
      <c r="K218" s="2" t="str">
        <f>計算表!K218</f>
        <v>13=10</v>
      </c>
      <c r="L218" s="2">
        <f>計算表!L218</f>
        <v>0</v>
      </c>
      <c r="M218" s="2">
        <f>計算表!M218</f>
        <v>0</v>
      </c>
      <c r="N218" s="2">
        <f>計算表!N218</f>
        <v>0</v>
      </c>
      <c r="O218" s="2">
        <f>計算表!O218</f>
        <v>0</v>
      </c>
      <c r="P218" s="2">
        <f>計算表!P218</f>
        <v>0</v>
      </c>
      <c r="Q218" s="2">
        <f>計算表!Q218</f>
        <v>0</v>
      </c>
      <c r="R218" s="2">
        <f>計算表!R218</f>
        <v>0</v>
      </c>
    </row>
    <row r="219" spans="1:18" x14ac:dyDescent="0.25">
      <c r="A219">
        <f t="shared" si="3"/>
        <v>218</v>
      </c>
      <c r="B219" s="2">
        <f>計算表!B219</f>
        <v>0</v>
      </c>
      <c r="C219" s="2" t="str">
        <f>計算表!C219</f>
        <v>8-寶店刷出數量</v>
      </c>
      <c r="D219" s="2" t="str">
        <f>計算表!D219</f>
        <v>商店 Lv.12</v>
      </c>
      <c r="E219" s="2" t="str">
        <f>計算表!E219</f>
        <v>刷出數量=機率%（每格獨立）</v>
      </c>
      <c r="F219" s="2" t="str">
        <f>計算表!F219</f>
        <v>格式「刷出數量=機率%」，機率總和 100。</v>
      </c>
      <c r="G219" s="2" t="str">
        <f>計算表!G219</f>
        <v>10=30</v>
      </c>
      <c r="H219" s="2" t="str">
        <f>計算表!H219</f>
        <v>11=30</v>
      </c>
      <c r="I219" s="2" t="str">
        <f>計算表!I219</f>
        <v>12=15</v>
      </c>
      <c r="J219" s="2" t="str">
        <f>計算表!J219</f>
        <v>13=15</v>
      </c>
      <c r="K219" s="2" t="str">
        <f>計算表!K219</f>
        <v>14=10</v>
      </c>
      <c r="L219" s="2">
        <f>計算表!L219</f>
        <v>0</v>
      </c>
      <c r="M219" s="2">
        <f>計算表!M219</f>
        <v>0</v>
      </c>
      <c r="N219" s="2">
        <f>計算表!N219</f>
        <v>0</v>
      </c>
      <c r="O219" s="2">
        <f>計算表!O219</f>
        <v>0</v>
      </c>
      <c r="P219" s="2">
        <f>計算表!P219</f>
        <v>0</v>
      </c>
      <c r="Q219" s="2">
        <f>計算表!Q219</f>
        <v>0</v>
      </c>
      <c r="R219" s="2">
        <f>計算表!R219</f>
        <v>0</v>
      </c>
    </row>
    <row r="220" spans="1:18" x14ac:dyDescent="0.25">
      <c r="A220">
        <f t="shared" si="3"/>
        <v>219</v>
      </c>
      <c r="B220" s="2">
        <f>計算表!B220</f>
        <v>0</v>
      </c>
      <c r="C220" s="2" t="str">
        <f>計算表!C220</f>
        <v>8-寶店刷出數量</v>
      </c>
      <c r="D220" s="2" t="str">
        <f>計算表!D220</f>
        <v>商店 Lv.13</v>
      </c>
      <c r="E220" s="2" t="str">
        <f>計算表!E220</f>
        <v>刷出數量=機率%（每格獨立）</v>
      </c>
      <c r="F220" s="2" t="str">
        <f>計算表!F220</f>
        <v>格式「刷出數量=機率%」，機率總和 100。</v>
      </c>
      <c r="G220" s="2" t="str">
        <f>計算表!G220</f>
        <v>11=30</v>
      </c>
      <c r="H220" s="2" t="str">
        <f>計算表!H220</f>
        <v>12=30</v>
      </c>
      <c r="I220" s="2" t="str">
        <f>計算表!I220</f>
        <v>13=15</v>
      </c>
      <c r="J220" s="2" t="str">
        <f>計算表!J220</f>
        <v>14=15</v>
      </c>
      <c r="K220" s="2" t="str">
        <f>計算表!K220</f>
        <v>15=10</v>
      </c>
      <c r="L220" s="2">
        <f>計算表!L220</f>
        <v>0</v>
      </c>
      <c r="M220" s="2">
        <f>計算表!M220</f>
        <v>0</v>
      </c>
      <c r="N220" s="2">
        <f>計算表!N220</f>
        <v>0</v>
      </c>
      <c r="O220" s="2">
        <f>計算表!O220</f>
        <v>0</v>
      </c>
      <c r="P220" s="2">
        <f>計算表!P220</f>
        <v>0</v>
      </c>
      <c r="Q220" s="2">
        <f>計算表!Q220</f>
        <v>0</v>
      </c>
      <c r="R220" s="2">
        <f>計算表!R220</f>
        <v>0</v>
      </c>
    </row>
    <row r="221" spans="1:18" x14ac:dyDescent="0.25">
      <c r="A221">
        <f t="shared" si="3"/>
        <v>220</v>
      </c>
      <c r="B221" s="2">
        <f>計算表!B221</f>
        <v>0</v>
      </c>
      <c r="C221" s="2" t="str">
        <f>計算表!C221</f>
        <v>8-寶店刷出數量</v>
      </c>
      <c r="D221" s="2" t="str">
        <f>計算表!D221</f>
        <v>商店 Lv.14</v>
      </c>
      <c r="E221" s="2" t="str">
        <f>計算表!E221</f>
        <v>刷出數量=機率%（每格獨立）</v>
      </c>
      <c r="F221" s="2" t="str">
        <f>計算表!F221</f>
        <v>格式「刷出數量=機率%」，機率總和 100。</v>
      </c>
      <c r="G221" s="2" t="str">
        <f>計算表!G221</f>
        <v>12=30</v>
      </c>
      <c r="H221" s="2" t="str">
        <f>計算表!H221</f>
        <v>13=30</v>
      </c>
      <c r="I221" s="2" t="str">
        <f>計算表!I221</f>
        <v>14=15</v>
      </c>
      <c r="J221" s="2" t="str">
        <f>計算表!J221</f>
        <v>15=15</v>
      </c>
      <c r="K221" s="2" t="str">
        <f>計算表!K221</f>
        <v>16=10</v>
      </c>
      <c r="L221" s="2">
        <f>計算表!L221</f>
        <v>0</v>
      </c>
      <c r="M221" s="2">
        <f>計算表!M221</f>
        <v>0</v>
      </c>
      <c r="N221" s="2">
        <f>計算表!N221</f>
        <v>0</v>
      </c>
      <c r="O221" s="2">
        <f>計算表!O221</f>
        <v>0</v>
      </c>
      <c r="P221" s="2">
        <f>計算表!P221</f>
        <v>0</v>
      </c>
      <c r="Q221" s="2">
        <f>計算表!Q221</f>
        <v>0</v>
      </c>
      <c r="R221" s="2">
        <f>計算表!R221</f>
        <v>0</v>
      </c>
    </row>
    <row r="222" spans="1:18" x14ac:dyDescent="0.25">
      <c r="A222">
        <f t="shared" si="3"/>
        <v>221</v>
      </c>
      <c r="B222" s="2">
        <f>計算表!B222</f>
        <v>0</v>
      </c>
      <c r="C222" s="2" t="str">
        <f>計算表!C222</f>
        <v>8-寶店刷出數量</v>
      </c>
      <c r="D222" s="2" t="str">
        <f>計算表!D222</f>
        <v>商店 Lv.15</v>
      </c>
      <c r="E222" s="2" t="str">
        <f>計算表!E222</f>
        <v>刷出數量=機率%（每格獨立）</v>
      </c>
      <c r="F222" s="2" t="str">
        <f>計算表!F222</f>
        <v>格式「刷出數量=機率%」，機率總和 100。</v>
      </c>
      <c r="G222" s="2" t="str">
        <f>計算表!G222</f>
        <v>13=30</v>
      </c>
      <c r="H222" s="2" t="str">
        <f>計算表!H222</f>
        <v>14=30</v>
      </c>
      <c r="I222" s="2" t="str">
        <f>計算表!I222</f>
        <v>15=15</v>
      </c>
      <c r="J222" s="2" t="str">
        <f>計算表!J222</f>
        <v>16=15</v>
      </c>
      <c r="K222" s="2" t="str">
        <f>計算表!K222</f>
        <v>17=10</v>
      </c>
      <c r="L222" s="2">
        <f>計算表!L222</f>
        <v>0</v>
      </c>
      <c r="M222" s="2">
        <f>計算表!M222</f>
        <v>0</v>
      </c>
      <c r="N222" s="2">
        <f>計算表!N222</f>
        <v>0</v>
      </c>
      <c r="O222" s="2">
        <f>計算表!O222</f>
        <v>0</v>
      </c>
      <c r="P222" s="2">
        <f>計算表!P222</f>
        <v>0</v>
      </c>
      <c r="Q222" s="2">
        <f>計算表!Q222</f>
        <v>0</v>
      </c>
      <c r="R222" s="2">
        <f>計算表!R222</f>
        <v>0</v>
      </c>
    </row>
    <row r="223" spans="1:18" x14ac:dyDescent="0.25">
      <c r="A223">
        <f t="shared" si="3"/>
        <v>222</v>
      </c>
      <c r="B223" s="2">
        <f>計算表!B223</f>
        <v>0</v>
      </c>
      <c r="C223" s="2" t="str">
        <f>計算表!C223</f>
        <v>8-寶店刷出數量</v>
      </c>
      <c r="D223" s="2" t="str">
        <f>計算表!D223</f>
        <v>商店 Lv.16</v>
      </c>
      <c r="E223" s="2" t="str">
        <f>計算表!E223</f>
        <v>刷出數量=機率%（每格獨立）</v>
      </c>
      <c r="F223" s="2" t="str">
        <f>計算表!F223</f>
        <v>格式「刷出數量=機率%」，機率總和 100。</v>
      </c>
      <c r="G223" s="2" t="str">
        <f>計算表!G223</f>
        <v>14=30</v>
      </c>
      <c r="H223" s="2" t="str">
        <f>計算表!H223</f>
        <v>15=30</v>
      </c>
      <c r="I223" s="2" t="str">
        <f>計算表!I223</f>
        <v>16=15</v>
      </c>
      <c r="J223" s="2" t="str">
        <f>計算表!J223</f>
        <v>17=15</v>
      </c>
      <c r="K223" s="2" t="str">
        <f>計算表!K223</f>
        <v>18=10</v>
      </c>
      <c r="L223" s="2">
        <f>計算表!L223</f>
        <v>0</v>
      </c>
      <c r="M223" s="2">
        <f>計算表!M223</f>
        <v>0</v>
      </c>
      <c r="N223" s="2">
        <f>計算表!N223</f>
        <v>0</v>
      </c>
      <c r="O223" s="2">
        <f>計算表!O223</f>
        <v>0</v>
      </c>
      <c r="P223" s="2">
        <f>計算表!P223</f>
        <v>0</v>
      </c>
      <c r="Q223" s="2">
        <f>計算表!Q223</f>
        <v>0</v>
      </c>
      <c r="R223" s="2">
        <f>計算表!R223</f>
        <v>0</v>
      </c>
    </row>
    <row r="224" spans="1:18" x14ac:dyDescent="0.25">
      <c r="A224">
        <f t="shared" si="3"/>
        <v>223</v>
      </c>
      <c r="B224" s="2">
        <f>計算表!B224</f>
        <v>0</v>
      </c>
      <c r="C224" s="2" t="str">
        <f>計算表!C224</f>
        <v>8-寶店刷出數量</v>
      </c>
      <c r="D224" s="2" t="str">
        <f>計算表!D224</f>
        <v>商店 Lv.17</v>
      </c>
      <c r="E224" s="2" t="str">
        <f>計算表!E224</f>
        <v>刷出數量=機率%（每格獨立）</v>
      </c>
      <c r="F224" s="2" t="str">
        <f>計算表!F224</f>
        <v>格式「刷出數量=機率%」，機率總和 100。</v>
      </c>
      <c r="G224" s="2" t="str">
        <f>計算表!G224</f>
        <v>15=30</v>
      </c>
      <c r="H224" s="2" t="str">
        <f>計算表!H224</f>
        <v>16=30</v>
      </c>
      <c r="I224" s="2" t="str">
        <f>計算表!I224</f>
        <v>17=15</v>
      </c>
      <c r="J224" s="2" t="str">
        <f>計算表!J224</f>
        <v>18=15</v>
      </c>
      <c r="K224" s="2" t="str">
        <f>計算表!K224</f>
        <v>19=10</v>
      </c>
      <c r="L224" s="2">
        <f>計算表!L224</f>
        <v>0</v>
      </c>
      <c r="M224" s="2">
        <f>計算表!M224</f>
        <v>0</v>
      </c>
      <c r="N224" s="2">
        <f>計算表!N224</f>
        <v>0</v>
      </c>
      <c r="O224" s="2">
        <f>計算表!O224</f>
        <v>0</v>
      </c>
      <c r="P224" s="2">
        <f>計算表!P224</f>
        <v>0</v>
      </c>
      <c r="Q224" s="2">
        <f>計算表!Q224</f>
        <v>0</v>
      </c>
      <c r="R224" s="2">
        <f>計算表!R224</f>
        <v>0</v>
      </c>
    </row>
    <row r="225" spans="1:18" x14ac:dyDescent="0.25">
      <c r="A225">
        <f t="shared" si="3"/>
        <v>224</v>
      </c>
      <c r="B225" s="2">
        <f>計算表!B225</f>
        <v>0</v>
      </c>
      <c r="C225" s="2" t="str">
        <f>計算表!C225</f>
        <v>8-寶店刷出數量</v>
      </c>
      <c r="D225" s="2" t="str">
        <f>計算表!D225</f>
        <v>商店 Lv.18</v>
      </c>
      <c r="E225" s="2" t="str">
        <f>計算表!E225</f>
        <v>刷出數量=機率%（每格獨立）</v>
      </c>
      <c r="F225" s="2" t="str">
        <f>計算表!F225</f>
        <v>格式「刷出數量=機率%」，機率總和 100。</v>
      </c>
      <c r="G225" s="2" t="str">
        <f>計算表!G225</f>
        <v>15=10</v>
      </c>
      <c r="H225" s="2" t="str">
        <f>計算表!H225</f>
        <v>16=20</v>
      </c>
      <c r="I225" s="2" t="str">
        <f>計算表!I225</f>
        <v>17=30</v>
      </c>
      <c r="J225" s="2" t="str">
        <f>計算表!J225</f>
        <v>18=15</v>
      </c>
      <c r="K225" s="2" t="str">
        <f>計算表!K225</f>
        <v>19=15</v>
      </c>
      <c r="L225" s="2" t="str">
        <f>計算表!L225</f>
        <v>20=10</v>
      </c>
      <c r="M225" s="2">
        <f>計算表!M225</f>
        <v>0</v>
      </c>
      <c r="N225" s="2">
        <f>計算表!N225</f>
        <v>0</v>
      </c>
      <c r="O225" s="2">
        <f>計算表!O225</f>
        <v>0</v>
      </c>
      <c r="P225" s="2">
        <f>計算表!P225</f>
        <v>0</v>
      </c>
      <c r="Q225" s="2">
        <f>計算表!Q225</f>
        <v>0</v>
      </c>
      <c r="R225" s="2">
        <f>計算表!R225</f>
        <v>0</v>
      </c>
    </row>
    <row r="226" spans="1:18" x14ac:dyDescent="0.25">
      <c r="A226">
        <f t="shared" si="3"/>
        <v>225</v>
      </c>
      <c r="B226" s="2">
        <f>計算表!B226</f>
        <v>0</v>
      </c>
      <c r="C226" s="2" t="str">
        <f>計算表!C226</f>
        <v>8-寶店刷出數量</v>
      </c>
      <c r="D226" s="2" t="str">
        <f>計算表!D226</f>
        <v>商店 Lv.19</v>
      </c>
      <c r="E226" s="2" t="str">
        <f>計算表!E226</f>
        <v>刷出數量=機率%（每格獨立）</v>
      </c>
      <c r="F226" s="2" t="str">
        <f>計算表!F226</f>
        <v>格式「刷出數量=機率%」，機率總和 100。</v>
      </c>
      <c r="G226" s="2" t="str">
        <f>計算表!G226</f>
        <v>15=10</v>
      </c>
      <c r="H226" s="2" t="str">
        <f>計算表!H226</f>
        <v>16=20</v>
      </c>
      <c r="I226" s="2" t="str">
        <f>計算表!I226</f>
        <v>17=30</v>
      </c>
      <c r="J226" s="2" t="str">
        <f>計算表!J226</f>
        <v>18=15</v>
      </c>
      <c r="K226" s="2" t="str">
        <f>計算表!K226</f>
        <v>19=15</v>
      </c>
      <c r="L226" s="2" t="str">
        <f>計算表!L226</f>
        <v>20=10</v>
      </c>
      <c r="M226" s="2">
        <f>計算表!M226</f>
        <v>0</v>
      </c>
      <c r="N226" s="2">
        <f>計算表!N226</f>
        <v>0</v>
      </c>
      <c r="O226" s="2">
        <f>計算表!O226</f>
        <v>0</v>
      </c>
      <c r="P226" s="2">
        <f>計算表!P226</f>
        <v>0</v>
      </c>
      <c r="Q226" s="2">
        <f>計算表!Q226</f>
        <v>0</v>
      </c>
      <c r="R226" s="2">
        <f>計算表!R226</f>
        <v>0</v>
      </c>
    </row>
    <row r="227" spans="1:18" x14ac:dyDescent="0.25">
      <c r="A227">
        <f t="shared" si="3"/>
        <v>226</v>
      </c>
      <c r="B227" s="2">
        <f>計算表!B227</f>
        <v>0</v>
      </c>
      <c r="C227" s="2" t="str">
        <f>計算表!C227</f>
        <v>8-寶店刷出數量</v>
      </c>
      <c r="D227" s="2" t="str">
        <f>計算表!D227</f>
        <v>商店 Lv.20</v>
      </c>
      <c r="E227" s="2" t="str">
        <f>計算表!E227</f>
        <v>刷出數量=機率%（每格獨立）</v>
      </c>
      <c r="F227" s="2" t="str">
        <f>計算表!F227</f>
        <v>格式「刷出數量=機率%」，機率總和 100。</v>
      </c>
      <c r="G227" s="2" t="str">
        <f>計算表!G227</f>
        <v>15=10</v>
      </c>
      <c r="H227" s="2" t="str">
        <f>計算表!H227</f>
        <v>16=20</v>
      </c>
      <c r="I227" s="2" t="str">
        <f>計算表!I227</f>
        <v>17=30</v>
      </c>
      <c r="J227" s="2" t="str">
        <f>計算表!J227</f>
        <v>18=15</v>
      </c>
      <c r="K227" s="2" t="str">
        <f>計算表!K227</f>
        <v>19=15</v>
      </c>
      <c r="L227" s="2" t="str">
        <f>計算表!L227</f>
        <v>20=10</v>
      </c>
      <c r="M227" s="2">
        <f>計算表!M227</f>
        <v>0</v>
      </c>
      <c r="N227" s="2">
        <f>計算表!N227</f>
        <v>0</v>
      </c>
      <c r="O227" s="2">
        <f>計算表!O227</f>
        <v>0</v>
      </c>
      <c r="P227" s="2">
        <f>計算表!P227</f>
        <v>0</v>
      </c>
      <c r="Q227" s="2">
        <f>計算表!Q227</f>
        <v>0</v>
      </c>
      <c r="R227" s="2">
        <f>計算表!R227</f>
        <v>0</v>
      </c>
    </row>
    <row r="228" spans="1:18" x14ac:dyDescent="0.25">
      <c r="A228">
        <f t="shared" si="3"/>
        <v>227</v>
      </c>
      <c r="B228" s="2">
        <f>計算表!B228</f>
        <v>0</v>
      </c>
      <c r="C228" s="2" t="str">
        <f>計算表!C228</f>
        <v>8-寶店刷出階級</v>
      </c>
      <c r="D228" s="2" t="str">
        <f>計算表!D228</f>
        <v>商店 Lv.1</v>
      </c>
      <c r="E228" s="2" t="str">
        <f>計算表!E228</f>
        <v>寶石階級=機率%（每顆獨立）</v>
      </c>
      <c r="F228" s="2" t="str">
        <f>計算表!F228</f>
        <v>格式「階級=機率%」，機率總和 100。</v>
      </c>
      <c r="G228" s="2" t="str">
        <f>計算表!G228</f>
        <v>1=75</v>
      </c>
      <c r="H228" s="2" t="str">
        <f>計算表!H228</f>
        <v>2=20</v>
      </c>
      <c r="I228" s="2" t="str">
        <f>計算表!I228</f>
        <v>3=4</v>
      </c>
      <c r="J228" s="2" t="str">
        <f>計算表!J228</f>
        <v>4=1</v>
      </c>
      <c r="K228" s="2">
        <f>計算表!K228</f>
        <v>0</v>
      </c>
      <c r="L228" s="2">
        <f>計算表!L228</f>
        <v>0</v>
      </c>
      <c r="M228" s="2">
        <f>計算表!M228</f>
        <v>0</v>
      </c>
      <c r="N228" s="2">
        <f>計算表!N228</f>
        <v>0</v>
      </c>
      <c r="O228" s="2">
        <f>計算表!O228</f>
        <v>0</v>
      </c>
      <c r="P228" s="2">
        <f>計算表!P228</f>
        <v>0</v>
      </c>
      <c r="Q228" s="2">
        <f>計算表!Q228</f>
        <v>0</v>
      </c>
      <c r="R228" s="2">
        <f>計算表!R228</f>
        <v>0</v>
      </c>
    </row>
    <row r="229" spans="1:18" x14ac:dyDescent="0.25">
      <c r="A229">
        <f t="shared" si="3"/>
        <v>228</v>
      </c>
      <c r="B229" s="2">
        <f>計算表!B229</f>
        <v>0</v>
      </c>
      <c r="C229" s="2" t="str">
        <f>計算表!C229</f>
        <v>8-寶店刷出階級</v>
      </c>
      <c r="D229" s="2" t="str">
        <f>計算表!D229</f>
        <v>商店 Lv.2</v>
      </c>
      <c r="E229" s="2" t="str">
        <f>計算表!E229</f>
        <v>寶石階級=機率%（每顆獨立）</v>
      </c>
      <c r="F229" s="2" t="str">
        <f>計算表!F229</f>
        <v>格式「階級=機率%」，機率總和 100。</v>
      </c>
      <c r="G229" s="2" t="str">
        <f>計算表!G229</f>
        <v>1=73</v>
      </c>
      <c r="H229" s="2" t="str">
        <f>計算表!H229</f>
        <v>2=20</v>
      </c>
      <c r="I229" s="2" t="str">
        <f>計算表!I229</f>
        <v>3=5</v>
      </c>
      <c r="J229" s="2" t="str">
        <f>計算表!J229</f>
        <v>4=2</v>
      </c>
      <c r="K229" s="2">
        <f>計算表!K229</f>
        <v>0</v>
      </c>
      <c r="L229" s="2">
        <f>計算表!L229</f>
        <v>0</v>
      </c>
      <c r="M229" s="2">
        <f>計算表!M229</f>
        <v>0</v>
      </c>
      <c r="N229" s="2">
        <f>計算表!N229</f>
        <v>0</v>
      </c>
      <c r="O229" s="2">
        <f>計算表!O229</f>
        <v>0</v>
      </c>
      <c r="P229" s="2">
        <f>計算表!P229</f>
        <v>0</v>
      </c>
      <c r="Q229" s="2">
        <f>計算表!Q229</f>
        <v>0</v>
      </c>
      <c r="R229" s="2">
        <f>計算表!R229</f>
        <v>0</v>
      </c>
    </row>
    <row r="230" spans="1:18" x14ac:dyDescent="0.25">
      <c r="A230">
        <f t="shared" si="3"/>
        <v>229</v>
      </c>
      <c r="B230" s="2">
        <f>計算表!B230</f>
        <v>0</v>
      </c>
      <c r="C230" s="2" t="str">
        <f>計算表!C230</f>
        <v>8-寶店刷出階級</v>
      </c>
      <c r="D230" s="2" t="str">
        <f>計算表!D230</f>
        <v>商店 Lv.3</v>
      </c>
      <c r="E230" s="2" t="str">
        <f>計算表!E230</f>
        <v>寶石階級=機率%（每顆獨立）</v>
      </c>
      <c r="F230" s="2" t="str">
        <f>計算表!F230</f>
        <v>格式「階級=機率%」，機率總和 100。</v>
      </c>
      <c r="G230" s="2" t="str">
        <f>計算表!G230</f>
        <v>1=71</v>
      </c>
      <c r="H230" s="2" t="str">
        <f>計算表!H230</f>
        <v>2=20</v>
      </c>
      <c r="I230" s="2" t="str">
        <f>計算表!I230</f>
        <v>3=6</v>
      </c>
      <c r="J230" s="2" t="str">
        <f>計算表!J230</f>
        <v>4=3</v>
      </c>
      <c r="K230" s="2">
        <f>計算表!K230</f>
        <v>0</v>
      </c>
      <c r="L230" s="2">
        <f>計算表!L230</f>
        <v>0</v>
      </c>
      <c r="M230" s="2">
        <f>計算表!M230</f>
        <v>0</v>
      </c>
      <c r="N230" s="2">
        <f>計算表!N230</f>
        <v>0</v>
      </c>
      <c r="O230" s="2">
        <f>計算表!O230</f>
        <v>0</v>
      </c>
      <c r="P230" s="2">
        <f>計算表!P230</f>
        <v>0</v>
      </c>
      <c r="Q230" s="2">
        <f>計算表!Q230</f>
        <v>0</v>
      </c>
      <c r="R230" s="2">
        <f>計算表!R230</f>
        <v>0</v>
      </c>
    </row>
    <row r="231" spans="1:18" x14ac:dyDescent="0.25">
      <c r="A231">
        <f t="shared" si="3"/>
        <v>230</v>
      </c>
      <c r="B231" s="2">
        <f>計算表!B231</f>
        <v>0</v>
      </c>
      <c r="C231" s="2" t="str">
        <f>計算表!C231</f>
        <v>8-寶店刷出階級</v>
      </c>
      <c r="D231" s="2" t="str">
        <f>計算表!D231</f>
        <v>商店 Lv.4</v>
      </c>
      <c r="E231" s="2" t="str">
        <f>計算表!E231</f>
        <v>寶石階級=機率%（每顆獨立）</v>
      </c>
      <c r="F231" s="2" t="str">
        <f>計算表!F231</f>
        <v>格式「階級=機率%」，機率總和 100。</v>
      </c>
      <c r="G231" s="2" t="str">
        <f>計算表!G231</f>
        <v>1=70.5</v>
      </c>
      <c r="H231" s="2" t="str">
        <f>計算表!H231</f>
        <v>2=20</v>
      </c>
      <c r="I231" s="2" t="str">
        <f>計算表!I231</f>
        <v>3=6</v>
      </c>
      <c r="J231" s="2" t="str">
        <f>計算表!J231</f>
        <v>4=3</v>
      </c>
      <c r="K231" s="2" t="str">
        <f>計算表!K231</f>
        <v>5=0.5</v>
      </c>
      <c r="L231" s="2">
        <f>計算表!L231</f>
        <v>0</v>
      </c>
      <c r="M231" s="2">
        <f>計算表!M231</f>
        <v>0</v>
      </c>
      <c r="N231" s="2">
        <f>計算表!N231</f>
        <v>0</v>
      </c>
      <c r="O231" s="2">
        <f>計算表!O231</f>
        <v>0</v>
      </c>
      <c r="P231" s="2">
        <f>計算表!P231</f>
        <v>0</v>
      </c>
      <c r="Q231" s="2">
        <f>計算表!Q231</f>
        <v>0</v>
      </c>
      <c r="R231" s="2">
        <f>計算表!R231</f>
        <v>0</v>
      </c>
    </row>
    <row r="232" spans="1:18" x14ac:dyDescent="0.25">
      <c r="A232">
        <f t="shared" si="3"/>
        <v>231</v>
      </c>
      <c r="B232" s="2">
        <f>計算表!B232</f>
        <v>0</v>
      </c>
      <c r="C232" s="2" t="str">
        <f>計算表!C232</f>
        <v>8-寶店刷出階級</v>
      </c>
      <c r="D232" s="2" t="str">
        <f>計算表!D232</f>
        <v>商店 Lv.5</v>
      </c>
      <c r="E232" s="2" t="str">
        <f>計算表!E232</f>
        <v>寶石階級=機率%（每顆獨立）</v>
      </c>
      <c r="F232" s="2" t="str">
        <f>計算表!F232</f>
        <v>格式「階級=機率%」，機率總和 100。</v>
      </c>
      <c r="G232" s="2" t="str">
        <f>計算表!G232</f>
        <v>1=69</v>
      </c>
      <c r="H232" s="2" t="str">
        <f>計算表!H232</f>
        <v>2=20</v>
      </c>
      <c r="I232" s="2" t="str">
        <f>計算表!I232</f>
        <v>3=6</v>
      </c>
      <c r="J232" s="2" t="str">
        <f>計算表!J232</f>
        <v>4=4</v>
      </c>
      <c r="K232" s="2" t="str">
        <f>計算表!K232</f>
        <v>5=1</v>
      </c>
      <c r="L232" s="2">
        <f>計算表!L232</f>
        <v>0</v>
      </c>
      <c r="M232" s="2">
        <f>計算表!M232</f>
        <v>0</v>
      </c>
      <c r="N232" s="2">
        <f>計算表!N232</f>
        <v>0</v>
      </c>
      <c r="O232" s="2">
        <f>計算表!O232</f>
        <v>0</v>
      </c>
      <c r="P232" s="2">
        <f>計算表!P232</f>
        <v>0</v>
      </c>
      <c r="Q232" s="2">
        <f>計算表!Q232</f>
        <v>0</v>
      </c>
      <c r="R232" s="2">
        <f>計算表!R232</f>
        <v>0</v>
      </c>
    </row>
    <row r="233" spans="1:18" x14ac:dyDescent="0.25">
      <c r="A233">
        <f t="shared" si="3"/>
        <v>232</v>
      </c>
      <c r="B233" s="2">
        <f>計算表!B233</f>
        <v>0</v>
      </c>
      <c r="C233" s="2" t="str">
        <f>計算表!C233</f>
        <v>8-寶店刷出階級</v>
      </c>
      <c r="D233" s="2" t="str">
        <f>計算表!D233</f>
        <v>商店 Lv.6</v>
      </c>
      <c r="E233" s="2" t="str">
        <f>計算表!E233</f>
        <v>寶石階級=機率%（每顆獨立）</v>
      </c>
      <c r="F233" s="2" t="str">
        <f>計算表!F233</f>
        <v>格式「階級=機率%」，機率總和 100。</v>
      </c>
      <c r="G233" s="2" t="str">
        <f>計算表!G233</f>
        <v>1=67.5</v>
      </c>
      <c r="H233" s="2" t="str">
        <f>計算表!H233</f>
        <v>2=20</v>
      </c>
      <c r="I233" s="2" t="str">
        <f>計算表!I233</f>
        <v>3=6</v>
      </c>
      <c r="J233" s="2" t="str">
        <f>計算表!J233</f>
        <v>4=5</v>
      </c>
      <c r="K233" s="2" t="str">
        <f>計算表!K233</f>
        <v>5=1.5</v>
      </c>
      <c r="L233" s="2">
        <f>計算表!L233</f>
        <v>0</v>
      </c>
      <c r="M233" s="2">
        <f>計算表!M233</f>
        <v>0</v>
      </c>
      <c r="N233" s="2">
        <f>計算表!N233</f>
        <v>0</v>
      </c>
      <c r="O233" s="2">
        <f>計算表!O233</f>
        <v>0</v>
      </c>
      <c r="P233" s="2">
        <f>計算表!P233</f>
        <v>0</v>
      </c>
      <c r="Q233" s="2">
        <f>計算表!Q233</f>
        <v>0</v>
      </c>
      <c r="R233" s="2">
        <f>計算表!R233</f>
        <v>0</v>
      </c>
    </row>
    <row r="234" spans="1:18" x14ac:dyDescent="0.25">
      <c r="A234">
        <f t="shared" si="3"/>
        <v>233</v>
      </c>
      <c r="B234" s="2">
        <f>計算表!B234</f>
        <v>0</v>
      </c>
      <c r="C234" s="2" t="str">
        <f>計算表!C234</f>
        <v>8-寶店刷出階級</v>
      </c>
      <c r="D234" s="2" t="str">
        <f>計算表!D234</f>
        <v>商店 Lv.7</v>
      </c>
      <c r="E234" s="2" t="str">
        <f>計算表!E234</f>
        <v>寶石階級=機率%（每顆獨立）</v>
      </c>
      <c r="F234" s="2" t="str">
        <f>計算表!F234</f>
        <v>格式「階級=機率%」，機率總和 100。</v>
      </c>
      <c r="G234" s="2" t="str">
        <f>計算表!G234</f>
        <v>1=64</v>
      </c>
      <c r="H234" s="2" t="str">
        <f>計算表!H234</f>
        <v>2=20</v>
      </c>
      <c r="I234" s="2" t="str">
        <f>計算表!I234</f>
        <v>3=8</v>
      </c>
      <c r="J234" s="2" t="str">
        <f>計算表!J234</f>
        <v>4=6</v>
      </c>
      <c r="K234" s="2" t="str">
        <f>計算表!K234</f>
        <v>5=2</v>
      </c>
      <c r="L234" s="2">
        <f>計算表!L234</f>
        <v>0</v>
      </c>
      <c r="M234" s="2">
        <f>計算表!M234</f>
        <v>0</v>
      </c>
      <c r="N234" s="2">
        <f>計算表!N234</f>
        <v>0</v>
      </c>
      <c r="O234" s="2">
        <f>計算表!O234</f>
        <v>0</v>
      </c>
      <c r="P234" s="2">
        <f>計算表!P234</f>
        <v>0</v>
      </c>
      <c r="Q234" s="2">
        <f>計算表!Q234</f>
        <v>0</v>
      </c>
      <c r="R234" s="2">
        <f>計算表!R234</f>
        <v>0</v>
      </c>
    </row>
    <row r="235" spans="1:18" x14ac:dyDescent="0.25">
      <c r="A235">
        <f t="shared" si="3"/>
        <v>234</v>
      </c>
      <c r="B235" s="2">
        <f>計算表!B235</f>
        <v>0</v>
      </c>
      <c r="C235" s="2" t="str">
        <f>計算表!C235</f>
        <v>8-寶店刷出階級</v>
      </c>
      <c r="D235" s="2" t="str">
        <f>計算表!D235</f>
        <v>商店 Lv.8</v>
      </c>
      <c r="E235" s="2" t="str">
        <f>計算表!E235</f>
        <v>寶石階級=機率%（每顆獨立）</v>
      </c>
      <c r="F235" s="2" t="str">
        <f>計算表!F235</f>
        <v>格式「階級=機率%」，機率總和 100。</v>
      </c>
      <c r="G235" s="2" t="str">
        <f>計算表!G235</f>
        <v>1=61.5</v>
      </c>
      <c r="H235" s="2" t="str">
        <f>計算表!H235</f>
        <v>2=20</v>
      </c>
      <c r="I235" s="2" t="str">
        <f>計算表!I235</f>
        <v>3=9</v>
      </c>
      <c r="J235" s="2" t="str">
        <f>計算表!J235</f>
        <v>4=7</v>
      </c>
      <c r="K235" s="2" t="str">
        <f>計算表!K235</f>
        <v>5=2.5</v>
      </c>
      <c r="L235" s="2">
        <f>計算表!L235</f>
        <v>0</v>
      </c>
      <c r="M235" s="2">
        <f>計算表!M235</f>
        <v>0</v>
      </c>
      <c r="N235" s="2">
        <f>計算表!N235</f>
        <v>0</v>
      </c>
      <c r="O235" s="2">
        <f>計算表!O235</f>
        <v>0</v>
      </c>
      <c r="P235" s="2">
        <f>計算表!P235</f>
        <v>0</v>
      </c>
      <c r="Q235" s="2">
        <f>計算表!Q235</f>
        <v>0</v>
      </c>
      <c r="R235" s="2">
        <f>計算表!R235</f>
        <v>0</v>
      </c>
    </row>
    <row r="236" spans="1:18" x14ac:dyDescent="0.25">
      <c r="A236">
        <f t="shared" si="3"/>
        <v>235</v>
      </c>
      <c r="B236" s="2">
        <f>計算表!B236</f>
        <v>0</v>
      </c>
      <c r="C236" s="2" t="str">
        <f>計算表!C236</f>
        <v>8-寶店刷出階級</v>
      </c>
      <c r="D236" s="2" t="str">
        <f>計算表!D236</f>
        <v>商店 Lv.9</v>
      </c>
      <c r="E236" s="2" t="str">
        <f>計算表!E236</f>
        <v>寶石階級=機率%（每顆獨立）</v>
      </c>
      <c r="F236" s="2" t="str">
        <f>計算表!F236</f>
        <v>格式「階級=機率%」，機率總和 100。</v>
      </c>
      <c r="G236" s="2" t="str">
        <f>計算表!G236</f>
        <v>1=59</v>
      </c>
      <c r="H236" s="2" t="str">
        <f>計算表!H236</f>
        <v>2=20</v>
      </c>
      <c r="I236" s="2" t="str">
        <f>計算表!I236</f>
        <v>3=10</v>
      </c>
      <c r="J236" s="2" t="str">
        <f>計算表!J236</f>
        <v>4=8</v>
      </c>
      <c r="K236" s="2" t="str">
        <f>計算表!K236</f>
        <v>5=3</v>
      </c>
      <c r="L236" s="2">
        <f>計算表!L236</f>
        <v>0</v>
      </c>
      <c r="M236" s="2">
        <f>計算表!M236</f>
        <v>0</v>
      </c>
      <c r="N236" s="2">
        <f>計算表!N236</f>
        <v>0</v>
      </c>
      <c r="O236" s="2">
        <f>計算表!O236</f>
        <v>0</v>
      </c>
      <c r="P236" s="2">
        <f>計算表!P236</f>
        <v>0</v>
      </c>
      <c r="Q236" s="2">
        <f>計算表!Q236</f>
        <v>0</v>
      </c>
      <c r="R236" s="2">
        <f>計算表!R236</f>
        <v>0</v>
      </c>
    </row>
    <row r="237" spans="1:18" x14ac:dyDescent="0.25">
      <c r="A237">
        <f t="shared" si="3"/>
        <v>236</v>
      </c>
      <c r="B237" s="2">
        <f>計算表!B237</f>
        <v>0</v>
      </c>
      <c r="C237" s="2" t="str">
        <f>計算表!C237</f>
        <v>8-寶店刷出階級</v>
      </c>
      <c r="D237" s="2" t="str">
        <f>計算表!D237</f>
        <v>商店 Lv.10</v>
      </c>
      <c r="E237" s="2" t="str">
        <f>計算表!E237</f>
        <v>寶石階級=機率%（每顆獨立）</v>
      </c>
      <c r="F237" s="2" t="str">
        <f>計算表!F237</f>
        <v>格式「階級=機率%」，機率總和 100。</v>
      </c>
      <c r="G237" s="2" t="str">
        <f>計算表!G237</f>
        <v>1=58</v>
      </c>
      <c r="H237" s="2" t="str">
        <f>計算表!H237</f>
        <v>2=20</v>
      </c>
      <c r="I237" s="2" t="str">
        <f>計算表!I237</f>
        <v>3=10</v>
      </c>
      <c r="J237" s="2" t="str">
        <f>計算表!J237</f>
        <v>4=8</v>
      </c>
      <c r="K237" s="2" t="str">
        <f>計算表!K237</f>
        <v>5=3.5</v>
      </c>
      <c r="L237" s="2" t="str">
        <f>計算表!L237</f>
        <v>6=0.5</v>
      </c>
      <c r="M237" s="2">
        <f>計算表!M237</f>
        <v>0</v>
      </c>
      <c r="N237" s="2">
        <f>計算表!N237</f>
        <v>0</v>
      </c>
      <c r="O237" s="2">
        <f>計算表!O237</f>
        <v>0</v>
      </c>
      <c r="P237" s="2">
        <f>計算表!P237</f>
        <v>0</v>
      </c>
      <c r="Q237" s="2">
        <f>計算表!Q237</f>
        <v>0</v>
      </c>
      <c r="R237" s="2">
        <f>計算表!R237</f>
        <v>0</v>
      </c>
    </row>
    <row r="238" spans="1:18" x14ac:dyDescent="0.25">
      <c r="A238">
        <f t="shared" si="3"/>
        <v>237</v>
      </c>
      <c r="B238" s="2">
        <f>計算表!B238</f>
        <v>0</v>
      </c>
      <c r="C238" s="2" t="str">
        <f>計算表!C238</f>
        <v>8-寶店刷出階級</v>
      </c>
      <c r="D238" s="2" t="str">
        <f>計算表!D238</f>
        <v>商店 Lv.11</v>
      </c>
      <c r="E238" s="2" t="str">
        <f>計算表!E238</f>
        <v>寶石階級=機率%（每顆獨立）</v>
      </c>
      <c r="F238" s="2" t="str">
        <f>計算表!F238</f>
        <v>格式「階級=機率%」，機率總和 100。</v>
      </c>
      <c r="G238" s="2" t="str">
        <f>計算表!G238</f>
        <v>1=57.25</v>
      </c>
      <c r="H238" s="2" t="str">
        <f>計算表!H238</f>
        <v>2=20</v>
      </c>
      <c r="I238" s="2" t="str">
        <f>計算表!I238</f>
        <v>3=10</v>
      </c>
      <c r="J238" s="2" t="str">
        <f>計算表!J238</f>
        <v>4=8</v>
      </c>
      <c r="K238" s="2" t="str">
        <f>計算表!K238</f>
        <v>5=4</v>
      </c>
      <c r="L238" s="2" t="str">
        <f>計算表!L238</f>
        <v>6=0.75</v>
      </c>
      <c r="M238" s="2">
        <f>計算表!M238</f>
        <v>0</v>
      </c>
      <c r="N238" s="2">
        <f>計算表!N238</f>
        <v>0</v>
      </c>
      <c r="O238" s="2">
        <f>計算表!O238</f>
        <v>0</v>
      </c>
      <c r="P238" s="2">
        <f>計算表!P238</f>
        <v>0</v>
      </c>
      <c r="Q238" s="2">
        <f>計算表!Q238</f>
        <v>0</v>
      </c>
      <c r="R238" s="2">
        <f>計算表!R238</f>
        <v>0</v>
      </c>
    </row>
    <row r="239" spans="1:18" x14ac:dyDescent="0.25">
      <c r="A239">
        <f t="shared" si="3"/>
        <v>238</v>
      </c>
      <c r="B239" s="2">
        <f>計算表!B239</f>
        <v>0</v>
      </c>
      <c r="C239" s="2" t="str">
        <f>計算表!C239</f>
        <v>8-寶店刷出階級</v>
      </c>
      <c r="D239" s="2" t="str">
        <f>計算表!D239</f>
        <v>商店 Lv.12</v>
      </c>
      <c r="E239" s="2" t="str">
        <f>計算表!E239</f>
        <v>寶石階級=機率%（每顆獨立）</v>
      </c>
      <c r="F239" s="2" t="str">
        <f>計算表!F239</f>
        <v>格式「階級=機率%」，機率總和 100。</v>
      </c>
      <c r="G239" s="2" t="str">
        <f>計算表!G239</f>
        <v>1=53.5</v>
      </c>
      <c r="H239" s="2" t="str">
        <f>計算表!H239</f>
        <v>2=20</v>
      </c>
      <c r="I239" s="2" t="str">
        <f>計算表!I239</f>
        <v>3=12</v>
      </c>
      <c r="J239" s="2" t="str">
        <f>計算表!J239</f>
        <v>4=9</v>
      </c>
      <c r="K239" s="2" t="str">
        <f>計算表!K239</f>
        <v>5=4.5</v>
      </c>
      <c r="L239" s="2" t="str">
        <f>計算表!L239</f>
        <v>6=1</v>
      </c>
      <c r="M239" s="2">
        <f>計算表!M239</f>
        <v>0</v>
      </c>
      <c r="N239" s="2">
        <f>計算表!N239</f>
        <v>0</v>
      </c>
      <c r="O239" s="2">
        <f>計算表!O239</f>
        <v>0</v>
      </c>
      <c r="P239" s="2">
        <f>計算表!P239</f>
        <v>0</v>
      </c>
      <c r="Q239" s="2">
        <f>計算表!Q239</f>
        <v>0</v>
      </c>
      <c r="R239" s="2">
        <f>計算表!R239</f>
        <v>0</v>
      </c>
    </row>
    <row r="240" spans="1:18" x14ac:dyDescent="0.25">
      <c r="A240">
        <f t="shared" si="3"/>
        <v>239</v>
      </c>
      <c r="B240" s="2">
        <f>計算表!B240</f>
        <v>0</v>
      </c>
      <c r="C240" s="2" t="str">
        <f>計算表!C240</f>
        <v>8-寶店刷出階級</v>
      </c>
      <c r="D240" s="2" t="str">
        <f>計算表!D240</f>
        <v>商店 Lv.13</v>
      </c>
      <c r="E240" s="2" t="str">
        <f>計算表!E240</f>
        <v>寶石階級=機率%（每顆獨立）</v>
      </c>
      <c r="F240" s="2" t="str">
        <f>計算表!F240</f>
        <v>格式「階級=機率%」，機率總和 100。</v>
      </c>
      <c r="G240" s="2" t="str">
        <f>計算表!G240</f>
        <v>1=53.25</v>
      </c>
      <c r="H240" s="2" t="str">
        <f>計算表!H240</f>
        <v>2=20</v>
      </c>
      <c r="I240" s="2" t="str">
        <f>計算表!I240</f>
        <v>3=12</v>
      </c>
      <c r="J240" s="2" t="str">
        <f>計算表!J240</f>
        <v>4=9</v>
      </c>
      <c r="K240" s="2" t="str">
        <f>計算表!K240</f>
        <v>5=4.5</v>
      </c>
      <c r="L240" s="2" t="str">
        <f>計算表!L240</f>
        <v>6=1.25</v>
      </c>
      <c r="M240" s="2">
        <f>計算表!M240</f>
        <v>0</v>
      </c>
      <c r="N240" s="2">
        <f>計算表!N240</f>
        <v>0</v>
      </c>
      <c r="O240" s="2">
        <f>計算表!O240</f>
        <v>0</v>
      </c>
      <c r="P240" s="2">
        <f>計算表!P240</f>
        <v>0</v>
      </c>
      <c r="Q240" s="2">
        <f>計算表!Q240</f>
        <v>0</v>
      </c>
      <c r="R240" s="2">
        <f>計算表!R240</f>
        <v>0</v>
      </c>
    </row>
    <row r="241" spans="1:18" x14ac:dyDescent="0.25">
      <c r="A241">
        <f t="shared" si="3"/>
        <v>240</v>
      </c>
      <c r="B241" s="2">
        <f>計算表!B241</f>
        <v>0</v>
      </c>
      <c r="C241" s="2" t="str">
        <f>計算表!C241</f>
        <v>8-寶店刷出階級</v>
      </c>
      <c r="D241" s="2" t="str">
        <f>計算表!D241</f>
        <v>商店 Lv.14</v>
      </c>
      <c r="E241" s="2" t="str">
        <f>計算表!E241</f>
        <v>寶石階級=機率%（每顆獨立）</v>
      </c>
      <c r="F241" s="2" t="str">
        <f>計算表!F241</f>
        <v>格式「階級=機率%」，機率總和 100。</v>
      </c>
      <c r="G241" s="2" t="str">
        <f>計算表!G241</f>
        <v>1=53</v>
      </c>
      <c r="H241" s="2" t="str">
        <f>計算表!H241</f>
        <v>2=20</v>
      </c>
      <c r="I241" s="2" t="str">
        <f>計算表!I241</f>
        <v>3=12</v>
      </c>
      <c r="J241" s="2" t="str">
        <f>計算表!J241</f>
        <v>4=9</v>
      </c>
      <c r="K241" s="2" t="str">
        <f>計算表!K241</f>
        <v>5=4.5</v>
      </c>
      <c r="L241" s="2" t="str">
        <f>計算表!L241</f>
        <v>6=1.5</v>
      </c>
      <c r="M241" s="2">
        <f>計算表!M241</f>
        <v>0</v>
      </c>
      <c r="N241" s="2">
        <f>計算表!N241</f>
        <v>0</v>
      </c>
      <c r="O241" s="2">
        <f>計算表!O241</f>
        <v>0</v>
      </c>
      <c r="P241" s="2">
        <f>計算表!P241</f>
        <v>0</v>
      </c>
      <c r="Q241" s="2">
        <f>計算表!Q241</f>
        <v>0</v>
      </c>
      <c r="R241" s="2">
        <f>計算表!R241</f>
        <v>0</v>
      </c>
    </row>
    <row r="242" spans="1:18" x14ac:dyDescent="0.25">
      <c r="A242">
        <f t="shared" si="3"/>
        <v>241</v>
      </c>
      <c r="B242" s="2">
        <f>計算表!B242</f>
        <v>0</v>
      </c>
      <c r="C242" s="2" t="str">
        <f>計算表!C242</f>
        <v>8-寶店刷出階級</v>
      </c>
      <c r="D242" s="2" t="str">
        <f>計算表!D242</f>
        <v>商店 Lv.15</v>
      </c>
      <c r="E242" s="2" t="str">
        <f>計算表!E242</f>
        <v>寶石階級=機率%（每顆獨立）</v>
      </c>
      <c r="F242" s="2" t="str">
        <f>計算表!F242</f>
        <v>格式「階級=機率%」，機率總和 100。</v>
      </c>
      <c r="G242" s="2" t="str">
        <f>計算表!G242</f>
        <v>1=51.5</v>
      </c>
      <c r="H242" s="2" t="str">
        <f>計算表!H242</f>
        <v>2=20</v>
      </c>
      <c r="I242" s="2" t="str">
        <f>計算表!I242</f>
        <v>3=12</v>
      </c>
      <c r="J242" s="2" t="str">
        <f>計算表!J242</f>
        <v>4=10</v>
      </c>
      <c r="K242" s="2" t="str">
        <f>計算表!K242</f>
        <v>5=5</v>
      </c>
      <c r="L242" s="2" t="str">
        <f>計算表!L242</f>
        <v>6=1</v>
      </c>
      <c r="M242" s="2" t="str">
        <f>計算表!M242</f>
        <v>7=0.5</v>
      </c>
      <c r="N242" s="2">
        <f>計算表!N242</f>
        <v>0</v>
      </c>
      <c r="O242" s="2">
        <f>計算表!O242</f>
        <v>0</v>
      </c>
      <c r="P242" s="2">
        <f>計算表!P242</f>
        <v>0</v>
      </c>
      <c r="Q242" s="2">
        <f>計算表!Q242</f>
        <v>0</v>
      </c>
      <c r="R242" s="2">
        <f>計算表!R242</f>
        <v>0</v>
      </c>
    </row>
    <row r="243" spans="1:18" x14ac:dyDescent="0.25">
      <c r="A243">
        <f t="shared" si="3"/>
        <v>242</v>
      </c>
      <c r="B243" s="2">
        <f>計算表!B243</f>
        <v>0</v>
      </c>
      <c r="C243" s="2" t="str">
        <f>計算表!C243</f>
        <v>8-寶店刷出階級</v>
      </c>
      <c r="D243" s="2" t="str">
        <f>計算表!D243</f>
        <v>商店 Lv.16</v>
      </c>
      <c r="E243" s="2" t="str">
        <f>計算表!E243</f>
        <v>寶石階級=機率%（每顆獨立）</v>
      </c>
      <c r="F243" s="2" t="str">
        <f>計算表!F243</f>
        <v>格式「階級=機率%」，機率總和 100。</v>
      </c>
      <c r="G243" s="2" t="str">
        <f>計算表!G243</f>
        <v>1=50.75</v>
      </c>
      <c r="H243" s="2" t="str">
        <f>計算表!H243</f>
        <v>2=20</v>
      </c>
      <c r="I243" s="2" t="str">
        <f>計算表!I243</f>
        <v>3=12</v>
      </c>
      <c r="J243" s="2" t="str">
        <f>計算表!J243</f>
        <v>4=10</v>
      </c>
      <c r="K243" s="2" t="str">
        <f>計算表!K243</f>
        <v>5=5</v>
      </c>
      <c r="L243" s="2" t="str">
        <f>計算表!L243</f>
        <v>6=1.25</v>
      </c>
      <c r="M243" s="2" t="str">
        <f>計算表!M243</f>
        <v>7=1</v>
      </c>
      <c r="N243" s="2">
        <f>計算表!N243</f>
        <v>0</v>
      </c>
      <c r="O243" s="2">
        <f>計算表!O243</f>
        <v>0</v>
      </c>
      <c r="P243" s="2">
        <f>計算表!P243</f>
        <v>0</v>
      </c>
      <c r="Q243" s="2">
        <f>計算表!Q243</f>
        <v>0</v>
      </c>
      <c r="R243" s="2">
        <f>計算表!R243</f>
        <v>0</v>
      </c>
    </row>
    <row r="244" spans="1:18" x14ac:dyDescent="0.25">
      <c r="A244">
        <f t="shared" si="3"/>
        <v>243</v>
      </c>
      <c r="B244" s="2">
        <f>計算表!B244</f>
        <v>0</v>
      </c>
      <c r="C244" s="2" t="str">
        <f>計算表!C244</f>
        <v>8-寶店刷出階級</v>
      </c>
      <c r="D244" s="2" t="str">
        <f>計算表!D244</f>
        <v>商店 Lv.17</v>
      </c>
      <c r="E244" s="2" t="str">
        <f>計算表!E244</f>
        <v>寶石階級=機率%（每顆獨立）</v>
      </c>
      <c r="F244" s="2" t="str">
        <f>計算表!F244</f>
        <v>格式「階級=機率%」，機率總和 100。</v>
      </c>
      <c r="G244" s="2" t="str">
        <f>計算表!G244</f>
        <v>1=50.5</v>
      </c>
      <c r="H244" s="2" t="str">
        <f>計算表!H244</f>
        <v>2=20</v>
      </c>
      <c r="I244" s="2" t="str">
        <f>計算表!I244</f>
        <v>3=12</v>
      </c>
      <c r="J244" s="2" t="str">
        <f>計算表!J244</f>
        <v>4=10</v>
      </c>
      <c r="K244" s="2" t="str">
        <f>計算表!K244</f>
        <v>5=5</v>
      </c>
      <c r="L244" s="2" t="str">
        <f>計算表!L244</f>
        <v>6=1.25</v>
      </c>
      <c r="M244" s="2" t="str">
        <f>計算表!M244</f>
        <v>7=1.25</v>
      </c>
      <c r="N244" s="2">
        <f>計算表!N244</f>
        <v>0</v>
      </c>
      <c r="O244" s="2">
        <f>計算表!O244</f>
        <v>0</v>
      </c>
      <c r="P244" s="2">
        <f>計算表!P244</f>
        <v>0</v>
      </c>
      <c r="Q244" s="2">
        <f>計算表!Q244</f>
        <v>0</v>
      </c>
      <c r="R244" s="2">
        <f>計算表!R244</f>
        <v>0</v>
      </c>
    </row>
    <row r="245" spans="1:18" x14ac:dyDescent="0.25">
      <c r="A245">
        <f t="shared" si="3"/>
        <v>244</v>
      </c>
      <c r="B245" s="2">
        <f>計算表!B245</f>
        <v>0</v>
      </c>
      <c r="C245" s="2" t="str">
        <f>計算表!C245</f>
        <v>8-寶店刷出階級</v>
      </c>
      <c r="D245" s="2" t="str">
        <f>計算表!D245</f>
        <v>商店 Lv.18</v>
      </c>
      <c r="E245" s="2" t="str">
        <f>計算表!E245</f>
        <v>寶石階級=機率%（每顆獨立）</v>
      </c>
      <c r="F245" s="2" t="str">
        <f>計算表!F245</f>
        <v>格式「階級=機率%」，機率總和 100。</v>
      </c>
      <c r="G245" s="2" t="str">
        <f>計算表!G245</f>
        <v>1=50</v>
      </c>
      <c r="H245" s="2" t="str">
        <f>計算表!H245</f>
        <v>2=20</v>
      </c>
      <c r="I245" s="2" t="str">
        <f>計算表!I245</f>
        <v>3=12</v>
      </c>
      <c r="J245" s="2" t="str">
        <f>計算表!J245</f>
        <v>4=10</v>
      </c>
      <c r="K245" s="2" t="str">
        <f>計算表!K245</f>
        <v>5=5</v>
      </c>
      <c r="L245" s="2" t="str">
        <f>計算表!L245</f>
        <v>6=1.25</v>
      </c>
      <c r="M245" s="2" t="str">
        <f>計算表!M245</f>
        <v>7=1.25</v>
      </c>
      <c r="N245" s="2" t="str">
        <f>計算表!N245</f>
        <v>8=0.5</v>
      </c>
      <c r="O245" s="2">
        <f>計算表!O245</f>
        <v>0</v>
      </c>
      <c r="P245" s="2">
        <f>計算表!P245</f>
        <v>0</v>
      </c>
      <c r="Q245" s="2">
        <f>計算表!Q245</f>
        <v>0</v>
      </c>
      <c r="R245" s="2">
        <f>計算表!R245</f>
        <v>0</v>
      </c>
    </row>
    <row r="246" spans="1:18" x14ac:dyDescent="0.25">
      <c r="A246">
        <f t="shared" si="3"/>
        <v>245</v>
      </c>
      <c r="B246" s="2">
        <f>計算表!B246</f>
        <v>0</v>
      </c>
      <c r="C246" s="2" t="str">
        <f>計算表!C246</f>
        <v>8-寶店刷出階級</v>
      </c>
      <c r="D246" s="2" t="str">
        <f>計算表!D246</f>
        <v>商店 Lv.19</v>
      </c>
      <c r="E246" s="2" t="str">
        <f>計算表!E246</f>
        <v>寶石階級=機率%（每顆獨立）</v>
      </c>
      <c r="F246" s="2" t="str">
        <f>計算表!F246</f>
        <v>格式「階級=機率%」，機率總和 100。</v>
      </c>
      <c r="G246" s="2" t="str">
        <f>計算表!G246</f>
        <v>1=49.65</v>
      </c>
      <c r="H246" s="2" t="str">
        <f>計算表!H246</f>
        <v>2=20</v>
      </c>
      <c r="I246" s="2" t="str">
        <f>計算表!I246</f>
        <v>3=12</v>
      </c>
      <c r="J246" s="2" t="str">
        <f>計算表!J246</f>
        <v>4=10</v>
      </c>
      <c r="K246" s="2" t="str">
        <f>計算表!K246</f>
        <v>5=5</v>
      </c>
      <c r="L246" s="2" t="str">
        <f>計算表!L246</f>
        <v>6=1.25</v>
      </c>
      <c r="M246" s="2" t="str">
        <f>計算表!M246</f>
        <v>7=1.25</v>
      </c>
      <c r="N246" s="2" t="str">
        <f>計算表!N246</f>
        <v>8=0.75</v>
      </c>
      <c r="O246" s="2" t="str">
        <f>計算表!O246</f>
        <v>9=0.1</v>
      </c>
      <c r="P246" s="2">
        <f>計算表!P246</f>
        <v>0</v>
      </c>
      <c r="Q246" s="2">
        <f>計算表!Q246</f>
        <v>0</v>
      </c>
      <c r="R246" s="2">
        <f>計算表!R246</f>
        <v>0</v>
      </c>
    </row>
    <row r="247" spans="1:18" x14ac:dyDescent="0.25">
      <c r="A247">
        <f t="shared" si="3"/>
        <v>246</v>
      </c>
      <c r="B247" s="2">
        <f>計算表!B247</f>
        <v>0</v>
      </c>
      <c r="C247" s="2" t="str">
        <f>計算表!C247</f>
        <v>8-寶店刷出階級</v>
      </c>
      <c r="D247" s="2" t="str">
        <f>計算表!D247</f>
        <v>商店 Lv.20</v>
      </c>
      <c r="E247" s="2" t="str">
        <f>計算表!E247</f>
        <v>寶石階級=機率%（每顆獨立）</v>
      </c>
      <c r="F247" s="2" t="str">
        <f>計算表!F247</f>
        <v>格式「階級=機率%」，機率總和 100。</v>
      </c>
      <c r="G247" s="2" t="str">
        <f>計算表!G247</f>
        <v>1=48.9</v>
      </c>
      <c r="H247" s="2" t="str">
        <f>計算表!H247</f>
        <v>2=20</v>
      </c>
      <c r="I247" s="2" t="str">
        <f>計算表!I247</f>
        <v>3=12</v>
      </c>
      <c r="J247" s="2" t="str">
        <f>計算表!J247</f>
        <v>4=10</v>
      </c>
      <c r="K247" s="2" t="str">
        <f>計算表!K247</f>
        <v>5=5</v>
      </c>
      <c r="L247" s="2" t="str">
        <f>計算表!L247</f>
        <v>6=1.25</v>
      </c>
      <c r="M247" s="2" t="str">
        <f>計算表!M247</f>
        <v>7=1.25</v>
      </c>
      <c r="N247" s="2" t="str">
        <f>計算表!N247</f>
        <v>8=1</v>
      </c>
      <c r="O247" s="2" t="str">
        <f>計算表!O247</f>
        <v>9=0.5</v>
      </c>
      <c r="P247" s="2" t="str">
        <f>計算表!P247</f>
        <v>10=0.1</v>
      </c>
      <c r="Q247" s="2">
        <f>計算表!Q247</f>
        <v>0</v>
      </c>
      <c r="R247" s="2">
        <f>計算表!R247</f>
        <v>0</v>
      </c>
    </row>
    <row r="248" spans="1:18" x14ac:dyDescent="0.25">
      <c r="A248">
        <f t="shared" si="3"/>
        <v>247</v>
      </c>
      <c r="B248" s="2">
        <f>計算表!B248</f>
        <v>0</v>
      </c>
      <c r="C248" s="2" t="str">
        <f>計算表!C248</f>
        <v>9-技能</v>
      </c>
      <c r="D248" s="2" t="str">
        <f>計算表!D248</f>
        <v>技能原始傷害</v>
      </c>
      <c r="E248" s="2" t="str">
        <f>計算表!E248</f>
        <v>(base + per×(等級-1))% × 攻擊力</v>
      </c>
      <c r="F248" s="2" t="str">
        <f>計算表!F248</f>
        <v>各技能 base/per 見 skills.js 的 SKILLS 表（未納入本表）。</v>
      </c>
      <c r="G248" s="2">
        <f>計算表!G248</f>
        <v>0</v>
      </c>
      <c r="H248" s="2">
        <f>計算表!H248</f>
        <v>0</v>
      </c>
      <c r="I248" s="2">
        <f>計算表!I248</f>
        <v>0</v>
      </c>
      <c r="J248" s="2">
        <f>計算表!J248</f>
        <v>0</v>
      </c>
      <c r="K248" s="2">
        <f>計算表!K248</f>
        <v>0</v>
      </c>
      <c r="L248" s="2">
        <f>計算表!L248</f>
        <v>0</v>
      </c>
      <c r="M248" s="2">
        <f>計算表!M248</f>
        <v>0</v>
      </c>
      <c r="N248" s="2">
        <f>計算表!N248</f>
        <v>0</v>
      </c>
      <c r="O248" s="2">
        <f>計算表!O248</f>
        <v>0</v>
      </c>
      <c r="P248" s="2">
        <f>計算表!P248</f>
        <v>0</v>
      </c>
      <c r="Q248" s="2">
        <f>計算表!Q248</f>
        <v>0</v>
      </c>
      <c r="R248" s="2">
        <f>計算表!R248</f>
        <v>0</v>
      </c>
    </row>
    <row r="249" spans="1:18" x14ac:dyDescent="0.25">
      <c r="A249">
        <f t="shared" si="3"/>
        <v>248</v>
      </c>
      <c r="B249" s="2">
        <f>計算表!B249</f>
        <v>0</v>
      </c>
      <c r="C249" s="2" t="str">
        <f>計算表!C249</f>
        <v>9-技能</v>
      </c>
      <c r="D249" s="2" t="str">
        <f>計算表!D249</f>
        <v>一般技能法力消耗</v>
      </c>
      <c r="E249" s="2" t="str">
        <f>計算表!E249</f>
        <v>round(原始消耗 × (1 + a×(技能等級-1)))</v>
      </c>
      <c r="F249" s="2" t="str">
        <f>計算表!F249</f>
        <v>非複利。a=每級增幅。</v>
      </c>
      <c r="G249" s="2">
        <f>計算表!G249</f>
        <v>0.1</v>
      </c>
      <c r="H249" s="2">
        <f>計算表!H249</f>
        <v>0</v>
      </c>
      <c r="I249" s="2">
        <f>計算表!I249</f>
        <v>0</v>
      </c>
      <c r="J249" s="2">
        <f>計算表!J249</f>
        <v>0</v>
      </c>
      <c r="K249" s="2">
        <f>計算表!K249</f>
        <v>0</v>
      </c>
      <c r="L249" s="2">
        <f>計算表!L249</f>
        <v>0</v>
      </c>
      <c r="M249" s="2">
        <f>計算表!M249</f>
        <v>0</v>
      </c>
      <c r="N249" s="2">
        <f>計算表!N249</f>
        <v>0</v>
      </c>
      <c r="O249" s="2">
        <f>計算表!O249</f>
        <v>0</v>
      </c>
      <c r="P249" s="2">
        <f>計算表!P249</f>
        <v>0</v>
      </c>
      <c r="Q249" s="2">
        <f>計算表!Q249</f>
        <v>0</v>
      </c>
      <c r="R249" s="2">
        <f>計算表!R249</f>
        <v>0</v>
      </c>
    </row>
    <row r="250" spans="1:18" x14ac:dyDescent="0.25">
      <c r="A250">
        <f t="shared" si="3"/>
        <v>249</v>
      </c>
      <c r="B250" s="2">
        <f>計算表!B250</f>
        <v>0</v>
      </c>
      <c r="C250" s="2" t="str">
        <f>計算表!C250</f>
        <v>9-技能</v>
      </c>
      <c r="D250" s="2" t="str">
        <f>計算表!D250</f>
        <v>多敵人技能傷害</v>
      </c>
      <c r="E250" s="2" t="str">
        <f>計算表!E250</f>
        <v>原始傷害 × (1+範圍傷害%) ÷ 目標數</v>
      </c>
      <c r="F250" s="2" t="str">
        <f>計算表!F250</f>
        <v>單一目標不套用範圍傷害、也不除以目標數。</v>
      </c>
      <c r="G250" s="2">
        <f>計算表!G250</f>
        <v>0</v>
      </c>
      <c r="H250" s="2">
        <f>計算表!H250</f>
        <v>0</v>
      </c>
      <c r="I250" s="2">
        <f>計算表!I250</f>
        <v>0</v>
      </c>
      <c r="J250" s="2">
        <f>計算表!J250</f>
        <v>0</v>
      </c>
      <c r="K250" s="2">
        <f>計算表!K250</f>
        <v>0</v>
      </c>
      <c r="L250" s="2">
        <f>計算表!L250</f>
        <v>0</v>
      </c>
      <c r="M250" s="2">
        <f>計算表!M250</f>
        <v>0</v>
      </c>
      <c r="N250" s="2">
        <f>計算表!N250</f>
        <v>0</v>
      </c>
      <c r="O250" s="2">
        <f>計算表!O250</f>
        <v>0</v>
      </c>
      <c r="P250" s="2">
        <f>計算表!P250</f>
        <v>0</v>
      </c>
      <c r="Q250" s="2">
        <f>計算表!Q250</f>
        <v>0</v>
      </c>
      <c r="R250" s="2">
        <f>計算表!R250</f>
        <v>0</v>
      </c>
    </row>
    <row r="251" spans="1:18" x14ac:dyDescent="0.25">
      <c r="A251">
        <f t="shared" si="3"/>
        <v>250</v>
      </c>
      <c r="B251" s="2">
        <f>計算表!B251</f>
        <v>0</v>
      </c>
      <c r="C251" s="2" t="str">
        <f>計算表!C251</f>
        <v>9-技能</v>
      </c>
      <c r="D251" s="2" t="str">
        <f>計算表!D251</f>
        <v>實際冷卻</v>
      </c>
      <c r="E251" s="2" t="str">
        <f>計算表!E251</f>
        <v>技能冷卻 × (1 - 冷卻縮減%)</v>
      </c>
      <c r="F251" s="2">
        <f>計算表!F251</f>
        <v>0</v>
      </c>
      <c r="G251" s="2">
        <f>計算表!G251</f>
        <v>0</v>
      </c>
      <c r="H251" s="2">
        <f>計算表!H251</f>
        <v>0</v>
      </c>
      <c r="I251" s="2">
        <f>計算表!I251</f>
        <v>0</v>
      </c>
      <c r="J251" s="2">
        <f>計算表!J251</f>
        <v>0</v>
      </c>
      <c r="K251" s="2">
        <f>計算表!K251</f>
        <v>0</v>
      </c>
      <c r="L251" s="2">
        <f>計算表!L251</f>
        <v>0</v>
      </c>
      <c r="M251" s="2">
        <f>計算表!M251</f>
        <v>0</v>
      </c>
      <c r="N251" s="2">
        <f>計算表!N251</f>
        <v>0</v>
      </c>
      <c r="O251" s="2">
        <f>計算表!O251</f>
        <v>0</v>
      </c>
      <c r="P251" s="2">
        <f>計算表!P251</f>
        <v>0</v>
      </c>
      <c r="Q251" s="2">
        <f>計算表!Q251</f>
        <v>0</v>
      </c>
      <c r="R251" s="2">
        <f>計算表!R251</f>
        <v>0</v>
      </c>
    </row>
    <row r="252" spans="1:18" x14ac:dyDescent="0.25">
      <c r="A252">
        <f t="shared" si="3"/>
        <v>251</v>
      </c>
      <c r="B252" s="2">
        <f>計算表!B252</f>
        <v>0</v>
      </c>
      <c r="C252" s="2" t="str">
        <f>計算表!C252</f>
        <v>9-技能</v>
      </c>
      <c r="D252" s="2" t="str">
        <f>計算表!D252</f>
        <v>施放硬直</v>
      </c>
      <c r="E252" s="2" t="str">
        <f>計算表!E252</f>
        <v>a 秒 × (1 - 施法速度%)</v>
      </c>
      <c r="F252" s="2" t="str">
        <f>計算表!F252</f>
        <v>延後下一次普攻。</v>
      </c>
      <c r="G252" s="2">
        <f>計算表!G252</f>
        <v>0.5</v>
      </c>
      <c r="H252" s="2">
        <f>計算表!H252</f>
        <v>0</v>
      </c>
      <c r="I252" s="2">
        <f>計算表!I252</f>
        <v>0</v>
      </c>
      <c r="J252" s="2">
        <f>計算表!J252</f>
        <v>0</v>
      </c>
      <c r="K252" s="2">
        <f>計算表!K252</f>
        <v>0</v>
      </c>
      <c r="L252" s="2">
        <f>計算表!L252</f>
        <v>0</v>
      </c>
      <c r="M252" s="2">
        <f>計算表!M252</f>
        <v>0</v>
      </c>
      <c r="N252" s="2">
        <f>計算表!N252</f>
        <v>0</v>
      </c>
      <c r="O252" s="2">
        <f>計算表!O252</f>
        <v>0</v>
      </c>
      <c r="P252" s="2">
        <f>計算表!P252</f>
        <v>0</v>
      </c>
      <c r="Q252" s="2">
        <f>計算表!Q252</f>
        <v>0</v>
      </c>
      <c r="R252" s="2">
        <f>計算表!R252</f>
        <v>0</v>
      </c>
    </row>
    <row r="253" spans="1:18" x14ac:dyDescent="0.25">
      <c r="A253">
        <f t="shared" si="3"/>
        <v>252</v>
      </c>
      <c r="B253" s="2">
        <f>計算表!B253</f>
        <v>0</v>
      </c>
      <c r="C253" s="2" t="str">
        <f>計算表!C253</f>
        <v>9-技能</v>
      </c>
      <c r="D253" s="2" t="str">
        <f>計算表!D253</f>
        <v>技能共用冷卻(GCD)</v>
      </c>
      <c r="E253" s="2" t="str">
        <f>計算表!E253</f>
        <v>a 秒（固定，不受冷卻縮減影響）</v>
      </c>
      <c r="F253" s="2">
        <f>計算表!F253</f>
        <v>0</v>
      </c>
      <c r="G253" s="2">
        <f>計算表!G253</f>
        <v>0.4</v>
      </c>
      <c r="H253" s="2">
        <f>計算表!H253</f>
        <v>0</v>
      </c>
      <c r="I253" s="2">
        <f>計算表!I253</f>
        <v>0</v>
      </c>
      <c r="J253" s="2">
        <f>計算表!J253</f>
        <v>0</v>
      </c>
      <c r="K253" s="2">
        <f>計算表!K253</f>
        <v>0</v>
      </c>
      <c r="L253" s="2">
        <f>計算表!L253</f>
        <v>0</v>
      </c>
      <c r="M253" s="2">
        <f>計算表!M253</f>
        <v>0</v>
      </c>
      <c r="N253" s="2">
        <f>計算表!N253</f>
        <v>0</v>
      </c>
      <c r="O253" s="2">
        <f>計算表!O253</f>
        <v>0</v>
      </c>
      <c r="P253" s="2">
        <f>計算表!P253</f>
        <v>0</v>
      </c>
      <c r="Q253" s="2">
        <f>計算表!Q253</f>
        <v>0</v>
      </c>
      <c r="R253" s="2">
        <f>計算表!R253</f>
        <v>0</v>
      </c>
    </row>
    <row r="254" spans="1:18" x14ac:dyDescent="0.25">
      <c r="A254">
        <f t="shared" si="3"/>
        <v>253</v>
      </c>
      <c r="B254" s="2">
        <f>計算表!B254</f>
        <v>0</v>
      </c>
      <c r="C254" s="2" t="str">
        <f>計算表!C254</f>
        <v>9-技能</v>
      </c>
      <c r="D254" s="2" t="str">
        <f>計算表!D254</f>
        <v>升級費用</v>
      </c>
      <c r="E254" s="2" t="str">
        <f>計算表!E254</f>
        <v>⌊a×當前等級 + b^(1 + 當前等級/c)⌋</v>
      </c>
      <c r="F254" s="2" t="str">
        <f>計算表!F254</f>
        <v>上限 5,000,000；降級全額退還。</v>
      </c>
      <c r="G254" s="2">
        <f>計算表!G254</f>
        <v>20000</v>
      </c>
      <c r="H254" s="2">
        <f>計算表!H254</f>
        <v>20</v>
      </c>
      <c r="I254" s="2">
        <f>計算表!I254</f>
        <v>10</v>
      </c>
      <c r="J254" s="2">
        <f>計算表!J254</f>
        <v>0</v>
      </c>
      <c r="K254" s="2">
        <f>計算表!K254</f>
        <v>0</v>
      </c>
      <c r="L254" s="2">
        <f>計算表!L254</f>
        <v>0</v>
      </c>
      <c r="M254" s="2">
        <f>計算表!M254</f>
        <v>0</v>
      </c>
      <c r="N254" s="2">
        <f>計算表!N254</f>
        <v>0</v>
      </c>
      <c r="O254" s="2">
        <f>計算表!O254</f>
        <v>0</v>
      </c>
      <c r="P254" s="2">
        <f>計算表!P254</f>
        <v>0</v>
      </c>
      <c r="Q254" s="2">
        <f>計算表!Q254</f>
        <v>0</v>
      </c>
      <c r="R254" s="2">
        <f>計算表!R254</f>
        <v>0</v>
      </c>
    </row>
    <row r="255" spans="1:18" x14ac:dyDescent="0.25">
      <c r="A255">
        <f t="shared" si="3"/>
        <v>254</v>
      </c>
      <c r="B255" s="2">
        <f>計算表!B255</f>
        <v>0</v>
      </c>
      <c r="C255" s="2" t="str">
        <f>計算表!C255</f>
        <v>9-技能</v>
      </c>
      <c r="D255" s="2" t="str">
        <f>計算表!D255</f>
        <v>技能樹門檻</v>
      </c>
      <c r="E255" s="2" t="str">
        <f>計算表!E255</f>
        <v>第 N 階需在該系投入 N×a 點</v>
      </c>
      <c r="F255" s="2" t="str">
        <f>計算表!F255</f>
        <v>a=每階門檻點數。</v>
      </c>
      <c r="G255" s="2">
        <f>計算表!G255</f>
        <v>3</v>
      </c>
      <c r="H255" s="2">
        <f>計算表!H255</f>
        <v>0</v>
      </c>
      <c r="I255" s="2">
        <f>計算表!I255</f>
        <v>0</v>
      </c>
      <c r="J255" s="2">
        <f>計算表!J255</f>
        <v>0</v>
      </c>
      <c r="K255" s="2">
        <f>計算表!K255</f>
        <v>0</v>
      </c>
      <c r="L255" s="2">
        <f>計算表!L255</f>
        <v>0</v>
      </c>
      <c r="M255" s="2">
        <f>計算表!M255</f>
        <v>0</v>
      </c>
      <c r="N255" s="2">
        <f>計算表!N255</f>
        <v>0</v>
      </c>
      <c r="O255" s="2">
        <f>計算表!O255</f>
        <v>0</v>
      </c>
      <c r="P255" s="2">
        <f>計算表!P255</f>
        <v>0</v>
      </c>
      <c r="Q255" s="2">
        <f>計算表!Q255</f>
        <v>0</v>
      </c>
      <c r="R255" s="2">
        <f>計算表!R255</f>
        <v>0</v>
      </c>
    </row>
    <row r="256" spans="1:18" x14ac:dyDescent="0.25">
      <c r="A256">
        <f t="shared" si="3"/>
        <v>255</v>
      </c>
      <c r="B256" s="2">
        <f>計算表!B256</f>
        <v>0</v>
      </c>
      <c r="C256" s="2" t="str">
        <f>計算表!C256</f>
        <v>9-技能</v>
      </c>
      <c r="D256" s="2" t="str">
        <f>計算表!D256</f>
        <v>等級上限</v>
      </c>
      <c r="E256" s="2" t="str">
        <f>計算表!E256</f>
        <v>一般 20+轉生×10；被動 30+轉生×10；融合 素材加總+20+轉生×20</v>
      </c>
      <c r="F256" s="2" t="str">
        <f>計算表!F256</f>
        <v>見「轉生對照表」。</v>
      </c>
      <c r="G256" s="2">
        <f>計算表!G256</f>
        <v>0</v>
      </c>
      <c r="H256" s="2">
        <f>計算表!H256</f>
        <v>0</v>
      </c>
      <c r="I256" s="2">
        <f>計算表!I256</f>
        <v>0</v>
      </c>
      <c r="J256" s="2">
        <f>計算表!J256</f>
        <v>0</v>
      </c>
      <c r="K256" s="2">
        <f>計算表!K256</f>
        <v>0</v>
      </c>
      <c r="L256" s="2">
        <f>計算表!L256</f>
        <v>0</v>
      </c>
      <c r="M256" s="2">
        <f>計算表!M256</f>
        <v>0</v>
      </c>
      <c r="N256" s="2">
        <f>計算表!N256</f>
        <v>0</v>
      </c>
      <c r="O256" s="2">
        <f>計算表!O256</f>
        <v>0</v>
      </c>
      <c r="P256" s="2">
        <f>計算表!P256</f>
        <v>0</v>
      </c>
      <c r="Q256" s="2">
        <f>計算表!Q256</f>
        <v>0</v>
      </c>
      <c r="R256" s="2">
        <f>計算表!R256</f>
        <v>0</v>
      </c>
    </row>
    <row r="257" spans="1:18" x14ac:dyDescent="0.25">
      <c r="A257">
        <f t="shared" si="3"/>
        <v>256</v>
      </c>
      <c r="B257" s="2">
        <f>計算表!B257</f>
        <v>0</v>
      </c>
      <c r="C257" s="2" t="str">
        <f>計算表!C257</f>
        <v>9-技能</v>
      </c>
      <c r="D257" s="2" t="str">
        <f>計算表!D257</f>
        <v>奧術衝擊(基礎技能)</v>
      </c>
      <c r="E257" s="2" t="str">
        <f>計算表!E257</f>
        <v>MP a／冷卻 b 秒／施法 c 秒／魔攻×d＋物攻×e</v>
      </c>
      <c r="F257" s="2" t="str">
        <f>計算表!F257</f>
        <v>固定自動施放技能常數。</v>
      </c>
      <c r="G257" s="2">
        <f>計算表!G257</f>
        <v>30</v>
      </c>
      <c r="H257" s="2">
        <f>計算表!H257</f>
        <v>10</v>
      </c>
      <c r="I257" s="2">
        <f>計算表!I257</f>
        <v>0.8</v>
      </c>
      <c r="J257" s="2">
        <f>計算表!J257</f>
        <v>1.5</v>
      </c>
      <c r="K257" s="2">
        <f>計算表!K257</f>
        <v>0.3</v>
      </c>
      <c r="L257" s="2">
        <f>計算表!L257</f>
        <v>0</v>
      </c>
      <c r="M257" s="2">
        <f>計算表!M257</f>
        <v>0</v>
      </c>
      <c r="N257" s="2">
        <f>計算表!N257</f>
        <v>0</v>
      </c>
      <c r="O257" s="2">
        <f>計算表!O257</f>
        <v>0</v>
      </c>
      <c r="P257" s="2">
        <f>計算表!P257</f>
        <v>0</v>
      </c>
      <c r="Q257" s="2">
        <f>計算表!Q257</f>
        <v>0</v>
      </c>
      <c r="R257" s="2">
        <f>計算表!R257</f>
        <v>0</v>
      </c>
    </row>
    <row r="258" spans="1:18" x14ac:dyDescent="0.25">
      <c r="A258">
        <f t="shared" si="3"/>
        <v>257</v>
      </c>
      <c r="B258" s="2">
        <f>計算表!B258</f>
        <v>0</v>
      </c>
      <c r="C258" s="2" t="str">
        <f>計算表!C258</f>
        <v>9-融合</v>
      </c>
      <c r="D258" s="2" t="str">
        <f>計算表!D258</f>
        <v>素材繼承比例</v>
      </c>
      <c r="E258" s="2" t="str">
        <f>計算表!E258</f>
        <v>各素材 base/per × a 後加總</v>
      </c>
      <c r="F258" s="2" t="str">
        <f>計算表!F258</f>
        <v>a=FUSE_FACTOR。</v>
      </c>
      <c r="G258" s="2">
        <f>計算表!G258</f>
        <v>0.75</v>
      </c>
      <c r="H258" s="2">
        <f>計算表!H258</f>
        <v>0</v>
      </c>
      <c r="I258" s="2">
        <f>計算表!I258</f>
        <v>0</v>
      </c>
      <c r="J258" s="2">
        <f>計算表!J258</f>
        <v>0</v>
      </c>
      <c r="K258" s="2">
        <f>計算表!K258</f>
        <v>0</v>
      </c>
      <c r="L258" s="2">
        <f>計算表!L258</f>
        <v>0</v>
      </c>
      <c r="M258" s="2">
        <f>計算表!M258</f>
        <v>0</v>
      </c>
      <c r="N258" s="2">
        <f>計算表!N258</f>
        <v>0</v>
      </c>
      <c r="O258" s="2">
        <f>計算表!O258</f>
        <v>0</v>
      </c>
      <c r="P258" s="2">
        <f>計算表!P258</f>
        <v>0</v>
      </c>
      <c r="Q258" s="2">
        <f>計算表!Q258</f>
        <v>0</v>
      </c>
      <c r="R258" s="2">
        <f>計算表!R258</f>
        <v>0</v>
      </c>
    </row>
    <row r="259" spans="1:18" x14ac:dyDescent="0.25">
      <c r="A259">
        <f t="shared" si="3"/>
        <v>258</v>
      </c>
      <c r="B259" s="2">
        <f>計算表!B259</f>
        <v>0</v>
      </c>
      <c r="C259" s="2" t="str">
        <f>計算表!C259</f>
        <v>9-融合</v>
      </c>
      <c r="D259" s="2" t="str">
        <f>計算表!D259</f>
        <v>融合冷卻</v>
      </c>
      <c r="E259" s="2" t="str">
        <f>計算表!E259</f>
        <v>素材最長冷卻 × a</v>
      </c>
      <c r="F259" s="2">
        <f>計算表!F259</f>
        <v>0</v>
      </c>
      <c r="G259" s="2">
        <f>計算表!G259</f>
        <v>1.25</v>
      </c>
      <c r="H259" s="2">
        <f>計算表!H259</f>
        <v>0</v>
      </c>
      <c r="I259" s="2">
        <f>計算表!I259</f>
        <v>0</v>
      </c>
      <c r="J259" s="2">
        <f>計算表!J259</f>
        <v>0</v>
      </c>
      <c r="K259" s="2">
        <f>計算表!K259</f>
        <v>0</v>
      </c>
      <c r="L259" s="2">
        <f>計算表!L259</f>
        <v>0</v>
      </c>
      <c r="M259" s="2">
        <f>計算表!M259</f>
        <v>0</v>
      </c>
      <c r="N259" s="2">
        <f>計算表!N259</f>
        <v>0</v>
      </c>
      <c r="O259" s="2">
        <f>計算表!O259</f>
        <v>0</v>
      </c>
      <c r="P259" s="2">
        <f>計算表!P259</f>
        <v>0</v>
      </c>
      <c r="Q259" s="2">
        <f>計算表!Q259</f>
        <v>0</v>
      </c>
      <c r="R259" s="2">
        <f>計算表!R259</f>
        <v>0</v>
      </c>
    </row>
    <row r="260" spans="1:18" x14ac:dyDescent="0.25">
      <c r="A260">
        <f t="shared" ref="A260:A323" si="4">A259+1</f>
        <v>259</v>
      </c>
      <c r="B260" s="2">
        <f>計算表!B260</f>
        <v>0</v>
      </c>
      <c r="C260" s="2" t="str">
        <f>計算表!C260</f>
        <v>9-融合</v>
      </c>
      <c r="D260" s="2" t="str">
        <f>計算表!D260</f>
        <v>變異觸發率</v>
      </c>
      <c r="E260" s="2" t="str">
        <f>計算表!E260</f>
        <v>a% + 幸運值/b</v>
      </c>
      <c r="F260" s="2" t="str">
        <f>計算表!F260</f>
        <v>8 種變異，至多 1 種。</v>
      </c>
      <c r="G260" s="2">
        <f>計算表!G260</f>
        <v>45</v>
      </c>
      <c r="H260" s="2">
        <f>計算表!H260</f>
        <v>3</v>
      </c>
      <c r="I260" s="2">
        <f>計算表!I260</f>
        <v>0</v>
      </c>
      <c r="J260" s="2">
        <f>計算表!J260</f>
        <v>0</v>
      </c>
      <c r="K260" s="2">
        <f>計算表!K260</f>
        <v>0</v>
      </c>
      <c r="L260" s="2">
        <f>計算表!L260</f>
        <v>0</v>
      </c>
      <c r="M260" s="2">
        <f>計算表!M260</f>
        <v>0</v>
      </c>
      <c r="N260" s="2">
        <f>計算表!N260</f>
        <v>0</v>
      </c>
      <c r="O260" s="2">
        <f>計算表!O260</f>
        <v>0</v>
      </c>
      <c r="P260" s="2">
        <f>計算表!P260</f>
        <v>0</v>
      </c>
      <c r="Q260" s="2">
        <f>計算表!Q260</f>
        <v>0</v>
      </c>
      <c r="R260" s="2">
        <f>計算表!R260</f>
        <v>0</v>
      </c>
    </row>
    <row r="261" spans="1:18" x14ac:dyDescent="0.25">
      <c r="A261">
        <f t="shared" si="4"/>
        <v>260</v>
      </c>
      <c r="B261" s="2">
        <f>計算表!B261</f>
        <v>0</v>
      </c>
      <c r="C261" s="2" t="str">
        <f>計算表!C261</f>
        <v>9-融合</v>
      </c>
      <c r="D261" s="2" t="str">
        <f>計算表!D261</f>
        <v>DoT/控場/增益合併</v>
      </c>
      <c r="E261" s="2" t="str">
        <f>計算表!E261</f>
        <v>DoT×0.7 同名取高最多2種；控場取最大×0.8；增益 base×0.8 最多2種</v>
      </c>
      <c r="F261" s="2">
        <f>計算表!F261</f>
        <v>0</v>
      </c>
      <c r="G261" s="2">
        <f>計算表!G261</f>
        <v>0</v>
      </c>
      <c r="H261" s="2">
        <f>計算表!H261</f>
        <v>0</v>
      </c>
      <c r="I261" s="2">
        <f>計算表!I261</f>
        <v>0</v>
      </c>
      <c r="J261" s="2">
        <f>計算表!J261</f>
        <v>0</v>
      </c>
      <c r="K261" s="2">
        <f>計算表!K261</f>
        <v>0</v>
      </c>
      <c r="L261" s="2">
        <f>計算表!L261</f>
        <v>0</v>
      </c>
      <c r="M261" s="2">
        <f>計算表!M261</f>
        <v>0</v>
      </c>
      <c r="N261" s="2">
        <f>計算表!N261</f>
        <v>0</v>
      </c>
      <c r="O261" s="2">
        <f>計算表!O261</f>
        <v>0</v>
      </c>
      <c r="P261" s="2">
        <f>計算表!P261</f>
        <v>0</v>
      </c>
      <c r="Q261" s="2">
        <f>計算表!Q261</f>
        <v>0</v>
      </c>
      <c r="R261" s="2">
        <f>計算表!R261</f>
        <v>0</v>
      </c>
    </row>
    <row r="262" spans="1:18" x14ac:dyDescent="0.25">
      <c r="A262">
        <f t="shared" si="4"/>
        <v>261</v>
      </c>
      <c r="B262" s="2">
        <f>計算表!B262</f>
        <v>0</v>
      </c>
      <c r="C262" s="2" t="str">
        <f>計算表!C262</f>
        <v>9-融合</v>
      </c>
      <c r="D262" s="2" t="str">
        <f>計算表!D262</f>
        <v>融合技能法力消耗</v>
      </c>
      <c r="E262" s="2" t="str">
        <f>計算表!E262</f>
        <v>round(素材原始消耗總和 × (1 + a×(融合技等級-1)))</v>
      </c>
      <c r="F262" s="2" t="str">
        <f>計算表!F262</f>
        <v>a=每級增幅。</v>
      </c>
      <c r="G262" s="2">
        <f>計算表!G262</f>
        <v>0.1</v>
      </c>
      <c r="H262" s="2">
        <f>計算表!H262</f>
        <v>0</v>
      </c>
      <c r="I262" s="2">
        <f>計算表!I262</f>
        <v>0</v>
      </c>
      <c r="J262" s="2">
        <f>計算表!J262</f>
        <v>0</v>
      </c>
      <c r="K262" s="2">
        <f>計算表!K262</f>
        <v>0</v>
      </c>
      <c r="L262" s="2">
        <f>計算表!L262</f>
        <v>0</v>
      </c>
      <c r="M262" s="2">
        <f>計算表!M262</f>
        <v>0</v>
      </c>
      <c r="N262" s="2">
        <f>計算表!N262</f>
        <v>0</v>
      </c>
      <c r="O262" s="2">
        <f>計算表!O262</f>
        <v>0</v>
      </c>
      <c r="P262" s="2">
        <f>計算表!P262</f>
        <v>0</v>
      </c>
      <c r="Q262" s="2">
        <f>計算表!Q262</f>
        <v>0</v>
      </c>
      <c r="R262" s="2">
        <f>計算表!R262</f>
        <v>0</v>
      </c>
    </row>
    <row r="263" spans="1:18" x14ac:dyDescent="0.25">
      <c r="A263">
        <f t="shared" si="4"/>
        <v>262</v>
      </c>
      <c r="B263" s="2">
        <f>計算表!B263</f>
        <v>0</v>
      </c>
      <c r="C263" s="2" t="str">
        <f>計算表!C263</f>
        <v>10-離線</v>
      </c>
      <c r="D263" s="2" t="str">
        <f>計算表!D263</f>
        <v>有效離線時間</v>
      </c>
      <c r="E263" s="2" t="str">
        <f>計算表!E263</f>
        <v>min(實際離線秒數, a 小時)</v>
      </c>
      <c r="F263" s="2" t="str">
        <f>計算表!F263</f>
        <v>1 分鐘內不計。</v>
      </c>
      <c r="G263" s="2">
        <f>計算表!G263</f>
        <v>8</v>
      </c>
      <c r="H263" s="2">
        <f>計算表!H263</f>
        <v>0</v>
      </c>
      <c r="I263" s="2">
        <f>計算表!I263</f>
        <v>0</v>
      </c>
      <c r="J263" s="2">
        <f>計算表!J263</f>
        <v>0</v>
      </c>
      <c r="K263" s="2">
        <f>計算表!K263</f>
        <v>0</v>
      </c>
      <c r="L263" s="2">
        <f>計算表!L263</f>
        <v>0</v>
      </c>
      <c r="M263" s="2">
        <f>計算表!M263</f>
        <v>0</v>
      </c>
      <c r="N263" s="2">
        <f>計算表!N263</f>
        <v>0</v>
      </c>
      <c r="O263" s="2">
        <f>計算表!O263</f>
        <v>0</v>
      </c>
      <c r="P263" s="2">
        <f>計算表!P263</f>
        <v>0</v>
      </c>
      <c r="Q263" s="2">
        <f>計算表!Q263</f>
        <v>0</v>
      </c>
      <c r="R263" s="2">
        <f>計算表!R263</f>
        <v>0</v>
      </c>
    </row>
    <row r="264" spans="1:18" x14ac:dyDescent="0.25">
      <c r="A264">
        <f t="shared" si="4"/>
        <v>263</v>
      </c>
      <c r="B264" s="2">
        <f>計算表!B264</f>
        <v>0</v>
      </c>
      <c r="C264" s="2" t="str">
        <f>計算表!C264</f>
        <v>10-離線</v>
      </c>
      <c r="D264" s="2" t="str">
        <f>計算表!D264</f>
        <v>期望暴擊倍率</v>
      </c>
      <c r="E264" s="2" t="str">
        <f>計算表!E264</f>
        <v>1 + 暴擊率% × (暴擊傷害% - 1)</v>
      </c>
      <c r="F264" s="2">
        <f>計算表!F264</f>
        <v>0</v>
      </c>
      <c r="G264" s="2">
        <f>計算表!G264</f>
        <v>0</v>
      </c>
      <c r="H264" s="2">
        <f>計算表!H264</f>
        <v>0</v>
      </c>
      <c r="I264" s="2">
        <f>計算表!I264</f>
        <v>0</v>
      </c>
      <c r="J264" s="2">
        <f>計算表!J264</f>
        <v>0</v>
      </c>
      <c r="K264" s="2">
        <f>計算表!K264</f>
        <v>0</v>
      </c>
      <c r="L264" s="2">
        <f>計算表!L264</f>
        <v>0</v>
      </c>
      <c r="M264" s="2">
        <f>計算表!M264</f>
        <v>0</v>
      </c>
      <c r="N264" s="2">
        <f>計算表!N264</f>
        <v>0</v>
      </c>
      <c r="O264" s="2">
        <f>計算表!O264</f>
        <v>0</v>
      </c>
      <c r="P264" s="2">
        <f>計算表!P264</f>
        <v>0</v>
      </c>
      <c r="Q264" s="2">
        <f>計算表!Q264</f>
        <v>0</v>
      </c>
      <c r="R264" s="2">
        <f>計算表!R264</f>
        <v>0</v>
      </c>
    </row>
    <row r="265" spans="1:18" x14ac:dyDescent="0.25">
      <c r="A265">
        <f t="shared" si="4"/>
        <v>264</v>
      </c>
      <c r="B265" s="2">
        <f>計算表!B265</f>
        <v>0</v>
      </c>
      <c r="C265" s="2" t="str">
        <f>計算表!C265</f>
        <v>10-離線</v>
      </c>
      <c r="D265" s="2" t="str">
        <f>計算表!D265</f>
        <v>估算 DPS</v>
      </c>
      <c r="E265" s="2" t="str">
        <f>計算表!E265</f>
        <v>物攻 × (1 - 當前階段怪物防禦減傷) × 攻速 × 期望暴擊倍率</v>
      </c>
      <c r="F265" s="2">
        <f>計算表!F265</f>
        <v>0</v>
      </c>
      <c r="G265" s="2">
        <f>計算表!G265</f>
        <v>0</v>
      </c>
      <c r="H265" s="2">
        <f>計算表!H265</f>
        <v>0</v>
      </c>
      <c r="I265" s="2">
        <f>計算表!I265</f>
        <v>0</v>
      </c>
      <c r="J265" s="2">
        <f>計算表!J265</f>
        <v>0</v>
      </c>
      <c r="K265" s="2">
        <f>計算表!K265</f>
        <v>0</v>
      </c>
      <c r="L265" s="2">
        <f>計算表!L265</f>
        <v>0</v>
      </c>
      <c r="M265" s="2">
        <f>計算表!M265</f>
        <v>0</v>
      </c>
      <c r="N265" s="2">
        <f>計算表!N265</f>
        <v>0</v>
      </c>
      <c r="O265" s="2">
        <f>計算表!O265</f>
        <v>0</v>
      </c>
      <c r="P265" s="2">
        <f>計算表!P265</f>
        <v>0</v>
      </c>
      <c r="Q265" s="2">
        <f>計算表!Q265</f>
        <v>0</v>
      </c>
      <c r="R265" s="2">
        <f>計算表!R265</f>
        <v>0</v>
      </c>
    </row>
    <row r="266" spans="1:18" x14ac:dyDescent="0.25">
      <c r="A266">
        <f t="shared" si="4"/>
        <v>265</v>
      </c>
      <c r="B266" s="2">
        <f>計算表!B266</f>
        <v>0</v>
      </c>
      <c r="C266" s="2" t="str">
        <f>計算表!C266</f>
        <v>10-離線</v>
      </c>
      <c r="D266" s="2" t="str">
        <f>計算表!D266</f>
        <v>單殺耗時</v>
      </c>
      <c r="E266" s="2" t="str">
        <f>計算表!E266</f>
        <v>怪物血量 / DPS + a 秒出怪間隔</v>
      </c>
      <c r="F266" s="2" t="str">
        <f>計算表!F266</f>
        <v>a=出怪間隔。</v>
      </c>
      <c r="G266" s="2">
        <f>計算表!G266</f>
        <v>0.8</v>
      </c>
      <c r="H266" s="2">
        <f>計算表!H266</f>
        <v>0</v>
      </c>
      <c r="I266" s="2">
        <f>計算表!I266</f>
        <v>0</v>
      </c>
      <c r="J266" s="2">
        <f>計算表!J266</f>
        <v>0</v>
      </c>
      <c r="K266" s="2">
        <f>計算表!K266</f>
        <v>0</v>
      </c>
      <c r="L266" s="2">
        <f>計算表!L266</f>
        <v>0</v>
      </c>
      <c r="M266" s="2">
        <f>計算表!M266</f>
        <v>0</v>
      </c>
      <c r="N266" s="2">
        <f>計算表!N266</f>
        <v>0</v>
      </c>
      <c r="O266" s="2">
        <f>計算表!O266</f>
        <v>0</v>
      </c>
      <c r="P266" s="2">
        <f>計算表!P266</f>
        <v>0</v>
      </c>
      <c r="Q266" s="2">
        <f>計算表!Q266</f>
        <v>0</v>
      </c>
      <c r="R266" s="2">
        <f>計算表!R266</f>
        <v>0</v>
      </c>
    </row>
    <row r="267" spans="1:18" x14ac:dyDescent="0.25">
      <c r="A267">
        <f t="shared" si="4"/>
        <v>266</v>
      </c>
      <c r="B267" s="2">
        <f>計算表!B267</f>
        <v>0</v>
      </c>
      <c r="C267" s="2" t="str">
        <f>計算表!C267</f>
        <v>10-離線</v>
      </c>
      <c r="D267" s="2" t="str">
        <f>計算表!D267</f>
        <v>擊殺數</v>
      </c>
      <c r="E267" s="2" t="str">
        <f>計算表!E267</f>
        <v>⌊有效時間 / 單殺耗時 × a⌋</v>
      </c>
      <c r="F267" s="2" t="str">
        <f>計算表!F267</f>
        <v>a=效率係數；上限 b。</v>
      </c>
      <c r="G267" s="2">
        <f>計算表!G267</f>
        <v>0.5</v>
      </c>
      <c r="H267" s="2">
        <f>計算表!H267</f>
        <v>20000</v>
      </c>
      <c r="I267" s="2">
        <f>計算表!I267</f>
        <v>0</v>
      </c>
      <c r="J267" s="2">
        <f>計算表!J267</f>
        <v>0</v>
      </c>
      <c r="K267" s="2">
        <f>計算表!K267</f>
        <v>0</v>
      </c>
      <c r="L267" s="2">
        <f>計算表!L267</f>
        <v>0</v>
      </c>
      <c r="M267" s="2">
        <f>計算表!M267</f>
        <v>0</v>
      </c>
      <c r="N267" s="2">
        <f>計算表!N267</f>
        <v>0</v>
      </c>
      <c r="O267" s="2">
        <f>計算表!O267</f>
        <v>0</v>
      </c>
      <c r="P267" s="2">
        <f>計算表!P267</f>
        <v>0</v>
      </c>
      <c r="Q267" s="2">
        <f>計算表!Q267</f>
        <v>0</v>
      </c>
      <c r="R267" s="2">
        <f>計算表!R267</f>
        <v>0</v>
      </c>
    </row>
    <row r="268" spans="1:18" x14ac:dyDescent="0.25">
      <c r="A268">
        <f t="shared" si="4"/>
        <v>267</v>
      </c>
      <c r="B268" s="2">
        <f>計算表!B268</f>
        <v>0</v>
      </c>
      <c r="C268" s="2" t="str">
        <f>計算表!C268</f>
        <v>10-離線</v>
      </c>
      <c r="D268" s="2" t="str">
        <f>計算表!D268</f>
        <v>裝備收益</v>
      </c>
      <c r="E268" s="2" t="str">
        <f>計算表!E268</f>
        <v>期望件數×(1+掉寶率)，高品質優先最多 a 件實體化，其餘折碎片</v>
      </c>
      <c r="F268" s="2" t="str">
        <f>計算表!F268</f>
        <v>a=實體化上限；折算碎片=每件 3×分解係數。</v>
      </c>
      <c r="G268" s="2">
        <f>計算表!G268</f>
        <v>30</v>
      </c>
      <c r="H268" s="2">
        <f>計算表!H268</f>
        <v>0</v>
      </c>
      <c r="I268" s="2">
        <f>計算表!I268</f>
        <v>0</v>
      </c>
      <c r="J268" s="2">
        <f>計算表!J268</f>
        <v>0</v>
      </c>
      <c r="K268" s="2">
        <f>計算表!K268</f>
        <v>0</v>
      </c>
      <c r="L268" s="2">
        <f>計算表!L268</f>
        <v>0</v>
      </c>
      <c r="M268" s="2">
        <f>計算表!M268</f>
        <v>0</v>
      </c>
      <c r="N268" s="2">
        <f>計算表!N268</f>
        <v>0</v>
      </c>
      <c r="O268" s="2">
        <f>計算表!O268</f>
        <v>0</v>
      </c>
      <c r="P268" s="2">
        <f>計算表!P268</f>
        <v>0</v>
      </c>
      <c r="Q268" s="2">
        <f>計算表!Q268</f>
        <v>0</v>
      </c>
      <c r="R268" s="2">
        <f>計算表!R268</f>
        <v>0</v>
      </c>
    </row>
    <row r="269" spans="1:18" x14ac:dyDescent="0.25">
      <c r="A269">
        <f t="shared" si="4"/>
        <v>268</v>
      </c>
      <c r="B269" s="2">
        <f>計算表!B269</f>
        <v>0</v>
      </c>
      <c r="C269" s="2" t="str">
        <f>計算表!C269</f>
        <v>表-稀有度</v>
      </c>
      <c r="D269" s="2" t="str">
        <f>計算表!D269</f>
        <v>普通</v>
      </c>
      <c r="E269" s="2" t="str">
        <f>計算表!E269</f>
        <v>（查表）</v>
      </c>
      <c r="F269" s="2" t="str">
        <f>計算表!F269</f>
        <v>a=詞條數值倍率 b=詞條數下限 c=詞條數上限 d=寶石插槽 e=附魔欄位 f=分解係數。</v>
      </c>
      <c r="G269" s="2">
        <f>計算表!G269</f>
        <v>1</v>
      </c>
      <c r="H269" s="2">
        <f>計算表!H269</f>
        <v>1</v>
      </c>
      <c r="I269" s="2">
        <f>計算表!I269</f>
        <v>2</v>
      </c>
      <c r="J269" s="2">
        <f>計算表!J269</f>
        <v>1</v>
      </c>
      <c r="K269" s="2">
        <f>計算表!K269</f>
        <v>1</v>
      </c>
      <c r="L269" s="2">
        <f>計算表!L269</f>
        <v>1</v>
      </c>
      <c r="M269" s="2">
        <f>計算表!M269</f>
        <v>0</v>
      </c>
      <c r="N269" s="2">
        <f>計算表!N269</f>
        <v>0</v>
      </c>
      <c r="O269" s="2">
        <f>計算表!O269</f>
        <v>0</v>
      </c>
      <c r="P269" s="2">
        <f>計算表!P269</f>
        <v>0</v>
      </c>
      <c r="Q269" s="2">
        <f>計算表!Q269</f>
        <v>0</v>
      </c>
      <c r="R269" s="2">
        <f>計算表!R269</f>
        <v>0</v>
      </c>
    </row>
    <row r="270" spans="1:18" x14ac:dyDescent="0.25">
      <c r="A270">
        <f t="shared" si="4"/>
        <v>269</v>
      </c>
      <c r="B270" s="2">
        <f>計算表!B270</f>
        <v>0</v>
      </c>
      <c r="C270" s="2" t="str">
        <f>計算表!C270</f>
        <v>表-稀有度</v>
      </c>
      <c r="D270" s="2" t="str">
        <f>計算表!D270</f>
        <v>精良</v>
      </c>
      <c r="E270" s="2" t="str">
        <f>計算表!E270</f>
        <v>（查表）</v>
      </c>
      <c r="F270" s="2" t="str">
        <f>計算表!F270</f>
        <v>a=詞條數值倍率 b=詞條數下限 c=詞條數上限 d=寶石插槽 e=附魔欄位 f=分解係數。</v>
      </c>
      <c r="G270" s="2">
        <f>計算表!G270</f>
        <v>1.35</v>
      </c>
      <c r="H270" s="2">
        <f>計算表!H270</f>
        <v>1</v>
      </c>
      <c r="I270" s="2">
        <f>計算表!I270</f>
        <v>2</v>
      </c>
      <c r="J270" s="2">
        <f>計算表!J270</f>
        <v>1</v>
      </c>
      <c r="K270" s="2">
        <f>計算表!K270</f>
        <v>1</v>
      </c>
      <c r="L270" s="2">
        <f>計算表!L270</f>
        <v>1.7</v>
      </c>
      <c r="M270" s="2">
        <f>計算表!M270</f>
        <v>0</v>
      </c>
      <c r="N270" s="2">
        <f>計算表!N270</f>
        <v>0</v>
      </c>
      <c r="O270" s="2">
        <f>計算表!O270</f>
        <v>0</v>
      </c>
      <c r="P270" s="2">
        <f>計算表!P270</f>
        <v>0</v>
      </c>
      <c r="Q270" s="2">
        <f>計算表!Q270</f>
        <v>0</v>
      </c>
      <c r="R270" s="2">
        <f>計算表!R270</f>
        <v>0</v>
      </c>
    </row>
    <row r="271" spans="1:18" x14ac:dyDescent="0.25">
      <c r="A271">
        <f t="shared" si="4"/>
        <v>270</v>
      </c>
      <c r="B271" s="2">
        <f>計算表!B271</f>
        <v>0</v>
      </c>
      <c r="C271" s="2" t="str">
        <f>計算表!C271</f>
        <v>表-稀有度</v>
      </c>
      <c r="D271" s="2" t="str">
        <f>計算表!D271</f>
        <v>稀有</v>
      </c>
      <c r="E271" s="2" t="str">
        <f>計算表!E271</f>
        <v>（查表）</v>
      </c>
      <c r="F271" s="2" t="str">
        <f>計算表!F271</f>
        <v>a=詞條數值倍率 b=詞條數下限 c=詞條數上限 d=寶石插槽 e=附魔欄位 f=分解係數。</v>
      </c>
      <c r="G271" s="2">
        <f>計算表!G271</f>
        <v>1.75</v>
      </c>
      <c r="H271" s="2">
        <f>計算表!H271</f>
        <v>2</v>
      </c>
      <c r="I271" s="2">
        <f>計算表!I271</f>
        <v>3</v>
      </c>
      <c r="J271" s="2">
        <f>計算表!J271</f>
        <v>2</v>
      </c>
      <c r="K271" s="2">
        <f>計算表!K271</f>
        <v>1</v>
      </c>
      <c r="L271" s="2">
        <f>計算表!L271</f>
        <v>2.8</v>
      </c>
      <c r="M271" s="2">
        <f>計算表!M271</f>
        <v>0</v>
      </c>
      <c r="N271" s="2">
        <f>計算表!N271</f>
        <v>0</v>
      </c>
      <c r="O271" s="2">
        <f>計算表!O271</f>
        <v>0</v>
      </c>
      <c r="P271" s="2">
        <f>計算表!P271</f>
        <v>0</v>
      </c>
      <c r="Q271" s="2">
        <f>計算表!Q271</f>
        <v>0</v>
      </c>
      <c r="R271" s="2">
        <f>計算表!R271</f>
        <v>0</v>
      </c>
    </row>
    <row r="272" spans="1:18" x14ac:dyDescent="0.25">
      <c r="A272">
        <f t="shared" si="4"/>
        <v>271</v>
      </c>
      <c r="B272" s="2">
        <f>計算表!B272</f>
        <v>0</v>
      </c>
      <c r="C272" s="2" t="str">
        <f>計算表!C272</f>
        <v>表-稀有度</v>
      </c>
      <c r="D272" s="2" t="str">
        <f>計算表!D272</f>
        <v>獨特</v>
      </c>
      <c r="E272" s="2" t="str">
        <f>計算表!E272</f>
        <v>（查表）</v>
      </c>
      <c r="F272" s="2" t="str">
        <f>計算表!F272</f>
        <v>a=詞條數值倍率 b=詞條數下限 c=詞條數上限 d=寶石插槽 e=附魔欄位 f=分解係數。</v>
      </c>
      <c r="G272" s="2">
        <f>計算表!G272</f>
        <v>2.2999999999999998</v>
      </c>
      <c r="H272" s="2">
        <f>計算表!H272</f>
        <v>3</v>
      </c>
      <c r="I272" s="2">
        <f>計算表!I272</f>
        <v>4</v>
      </c>
      <c r="J272" s="2">
        <f>計算表!J272</f>
        <v>2</v>
      </c>
      <c r="K272" s="2">
        <f>計算表!K272</f>
        <v>2</v>
      </c>
      <c r="L272" s="2">
        <f>計算表!L272</f>
        <v>4.5</v>
      </c>
      <c r="M272" s="2">
        <f>計算表!M272</f>
        <v>0</v>
      </c>
      <c r="N272" s="2">
        <f>計算表!N272</f>
        <v>0</v>
      </c>
      <c r="O272" s="2">
        <f>計算表!O272</f>
        <v>0</v>
      </c>
      <c r="P272" s="2">
        <f>計算表!P272</f>
        <v>0</v>
      </c>
      <c r="Q272" s="2">
        <f>計算表!Q272</f>
        <v>0</v>
      </c>
      <c r="R272" s="2">
        <f>計算表!R272</f>
        <v>0</v>
      </c>
    </row>
    <row r="273" spans="1:18" x14ac:dyDescent="0.25">
      <c r="A273">
        <f t="shared" si="4"/>
        <v>272</v>
      </c>
      <c r="B273" s="2">
        <f>計算表!B273</f>
        <v>0</v>
      </c>
      <c r="C273" s="2" t="str">
        <f>計算表!C273</f>
        <v>表-稀有度</v>
      </c>
      <c r="D273" s="2" t="str">
        <f>計算表!D273</f>
        <v>史詩</v>
      </c>
      <c r="E273" s="2" t="str">
        <f>計算表!E273</f>
        <v>（查表）</v>
      </c>
      <c r="F273" s="2" t="str">
        <f>計算表!F273</f>
        <v>a=詞條數值倍率 b=詞條數下限 c=詞條數上限 d=寶石插槽 e=附魔欄位 f=分解係數。</v>
      </c>
      <c r="G273" s="2">
        <f>計算表!G273</f>
        <v>3</v>
      </c>
      <c r="H273" s="2">
        <f>計算表!H273</f>
        <v>4</v>
      </c>
      <c r="I273" s="2">
        <f>計算表!I273</f>
        <v>5</v>
      </c>
      <c r="J273" s="2">
        <f>計算表!J273</f>
        <v>3</v>
      </c>
      <c r="K273" s="2">
        <f>計算表!K273</f>
        <v>2</v>
      </c>
      <c r="L273" s="2">
        <f>計算表!L273</f>
        <v>7.5</v>
      </c>
      <c r="M273" s="2">
        <f>計算表!M273</f>
        <v>0</v>
      </c>
      <c r="N273" s="2">
        <f>計算表!N273</f>
        <v>0</v>
      </c>
      <c r="O273" s="2">
        <f>計算表!O273</f>
        <v>0</v>
      </c>
      <c r="P273" s="2">
        <f>計算表!P273</f>
        <v>0</v>
      </c>
      <c r="Q273" s="2">
        <f>計算表!Q273</f>
        <v>0</v>
      </c>
      <c r="R273" s="2">
        <f>計算表!R273</f>
        <v>0</v>
      </c>
    </row>
    <row r="274" spans="1:18" x14ac:dyDescent="0.25">
      <c r="A274">
        <f t="shared" si="4"/>
        <v>273</v>
      </c>
      <c r="B274" s="2">
        <f>計算表!B274</f>
        <v>0</v>
      </c>
      <c r="C274" s="2" t="str">
        <f>計算表!C274</f>
        <v>表-稀有度</v>
      </c>
      <c r="D274" s="2" t="str">
        <f>計算表!D274</f>
        <v>傳說</v>
      </c>
      <c r="E274" s="2" t="str">
        <f>計算表!E274</f>
        <v>（查表）</v>
      </c>
      <c r="F274" s="2" t="str">
        <f>計算表!F274</f>
        <v>a=詞條數值倍率 b=詞條數下限 c=詞條數上限 d=寶石插槽 e=附魔欄位 f=分解係數。</v>
      </c>
      <c r="G274" s="2">
        <f>計算表!G274</f>
        <v>4</v>
      </c>
      <c r="H274" s="2">
        <f>計算表!H274</f>
        <v>4</v>
      </c>
      <c r="I274" s="2">
        <f>計算表!I274</f>
        <v>5</v>
      </c>
      <c r="J274" s="2">
        <f>計算表!J274</f>
        <v>4</v>
      </c>
      <c r="K274" s="2">
        <f>計算表!K274</f>
        <v>2</v>
      </c>
      <c r="L274" s="2">
        <f>計算表!L274</f>
        <v>12</v>
      </c>
      <c r="M274" s="2">
        <f>計算表!M274</f>
        <v>0</v>
      </c>
      <c r="N274" s="2">
        <f>計算表!N274</f>
        <v>0</v>
      </c>
      <c r="O274" s="2">
        <f>計算表!O274</f>
        <v>0</v>
      </c>
      <c r="P274" s="2">
        <f>計算表!P274</f>
        <v>0</v>
      </c>
      <c r="Q274" s="2">
        <f>計算表!Q274</f>
        <v>0</v>
      </c>
      <c r="R274" s="2">
        <f>計算表!R274</f>
        <v>0</v>
      </c>
    </row>
    <row r="275" spans="1:18" x14ac:dyDescent="0.25">
      <c r="A275">
        <f t="shared" si="4"/>
        <v>274</v>
      </c>
      <c r="B275" s="2">
        <f>計算表!B275</f>
        <v>0</v>
      </c>
      <c r="C275" s="2" t="str">
        <f>計算表!C275</f>
        <v>表-稀有度</v>
      </c>
      <c r="D275" s="2" t="str">
        <f>計算表!D275</f>
        <v>神話</v>
      </c>
      <c r="E275" s="2" t="str">
        <f>計算表!E275</f>
        <v>（查表）</v>
      </c>
      <c r="F275" s="2" t="str">
        <f>計算表!F275</f>
        <v>a=詞條數值倍率 b=詞條數下限 c=詞條數上限 d=寶石插槽 e=附魔欄位 f=分解係數。</v>
      </c>
      <c r="G275" s="2">
        <f>計算表!G275</f>
        <v>5.2</v>
      </c>
      <c r="H275" s="2">
        <f>計算表!H275</f>
        <v>6</v>
      </c>
      <c r="I275" s="2">
        <f>計算表!I275</f>
        <v>6</v>
      </c>
      <c r="J275" s="2">
        <f>計算表!J275</f>
        <v>5</v>
      </c>
      <c r="K275" s="2">
        <f>計算表!K275</f>
        <v>3</v>
      </c>
      <c r="L275" s="2">
        <f>計算表!L275</f>
        <v>19</v>
      </c>
      <c r="M275" s="2">
        <f>計算表!M275</f>
        <v>0</v>
      </c>
      <c r="N275" s="2">
        <f>計算表!N275</f>
        <v>0</v>
      </c>
      <c r="O275" s="2">
        <f>計算表!O275</f>
        <v>0</v>
      </c>
      <c r="P275" s="2">
        <f>計算表!P275</f>
        <v>0</v>
      </c>
      <c r="Q275" s="2">
        <f>計算表!Q275</f>
        <v>0</v>
      </c>
      <c r="R275" s="2">
        <f>計算表!R275</f>
        <v>0</v>
      </c>
    </row>
    <row r="276" spans="1:18" x14ac:dyDescent="0.25">
      <c r="A276">
        <f t="shared" si="4"/>
        <v>275</v>
      </c>
      <c r="B276" s="2">
        <f>計算表!B276</f>
        <v>0</v>
      </c>
      <c r="C276" s="2" t="str">
        <f>計算表!C276</f>
        <v>表-稀有度</v>
      </c>
      <c r="D276" s="2" t="str">
        <f>計算表!D276</f>
        <v>創世</v>
      </c>
      <c r="E276" s="2" t="str">
        <f>計算表!E276</f>
        <v>（查表）</v>
      </c>
      <c r="F276" s="2" t="str">
        <f>計算表!F276</f>
        <v>a=詞條數值倍率 b=詞條數下限 c=詞條數上限 d=寶石插槽 e=附魔欄位 f=分解係數。</v>
      </c>
      <c r="G276" s="2">
        <f>計算表!G276</f>
        <v>6.8</v>
      </c>
      <c r="H276" s="2">
        <f>計算表!H276</f>
        <v>7</v>
      </c>
      <c r="I276" s="2">
        <f>計算表!I276</f>
        <v>7</v>
      </c>
      <c r="J276" s="2">
        <f>計算表!J276</f>
        <v>6</v>
      </c>
      <c r="K276" s="2">
        <f>計算表!K276</f>
        <v>3</v>
      </c>
      <c r="L276" s="2">
        <f>計算表!L276</f>
        <v>30</v>
      </c>
      <c r="M276" s="2">
        <f>計算表!M276</f>
        <v>0</v>
      </c>
      <c r="N276" s="2">
        <f>計算表!N276</f>
        <v>0</v>
      </c>
      <c r="O276" s="2">
        <f>計算表!O276</f>
        <v>0</v>
      </c>
      <c r="P276" s="2">
        <f>計算表!P276</f>
        <v>0</v>
      </c>
      <c r="Q276" s="2">
        <f>計算表!Q276</f>
        <v>0</v>
      </c>
      <c r="R276" s="2">
        <f>計算表!R276</f>
        <v>0</v>
      </c>
    </row>
    <row r="277" spans="1:18" x14ac:dyDescent="0.25">
      <c r="A277">
        <f t="shared" si="4"/>
        <v>276</v>
      </c>
      <c r="B277" s="2">
        <f>計算表!B277</f>
        <v>0</v>
      </c>
      <c r="C277" s="2" t="str">
        <f>計算表!C277</f>
        <v>表-稀有度</v>
      </c>
      <c r="D277" s="2" t="str">
        <f>計算表!D277</f>
        <v>神鑄創世</v>
      </c>
      <c r="E277" s="2" t="str">
        <f>計算表!E277</f>
        <v>（查表）</v>
      </c>
      <c r="F277" s="2" t="str">
        <f>計算表!F277</f>
        <v>a=詞條數值倍率 b=詞條數下限 c=詞條數上限 d=寶石插槽 e=附魔欄位 f=分解係數。</v>
      </c>
      <c r="G277" s="2">
        <f>計算表!G277</f>
        <v>10.199999999999999</v>
      </c>
      <c r="H277" s="2">
        <f>計算表!H277</f>
        <v>7</v>
      </c>
      <c r="I277" s="2">
        <f>計算表!I277</f>
        <v>7</v>
      </c>
      <c r="J277" s="2">
        <f>計算表!J277</f>
        <v>6</v>
      </c>
      <c r="K277" s="2">
        <f>計算表!K277</f>
        <v>3</v>
      </c>
      <c r="L277" s="2">
        <f>計算表!L277</f>
        <v>45</v>
      </c>
      <c r="M277" s="2">
        <f>計算表!M277</f>
        <v>0</v>
      </c>
      <c r="N277" s="2">
        <f>計算表!N277</f>
        <v>0</v>
      </c>
      <c r="O277" s="2">
        <f>計算表!O277</f>
        <v>0</v>
      </c>
      <c r="P277" s="2">
        <f>計算表!P277</f>
        <v>0</v>
      </c>
      <c r="Q277" s="2">
        <f>計算表!Q277</f>
        <v>0</v>
      </c>
      <c r="R277" s="2">
        <f>計算表!R277</f>
        <v>0</v>
      </c>
    </row>
    <row r="278" spans="1:18" x14ac:dyDescent="0.25">
      <c r="A278">
        <f t="shared" si="4"/>
        <v>277</v>
      </c>
      <c r="B278" s="2">
        <f>計算表!B278</f>
        <v>0</v>
      </c>
      <c r="C278" s="2" t="str">
        <f>計算表!C278</f>
        <v>表-詞條池</v>
      </c>
      <c r="D278" s="2" t="str">
        <f>計算表!D278</f>
        <v>物理攻擊</v>
      </c>
      <c r="E278" s="2" t="str">
        <f>計算表!E278</f>
        <v>基準值 = (a + a×b×(裝備等級-1)) × 稀有度倍率</v>
      </c>
      <c r="F278" s="2" t="str">
        <f>計算表!F278</f>
        <v>a=一級基準 b=每級成長係數 c=出現權重 d=最低稀有度 e=百分比。</v>
      </c>
      <c r="G278" s="2">
        <f>計算表!G278</f>
        <v>4</v>
      </c>
      <c r="H278" s="2">
        <f>計算表!H278</f>
        <v>0.55000000000000004</v>
      </c>
      <c r="I278" s="2">
        <f>計算表!I278</f>
        <v>11</v>
      </c>
      <c r="J278" s="2" t="str">
        <f>計算表!J278</f>
        <v>-</v>
      </c>
      <c r="K278" s="2" t="str">
        <f>計算表!K278</f>
        <v>否</v>
      </c>
      <c r="L278" s="2">
        <f>計算表!L278</f>
        <v>0</v>
      </c>
      <c r="M278" s="2">
        <f>計算表!M278</f>
        <v>0</v>
      </c>
      <c r="N278" s="2">
        <f>計算表!N278</f>
        <v>0</v>
      </c>
      <c r="O278" s="2">
        <f>計算表!O278</f>
        <v>0</v>
      </c>
      <c r="P278" s="2">
        <f>計算表!P278</f>
        <v>0</v>
      </c>
      <c r="Q278" s="2">
        <f>計算表!Q278</f>
        <v>0</v>
      </c>
      <c r="R278" s="2">
        <f>計算表!R278</f>
        <v>0</v>
      </c>
    </row>
    <row r="279" spans="1:18" x14ac:dyDescent="0.25">
      <c r="A279">
        <f t="shared" si="4"/>
        <v>278</v>
      </c>
      <c r="B279" s="2">
        <f>計算表!B279</f>
        <v>0</v>
      </c>
      <c r="C279" s="2" t="str">
        <f>計算表!C279</f>
        <v>表-詞條池</v>
      </c>
      <c r="D279" s="2" t="str">
        <f>計算表!D279</f>
        <v>物理攻擊%</v>
      </c>
      <c r="E279" s="2" t="str">
        <f>計算表!E279</f>
        <v>基準值 = (a + a×b×(裝備等級-1)) × 稀有度倍率</v>
      </c>
      <c r="F279" s="2" t="str">
        <f>計算表!F279</f>
        <v>a=一級基準 b=每級成長係數 c=出現權重 d=最低稀有度 e=百分比。</v>
      </c>
      <c r="G279" s="2">
        <f>計算表!G279</f>
        <v>4</v>
      </c>
      <c r="H279" s="2">
        <f>計算表!H279</f>
        <v>0.02</v>
      </c>
      <c r="I279" s="2">
        <f>計算表!I279</f>
        <v>7</v>
      </c>
      <c r="J279" s="2" t="str">
        <f>計算表!J279</f>
        <v>-</v>
      </c>
      <c r="K279" s="2" t="str">
        <f>計算表!K279</f>
        <v>是</v>
      </c>
      <c r="L279" s="2">
        <f>計算表!L279</f>
        <v>0</v>
      </c>
      <c r="M279" s="2">
        <f>計算表!M279</f>
        <v>0</v>
      </c>
      <c r="N279" s="2">
        <f>計算表!N279</f>
        <v>0</v>
      </c>
      <c r="O279" s="2">
        <f>計算表!O279</f>
        <v>0</v>
      </c>
      <c r="P279" s="2">
        <f>計算表!P279</f>
        <v>0</v>
      </c>
      <c r="Q279" s="2">
        <f>計算表!Q279</f>
        <v>0</v>
      </c>
      <c r="R279" s="2">
        <f>計算表!R279</f>
        <v>0</v>
      </c>
    </row>
    <row r="280" spans="1:18" x14ac:dyDescent="0.25">
      <c r="A280">
        <f t="shared" si="4"/>
        <v>279</v>
      </c>
      <c r="B280" s="2">
        <f>計算表!B280</f>
        <v>0</v>
      </c>
      <c r="C280" s="2" t="str">
        <f>計算表!C280</f>
        <v>表-詞條池</v>
      </c>
      <c r="D280" s="2" t="str">
        <f>計算表!D280</f>
        <v>魔法攻擊</v>
      </c>
      <c r="E280" s="2" t="str">
        <f>計算表!E280</f>
        <v>基準值 = (a + a×b×(裝備等級-1)) × 稀有度倍率</v>
      </c>
      <c r="F280" s="2" t="str">
        <f>計算表!F280</f>
        <v>a=一級基準 b=每級成長係數 c=出現權重 d=最低稀有度 e=百分比。</v>
      </c>
      <c r="G280" s="2">
        <f>計算表!G280</f>
        <v>4</v>
      </c>
      <c r="H280" s="2">
        <f>計算表!H280</f>
        <v>0.55000000000000004</v>
      </c>
      <c r="I280" s="2">
        <f>計算表!I280</f>
        <v>11</v>
      </c>
      <c r="J280" s="2" t="str">
        <f>計算表!J280</f>
        <v>-</v>
      </c>
      <c r="K280" s="2" t="str">
        <f>計算表!K280</f>
        <v>否</v>
      </c>
      <c r="L280" s="2">
        <f>計算表!L280</f>
        <v>0</v>
      </c>
      <c r="M280" s="2">
        <f>計算表!M280</f>
        <v>0</v>
      </c>
      <c r="N280" s="2">
        <f>計算表!N280</f>
        <v>0</v>
      </c>
      <c r="O280" s="2">
        <f>計算表!O280</f>
        <v>0</v>
      </c>
      <c r="P280" s="2">
        <f>計算表!P280</f>
        <v>0</v>
      </c>
      <c r="Q280" s="2">
        <f>計算表!Q280</f>
        <v>0</v>
      </c>
      <c r="R280" s="2">
        <f>計算表!R280</f>
        <v>0</v>
      </c>
    </row>
    <row r="281" spans="1:18" x14ac:dyDescent="0.25">
      <c r="A281">
        <f t="shared" si="4"/>
        <v>280</v>
      </c>
      <c r="B281" s="2">
        <f>計算表!B281</f>
        <v>0</v>
      </c>
      <c r="C281" s="2" t="str">
        <f>計算表!C281</f>
        <v>表-詞條池</v>
      </c>
      <c r="D281" s="2" t="str">
        <f>計算表!D281</f>
        <v>魔法攻擊%</v>
      </c>
      <c r="E281" s="2" t="str">
        <f>計算表!E281</f>
        <v>基準值 = (a + a×b×(裝備等級-1)) × 稀有度倍率</v>
      </c>
      <c r="F281" s="2" t="str">
        <f>計算表!F281</f>
        <v>a=一級基準 b=每級成長係數 c=出現權重 d=最低稀有度 e=百分比。</v>
      </c>
      <c r="G281" s="2">
        <f>計算表!G281</f>
        <v>4</v>
      </c>
      <c r="H281" s="2">
        <f>計算表!H281</f>
        <v>0.02</v>
      </c>
      <c r="I281" s="2">
        <f>計算表!I281</f>
        <v>7</v>
      </c>
      <c r="J281" s="2" t="str">
        <f>計算表!J281</f>
        <v>-</v>
      </c>
      <c r="K281" s="2" t="str">
        <f>計算表!K281</f>
        <v>是</v>
      </c>
      <c r="L281" s="2">
        <f>計算表!L281</f>
        <v>0</v>
      </c>
      <c r="M281" s="2">
        <f>計算表!M281</f>
        <v>0</v>
      </c>
      <c r="N281" s="2">
        <f>計算表!N281</f>
        <v>0</v>
      </c>
      <c r="O281" s="2">
        <f>計算表!O281</f>
        <v>0</v>
      </c>
      <c r="P281" s="2">
        <f>計算表!P281</f>
        <v>0</v>
      </c>
      <c r="Q281" s="2">
        <f>計算表!Q281</f>
        <v>0</v>
      </c>
      <c r="R281" s="2">
        <f>計算表!R281</f>
        <v>0</v>
      </c>
    </row>
    <row r="282" spans="1:18" x14ac:dyDescent="0.25">
      <c r="A282">
        <f t="shared" si="4"/>
        <v>281</v>
      </c>
      <c r="B282" s="2">
        <f>計算表!B282</f>
        <v>0</v>
      </c>
      <c r="C282" s="2" t="str">
        <f>計算表!C282</f>
        <v>表-詞條池</v>
      </c>
      <c r="D282" s="2" t="str">
        <f>計算表!D282</f>
        <v>生命值</v>
      </c>
      <c r="E282" s="2" t="str">
        <f>計算表!E282</f>
        <v>基準值 = (a + a×b×(裝備等級-1)) × 稀有度倍率</v>
      </c>
      <c r="F282" s="2" t="str">
        <f>計算表!F282</f>
        <v>a=一級基準 b=每級成長係數 c=出現權重 d=最低稀有度 e=百分比。</v>
      </c>
      <c r="G282" s="2">
        <f>計算表!G282</f>
        <v>22</v>
      </c>
      <c r="H282" s="2">
        <f>計算表!H282</f>
        <v>3</v>
      </c>
      <c r="I282" s="2">
        <f>計算表!I282</f>
        <v>11</v>
      </c>
      <c r="J282" s="2" t="str">
        <f>計算表!J282</f>
        <v>-</v>
      </c>
      <c r="K282" s="2" t="str">
        <f>計算表!K282</f>
        <v>否</v>
      </c>
      <c r="L282" s="2">
        <f>計算表!L282</f>
        <v>0</v>
      </c>
      <c r="M282" s="2">
        <f>計算表!M282</f>
        <v>0</v>
      </c>
      <c r="N282" s="2">
        <f>計算表!N282</f>
        <v>0</v>
      </c>
      <c r="O282" s="2">
        <f>計算表!O282</f>
        <v>0</v>
      </c>
      <c r="P282" s="2">
        <f>計算表!P282</f>
        <v>0</v>
      </c>
      <c r="Q282" s="2">
        <f>計算表!Q282</f>
        <v>0</v>
      </c>
      <c r="R282" s="2">
        <f>計算表!R282</f>
        <v>0</v>
      </c>
    </row>
    <row r="283" spans="1:18" x14ac:dyDescent="0.25">
      <c r="A283">
        <f t="shared" si="4"/>
        <v>282</v>
      </c>
      <c r="B283" s="2">
        <f>計算表!B283</f>
        <v>0</v>
      </c>
      <c r="C283" s="2" t="str">
        <f>計算表!C283</f>
        <v>表-詞條池</v>
      </c>
      <c r="D283" s="2" t="str">
        <f>計算表!D283</f>
        <v>生命值%</v>
      </c>
      <c r="E283" s="2" t="str">
        <f>計算表!E283</f>
        <v>基準值 = (a + a×b×(裝備等級-1)) × 稀有度倍率</v>
      </c>
      <c r="F283" s="2" t="str">
        <f>計算表!F283</f>
        <v>a=一級基準 b=每級成長係數 c=出現權重 d=最低稀有度 e=百分比。</v>
      </c>
      <c r="G283" s="2">
        <f>計算表!G283</f>
        <v>5</v>
      </c>
      <c r="H283" s="2">
        <f>計算表!H283</f>
        <v>0.02</v>
      </c>
      <c r="I283" s="2">
        <f>計算表!I283</f>
        <v>7</v>
      </c>
      <c r="J283" s="2" t="str">
        <f>計算表!J283</f>
        <v>-</v>
      </c>
      <c r="K283" s="2" t="str">
        <f>計算表!K283</f>
        <v>是</v>
      </c>
      <c r="L283" s="2">
        <f>計算表!L283</f>
        <v>0</v>
      </c>
      <c r="M283" s="2">
        <f>計算表!M283</f>
        <v>0</v>
      </c>
      <c r="N283" s="2">
        <f>計算表!N283</f>
        <v>0</v>
      </c>
      <c r="O283" s="2">
        <f>計算表!O283</f>
        <v>0</v>
      </c>
      <c r="P283" s="2">
        <f>計算表!P283</f>
        <v>0</v>
      </c>
      <c r="Q283" s="2">
        <f>計算表!Q283</f>
        <v>0</v>
      </c>
      <c r="R283" s="2">
        <f>計算表!R283</f>
        <v>0</v>
      </c>
    </row>
    <row r="284" spans="1:18" x14ac:dyDescent="0.25">
      <c r="A284">
        <f t="shared" si="4"/>
        <v>283</v>
      </c>
      <c r="B284" s="2">
        <f>計算表!B284</f>
        <v>0</v>
      </c>
      <c r="C284" s="2" t="str">
        <f>計算表!C284</f>
        <v>表-詞條池</v>
      </c>
      <c r="D284" s="2" t="str">
        <f>計算表!D284</f>
        <v>生命恢復/秒</v>
      </c>
      <c r="E284" s="2" t="str">
        <f>計算表!E284</f>
        <v>基準值 = (a + a×b×(裝備等級-1)) × 稀有度倍率</v>
      </c>
      <c r="F284" s="2" t="str">
        <f>計算表!F284</f>
        <v>a=一級基準 b=每級成長係數 c=出現權重 d=最低稀有度 e=百分比。</v>
      </c>
      <c r="G284" s="2">
        <f>計算表!G284</f>
        <v>2</v>
      </c>
      <c r="H284" s="2">
        <f>計算表!H284</f>
        <v>0.5</v>
      </c>
      <c r="I284" s="2">
        <f>計算表!I284</f>
        <v>5</v>
      </c>
      <c r="J284" s="2" t="str">
        <f>計算表!J284</f>
        <v>-</v>
      </c>
      <c r="K284" s="2" t="str">
        <f>計算表!K284</f>
        <v>否</v>
      </c>
      <c r="L284" s="2">
        <f>計算表!L284</f>
        <v>0</v>
      </c>
      <c r="M284" s="2">
        <f>計算表!M284</f>
        <v>0</v>
      </c>
      <c r="N284" s="2">
        <f>計算表!N284</f>
        <v>0</v>
      </c>
      <c r="O284" s="2">
        <f>計算表!O284</f>
        <v>0</v>
      </c>
      <c r="P284" s="2">
        <f>計算表!P284</f>
        <v>0</v>
      </c>
      <c r="Q284" s="2">
        <f>計算表!Q284</f>
        <v>0</v>
      </c>
      <c r="R284" s="2">
        <f>計算表!R284</f>
        <v>0</v>
      </c>
    </row>
    <row r="285" spans="1:18" x14ac:dyDescent="0.25">
      <c r="A285">
        <f t="shared" si="4"/>
        <v>284</v>
      </c>
      <c r="B285" s="2">
        <f>計算表!B285</f>
        <v>0</v>
      </c>
      <c r="C285" s="2" t="str">
        <f>計算表!C285</f>
        <v>表-詞條池</v>
      </c>
      <c r="D285" s="2" t="str">
        <f>計算表!D285</f>
        <v>法力值</v>
      </c>
      <c r="E285" s="2" t="str">
        <f>計算表!E285</f>
        <v>基準值 = (a + a×b×(裝備等級-1)) × 稀有度倍率</v>
      </c>
      <c r="F285" s="2" t="str">
        <f>計算表!F285</f>
        <v>a=一級基準 b=每級成長係數 c=出現權重 d=最低稀有度 e=百分比。</v>
      </c>
      <c r="G285" s="2">
        <f>計算表!G285</f>
        <v>10</v>
      </c>
      <c r="H285" s="2">
        <f>計算表!H285</f>
        <v>1.2</v>
      </c>
      <c r="I285" s="2">
        <f>計算表!I285</f>
        <v>5</v>
      </c>
      <c r="J285" s="2" t="str">
        <f>計算表!J285</f>
        <v>-</v>
      </c>
      <c r="K285" s="2" t="str">
        <f>計算表!K285</f>
        <v>否</v>
      </c>
      <c r="L285" s="2">
        <f>計算表!L285</f>
        <v>0</v>
      </c>
      <c r="M285" s="2">
        <f>計算表!M285</f>
        <v>0</v>
      </c>
      <c r="N285" s="2">
        <f>計算表!N285</f>
        <v>0</v>
      </c>
      <c r="O285" s="2">
        <f>計算表!O285</f>
        <v>0</v>
      </c>
      <c r="P285" s="2">
        <f>計算表!P285</f>
        <v>0</v>
      </c>
      <c r="Q285" s="2">
        <f>計算表!Q285</f>
        <v>0</v>
      </c>
      <c r="R285" s="2">
        <f>計算表!R285</f>
        <v>0</v>
      </c>
    </row>
    <row r="286" spans="1:18" x14ac:dyDescent="0.25">
      <c r="A286">
        <f t="shared" si="4"/>
        <v>285</v>
      </c>
      <c r="B286" s="2">
        <f>計算表!B286</f>
        <v>0</v>
      </c>
      <c r="C286" s="2" t="str">
        <f>計算表!C286</f>
        <v>表-詞條池</v>
      </c>
      <c r="D286" s="2" t="str">
        <f>計算表!D286</f>
        <v>法力恢復/秒</v>
      </c>
      <c r="E286" s="2" t="str">
        <f>計算表!E286</f>
        <v>基準值 = (a + a×b×(裝備等級-1)) × 稀有度倍率</v>
      </c>
      <c r="F286" s="2" t="str">
        <f>計算表!F286</f>
        <v>a=一級基準 b=每級成長係數 c=出現權重 d=最低稀有度 e=百分比。</v>
      </c>
      <c r="G286" s="2">
        <f>計算表!G286</f>
        <v>0.8</v>
      </c>
      <c r="H286" s="2">
        <f>計算表!H286</f>
        <v>0.06</v>
      </c>
      <c r="I286" s="2">
        <f>計算表!I286</f>
        <v>4</v>
      </c>
      <c r="J286" s="2" t="str">
        <f>計算表!J286</f>
        <v>-</v>
      </c>
      <c r="K286" s="2" t="str">
        <f>計算表!K286</f>
        <v>否</v>
      </c>
      <c r="L286" s="2">
        <f>計算表!L286</f>
        <v>0</v>
      </c>
      <c r="M286" s="2">
        <f>計算表!M286</f>
        <v>0</v>
      </c>
      <c r="N286" s="2">
        <f>計算表!N286</f>
        <v>0</v>
      </c>
      <c r="O286" s="2">
        <f>計算表!O286</f>
        <v>0</v>
      </c>
      <c r="P286" s="2">
        <f>計算表!P286</f>
        <v>0</v>
      </c>
      <c r="Q286" s="2">
        <f>計算表!Q286</f>
        <v>0</v>
      </c>
      <c r="R286" s="2">
        <f>計算表!R286</f>
        <v>0</v>
      </c>
    </row>
    <row r="287" spans="1:18" x14ac:dyDescent="0.25">
      <c r="A287">
        <f t="shared" si="4"/>
        <v>286</v>
      </c>
      <c r="B287" s="2">
        <f>計算表!B287</f>
        <v>0</v>
      </c>
      <c r="C287" s="2" t="str">
        <f>計算表!C287</f>
        <v>表-詞條池</v>
      </c>
      <c r="D287" s="2" t="str">
        <f>計算表!D287</f>
        <v>力量</v>
      </c>
      <c r="E287" s="2" t="str">
        <f>計算表!E287</f>
        <v>基準值 = (a + a×b×(裝備等級-1)) × 稀有度倍率</v>
      </c>
      <c r="F287" s="2" t="str">
        <f>計算表!F287</f>
        <v>a=一級基準 b=每級成長係數 c=出現權重 d=最低稀有度 e=百分比。</v>
      </c>
      <c r="G287" s="2">
        <f>計算表!G287</f>
        <v>3</v>
      </c>
      <c r="H287" s="2">
        <f>計算表!H287</f>
        <v>0.4</v>
      </c>
      <c r="I287" s="2">
        <f>計算表!I287</f>
        <v>8</v>
      </c>
      <c r="J287" s="2" t="str">
        <f>計算表!J287</f>
        <v>-</v>
      </c>
      <c r="K287" s="2" t="str">
        <f>計算表!K287</f>
        <v>否</v>
      </c>
      <c r="L287" s="2">
        <f>計算表!L287</f>
        <v>0</v>
      </c>
      <c r="M287" s="2">
        <f>計算表!M287</f>
        <v>0</v>
      </c>
      <c r="N287" s="2">
        <f>計算表!N287</f>
        <v>0</v>
      </c>
      <c r="O287" s="2">
        <f>計算表!O287</f>
        <v>0</v>
      </c>
      <c r="P287" s="2">
        <f>計算表!P287</f>
        <v>0</v>
      </c>
      <c r="Q287" s="2">
        <f>計算表!Q287</f>
        <v>0</v>
      </c>
      <c r="R287" s="2">
        <f>計算表!R287</f>
        <v>0</v>
      </c>
    </row>
    <row r="288" spans="1:18" x14ac:dyDescent="0.25">
      <c r="A288">
        <f t="shared" si="4"/>
        <v>287</v>
      </c>
      <c r="B288" s="2">
        <f>計算表!B288</f>
        <v>0</v>
      </c>
      <c r="C288" s="2" t="str">
        <f>計算表!C288</f>
        <v>表-詞條池</v>
      </c>
      <c r="D288" s="2" t="str">
        <f>計算表!D288</f>
        <v>敏捷</v>
      </c>
      <c r="E288" s="2" t="str">
        <f>計算表!E288</f>
        <v>基準值 = (a + a×b×(裝備等級-1)) × 稀有度倍率</v>
      </c>
      <c r="F288" s="2" t="str">
        <f>計算表!F288</f>
        <v>a=一級基準 b=每級成長係數 c=出現權重 d=最低稀有度 e=百分比。</v>
      </c>
      <c r="G288" s="2">
        <f>計算表!G288</f>
        <v>3</v>
      </c>
      <c r="H288" s="2">
        <f>計算表!H288</f>
        <v>0.4</v>
      </c>
      <c r="I288" s="2">
        <f>計算表!I288</f>
        <v>8</v>
      </c>
      <c r="J288" s="2" t="str">
        <f>計算表!J288</f>
        <v>-</v>
      </c>
      <c r="K288" s="2" t="str">
        <f>計算表!K288</f>
        <v>否</v>
      </c>
      <c r="L288" s="2">
        <f>計算表!L288</f>
        <v>0</v>
      </c>
      <c r="M288" s="2">
        <f>計算表!M288</f>
        <v>0</v>
      </c>
      <c r="N288" s="2">
        <f>計算表!N288</f>
        <v>0</v>
      </c>
      <c r="O288" s="2">
        <f>計算表!O288</f>
        <v>0</v>
      </c>
      <c r="P288" s="2">
        <f>計算表!P288</f>
        <v>0</v>
      </c>
      <c r="Q288" s="2">
        <f>計算表!Q288</f>
        <v>0</v>
      </c>
      <c r="R288" s="2">
        <f>計算表!R288</f>
        <v>0</v>
      </c>
    </row>
    <row r="289" spans="1:18" x14ac:dyDescent="0.25">
      <c r="A289">
        <f t="shared" si="4"/>
        <v>288</v>
      </c>
      <c r="B289" s="2">
        <f>計算表!B289</f>
        <v>0</v>
      </c>
      <c r="C289" s="2" t="str">
        <f>計算表!C289</f>
        <v>表-詞條池</v>
      </c>
      <c r="D289" s="2" t="str">
        <f>計算表!D289</f>
        <v>智力</v>
      </c>
      <c r="E289" s="2" t="str">
        <f>計算表!E289</f>
        <v>基準值 = (a + a×b×(裝備等級-1)) × 稀有度倍率</v>
      </c>
      <c r="F289" s="2" t="str">
        <f>計算表!F289</f>
        <v>a=一級基準 b=每級成長係數 c=出現權重 d=最低稀有度 e=百分比。</v>
      </c>
      <c r="G289" s="2">
        <f>計算表!G289</f>
        <v>3</v>
      </c>
      <c r="H289" s="2">
        <f>計算表!H289</f>
        <v>0.4</v>
      </c>
      <c r="I289" s="2">
        <f>計算表!I289</f>
        <v>8</v>
      </c>
      <c r="J289" s="2" t="str">
        <f>計算表!J289</f>
        <v>-</v>
      </c>
      <c r="K289" s="2" t="str">
        <f>計算表!K289</f>
        <v>否</v>
      </c>
      <c r="L289" s="2">
        <f>計算表!L289</f>
        <v>0</v>
      </c>
      <c r="M289" s="2">
        <f>計算表!M289</f>
        <v>0</v>
      </c>
      <c r="N289" s="2">
        <f>計算表!N289</f>
        <v>0</v>
      </c>
      <c r="O289" s="2">
        <f>計算表!O289</f>
        <v>0</v>
      </c>
      <c r="P289" s="2">
        <f>計算表!P289</f>
        <v>0</v>
      </c>
      <c r="Q289" s="2">
        <f>計算表!Q289</f>
        <v>0</v>
      </c>
      <c r="R289" s="2">
        <f>計算表!R289</f>
        <v>0</v>
      </c>
    </row>
    <row r="290" spans="1:18" x14ac:dyDescent="0.25">
      <c r="A290">
        <f t="shared" si="4"/>
        <v>289</v>
      </c>
      <c r="B290" s="2">
        <f>計算表!B290</f>
        <v>0</v>
      </c>
      <c r="C290" s="2" t="str">
        <f>計算表!C290</f>
        <v>表-詞條池</v>
      </c>
      <c r="D290" s="2" t="str">
        <f>計算表!D290</f>
        <v>耐力</v>
      </c>
      <c r="E290" s="2" t="str">
        <f>計算表!E290</f>
        <v>基準值 = (a + a×b×(裝備等級-1)) × 稀有度倍率</v>
      </c>
      <c r="F290" s="2" t="str">
        <f>計算表!F290</f>
        <v>a=一級基準 b=每級成長係數 c=出現權重 d=最低稀有度 e=百分比。</v>
      </c>
      <c r="G290" s="2">
        <f>計算表!G290</f>
        <v>3</v>
      </c>
      <c r="H290" s="2">
        <f>計算表!H290</f>
        <v>0.4</v>
      </c>
      <c r="I290" s="2">
        <f>計算表!I290</f>
        <v>8</v>
      </c>
      <c r="J290" s="2" t="str">
        <f>計算表!J290</f>
        <v>-</v>
      </c>
      <c r="K290" s="2" t="str">
        <f>計算表!K290</f>
        <v>否</v>
      </c>
      <c r="L290" s="2">
        <f>計算表!L290</f>
        <v>0</v>
      </c>
      <c r="M290" s="2">
        <f>計算表!M290</f>
        <v>0</v>
      </c>
      <c r="N290" s="2">
        <f>計算表!N290</f>
        <v>0</v>
      </c>
      <c r="O290" s="2">
        <f>計算表!O290</f>
        <v>0</v>
      </c>
      <c r="P290" s="2">
        <f>計算表!P290</f>
        <v>0</v>
      </c>
      <c r="Q290" s="2">
        <f>計算表!Q290</f>
        <v>0</v>
      </c>
      <c r="R290" s="2">
        <f>計算表!R290</f>
        <v>0</v>
      </c>
    </row>
    <row r="291" spans="1:18" x14ac:dyDescent="0.25">
      <c r="A291">
        <f t="shared" si="4"/>
        <v>290</v>
      </c>
      <c r="B291" s="2">
        <f>計算表!B291</f>
        <v>0</v>
      </c>
      <c r="C291" s="2" t="str">
        <f>計算表!C291</f>
        <v>表-詞條池</v>
      </c>
      <c r="D291" s="2" t="str">
        <f>計算表!D291</f>
        <v>物理防禦</v>
      </c>
      <c r="E291" s="2" t="str">
        <f>計算表!E291</f>
        <v>基準值 = (a + a×b×(裝備等級-1)) × 稀有度倍率</v>
      </c>
      <c r="F291" s="2" t="str">
        <f>計算表!F291</f>
        <v>a=一級基準 b=每級成長係數 c=出現權重 d=最低稀有度 e=百分比。</v>
      </c>
      <c r="G291" s="2">
        <f>計算表!G291</f>
        <v>3</v>
      </c>
      <c r="H291" s="2">
        <f>計算表!H291</f>
        <v>0.35</v>
      </c>
      <c r="I291" s="2">
        <f>計算表!I291</f>
        <v>9</v>
      </c>
      <c r="J291" s="2" t="str">
        <f>計算表!J291</f>
        <v>-</v>
      </c>
      <c r="K291" s="2" t="str">
        <f>計算表!K291</f>
        <v>否</v>
      </c>
      <c r="L291" s="2">
        <f>計算表!L291</f>
        <v>0</v>
      </c>
      <c r="M291" s="2">
        <f>計算表!M291</f>
        <v>0</v>
      </c>
      <c r="N291" s="2">
        <f>計算表!N291</f>
        <v>0</v>
      </c>
      <c r="O291" s="2">
        <f>計算表!O291</f>
        <v>0</v>
      </c>
      <c r="P291" s="2">
        <f>計算表!P291</f>
        <v>0</v>
      </c>
      <c r="Q291" s="2">
        <f>計算表!Q291</f>
        <v>0</v>
      </c>
      <c r="R291" s="2">
        <f>計算表!R291</f>
        <v>0</v>
      </c>
    </row>
    <row r="292" spans="1:18" x14ac:dyDescent="0.25">
      <c r="A292">
        <f t="shared" si="4"/>
        <v>291</v>
      </c>
      <c r="B292" s="2">
        <f>計算表!B292</f>
        <v>0</v>
      </c>
      <c r="C292" s="2" t="str">
        <f>計算表!C292</f>
        <v>表-詞條池</v>
      </c>
      <c r="D292" s="2" t="str">
        <f>計算表!D292</f>
        <v>物理防禦%</v>
      </c>
      <c r="E292" s="2" t="str">
        <f>計算表!E292</f>
        <v>基準值 = (a + a×b×(裝備等級-1)) × 稀有度倍率</v>
      </c>
      <c r="F292" s="2" t="str">
        <f>計算表!F292</f>
        <v>a=一級基準 b=每級成長係數 c=出現權重 d=最低稀有度 e=百分比。</v>
      </c>
      <c r="G292" s="2">
        <f>計算表!G292</f>
        <v>4</v>
      </c>
      <c r="H292" s="2">
        <f>計算表!H292</f>
        <v>0.02</v>
      </c>
      <c r="I292" s="2">
        <f>計算表!I292</f>
        <v>6</v>
      </c>
      <c r="J292" s="2" t="str">
        <f>計算表!J292</f>
        <v>-</v>
      </c>
      <c r="K292" s="2" t="str">
        <f>計算表!K292</f>
        <v>是</v>
      </c>
      <c r="L292" s="2">
        <f>計算表!L292</f>
        <v>0</v>
      </c>
      <c r="M292" s="2">
        <f>計算表!M292</f>
        <v>0</v>
      </c>
      <c r="N292" s="2">
        <f>計算表!N292</f>
        <v>0</v>
      </c>
      <c r="O292" s="2">
        <f>計算表!O292</f>
        <v>0</v>
      </c>
      <c r="P292" s="2">
        <f>計算表!P292</f>
        <v>0</v>
      </c>
      <c r="Q292" s="2">
        <f>計算表!Q292</f>
        <v>0</v>
      </c>
      <c r="R292" s="2">
        <f>計算表!R292</f>
        <v>0</v>
      </c>
    </row>
    <row r="293" spans="1:18" x14ac:dyDescent="0.25">
      <c r="A293">
        <f t="shared" si="4"/>
        <v>292</v>
      </c>
      <c r="B293" s="2">
        <f>計算表!B293</f>
        <v>0</v>
      </c>
      <c r="C293" s="2" t="str">
        <f>計算表!C293</f>
        <v>表-詞條池</v>
      </c>
      <c r="D293" s="2" t="str">
        <f>計算表!D293</f>
        <v>魔法防禦</v>
      </c>
      <c r="E293" s="2" t="str">
        <f>計算表!E293</f>
        <v>基準值 = (a + a×b×(裝備等級-1)) × 稀有度倍率</v>
      </c>
      <c r="F293" s="2" t="str">
        <f>計算表!F293</f>
        <v>a=一級基準 b=每級成長係數 c=出現權重 d=最低稀有度 e=百分比。</v>
      </c>
      <c r="G293" s="2">
        <f>計算表!G293</f>
        <v>3</v>
      </c>
      <c r="H293" s="2">
        <f>計算表!H293</f>
        <v>0.35</v>
      </c>
      <c r="I293" s="2">
        <f>計算表!I293</f>
        <v>9</v>
      </c>
      <c r="J293" s="2" t="str">
        <f>計算表!J293</f>
        <v>-</v>
      </c>
      <c r="K293" s="2" t="str">
        <f>計算表!K293</f>
        <v>否</v>
      </c>
      <c r="L293" s="2">
        <f>計算表!L293</f>
        <v>0</v>
      </c>
      <c r="M293" s="2">
        <f>計算表!M293</f>
        <v>0</v>
      </c>
      <c r="N293" s="2">
        <f>計算表!N293</f>
        <v>0</v>
      </c>
      <c r="O293" s="2">
        <f>計算表!O293</f>
        <v>0</v>
      </c>
      <c r="P293" s="2">
        <f>計算表!P293</f>
        <v>0</v>
      </c>
      <c r="Q293" s="2">
        <f>計算表!Q293</f>
        <v>0</v>
      </c>
      <c r="R293" s="2">
        <f>計算表!R293</f>
        <v>0</v>
      </c>
    </row>
    <row r="294" spans="1:18" x14ac:dyDescent="0.25">
      <c r="A294">
        <f t="shared" si="4"/>
        <v>293</v>
      </c>
      <c r="B294" s="2">
        <f>計算表!B294</f>
        <v>0</v>
      </c>
      <c r="C294" s="2" t="str">
        <f>計算表!C294</f>
        <v>表-詞條池</v>
      </c>
      <c r="D294" s="2" t="str">
        <f>計算表!D294</f>
        <v>全局減傷</v>
      </c>
      <c r="E294" s="2" t="str">
        <f>計算表!E294</f>
        <v>基準值 = (a + a×b×(裝備等級-1)) × 稀有度倍率</v>
      </c>
      <c r="F294" s="2" t="str">
        <f>計算表!F294</f>
        <v>a=一級基準 b=每級成長係數 c=出現權重 d=最低稀有度 e=百分比。</v>
      </c>
      <c r="G294" s="2">
        <f>計算表!G294</f>
        <v>3</v>
      </c>
      <c r="H294" s="2">
        <f>計算表!H294</f>
        <v>0.35</v>
      </c>
      <c r="I294" s="2">
        <f>計算表!I294</f>
        <v>9</v>
      </c>
      <c r="J294" s="2" t="str">
        <f>計算表!J294</f>
        <v>史詩</v>
      </c>
      <c r="K294" s="2" t="str">
        <f>計算表!K294</f>
        <v>否</v>
      </c>
      <c r="L294" s="2">
        <f>計算表!L294</f>
        <v>0</v>
      </c>
      <c r="M294" s="2">
        <f>計算表!M294</f>
        <v>0</v>
      </c>
      <c r="N294" s="2">
        <f>計算表!N294</f>
        <v>0</v>
      </c>
      <c r="O294" s="2">
        <f>計算表!O294</f>
        <v>0</v>
      </c>
      <c r="P294" s="2">
        <f>計算表!P294</f>
        <v>0</v>
      </c>
      <c r="Q294" s="2">
        <f>計算表!Q294</f>
        <v>0</v>
      </c>
      <c r="R294" s="2">
        <f>計算表!R294</f>
        <v>0</v>
      </c>
    </row>
    <row r="295" spans="1:18" x14ac:dyDescent="0.25">
      <c r="A295">
        <f t="shared" si="4"/>
        <v>294</v>
      </c>
      <c r="B295" s="2">
        <f>計算表!B295</f>
        <v>0</v>
      </c>
      <c r="C295" s="2" t="str">
        <f>計算表!C295</f>
        <v>表-詞條池</v>
      </c>
      <c r="D295" s="2" t="str">
        <f>計算表!D295</f>
        <v>攻擊速度%</v>
      </c>
      <c r="E295" s="2" t="str">
        <f>計算表!E295</f>
        <v>基準值 = (a + a×b×(裝備等級-1)) × 稀有度倍率</v>
      </c>
      <c r="F295" s="2" t="str">
        <f>計算表!F295</f>
        <v>a=一級基準 b=每級成長係數 c=出現權重 d=最低稀有度 e=百分比。</v>
      </c>
      <c r="G295" s="2">
        <f>計算表!G295</f>
        <v>3</v>
      </c>
      <c r="H295" s="2">
        <f>計算表!H295</f>
        <v>1.2E-2</v>
      </c>
      <c r="I295" s="2">
        <f>計算表!I295</f>
        <v>6</v>
      </c>
      <c r="J295" s="2" t="str">
        <f>計算表!J295</f>
        <v>-</v>
      </c>
      <c r="K295" s="2" t="str">
        <f>計算表!K295</f>
        <v>是</v>
      </c>
      <c r="L295" s="2">
        <f>計算表!L295</f>
        <v>0</v>
      </c>
      <c r="M295" s="2">
        <f>計算表!M295</f>
        <v>0</v>
      </c>
      <c r="N295" s="2">
        <f>計算表!N295</f>
        <v>0</v>
      </c>
      <c r="O295" s="2">
        <f>計算表!O295</f>
        <v>0</v>
      </c>
      <c r="P295" s="2">
        <f>計算表!P295</f>
        <v>0</v>
      </c>
      <c r="Q295" s="2">
        <f>計算表!Q295</f>
        <v>0</v>
      </c>
      <c r="R295" s="2">
        <f>計算表!R295</f>
        <v>0</v>
      </c>
    </row>
    <row r="296" spans="1:18" x14ac:dyDescent="0.25">
      <c r="A296">
        <f t="shared" si="4"/>
        <v>295</v>
      </c>
      <c r="B296" s="2">
        <f>計算表!B296</f>
        <v>0</v>
      </c>
      <c r="C296" s="2" t="str">
        <f>計算表!C296</f>
        <v>表-詞條池</v>
      </c>
      <c r="D296" s="2" t="str">
        <f>計算表!D296</f>
        <v>暴擊率%</v>
      </c>
      <c r="E296" s="2" t="str">
        <f>計算表!E296</f>
        <v>基準值 = (a + a×b×(裝備等級-1)) × 稀有度倍率</v>
      </c>
      <c r="F296" s="2" t="str">
        <f>計算表!F296</f>
        <v>a=一級基準 b=每級成長係數 c=出現權重 d=最低稀有度 e=百分比。</v>
      </c>
      <c r="G296" s="2">
        <f>計算表!G296</f>
        <v>2.5</v>
      </c>
      <c r="H296" s="2">
        <f>計算表!H296</f>
        <v>1.2E-2</v>
      </c>
      <c r="I296" s="2">
        <f>計算表!I296</f>
        <v>6</v>
      </c>
      <c r="J296" s="2" t="str">
        <f>計算表!J296</f>
        <v>-</v>
      </c>
      <c r="K296" s="2" t="str">
        <f>計算表!K296</f>
        <v>是</v>
      </c>
      <c r="L296" s="2">
        <f>計算表!L296</f>
        <v>0</v>
      </c>
      <c r="M296" s="2">
        <f>計算表!M296</f>
        <v>0</v>
      </c>
      <c r="N296" s="2">
        <f>計算表!N296</f>
        <v>0</v>
      </c>
      <c r="O296" s="2">
        <f>計算表!O296</f>
        <v>0</v>
      </c>
      <c r="P296" s="2">
        <f>計算表!P296</f>
        <v>0</v>
      </c>
      <c r="Q296" s="2">
        <f>計算表!Q296</f>
        <v>0</v>
      </c>
      <c r="R296" s="2">
        <f>計算表!R296</f>
        <v>0</v>
      </c>
    </row>
    <row r="297" spans="1:18" x14ac:dyDescent="0.25">
      <c r="A297">
        <f t="shared" si="4"/>
        <v>296</v>
      </c>
      <c r="B297" s="2">
        <f>計算表!B297</f>
        <v>0</v>
      </c>
      <c r="C297" s="2" t="str">
        <f>計算表!C297</f>
        <v>表-詞條池</v>
      </c>
      <c r="D297" s="2" t="str">
        <f>計算表!D297</f>
        <v>暴擊傷害%</v>
      </c>
      <c r="E297" s="2" t="str">
        <f>計算表!E297</f>
        <v>基準值 = (a + a×b×(裝備等級-1)) × 稀有度倍率</v>
      </c>
      <c r="F297" s="2" t="str">
        <f>計算表!F297</f>
        <v>a=一級基準 b=每級成長係數 c=出現權重 d=最低稀有度 e=百分比。</v>
      </c>
      <c r="G297" s="2">
        <f>計算表!G297</f>
        <v>8</v>
      </c>
      <c r="H297" s="2">
        <f>計算表!H297</f>
        <v>0.05</v>
      </c>
      <c r="I297" s="2">
        <f>計算表!I297</f>
        <v>5</v>
      </c>
      <c r="J297" s="2" t="str">
        <f>計算表!J297</f>
        <v>-</v>
      </c>
      <c r="K297" s="2" t="str">
        <f>計算表!K297</f>
        <v>是</v>
      </c>
      <c r="L297" s="2">
        <f>計算表!L297</f>
        <v>0</v>
      </c>
      <c r="M297" s="2">
        <f>計算表!M297</f>
        <v>0</v>
      </c>
      <c r="N297" s="2">
        <f>計算表!N297</f>
        <v>0</v>
      </c>
      <c r="O297" s="2">
        <f>計算表!O297</f>
        <v>0</v>
      </c>
      <c r="P297" s="2">
        <f>計算表!P297</f>
        <v>0</v>
      </c>
      <c r="Q297" s="2">
        <f>計算表!Q297</f>
        <v>0</v>
      </c>
      <c r="R297" s="2">
        <f>計算表!R297</f>
        <v>0</v>
      </c>
    </row>
    <row r="298" spans="1:18" x14ac:dyDescent="0.25">
      <c r="A298">
        <f t="shared" si="4"/>
        <v>297</v>
      </c>
      <c r="B298" s="2">
        <f>計算表!B298</f>
        <v>0</v>
      </c>
      <c r="C298" s="2" t="str">
        <f>計算表!C298</f>
        <v>表-詞條池</v>
      </c>
      <c r="D298" s="2" t="str">
        <f>計算表!D298</f>
        <v>物理穿透%</v>
      </c>
      <c r="E298" s="2" t="str">
        <f>計算表!E298</f>
        <v>基準值 = (a + a×b×(裝備等級-1)) × 稀有度倍率</v>
      </c>
      <c r="F298" s="2" t="str">
        <f>計算表!F298</f>
        <v>a=一級基準 b=每級成長係數 c=出現權重 d=最低稀有度 e=百分比。</v>
      </c>
      <c r="G298" s="2">
        <f>計算表!G298</f>
        <v>3</v>
      </c>
      <c r="H298" s="2">
        <f>計算表!H298</f>
        <v>1.4999999999999999E-2</v>
      </c>
      <c r="I298" s="2">
        <f>計算表!I298</f>
        <v>4</v>
      </c>
      <c r="J298" s="2" t="str">
        <f>計算表!J298</f>
        <v>精良</v>
      </c>
      <c r="K298" s="2" t="str">
        <f>計算表!K298</f>
        <v>是</v>
      </c>
      <c r="L298" s="2">
        <f>計算表!L298</f>
        <v>0</v>
      </c>
      <c r="M298" s="2">
        <f>計算表!M298</f>
        <v>0</v>
      </c>
      <c r="N298" s="2">
        <f>計算表!N298</f>
        <v>0</v>
      </c>
      <c r="O298" s="2">
        <f>計算表!O298</f>
        <v>0</v>
      </c>
      <c r="P298" s="2">
        <f>計算表!P298</f>
        <v>0</v>
      </c>
      <c r="Q298" s="2">
        <f>計算表!Q298</f>
        <v>0</v>
      </c>
      <c r="R298" s="2">
        <f>計算表!R298</f>
        <v>0</v>
      </c>
    </row>
    <row r="299" spans="1:18" x14ac:dyDescent="0.25">
      <c r="A299">
        <f t="shared" si="4"/>
        <v>298</v>
      </c>
      <c r="B299" s="2">
        <f>計算表!B299</f>
        <v>0</v>
      </c>
      <c r="C299" s="2" t="str">
        <f>計算表!C299</f>
        <v>表-詞條池</v>
      </c>
      <c r="D299" s="2" t="str">
        <f>計算表!D299</f>
        <v>魔法穿透%</v>
      </c>
      <c r="E299" s="2" t="str">
        <f>計算表!E299</f>
        <v>基準值 = (a + a×b×(裝備等級-1)) × 稀有度倍率</v>
      </c>
      <c r="F299" s="2" t="str">
        <f>計算表!F299</f>
        <v>a=一級基準 b=每級成長係數 c=出現權重 d=最低稀有度 e=百分比。</v>
      </c>
      <c r="G299" s="2">
        <f>計算表!G299</f>
        <v>3</v>
      </c>
      <c r="H299" s="2">
        <f>計算表!H299</f>
        <v>1.4999999999999999E-2</v>
      </c>
      <c r="I299" s="2">
        <f>計算表!I299</f>
        <v>4</v>
      </c>
      <c r="J299" s="2" t="str">
        <f>計算表!J299</f>
        <v>精良</v>
      </c>
      <c r="K299" s="2" t="str">
        <f>計算表!K299</f>
        <v>是</v>
      </c>
      <c r="L299" s="2">
        <f>計算表!L299</f>
        <v>0</v>
      </c>
      <c r="M299" s="2">
        <f>計算表!M299</f>
        <v>0</v>
      </c>
      <c r="N299" s="2">
        <f>計算表!N299</f>
        <v>0</v>
      </c>
      <c r="O299" s="2">
        <f>計算表!O299</f>
        <v>0</v>
      </c>
      <c r="P299" s="2">
        <f>計算表!P299</f>
        <v>0</v>
      </c>
      <c r="Q299" s="2">
        <f>計算表!Q299</f>
        <v>0</v>
      </c>
      <c r="R299" s="2">
        <f>計算表!R299</f>
        <v>0</v>
      </c>
    </row>
    <row r="300" spans="1:18" x14ac:dyDescent="0.25">
      <c r="A300">
        <f t="shared" si="4"/>
        <v>299</v>
      </c>
      <c r="B300" s="2">
        <f>計算表!B300</f>
        <v>0</v>
      </c>
      <c r="C300" s="2" t="str">
        <f>計算表!C300</f>
        <v>表-詞條池</v>
      </c>
      <c r="D300" s="2" t="str">
        <f>計算表!D300</f>
        <v>命中率%</v>
      </c>
      <c r="E300" s="2" t="str">
        <f>計算表!E300</f>
        <v>基準值 = (a + a×b×(裝備等級-1)) × 稀有度倍率</v>
      </c>
      <c r="F300" s="2" t="str">
        <f>計算表!F300</f>
        <v>a=一級基準 b=每級成長係數 c=出現權重 d=最低稀有度 e=百分比。</v>
      </c>
      <c r="G300" s="2">
        <f>計算表!G300</f>
        <v>3</v>
      </c>
      <c r="H300" s="2">
        <f>計算表!H300</f>
        <v>1.4999999999999999E-2</v>
      </c>
      <c r="I300" s="2">
        <f>計算表!I300</f>
        <v>5</v>
      </c>
      <c r="J300" s="2" t="str">
        <f>計算表!J300</f>
        <v>-</v>
      </c>
      <c r="K300" s="2" t="str">
        <f>計算表!K300</f>
        <v>是</v>
      </c>
      <c r="L300" s="2">
        <f>計算表!L300</f>
        <v>0</v>
      </c>
      <c r="M300" s="2">
        <f>計算表!M300</f>
        <v>0</v>
      </c>
      <c r="N300" s="2">
        <f>計算表!N300</f>
        <v>0</v>
      </c>
      <c r="O300" s="2">
        <f>計算表!O300</f>
        <v>0</v>
      </c>
      <c r="P300" s="2">
        <f>計算表!P300</f>
        <v>0</v>
      </c>
      <c r="Q300" s="2">
        <f>計算表!Q300</f>
        <v>0</v>
      </c>
      <c r="R300" s="2">
        <f>計算表!R300</f>
        <v>0</v>
      </c>
    </row>
    <row r="301" spans="1:18" x14ac:dyDescent="0.25">
      <c r="A301">
        <f t="shared" si="4"/>
        <v>300</v>
      </c>
      <c r="B301" s="2">
        <f>計算表!B301</f>
        <v>0</v>
      </c>
      <c r="C301" s="2" t="str">
        <f>計算表!C301</f>
        <v>表-詞條池</v>
      </c>
      <c r="D301" s="2" t="str">
        <f>計算表!D301</f>
        <v>冷卻縮減%</v>
      </c>
      <c r="E301" s="2" t="str">
        <f>計算表!E301</f>
        <v>基準值 = (a + a×b×(裝備等級-1)) × 稀有度倍率</v>
      </c>
      <c r="F301" s="2" t="str">
        <f>計算表!F301</f>
        <v>a=一級基準 b=每級成長係數 c=出現權重 d=最低稀有度 e=百分比。</v>
      </c>
      <c r="G301" s="2">
        <f>計算表!G301</f>
        <v>2.5</v>
      </c>
      <c r="H301" s="2">
        <f>計算表!H301</f>
        <v>0.01</v>
      </c>
      <c r="I301" s="2">
        <f>計算表!I301</f>
        <v>4</v>
      </c>
      <c r="J301" s="2" t="str">
        <f>計算表!J301</f>
        <v>稀有</v>
      </c>
      <c r="K301" s="2" t="str">
        <f>計算表!K301</f>
        <v>是</v>
      </c>
      <c r="L301" s="2">
        <f>計算表!L301</f>
        <v>0</v>
      </c>
      <c r="M301" s="2">
        <f>計算表!M301</f>
        <v>0</v>
      </c>
      <c r="N301" s="2">
        <f>計算表!N301</f>
        <v>0</v>
      </c>
      <c r="O301" s="2">
        <f>計算表!O301</f>
        <v>0</v>
      </c>
      <c r="P301" s="2">
        <f>計算表!P301</f>
        <v>0</v>
      </c>
      <c r="Q301" s="2">
        <f>計算表!Q301</f>
        <v>0</v>
      </c>
      <c r="R301" s="2">
        <f>計算表!R301</f>
        <v>0</v>
      </c>
    </row>
    <row r="302" spans="1:18" x14ac:dyDescent="0.25">
      <c r="A302">
        <f t="shared" si="4"/>
        <v>301</v>
      </c>
      <c r="B302" s="2">
        <f>計算表!B302</f>
        <v>0</v>
      </c>
      <c r="C302" s="2" t="str">
        <f>計算表!C302</f>
        <v>表-詞條池</v>
      </c>
      <c r="D302" s="2" t="str">
        <f>計算表!D302</f>
        <v>施法速度%</v>
      </c>
      <c r="E302" s="2" t="str">
        <f>計算表!E302</f>
        <v>基準值 = (a + a×b×(裝備等級-1)) × 稀有度倍率</v>
      </c>
      <c r="F302" s="2" t="str">
        <f>計算表!F302</f>
        <v>a=一級基準 b=每級成長係數 c=出現權重 d=最低稀有度 e=百分比。</v>
      </c>
      <c r="G302" s="2">
        <f>計算表!G302</f>
        <v>3</v>
      </c>
      <c r="H302" s="2">
        <f>計算表!H302</f>
        <v>1.2E-2</v>
      </c>
      <c r="I302" s="2">
        <f>計算表!I302</f>
        <v>4</v>
      </c>
      <c r="J302" s="2" t="str">
        <f>計算表!J302</f>
        <v>稀有</v>
      </c>
      <c r="K302" s="2" t="str">
        <f>計算表!K302</f>
        <v>是</v>
      </c>
      <c r="L302" s="2">
        <f>計算表!L302</f>
        <v>0</v>
      </c>
      <c r="M302" s="2">
        <f>計算表!M302</f>
        <v>0</v>
      </c>
      <c r="N302" s="2">
        <f>計算表!N302</f>
        <v>0</v>
      </c>
      <c r="O302" s="2">
        <f>計算表!O302</f>
        <v>0</v>
      </c>
      <c r="P302" s="2">
        <f>計算表!P302</f>
        <v>0</v>
      </c>
      <c r="Q302" s="2">
        <f>計算表!Q302</f>
        <v>0</v>
      </c>
      <c r="R302" s="2">
        <f>計算表!R302</f>
        <v>0</v>
      </c>
    </row>
    <row r="303" spans="1:18" x14ac:dyDescent="0.25">
      <c r="A303">
        <f t="shared" si="4"/>
        <v>302</v>
      </c>
      <c r="B303" s="2">
        <f>計算表!B303</f>
        <v>0</v>
      </c>
      <c r="C303" s="2" t="str">
        <f>計算表!C303</f>
        <v>表-詞條池</v>
      </c>
      <c r="D303" s="2" t="str">
        <f>計算表!D303</f>
        <v>吸血%</v>
      </c>
      <c r="E303" s="2" t="str">
        <f>計算表!E303</f>
        <v>基準值 = (a + a×b×(裝備等級-1)) × 稀有度倍率</v>
      </c>
      <c r="F303" s="2" t="str">
        <f>計算表!F303</f>
        <v>a=一級基準 b=每級成長係數 c=出現權重 d=最低稀有度 e=百分比。</v>
      </c>
      <c r="G303" s="2">
        <f>計算表!G303</f>
        <v>1.5</v>
      </c>
      <c r="H303" s="2">
        <f>計算表!H303</f>
        <v>8.0000000000000002E-3</v>
      </c>
      <c r="I303" s="2">
        <f>計算表!I303</f>
        <v>4</v>
      </c>
      <c r="J303" s="2" t="str">
        <f>計算表!J303</f>
        <v>-</v>
      </c>
      <c r="K303" s="2" t="str">
        <f>計算表!K303</f>
        <v>是</v>
      </c>
      <c r="L303" s="2">
        <f>計算表!L303</f>
        <v>0</v>
      </c>
      <c r="M303" s="2">
        <f>計算表!M303</f>
        <v>0</v>
      </c>
      <c r="N303" s="2">
        <f>計算表!N303</f>
        <v>0</v>
      </c>
      <c r="O303" s="2">
        <f>計算表!O303</f>
        <v>0</v>
      </c>
      <c r="P303" s="2">
        <f>計算表!P303</f>
        <v>0</v>
      </c>
      <c r="Q303" s="2">
        <f>計算表!Q303</f>
        <v>0</v>
      </c>
      <c r="R303" s="2">
        <f>計算表!R303</f>
        <v>0</v>
      </c>
    </row>
    <row r="304" spans="1:18" x14ac:dyDescent="0.25">
      <c r="A304">
        <f t="shared" si="4"/>
        <v>303</v>
      </c>
      <c r="B304" s="2">
        <f>計算表!B304</f>
        <v>0</v>
      </c>
      <c r="C304" s="2" t="str">
        <f>計算表!C304</f>
        <v>表-詞條池</v>
      </c>
      <c r="D304" s="2" t="str">
        <f>計算表!D304</f>
        <v>吸魔%</v>
      </c>
      <c r="E304" s="2" t="str">
        <f>計算表!E304</f>
        <v>基準值 = (a + a×b×(裝備等級-1)) × 稀有度倍率</v>
      </c>
      <c r="F304" s="2" t="str">
        <f>計算表!F304</f>
        <v>a=一級基準 b=每級成長係數 c=出現權重 d=最低稀有度 e=百分比。</v>
      </c>
      <c r="G304" s="2">
        <f>計算表!G304</f>
        <v>1.2</v>
      </c>
      <c r="H304" s="2">
        <f>計算表!H304</f>
        <v>6.0000000000000001E-3</v>
      </c>
      <c r="I304" s="2">
        <f>計算表!I304</f>
        <v>3</v>
      </c>
      <c r="J304" s="2" t="str">
        <f>計算表!J304</f>
        <v>稀有</v>
      </c>
      <c r="K304" s="2" t="str">
        <f>計算表!K304</f>
        <v>是</v>
      </c>
      <c r="L304" s="2">
        <f>計算表!L304</f>
        <v>0</v>
      </c>
      <c r="M304" s="2">
        <f>計算表!M304</f>
        <v>0</v>
      </c>
      <c r="N304" s="2">
        <f>計算表!N304</f>
        <v>0</v>
      </c>
      <c r="O304" s="2">
        <f>計算表!O304</f>
        <v>0</v>
      </c>
      <c r="P304" s="2">
        <f>計算表!P304</f>
        <v>0</v>
      </c>
      <c r="Q304" s="2">
        <f>計算表!Q304</f>
        <v>0</v>
      </c>
      <c r="R304" s="2">
        <f>計算表!R304</f>
        <v>0</v>
      </c>
    </row>
    <row r="305" spans="1:18" x14ac:dyDescent="0.25">
      <c r="A305">
        <f t="shared" si="4"/>
        <v>304</v>
      </c>
      <c r="B305" s="2">
        <f>計算表!B305</f>
        <v>0</v>
      </c>
      <c r="C305" s="2" t="str">
        <f>計算表!C305</f>
        <v>表-詞條池</v>
      </c>
      <c r="D305" s="2" t="str">
        <f>計算表!D305</f>
        <v>對菁英傷害%</v>
      </c>
      <c r="E305" s="2" t="str">
        <f>計算表!E305</f>
        <v>基準值 = (a + a×b×(裝備等級-1)) × 稀有度倍率</v>
      </c>
      <c r="F305" s="2" t="str">
        <f>計算表!F305</f>
        <v>a=一級基準 b=每級成長係數 c=出現權重 d=最低稀有度 e=百分比。</v>
      </c>
      <c r="G305" s="2">
        <f>計算表!G305</f>
        <v>4</v>
      </c>
      <c r="H305" s="2">
        <f>計算表!H305</f>
        <v>0.02</v>
      </c>
      <c r="I305" s="2">
        <f>計算表!I305</f>
        <v>4</v>
      </c>
      <c r="J305" s="2" t="str">
        <f>計算表!J305</f>
        <v>稀有</v>
      </c>
      <c r="K305" s="2" t="str">
        <f>計算表!K305</f>
        <v>是</v>
      </c>
      <c r="L305" s="2">
        <f>計算表!L305</f>
        <v>0</v>
      </c>
      <c r="M305" s="2">
        <f>計算表!M305</f>
        <v>0</v>
      </c>
      <c r="N305" s="2">
        <f>計算表!N305</f>
        <v>0</v>
      </c>
      <c r="O305" s="2">
        <f>計算表!O305</f>
        <v>0</v>
      </c>
      <c r="P305" s="2">
        <f>計算表!P305</f>
        <v>0</v>
      </c>
      <c r="Q305" s="2">
        <f>計算表!Q305</f>
        <v>0</v>
      </c>
      <c r="R305" s="2">
        <f>計算表!R305</f>
        <v>0</v>
      </c>
    </row>
    <row r="306" spans="1:18" x14ac:dyDescent="0.25">
      <c r="A306">
        <f t="shared" si="4"/>
        <v>305</v>
      </c>
      <c r="B306" s="2">
        <f>計算表!B306</f>
        <v>0</v>
      </c>
      <c r="C306" s="2" t="str">
        <f>計算表!C306</f>
        <v>表-詞條池</v>
      </c>
      <c r="D306" s="2" t="str">
        <f>計算表!D306</f>
        <v>對BOSS傷害%</v>
      </c>
      <c r="E306" s="2" t="str">
        <f>計算表!E306</f>
        <v>基準值 = (a + a×b×(裝備等級-1)) × 稀有度倍率</v>
      </c>
      <c r="F306" s="2" t="str">
        <f>計算表!F306</f>
        <v>a=一級基準 b=每級成長係數 c=出現權重 d=最低稀有度 e=百分比。</v>
      </c>
      <c r="G306" s="2">
        <f>計算表!G306</f>
        <v>4</v>
      </c>
      <c r="H306" s="2">
        <f>計算表!H306</f>
        <v>0.02</v>
      </c>
      <c r="I306" s="2">
        <f>計算表!I306</f>
        <v>4</v>
      </c>
      <c r="J306" s="2" t="str">
        <f>計算表!J306</f>
        <v>稀有</v>
      </c>
      <c r="K306" s="2" t="str">
        <f>計算表!K306</f>
        <v>是</v>
      </c>
      <c r="L306" s="2">
        <f>計算表!L306</f>
        <v>0</v>
      </c>
      <c r="M306" s="2">
        <f>計算表!M306</f>
        <v>0</v>
      </c>
      <c r="N306" s="2">
        <f>計算表!N306</f>
        <v>0</v>
      </c>
      <c r="O306" s="2">
        <f>計算表!O306</f>
        <v>0</v>
      </c>
      <c r="P306" s="2">
        <f>計算表!P306</f>
        <v>0</v>
      </c>
      <c r="Q306" s="2">
        <f>計算表!Q306</f>
        <v>0</v>
      </c>
      <c r="R306" s="2">
        <f>計算表!R306</f>
        <v>0</v>
      </c>
    </row>
    <row r="307" spans="1:18" x14ac:dyDescent="0.25">
      <c r="A307">
        <f t="shared" si="4"/>
        <v>306</v>
      </c>
      <c r="B307" s="2">
        <f>計算表!B307</f>
        <v>0</v>
      </c>
      <c r="C307" s="2" t="str">
        <f>計算表!C307</f>
        <v>表-詞條池</v>
      </c>
      <c r="D307" s="2" t="str">
        <f>計算表!D307</f>
        <v>範圍傷害%</v>
      </c>
      <c r="E307" s="2" t="str">
        <f>計算表!E307</f>
        <v>基準值 = (a + a×b×(裝備等級-1)) × 稀有度倍率</v>
      </c>
      <c r="F307" s="2" t="str">
        <f>計算表!F307</f>
        <v>a=一級基準 b=每級成長係數 c=出現權重 d=最低稀有度 e=百分比。</v>
      </c>
      <c r="G307" s="2">
        <f>計算表!G307</f>
        <v>4</v>
      </c>
      <c r="H307" s="2">
        <f>計算表!H307</f>
        <v>0.02</v>
      </c>
      <c r="I307" s="2">
        <f>計算表!I307</f>
        <v>4</v>
      </c>
      <c r="J307" s="2" t="str">
        <f>計算表!J307</f>
        <v>稀有</v>
      </c>
      <c r="K307" s="2" t="str">
        <f>計算表!K307</f>
        <v>是</v>
      </c>
      <c r="L307" s="2">
        <f>計算表!L307</f>
        <v>0</v>
      </c>
      <c r="M307" s="2">
        <f>計算表!M307</f>
        <v>0</v>
      </c>
      <c r="N307" s="2">
        <f>計算表!N307</f>
        <v>0</v>
      </c>
      <c r="O307" s="2">
        <f>計算表!O307</f>
        <v>0</v>
      </c>
      <c r="P307" s="2">
        <f>計算表!P307</f>
        <v>0</v>
      </c>
      <c r="Q307" s="2">
        <f>計算表!Q307</f>
        <v>0</v>
      </c>
      <c r="R307" s="2">
        <f>計算表!R307</f>
        <v>0</v>
      </c>
    </row>
    <row r="308" spans="1:18" x14ac:dyDescent="0.25">
      <c r="A308">
        <f t="shared" si="4"/>
        <v>307</v>
      </c>
      <c r="B308" s="2">
        <f>計算表!B308</f>
        <v>0</v>
      </c>
      <c r="C308" s="2" t="str">
        <f>計算表!C308</f>
        <v>表-詞條池</v>
      </c>
      <c r="D308" s="2" t="str">
        <f>計算表!D308</f>
        <v>格擋率%</v>
      </c>
      <c r="E308" s="2" t="str">
        <f>計算表!E308</f>
        <v>基準值 = (a + a×b×(裝備等級-1)) × 稀有度倍率</v>
      </c>
      <c r="F308" s="2" t="str">
        <f>計算表!F308</f>
        <v>a=一級基準 b=每級成長係數 c=出現權重 d=最低稀有度 e=百分比。</v>
      </c>
      <c r="G308" s="2">
        <f>計算表!G308</f>
        <v>2.5</v>
      </c>
      <c r="H308" s="2">
        <f>計算表!H308</f>
        <v>1.2E-2</v>
      </c>
      <c r="I308" s="2">
        <f>計算表!I308</f>
        <v>4</v>
      </c>
      <c r="J308" s="2" t="str">
        <f>計算表!J308</f>
        <v>-</v>
      </c>
      <c r="K308" s="2" t="str">
        <f>計算表!K308</f>
        <v>是</v>
      </c>
      <c r="L308" s="2">
        <f>計算表!L308</f>
        <v>0</v>
      </c>
      <c r="M308" s="2">
        <f>計算表!M308</f>
        <v>0</v>
      </c>
      <c r="N308" s="2">
        <f>計算表!N308</f>
        <v>0</v>
      </c>
      <c r="O308" s="2">
        <f>計算表!O308</f>
        <v>0</v>
      </c>
      <c r="P308" s="2">
        <f>計算表!P308</f>
        <v>0</v>
      </c>
      <c r="Q308" s="2">
        <f>計算表!Q308</f>
        <v>0</v>
      </c>
      <c r="R308" s="2">
        <f>計算表!R308</f>
        <v>0</v>
      </c>
    </row>
    <row r="309" spans="1:18" x14ac:dyDescent="0.25">
      <c r="A309">
        <f t="shared" si="4"/>
        <v>308</v>
      </c>
      <c r="B309" s="2">
        <f>計算表!B309</f>
        <v>0</v>
      </c>
      <c r="C309" s="2" t="str">
        <f>計算表!C309</f>
        <v>表-詞條池</v>
      </c>
      <c r="D309" s="2" t="str">
        <f>計算表!D309</f>
        <v>格擋減傷%</v>
      </c>
      <c r="E309" s="2" t="str">
        <f>計算表!E309</f>
        <v>基準值 = (a + a×b×(裝備等級-1)) × 稀有度倍率</v>
      </c>
      <c r="F309" s="2" t="str">
        <f>計算表!F309</f>
        <v>a=一級基準 b=每級成長係數 c=出現權重 d=最低稀有度 e=百分比。</v>
      </c>
      <c r="G309" s="2">
        <f>計算表!G309</f>
        <v>4</v>
      </c>
      <c r="H309" s="2">
        <f>計算表!H309</f>
        <v>0.02</v>
      </c>
      <c r="I309" s="2">
        <f>計算表!I309</f>
        <v>3</v>
      </c>
      <c r="J309" s="2" t="str">
        <f>計算表!J309</f>
        <v>稀有</v>
      </c>
      <c r="K309" s="2" t="str">
        <f>計算表!K309</f>
        <v>是</v>
      </c>
      <c r="L309" s="2">
        <f>計算表!L309</f>
        <v>0</v>
      </c>
      <c r="M309" s="2">
        <f>計算表!M309</f>
        <v>0</v>
      </c>
      <c r="N309" s="2">
        <f>計算表!N309</f>
        <v>0</v>
      </c>
      <c r="O309" s="2">
        <f>計算表!O309</f>
        <v>0</v>
      </c>
      <c r="P309" s="2">
        <f>計算表!P309</f>
        <v>0</v>
      </c>
      <c r="Q309" s="2">
        <f>計算表!Q309</f>
        <v>0</v>
      </c>
      <c r="R309" s="2">
        <f>計算表!R309</f>
        <v>0</v>
      </c>
    </row>
    <row r="310" spans="1:18" x14ac:dyDescent="0.25">
      <c r="A310">
        <f t="shared" si="4"/>
        <v>309</v>
      </c>
      <c r="B310" s="2">
        <f>計算表!B310</f>
        <v>0</v>
      </c>
      <c r="C310" s="2" t="str">
        <f>計算表!C310</f>
        <v>表-詞條池</v>
      </c>
      <c r="D310" s="2" t="str">
        <f>計算表!D310</f>
        <v>閃避率%</v>
      </c>
      <c r="E310" s="2" t="str">
        <f>計算表!E310</f>
        <v>基準值 = (a + a×b×(裝備等級-1)) × 稀有度倍率</v>
      </c>
      <c r="F310" s="2" t="str">
        <f>計算表!F310</f>
        <v>a=一級基準 b=每級成長係數 c=出現權重 d=最低稀有度 e=百分比。</v>
      </c>
      <c r="G310" s="2">
        <f>計算表!G310</f>
        <v>2</v>
      </c>
      <c r="H310" s="2">
        <f>計算表!H310</f>
        <v>0.01</v>
      </c>
      <c r="I310" s="2">
        <f>計算表!I310</f>
        <v>4</v>
      </c>
      <c r="J310" s="2" t="str">
        <f>計算表!J310</f>
        <v>-</v>
      </c>
      <c r="K310" s="2" t="str">
        <f>計算表!K310</f>
        <v>是</v>
      </c>
      <c r="L310" s="2">
        <f>計算表!L310</f>
        <v>0</v>
      </c>
      <c r="M310" s="2">
        <f>計算表!M310</f>
        <v>0</v>
      </c>
      <c r="N310" s="2">
        <f>計算表!N310</f>
        <v>0</v>
      </c>
      <c r="O310" s="2">
        <f>計算表!O310</f>
        <v>0</v>
      </c>
      <c r="P310" s="2">
        <f>計算表!P310</f>
        <v>0</v>
      </c>
      <c r="Q310" s="2">
        <f>計算表!Q310</f>
        <v>0</v>
      </c>
      <c r="R310" s="2">
        <f>計算表!R310</f>
        <v>0</v>
      </c>
    </row>
    <row r="311" spans="1:18" x14ac:dyDescent="0.25">
      <c r="A311">
        <f t="shared" si="4"/>
        <v>310</v>
      </c>
      <c r="B311" s="2">
        <f>計算表!B311</f>
        <v>0</v>
      </c>
      <c r="C311" s="2" t="str">
        <f>計算表!C311</f>
        <v>表-詞條池</v>
      </c>
      <c r="D311" s="2" t="str">
        <f>計算表!D311</f>
        <v>韌性%</v>
      </c>
      <c r="E311" s="2" t="str">
        <f>計算表!E311</f>
        <v>基準值 = (a + a×b×(裝備等級-1)) × 稀有度倍率</v>
      </c>
      <c r="F311" s="2" t="str">
        <f>計算表!F311</f>
        <v>a=一級基準 b=每級成長係數 c=出現權重 d=最低稀有度 e=百分比。</v>
      </c>
      <c r="G311" s="2">
        <f>計算表!G311</f>
        <v>4</v>
      </c>
      <c r="H311" s="2">
        <f>計算表!H311</f>
        <v>0.02</v>
      </c>
      <c r="I311" s="2">
        <f>計算表!I311</f>
        <v>3</v>
      </c>
      <c r="J311" s="2" t="str">
        <f>計算表!J311</f>
        <v>稀有</v>
      </c>
      <c r="K311" s="2" t="str">
        <f>計算表!K311</f>
        <v>是</v>
      </c>
      <c r="L311" s="2">
        <f>計算表!L311</f>
        <v>0</v>
      </c>
      <c r="M311" s="2">
        <f>計算表!M311</f>
        <v>0</v>
      </c>
      <c r="N311" s="2">
        <f>計算表!N311</f>
        <v>0</v>
      </c>
      <c r="O311" s="2">
        <f>計算表!O311</f>
        <v>0</v>
      </c>
      <c r="P311" s="2">
        <f>計算表!P311</f>
        <v>0</v>
      </c>
      <c r="Q311" s="2">
        <f>計算表!Q311</f>
        <v>0</v>
      </c>
      <c r="R311" s="2">
        <f>計算表!R311</f>
        <v>0</v>
      </c>
    </row>
    <row r="312" spans="1:18" x14ac:dyDescent="0.25">
      <c r="A312">
        <f t="shared" si="4"/>
        <v>311</v>
      </c>
      <c r="B312" s="2">
        <f>計算表!B312</f>
        <v>0</v>
      </c>
      <c r="C312" s="2" t="str">
        <f>計算表!C312</f>
        <v>表-詞條池</v>
      </c>
      <c r="D312" s="2" t="str">
        <f>計算表!D312</f>
        <v>護盾效率%</v>
      </c>
      <c r="E312" s="2" t="str">
        <f>計算表!E312</f>
        <v>基準值 = (a + a×b×(裝備等級-1)) × 稀有度倍率</v>
      </c>
      <c r="F312" s="2" t="str">
        <f>計算表!F312</f>
        <v>a=一級基準 b=每級成長係數 c=出現權重 d=最低稀有度 e=百分比。</v>
      </c>
      <c r="G312" s="2">
        <f>計算表!G312</f>
        <v>5</v>
      </c>
      <c r="H312" s="2">
        <f>計算表!H312</f>
        <v>2.5000000000000001E-2</v>
      </c>
      <c r="I312" s="2">
        <f>計算表!I312</f>
        <v>3</v>
      </c>
      <c r="J312" s="2" t="str">
        <f>計算表!J312</f>
        <v>獨特</v>
      </c>
      <c r="K312" s="2" t="str">
        <f>計算表!K312</f>
        <v>是</v>
      </c>
      <c r="L312" s="2">
        <f>計算表!L312</f>
        <v>0</v>
      </c>
      <c r="M312" s="2">
        <f>計算表!M312</f>
        <v>0</v>
      </c>
      <c r="N312" s="2">
        <f>計算表!N312</f>
        <v>0</v>
      </c>
      <c r="O312" s="2">
        <f>計算表!O312</f>
        <v>0</v>
      </c>
      <c r="P312" s="2">
        <f>計算表!P312</f>
        <v>0</v>
      </c>
      <c r="Q312" s="2">
        <f>計算表!Q312</f>
        <v>0</v>
      </c>
      <c r="R312" s="2">
        <f>計算表!R312</f>
        <v>0</v>
      </c>
    </row>
    <row r="313" spans="1:18" x14ac:dyDescent="0.25">
      <c r="A313">
        <f t="shared" si="4"/>
        <v>312</v>
      </c>
      <c r="B313" s="2">
        <f>計算表!B313</f>
        <v>0</v>
      </c>
      <c r="C313" s="2" t="str">
        <f>計算表!C313</f>
        <v>表-詞條池</v>
      </c>
      <c r="D313" s="2" t="str">
        <f>計算表!D313</f>
        <v>物理抗性%</v>
      </c>
      <c r="E313" s="2" t="str">
        <f>計算表!E313</f>
        <v>基準值 = (a + a×b×(裝備等級-1)) × 稀有度倍率</v>
      </c>
      <c r="F313" s="2" t="str">
        <f>計算表!F313</f>
        <v>a=一級基準 b=每級成長係數 c=出現權重 d=最低稀有度 e=百分比。</v>
      </c>
      <c r="G313" s="2">
        <f>計算表!G313</f>
        <v>2</v>
      </c>
      <c r="H313" s="2">
        <f>計算表!H313</f>
        <v>8.0000000000000002E-3</v>
      </c>
      <c r="I313" s="2">
        <f>計算表!I313</f>
        <v>3</v>
      </c>
      <c r="J313" s="2" t="str">
        <f>計算表!J313</f>
        <v>獨特</v>
      </c>
      <c r="K313" s="2" t="str">
        <f>計算表!K313</f>
        <v>是</v>
      </c>
      <c r="L313" s="2">
        <f>計算表!L313</f>
        <v>0</v>
      </c>
      <c r="M313" s="2">
        <f>計算表!M313</f>
        <v>0</v>
      </c>
      <c r="N313" s="2">
        <f>計算表!N313</f>
        <v>0</v>
      </c>
      <c r="O313" s="2">
        <f>計算表!O313</f>
        <v>0</v>
      </c>
      <c r="P313" s="2">
        <f>計算表!P313</f>
        <v>0</v>
      </c>
      <c r="Q313" s="2">
        <f>計算表!Q313</f>
        <v>0</v>
      </c>
      <c r="R313" s="2">
        <f>計算表!R313</f>
        <v>0</v>
      </c>
    </row>
    <row r="314" spans="1:18" x14ac:dyDescent="0.25">
      <c r="A314">
        <f t="shared" si="4"/>
        <v>313</v>
      </c>
      <c r="B314" s="2">
        <f>計算表!B314</f>
        <v>0</v>
      </c>
      <c r="C314" s="2" t="str">
        <f>計算表!C314</f>
        <v>表-詞條池</v>
      </c>
      <c r="D314" s="2" t="str">
        <f>計算表!D314</f>
        <v>魔法抗性%</v>
      </c>
      <c r="E314" s="2" t="str">
        <f>計算表!E314</f>
        <v>基準值 = (a + a×b×(裝備等級-1)) × 稀有度倍率</v>
      </c>
      <c r="F314" s="2" t="str">
        <f>計算表!F314</f>
        <v>a=一級基準 b=每級成長係數 c=出現權重 d=最低稀有度 e=百分比。</v>
      </c>
      <c r="G314" s="2">
        <f>計算表!G314</f>
        <v>2</v>
      </c>
      <c r="H314" s="2">
        <f>計算表!H314</f>
        <v>8.0000000000000002E-3</v>
      </c>
      <c r="I314" s="2">
        <f>計算表!I314</f>
        <v>3</v>
      </c>
      <c r="J314" s="2" t="str">
        <f>計算表!J314</f>
        <v>獨特</v>
      </c>
      <c r="K314" s="2" t="str">
        <f>計算表!K314</f>
        <v>是</v>
      </c>
      <c r="L314" s="2">
        <f>計算表!L314</f>
        <v>0</v>
      </c>
      <c r="M314" s="2">
        <f>計算表!M314</f>
        <v>0</v>
      </c>
      <c r="N314" s="2">
        <f>計算表!N314</f>
        <v>0</v>
      </c>
      <c r="O314" s="2">
        <f>計算表!O314</f>
        <v>0</v>
      </c>
      <c r="P314" s="2">
        <f>計算表!P314</f>
        <v>0</v>
      </c>
      <c r="Q314" s="2">
        <f>計算表!Q314</f>
        <v>0</v>
      </c>
      <c r="R314" s="2">
        <f>計算表!R314</f>
        <v>0</v>
      </c>
    </row>
    <row r="315" spans="1:18" x14ac:dyDescent="0.25">
      <c r="A315">
        <f t="shared" si="4"/>
        <v>314</v>
      </c>
      <c r="B315" s="2">
        <f>計算表!B315</f>
        <v>0</v>
      </c>
      <c r="C315" s="2" t="str">
        <f>計算表!C315</f>
        <v>表-詞條池</v>
      </c>
      <c r="D315" s="2" t="str">
        <f>計算表!D315</f>
        <v>火焰抗性%</v>
      </c>
      <c r="E315" s="2" t="str">
        <f>計算表!E315</f>
        <v>基準值 = (a + a×b×(裝備等級-1)) × 稀有度倍率</v>
      </c>
      <c r="F315" s="2" t="str">
        <f>計算表!F315</f>
        <v>a=一級基準 b=每級成長係數 c=出現權重 d=最低稀有度 e=百分比。</v>
      </c>
      <c r="G315" s="2">
        <f>計算表!G315</f>
        <v>4</v>
      </c>
      <c r="H315" s="2">
        <f>計算表!H315</f>
        <v>0.02</v>
      </c>
      <c r="I315" s="2">
        <f>計算表!I315</f>
        <v>3</v>
      </c>
      <c r="J315" s="2" t="str">
        <f>計算表!J315</f>
        <v>精良</v>
      </c>
      <c r="K315" s="2" t="str">
        <f>計算表!K315</f>
        <v>是</v>
      </c>
      <c r="L315" s="2">
        <f>計算表!L315</f>
        <v>0</v>
      </c>
      <c r="M315" s="2">
        <f>計算表!M315</f>
        <v>0</v>
      </c>
      <c r="N315" s="2">
        <f>計算表!N315</f>
        <v>0</v>
      </c>
      <c r="O315" s="2">
        <f>計算表!O315</f>
        <v>0</v>
      </c>
      <c r="P315" s="2">
        <f>計算表!P315</f>
        <v>0</v>
      </c>
      <c r="Q315" s="2">
        <f>計算表!Q315</f>
        <v>0</v>
      </c>
      <c r="R315" s="2">
        <f>計算表!R315</f>
        <v>0</v>
      </c>
    </row>
    <row r="316" spans="1:18" x14ac:dyDescent="0.25">
      <c r="A316">
        <f t="shared" si="4"/>
        <v>315</v>
      </c>
      <c r="B316" s="2">
        <f>計算表!B316</f>
        <v>0</v>
      </c>
      <c r="C316" s="2" t="str">
        <f>計算表!C316</f>
        <v>表-詞條池</v>
      </c>
      <c r="D316" s="2" t="str">
        <f>計算表!D316</f>
        <v>冰霜抗性%</v>
      </c>
      <c r="E316" s="2" t="str">
        <f>計算表!E316</f>
        <v>基準值 = (a + a×b×(裝備等級-1)) × 稀有度倍率</v>
      </c>
      <c r="F316" s="2" t="str">
        <f>計算表!F316</f>
        <v>a=一級基準 b=每級成長係數 c=出現權重 d=最低稀有度 e=百分比。</v>
      </c>
      <c r="G316" s="2">
        <f>計算表!G316</f>
        <v>4</v>
      </c>
      <c r="H316" s="2">
        <f>計算表!H316</f>
        <v>0.02</v>
      </c>
      <c r="I316" s="2">
        <f>計算表!I316</f>
        <v>3</v>
      </c>
      <c r="J316" s="2" t="str">
        <f>計算表!J316</f>
        <v>精良</v>
      </c>
      <c r="K316" s="2" t="str">
        <f>計算表!K316</f>
        <v>是</v>
      </c>
      <c r="L316" s="2">
        <f>計算表!L316</f>
        <v>0</v>
      </c>
      <c r="M316" s="2">
        <f>計算表!M316</f>
        <v>0</v>
      </c>
      <c r="N316" s="2">
        <f>計算表!N316</f>
        <v>0</v>
      </c>
      <c r="O316" s="2">
        <f>計算表!O316</f>
        <v>0</v>
      </c>
      <c r="P316" s="2">
        <f>計算表!P316</f>
        <v>0</v>
      </c>
      <c r="Q316" s="2">
        <f>計算表!Q316</f>
        <v>0</v>
      </c>
      <c r="R316" s="2">
        <f>計算表!R316</f>
        <v>0</v>
      </c>
    </row>
    <row r="317" spans="1:18" x14ac:dyDescent="0.25">
      <c r="A317">
        <f t="shared" si="4"/>
        <v>316</v>
      </c>
      <c r="B317" s="2">
        <f>計算表!B317</f>
        <v>0</v>
      </c>
      <c r="C317" s="2" t="str">
        <f>計算表!C317</f>
        <v>表-詞條池</v>
      </c>
      <c r="D317" s="2" t="str">
        <f>計算表!D317</f>
        <v>雷電抗性%</v>
      </c>
      <c r="E317" s="2" t="str">
        <f>計算表!E317</f>
        <v>基準值 = (a + a×b×(裝備等級-1)) × 稀有度倍率</v>
      </c>
      <c r="F317" s="2" t="str">
        <f>計算表!F317</f>
        <v>a=一級基準 b=每級成長係數 c=出現權重 d=最低稀有度 e=百分比。</v>
      </c>
      <c r="G317" s="2">
        <f>計算表!G317</f>
        <v>4</v>
      </c>
      <c r="H317" s="2">
        <f>計算表!H317</f>
        <v>0.02</v>
      </c>
      <c r="I317" s="2">
        <f>計算表!I317</f>
        <v>3</v>
      </c>
      <c r="J317" s="2" t="str">
        <f>計算表!J317</f>
        <v>精良</v>
      </c>
      <c r="K317" s="2" t="str">
        <f>計算表!K317</f>
        <v>是</v>
      </c>
      <c r="L317" s="2">
        <f>計算表!L317</f>
        <v>0</v>
      </c>
      <c r="M317" s="2">
        <f>計算表!M317</f>
        <v>0</v>
      </c>
      <c r="N317" s="2">
        <f>計算表!N317</f>
        <v>0</v>
      </c>
      <c r="O317" s="2">
        <f>計算表!O317</f>
        <v>0</v>
      </c>
      <c r="P317" s="2">
        <f>計算表!P317</f>
        <v>0</v>
      </c>
      <c r="Q317" s="2">
        <f>計算表!Q317</f>
        <v>0</v>
      </c>
      <c r="R317" s="2">
        <f>計算表!R317</f>
        <v>0</v>
      </c>
    </row>
    <row r="318" spans="1:18" x14ac:dyDescent="0.25">
      <c r="A318">
        <f t="shared" si="4"/>
        <v>317</v>
      </c>
      <c r="B318" s="2">
        <f>計算表!B318</f>
        <v>0</v>
      </c>
      <c r="C318" s="2" t="str">
        <f>計算表!C318</f>
        <v>表-詞條池</v>
      </c>
      <c r="D318" s="2" t="str">
        <f>計算表!D318</f>
        <v>劇毒抗性%</v>
      </c>
      <c r="E318" s="2" t="str">
        <f>計算表!E318</f>
        <v>基準值 = (a + a×b×(裝備等級-1)) × 稀有度倍率</v>
      </c>
      <c r="F318" s="2" t="str">
        <f>計算表!F318</f>
        <v>a=一級基準 b=每級成長係數 c=出現權重 d=最低稀有度 e=百分比。</v>
      </c>
      <c r="G318" s="2">
        <f>計算表!G318</f>
        <v>4</v>
      </c>
      <c r="H318" s="2">
        <f>計算表!H318</f>
        <v>0.02</v>
      </c>
      <c r="I318" s="2">
        <f>計算表!I318</f>
        <v>3</v>
      </c>
      <c r="J318" s="2" t="str">
        <f>計算表!J318</f>
        <v>精良</v>
      </c>
      <c r="K318" s="2" t="str">
        <f>計算表!K318</f>
        <v>是</v>
      </c>
      <c r="L318" s="2">
        <f>計算表!L318</f>
        <v>0</v>
      </c>
      <c r="M318" s="2">
        <f>計算表!M318</f>
        <v>0</v>
      </c>
      <c r="N318" s="2">
        <f>計算表!N318</f>
        <v>0</v>
      </c>
      <c r="O318" s="2">
        <f>計算表!O318</f>
        <v>0</v>
      </c>
      <c r="P318" s="2">
        <f>計算表!P318</f>
        <v>0</v>
      </c>
      <c r="Q318" s="2">
        <f>計算表!Q318</f>
        <v>0</v>
      </c>
      <c r="R318" s="2">
        <f>計算表!R318</f>
        <v>0</v>
      </c>
    </row>
    <row r="319" spans="1:18" x14ac:dyDescent="0.25">
      <c r="A319">
        <f t="shared" si="4"/>
        <v>318</v>
      </c>
      <c r="B319" s="2">
        <f>計算表!B319</f>
        <v>0</v>
      </c>
      <c r="C319" s="2" t="str">
        <f>計算表!C319</f>
        <v>表-詞條池</v>
      </c>
      <c r="D319" s="2" t="str">
        <f>計算表!D319</f>
        <v>聖光抗性%</v>
      </c>
      <c r="E319" s="2" t="str">
        <f>計算表!E319</f>
        <v>基準值 = (a + a×b×(裝備等級-1)) × 稀有度倍率</v>
      </c>
      <c r="F319" s="2" t="str">
        <f>計算表!F319</f>
        <v>a=一級基準 b=每級成長係數 c=出現權重 d=最低稀有度 e=百分比。</v>
      </c>
      <c r="G319" s="2">
        <f>計算表!G319</f>
        <v>4</v>
      </c>
      <c r="H319" s="2">
        <f>計算表!H319</f>
        <v>0.02</v>
      </c>
      <c r="I319" s="2">
        <f>計算表!I319</f>
        <v>3</v>
      </c>
      <c r="J319" s="2" t="str">
        <f>計算表!J319</f>
        <v>精良</v>
      </c>
      <c r="K319" s="2" t="str">
        <f>計算表!K319</f>
        <v>是</v>
      </c>
      <c r="L319" s="2">
        <f>計算表!L319</f>
        <v>0</v>
      </c>
      <c r="M319" s="2">
        <f>計算表!M319</f>
        <v>0</v>
      </c>
      <c r="N319" s="2">
        <f>計算表!N319</f>
        <v>0</v>
      </c>
      <c r="O319" s="2">
        <f>計算表!O319</f>
        <v>0</v>
      </c>
      <c r="P319" s="2">
        <f>計算表!P319</f>
        <v>0</v>
      </c>
      <c r="Q319" s="2">
        <f>計算表!Q319</f>
        <v>0</v>
      </c>
      <c r="R319" s="2">
        <f>計算表!R319</f>
        <v>0</v>
      </c>
    </row>
    <row r="320" spans="1:18" x14ac:dyDescent="0.25">
      <c r="A320">
        <f t="shared" si="4"/>
        <v>319</v>
      </c>
      <c r="B320" s="2">
        <f>計算表!B320</f>
        <v>0</v>
      </c>
      <c r="C320" s="2" t="str">
        <f>計算表!C320</f>
        <v>表-詞條池</v>
      </c>
      <c r="D320" s="2" t="str">
        <f>計算表!D320</f>
        <v>暗影抗性%</v>
      </c>
      <c r="E320" s="2" t="str">
        <f>計算表!E320</f>
        <v>基準值 = (a + a×b×(裝備等級-1)) × 稀有度倍率</v>
      </c>
      <c r="F320" s="2" t="str">
        <f>計算表!F320</f>
        <v>a=一級基準 b=每級成長係數 c=出現權重 d=最低稀有度 e=百分比。</v>
      </c>
      <c r="G320" s="2">
        <f>計算表!G320</f>
        <v>4</v>
      </c>
      <c r="H320" s="2">
        <f>計算表!H320</f>
        <v>0.02</v>
      </c>
      <c r="I320" s="2">
        <f>計算表!I320</f>
        <v>3</v>
      </c>
      <c r="J320" s="2" t="str">
        <f>計算表!J320</f>
        <v>精良</v>
      </c>
      <c r="K320" s="2" t="str">
        <f>計算表!K320</f>
        <v>是</v>
      </c>
      <c r="L320" s="2">
        <f>計算表!L320</f>
        <v>0</v>
      </c>
      <c r="M320" s="2">
        <f>計算表!M320</f>
        <v>0</v>
      </c>
      <c r="N320" s="2">
        <f>計算表!N320</f>
        <v>0</v>
      </c>
      <c r="O320" s="2">
        <f>計算表!O320</f>
        <v>0</v>
      </c>
      <c r="P320" s="2">
        <f>計算表!P320</f>
        <v>0</v>
      </c>
      <c r="Q320" s="2">
        <f>計算表!Q320</f>
        <v>0</v>
      </c>
      <c r="R320" s="2">
        <f>計算表!R320</f>
        <v>0</v>
      </c>
    </row>
    <row r="321" spans="1:18" x14ac:dyDescent="0.25">
      <c r="A321">
        <f t="shared" si="4"/>
        <v>320</v>
      </c>
      <c r="B321" s="2">
        <f>計算表!B321</f>
        <v>0</v>
      </c>
      <c r="C321" s="2" t="str">
        <f>計算表!C321</f>
        <v>表-詞條池</v>
      </c>
      <c r="D321" s="2" t="str">
        <f>計算表!D321</f>
        <v>控制時間縮減%</v>
      </c>
      <c r="E321" s="2" t="str">
        <f>計算表!E321</f>
        <v>基準值 = (a + a×b×(裝備等級-1)) × 稀有度倍率</v>
      </c>
      <c r="F321" s="2" t="str">
        <f>計算表!F321</f>
        <v>a=一級基準 b=每級成長係數 c=出現權重 d=最低稀有度 e=百分比。</v>
      </c>
      <c r="G321" s="2">
        <f>計算表!G321</f>
        <v>4</v>
      </c>
      <c r="H321" s="2">
        <f>計算表!H321</f>
        <v>0.02</v>
      </c>
      <c r="I321" s="2">
        <f>計算表!I321</f>
        <v>3</v>
      </c>
      <c r="J321" s="2" t="str">
        <f>計算表!J321</f>
        <v>獨特</v>
      </c>
      <c r="K321" s="2" t="str">
        <f>計算表!K321</f>
        <v>是</v>
      </c>
      <c r="L321" s="2">
        <f>計算表!L321</f>
        <v>0</v>
      </c>
      <c r="M321" s="2">
        <f>計算表!M321</f>
        <v>0</v>
      </c>
      <c r="N321" s="2">
        <f>計算表!N321</f>
        <v>0</v>
      </c>
      <c r="O321" s="2">
        <f>計算表!O321</f>
        <v>0</v>
      </c>
      <c r="P321" s="2">
        <f>計算表!P321</f>
        <v>0</v>
      </c>
      <c r="Q321" s="2">
        <f>計算表!Q321</f>
        <v>0</v>
      </c>
      <c r="R321" s="2">
        <f>計算表!R321</f>
        <v>0</v>
      </c>
    </row>
    <row r="322" spans="1:18" x14ac:dyDescent="0.25">
      <c r="A322">
        <f t="shared" si="4"/>
        <v>321</v>
      </c>
      <c r="B322" s="2">
        <f>計算表!B322</f>
        <v>0</v>
      </c>
      <c r="C322" s="2" t="str">
        <f>計算表!C322</f>
        <v>表-詞條池</v>
      </c>
      <c r="D322" s="2" t="str">
        <f>計算表!D322</f>
        <v>移動速度%</v>
      </c>
      <c r="E322" s="2" t="str">
        <f>計算表!E322</f>
        <v>基準值 = (a + a×b×(裝備等級-1)) × 稀有度倍率</v>
      </c>
      <c r="F322" s="2" t="str">
        <f>計算表!F322</f>
        <v>a=一級基準 b=每級成長係數 c=出現權重 d=最低稀有度 e=百分比。</v>
      </c>
      <c r="G322" s="2">
        <f>計算表!G322</f>
        <v>3</v>
      </c>
      <c r="H322" s="2">
        <f>計算表!H322</f>
        <v>1.2E-2</v>
      </c>
      <c r="I322" s="2">
        <f>計算表!I322</f>
        <v>4</v>
      </c>
      <c r="J322" s="2" t="str">
        <f>計算表!J322</f>
        <v>-</v>
      </c>
      <c r="K322" s="2" t="str">
        <f>計算表!K322</f>
        <v>是</v>
      </c>
      <c r="L322" s="2">
        <f>計算表!L322</f>
        <v>0</v>
      </c>
      <c r="M322" s="2">
        <f>計算表!M322</f>
        <v>0</v>
      </c>
      <c r="N322" s="2">
        <f>計算表!N322</f>
        <v>0</v>
      </c>
      <c r="O322" s="2">
        <f>計算表!O322</f>
        <v>0</v>
      </c>
      <c r="P322" s="2">
        <f>計算表!P322</f>
        <v>0</v>
      </c>
      <c r="Q322" s="2">
        <f>計算表!Q322</f>
        <v>0</v>
      </c>
      <c r="R322" s="2">
        <f>計算表!R322</f>
        <v>0</v>
      </c>
    </row>
    <row r="323" spans="1:18" x14ac:dyDescent="0.25">
      <c r="A323">
        <f t="shared" si="4"/>
        <v>322</v>
      </c>
      <c r="B323" s="2">
        <f>計算表!B323</f>
        <v>0</v>
      </c>
      <c r="C323" s="2" t="str">
        <f>計算表!C323</f>
        <v>表-詞條池</v>
      </c>
      <c r="D323" s="2" t="str">
        <f>計算表!D323</f>
        <v>掉寶率%</v>
      </c>
      <c r="E323" s="2" t="str">
        <f>計算表!E323</f>
        <v>基準值 = (a + a×b×(裝備等級-1)) × 稀有度倍率</v>
      </c>
      <c r="F323" s="2" t="str">
        <f>計算表!F323</f>
        <v>a=一級基準 b=每級成長係數 c=出現權重 d=最低稀有度 e=百分比。</v>
      </c>
      <c r="G323" s="2">
        <f>計算表!G323</f>
        <v>3</v>
      </c>
      <c r="H323" s="2">
        <f>計算表!H323</f>
        <v>1.4999999999999999E-2</v>
      </c>
      <c r="I323" s="2">
        <f>計算表!I323</f>
        <v>4</v>
      </c>
      <c r="J323" s="2" t="str">
        <f>計算表!J323</f>
        <v>-</v>
      </c>
      <c r="K323" s="2" t="str">
        <f>計算表!K323</f>
        <v>是</v>
      </c>
      <c r="L323" s="2">
        <f>計算表!L323</f>
        <v>0</v>
      </c>
      <c r="M323" s="2">
        <f>計算表!M323</f>
        <v>0</v>
      </c>
      <c r="N323" s="2">
        <f>計算表!N323</f>
        <v>0</v>
      </c>
      <c r="O323" s="2">
        <f>計算表!O323</f>
        <v>0</v>
      </c>
      <c r="P323" s="2">
        <f>計算表!P323</f>
        <v>0</v>
      </c>
      <c r="Q323" s="2">
        <f>計算表!Q323</f>
        <v>0</v>
      </c>
      <c r="R323" s="2">
        <f>計算表!R323</f>
        <v>0</v>
      </c>
    </row>
    <row r="324" spans="1:18" x14ac:dyDescent="0.25">
      <c r="A324">
        <f t="shared" ref="A324:A387" si="5">A323+1</f>
        <v>323</v>
      </c>
      <c r="B324" s="2">
        <f>計算表!B324</f>
        <v>0</v>
      </c>
      <c r="C324" s="2" t="str">
        <f>計算表!C324</f>
        <v>表-詞條池</v>
      </c>
      <c r="D324" s="2" t="str">
        <f>計算表!D324</f>
        <v>經驗加成%</v>
      </c>
      <c r="E324" s="2" t="str">
        <f>計算表!E324</f>
        <v>基準值 = (a + a×b×(裝備等級-1)) × 稀有度倍率</v>
      </c>
      <c r="F324" s="2" t="str">
        <f>計算表!F324</f>
        <v>a=一級基準 b=每級成長係數 c=出現權重 d=最低稀有度 e=百分比。</v>
      </c>
      <c r="G324" s="2">
        <f>計算表!G324</f>
        <v>4</v>
      </c>
      <c r="H324" s="2">
        <f>計算表!H324</f>
        <v>0.02</v>
      </c>
      <c r="I324" s="2">
        <f>計算表!I324</f>
        <v>4</v>
      </c>
      <c r="J324" s="2" t="str">
        <f>計算表!J324</f>
        <v>-</v>
      </c>
      <c r="K324" s="2" t="str">
        <f>計算表!K324</f>
        <v>是（限飾品）</v>
      </c>
      <c r="L324" s="2">
        <f>計算表!L324</f>
        <v>0</v>
      </c>
      <c r="M324" s="2">
        <f>計算表!M324</f>
        <v>0</v>
      </c>
      <c r="N324" s="2">
        <f>計算表!N324</f>
        <v>0</v>
      </c>
      <c r="O324" s="2">
        <f>計算表!O324</f>
        <v>0</v>
      </c>
      <c r="P324" s="2">
        <f>計算表!P324</f>
        <v>0</v>
      </c>
      <c r="Q324" s="2">
        <f>計算表!Q324</f>
        <v>0</v>
      </c>
      <c r="R324" s="2">
        <f>計算表!R324</f>
        <v>0</v>
      </c>
    </row>
    <row r="325" spans="1:18" x14ac:dyDescent="0.25">
      <c r="A325">
        <f t="shared" si="5"/>
        <v>324</v>
      </c>
      <c r="B325" s="2">
        <f>計算表!B325</f>
        <v>0</v>
      </c>
      <c r="C325" s="2" t="str">
        <f>計算表!C325</f>
        <v>表-詞條池</v>
      </c>
      <c r="D325" s="2" t="str">
        <f>計算表!D325</f>
        <v>金幣加成%</v>
      </c>
      <c r="E325" s="2" t="str">
        <f>計算表!E325</f>
        <v>基準值 = (a + a×b×(裝備等級-1)) × 稀有度倍率</v>
      </c>
      <c r="F325" s="2" t="str">
        <f>計算表!F325</f>
        <v>a=一級基準 b=每級成長係數 c=出現權重 d=最低稀有度 e=百分比。</v>
      </c>
      <c r="G325" s="2">
        <f>計算表!G325</f>
        <v>5</v>
      </c>
      <c r="H325" s="2">
        <f>計算表!H325</f>
        <v>2.5000000000000001E-2</v>
      </c>
      <c r="I325" s="2">
        <f>計算表!I325</f>
        <v>4</v>
      </c>
      <c r="J325" s="2" t="str">
        <f>計算表!J325</f>
        <v>-</v>
      </c>
      <c r="K325" s="2" t="str">
        <f>計算表!K325</f>
        <v>是（限飾品）</v>
      </c>
      <c r="L325" s="2">
        <f>計算表!L325</f>
        <v>0</v>
      </c>
      <c r="M325" s="2">
        <f>計算表!M325</f>
        <v>0</v>
      </c>
      <c r="N325" s="2">
        <f>計算表!N325</f>
        <v>0</v>
      </c>
      <c r="O325" s="2">
        <f>計算表!O325</f>
        <v>0</v>
      </c>
      <c r="P325" s="2">
        <f>計算表!P325</f>
        <v>0</v>
      </c>
      <c r="Q325" s="2">
        <f>計算表!Q325</f>
        <v>0</v>
      </c>
      <c r="R325" s="2">
        <f>計算表!R325</f>
        <v>0</v>
      </c>
    </row>
    <row r="326" spans="1:18" x14ac:dyDescent="0.25">
      <c r="A326">
        <f t="shared" si="5"/>
        <v>325</v>
      </c>
      <c r="B326" s="2">
        <f>計算表!B326</f>
        <v>0</v>
      </c>
      <c r="C326" s="2" t="str">
        <f>計算表!C326</f>
        <v>表-詞條池</v>
      </c>
      <c r="D326" s="2" t="str">
        <f>計算表!D326</f>
        <v>幸運值</v>
      </c>
      <c r="E326" s="2" t="str">
        <f>計算表!E326</f>
        <v>基準值 = (a + a×b×(裝備等級-1)) × 稀有度倍率</v>
      </c>
      <c r="F326" s="2" t="str">
        <f>計算表!F326</f>
        <v>a=一級基準 b=每級成長係數 c=出現權重 d=最低稀有度 e=百分比。</v>
      </c>
      <c r="G326" s="2">
        <f>計算表!G326</f>
        <v>2</v>
      </c>
      <c r="H326" s="2">
        <f>計算表!H326</f>
        <v>0.1</v>
      </c>
      <c r="I326" s="2">
        <f>計算表!I326</f>
        <v>3</v>
      </c>
      <c r="J326" s="2" t="str">
        <f>計算表!J326</f>
        <v>獨特</v>
      </c>
      <c r="K326" s="2" t="str">
        <f>計算表!K326</f>
        <v>否（限飾品）</v>
      </c>
      <c r="L326" s="2">
        <f>計算表!L326</f>
        <v>0</v>
      </c>
      <c r="M326" s="2">
        <f>計算表!M326</f>
        <v>0</v>
      </c>
      <c r="N326" s="2">
        <f>計算表!N326</f>
        <v>0</v>
      </c>
      <c r="O326" s="2">
        <f>計算表!O326</f>
        <v>0</v>
      </c>
      <c r="P326" s="2">
        <f>計算表!P326</f>
        <v>0</v>
      </c>
      <c r="Q326" s="2">
        <f>計算表!Q326</f>
        <v>0</v>
      </c>
      <c r="R326" s="2">
        <f>計算表!R326</f>
        <v>0</v>
      </c>
    </row>
    <row r="327" spans="1:18" x14ac:dyDescent="0.25">
      <c r="A327">
        <f t="shared" si="5"/>
        <v>326</v>
      </c>
      <c r="B327" s="2">
        <f>計算表!B327</f>
        <v>0</v>
      </c>
      <c r="C327" s="2" t="str">
        <f>計算表!C327</f>
        <v>表-詞條池</v>
      </c>
      <c r="D327" s="2" t="str">
        <f>計算表!D327</f>
        <v>負重上限</v>
      </c>
      <c r="E327" s="2" t="str">
        <f>計算表!E327</f>
        <v>基準值 = (a + a×b×(裝備等級-1)) × 稀有度倍率</v>
      </c>
      <c r="F327" s="2" t="str">
        <f>計算表!F327</f>
        <v>a=一級基準 b=每級成長係數 c=出現權重 d=最低稀有度 e=百分比。</v>
      </c>
      <c r="G327" s="2">
        <f>計算表!G327</f>
        <v>2</v>
      </c>
      <c r="H327" s="2">
        <f>計算表!H327</f>
        <v>0.3</v>
      </c>
      <c r="I327" s="2">
        <f>計算表!I327</f>
        <v>3</v>
      </c>
      <c r="J327" s="2" t="str">
        <f>計算表!J327</f>
        <v>-</v>
      </c>
      <c r="K327" s="2" t="str">
        <f>計算表!K327</f>
        <v>否（限飾品）</v>
      </c>
      <c r="L327" s="2">
        <f>計算表!L327</f>
        <v>0</v>
      </c>
      <c r="M327" s="2">
        <f>計算表!M327</f>
        <v>0</v>
      </c>
      <c r="N327" s="2">
        <f>計算表!N327</f>
        <v>0</v>
      </c>
      <c r="O327" s="2">
        <f>計算表!O327</f>
        <v>0</v>
      </c>
      <c r="P327" s="2">
        <f>計算表!P327</f>
        <v>0</v>
      </c>
      <c r="Q327" s="2">
        <f>計算表!Q327</f>
        <v>0</v>
      </c>
      <c r="R327" s="2">
        <f>計算表!R327</f>
        <v>0</v>
      </c>
    </row>
    <row r="328" spans="1:18" x14ac:dyDescent="0.25">
      <c r="A328">
        <f t="shared" si="5"/>
        <v>327</v>
      </c>
      <c r="B328" s="2">
        <f>計算表!B328</f>
        <v>0</v>
      </c>
      <c r="C328" s="2" t="str">
        <f>計算表!C328</f>
        <v>表-詞條池</v>
      </c>
      <c r="D328" s="2" t="str">
        <f>計算表!D328</f>
        <v>強化成功率%</v>
      </c>
      <c r="E328" s="2" t="str">
        <f>計算表!E328</f>
        <v>基準值 = (a + a×b×(裝備等級-1)) × 稀有度倍率</v>
      </c>
      <c r="F328" s="2" t="str">
        <f>計算表!F328</f>
        <v>a=一級基準 b=每級成長係數 c=出現權重 d=最低稀有度 e=百分比。</v>
      </c>
      <c r="G328" s="2">
        <f>計算表!G328</f>
        <v>3</v>
      </c>
      <c r="H328" s="2">
        <f>計算表!H328</f>
        <v>1.4999999999999999E-2</v>
      </c>
      <c r="I328" s="2">
        <f>計算表!I328</f>
        <v>3</v>
      </c>
      <c r="J328" s="2" t="str">
        <f>計算表!J328</f>
        <v>獨特</v>
      </c>
      <c r="K328" s="2" t="str">
        <f>計算表!K328</f>
        <v>是</v>
      </c>
      <c r="L328" s="2">
        <f>計算表!L328</f>
        <v>0</v>
      </c>
      <c r="M328" s="2">
        <f>計算表!M328</f>
        <v>0</v>
      </c>
      <c r="N328" s="2">
        <f>計算表!N328</f>
        <v>0</v>
      </c>
      <c r="O328" s="2">
        <f>計算表!O328</f>
        <v>0</v>
      </c>
      <c r="P328" s="2">
        <f>計算表!P328</f>
        <v>0</v>
      </c>
      <c r="Q328" s="2">
        <f>計算表!Q328</f>
        <v>0</v>
      </c>
      <c r="R328" s="2">
        <f>計算表!R328</f>
        <v>0</v>
      </c>
    </row>
    <row r="329" spans="1:18" x14ac:dyDescent="0.25">
      <c r="A329">
        <f t="shared" si="5"/>
        <v>328</v>
      </c>
      <c r="B329" s="2">
        <f>計算表!B329</f>
        <v>0</v>
      </c>
      <c r="C329" s="2" t="str">
        <f>計算表!C329</f>
        <v>表-詞條池</v>
      </c>
      <c r="D329" s="2" t="str">
        <f>計算表!D329</f>
        <v>分解高產率%</v>
      </c>
      <c r="E329" s="2" t="str">
        <f>計算表!E329</f>
        <v>基準值 = (a + a×b×(裝備等級-1)) × 稀有度倍率</v>
      </c>
      <c r="F329" s="2" t="str">
        <f>計算表!F329</f>
        <v>a=一級基準 b=每級成長係數 c=出現權重 d=最低稀有度 e=百分比。</v>
      </c>
      <c r="G329" s="2">
        <f>計算表!G329</f>
        <v>3</v>
      </c>
      <c r="H329" s="2">
        <f>計算表!H329</f>
        <v>1.4999999999999999E-2</v>
      </c>
      <c r="I329" s="2">
        <f>計算表!I329</f>
        <v>3</v>
      </c>
      <c r="J329" s="2" t="str">
        <f>計算表!J329</f>
        <v>獨特</v>
      </c>
      <c r="K329" s="2" t="str">
        <f>計算表!K329</f>
        <v>是</v>
      </c>
      <c r="L329" s="2">
        <f>計算表!L329</f>
        <v>0</v>
      </c>
      <c r="M329" s="2">
        <f>計算表!M329</f>
        <v>0</v>
      </c>
      <c r="N329" s="2">
        <f>計算表!N329</f>
        <v>0</v>
      </c>
      <c r="O329" s="2">
        <f>計算表!O329</f>
        <v>0</v>
      </c>
      <c r="P329" s="2">
        <f>計算表!P329</f>
        <v>0</v>
      </c>
      <c r="Q329" s="2">
        <f>計算表!Q329</f>
        <v>0</v>
      </c>
      <c r="R329" s="2">
        <f>計算表!R329</f>
        <v>0</v>
      </c>
    </row>
    <row r="330" spans="1:18" x14ac:dyDescent="0.25">
      <c r="A330">
        <f t="shared" si="5"/>
        <v>329</v>
      </c>
      <c r="B330" s="2">
        <f>計算表!B330</f>
        <v>0</v>
      </c>
      <c r="C330" s="2" t="str">
        <f>計算表!C330</f>
        <v>表-詞條池</v>
      </c>
      <c r="D330" s="2" t="str">
        <f>計算表!D330</f>
        <v>合成變異率%</v>
      </c>
      <c r="E330" s="2" t="str">
        <f>計算表!E330</f>
        <v>基準值 = (a + a×b×(裝備等級-1)) × 稀有度倍率</v>
      </c>
      <c r="F330" s="2" t="str">
        <f>計算表!F330</f>
        <v>a=一級基準 b=每級成長係數 c=出現權重 d=最低稀有度 e=百分比。</v>
      </c>
      <c r="G330" s="2">
        <f>計算表!G330</f>
        <v>2.5</v>
      </c>
      <c r="H330" s="2">
        <f>計算表!H330</f>
        <v>1.2E-2</v>
      </c>
      <c r="I330" s="2">
        <f>計算表!I330</f>
        <v>2</v>
      </c>
      <c r="J330" s="2" t="str">
        <f>計算表!J330</f>
        <v>史詩</v>
      </c>
      <c r="K330" s="2" t="str">
        <f>計算表!K330</f>
        <v>是</v>
      </c>
      <c r="L330" s="2">
        <f>計算表!L330</f>
        <v>0</v>
      </c>
      <c r="M330" s="2">
        <f>計算表!M330</f>
        <v>0</v>
      </c>
      <c r="N330" s="2">
        <f>計算表!N330</f>
        <v>0</v>
      </c>
      <c r="O330" s="2">
        <f>計算表!O330</f>
        <v>0</v>
      </c>
      <c r="P330" s="2">
        <f>計算表!P330</f>
        <v>0</v>
      </c>
      <c r="Q330" s="2">
        <f>計算表!Q330</f>
        <v>0</v>
      </c>
      <c r="R330" s="2">
        <f>計算表!R330</f>
        <v>0</v>
      </c>
    </row>
    <row r="331" spans="1:18" x14ac:dyDescent="0.25">
      <c r="A331">
        <f t="shared" si="5"/>
        <v>330</v>
      </c>
      <c r="B331" s="2">
        <f>計算表!B331</f>
        <v>0</v>
      </c>
      <c r="C331" s="2" t="str">
        <f>計算表!C331</f>
        <v>表-詞條池</v>
      </c>
      <c r="D331" s="2" t="str">
        <f>計算表!D331</f>
        <v>狂暴閾值+</v>
      </c>
      <c r="E331" s="2" t="str">
        <f>計算表!E331</f>
        <v>基準值 = (a + a×b×(裝備等級-1)) × 稀有度倍率</v>
      </c>
      <c r="F331" s="2" t="str">
        <f>計算表!F331</f>
        <v>a=一級基準 b=每級成長係數 c=出現權重 d=最低稀有度 e=百分比。</v>
      </c>
      <c r="G331" s="2">
        <f>計算表!G331</f>
        <v>2</v>
      </c>
      <c r="H331" s="2">
        <f>計算表!H331</f>
        <v>0.08</v>
      </c>
      <c r="I331" s="2">
        <f>計算表!I331</f>
        <v>2</v>
      </c>
      <c r="J331" s="2" t="str">
        <f>計算表!J331</f>
        <v>史詩</v>
      </c>
      <c r="K331" s="2" t="str">
        <f>計算表!K331</f>
        <v>否</v>
      </c>
      <c r="L331" s="2">
        <f>計算表!L331</f>
        <v>0</v>
      </c>
      <c r="M331" s="2">
        <f>計算表!M331</f>
        <v>0</v>
      </c>
      <c r="N331" s="2">
        <f>計算表!N331</f>
        <v>0</v>
      </c>
      <c r="O331" s="2">
        <f>計算表!O331</f>
        <v>0</v>
      </c>
      <c r="P331" s="2">
        <f>計算表!P331</f>
        <v>0</v>
      </c>
      <c r="Q331" s="2">
        <f>計算表!Q331</f>
        <v>0</v>
      </c>
      <c r="R331" s="2">
        <f>計算表!R331</f>
        <v>0</v>
      </c>
    </row>
    <row r="332" spans="1:18" x14ac:dyDescent="0.25">
      <c r="A332">
        <f t="shared" si="5"/>
        <v>331</v>
      </c>
      <c r="B332" s="2">
        <f>計算表!B332</f>
        <v>0</v>
      </c>
      <c r="C332" s="2" t="str">
        <f>計算表!C332</f>
        <v>表-詞條池</v>
      </c>
      <c r="D332" s="2" t="str">
        <f>計算表!D332</f>
        <v>詞條上限率%</v>
      </c>
      <c r="E332" s="2" t="str">
        <f>計算表!E332</f>
        <v>基準值 = (a + a×b×(裝備等級-1)) × 稀有度倍率</v>
      </c>
      <c r="F332" s="2" t="str">
        <f>計算表!F332</f>
        <v>a=一級基準 b=每級成長係數 c=出現權重 d=最低稀有度 e=百分比。</v>
      </c>
      <c r="G332" s="2">
        <f>計算表!G332</f>
        <v>3</v>
      </c>
      <c r="H332" s="2">
        <f>計算表!H332</f>
        <v>1.4999999999999999E-2</v>
      </c>
      <c r="I332" s="2">
        <f>計算表!I332</f>
        <v>2</v>
      </c>
      <c r="J332" s="2" t="str">
        <f>計算表!J332</f>
        <v>史詩</v>
      </c>
      <c r="K332" s="2" t="str">
        <f>計算表!K332</f>
        <v>是（限飾品）</v>
      </c>
      <c r="L332" s="2">
        <f>計算表!L332</f>
        <v>0</v>
      </c>
      <c r="M332" s="2">
        <f>計算表!M332</f>
        <v>0</v>
      </c>
      <c r="N332" s="2">
        <f>計算表!N332</f>
        <v>0</v>
      </c>
      <c r="O332" s="2">
        <f>計算表!O332</f>
        <v>0</v>
      </c>
      <c r="P332" s="2">
        <f>計算表!P332</f>
        <v>0</v>
      </c>
      <c r="Q332" s="2">
        <f>計算表!Q332</f>
        <v>0</v>
      </c>
      <c r="R332" s="2">
        <f>計算表!R332</f>
        <v>0</v>
      </c>
    </row>
    <row r="333" spans="1:18" x14ac:dyDescent="0.25">
      <c r="A333">
        <f t="shared" si="5"/>
        <v>332</v>
      </c>
      <c r="B333" s="2">
        <f>計算表!B333</f>
        <v>0</v>
      </c>
      <c r="C333" s="2" t="str">
        <f>計算表!C333</f>
        <v>表-詞條池</v>
      </c>
      <c r="D333" s="2" t="str">
        <f>計算表!D333</f>
        <v>寶石鑲嵌效率%</v>
      </c>
      <c r="E333" s="2" t="str">
        <f>計算表!E333</f>
        <v>基準值 = (a + a×b×(裝備等級-1)) × 稀有度倍率</v>
      </c>
      <c r="F333" s="2" t="str">
        <f>計算表!F333</f>
        <v>a=一級基準 b=每級成長係數 c=出現權重 d=最低稀有度 e=百分比。</v>
      </c>
      <c r="G333" s="2">
        <f>計算表!G333</f>
        <v>5</v>
      </c>
      <c r="H333" s="2">
        <f>計算表!H333</f>
        <v>2.5000000000000001E-2</v>
      </c>
      <c r="I333" s="2">
        <f>計算表!I333</f>
        <v>2</v>
      </c>
      <c r="J333" s="2" t="str">
        <f>計算表!J333</f>
        <v>史詩</v>
      </c>
      <c r="K333" s="2" t="str">
        <f>計算表!K333</f>
        <v>是（限飾品）</v>
      </c>
      <c r="L333" s="2">
        <f>計算表!L333</f>
        <v>0</v>
      </c>
      <c r="M333" s="2">
        <f>計算表!M333</f>
        <v>0</v>
      </c>
      <c r="N333" s="2">
        <f>計算表!N333</f>
        <v>0</v>
      </c>
      <c r="O333" s="2">
        <f>計算表!O333</f>
        <v>0</v>
      </c>
      <c r="P333" s="2">
        <f>計算表!P333</f>
        <v>0</v>
      </c>
      <c r="Q333" s="2">
        <f>計算表!Q333</f>
        <v>0</v>
      </c>
      <c r="R333" s="2">
        <f>計算表!R333</f>
        <v>0</v>
      </c>
    </row>
    <row r="334" spans="1:18" x14ac:dyDescent="0.25">
      <c r="A334">
        <f t="shared" si="5"/>
        <v>333</v>
      </c>
      <c r="B334" s="2">
        <f>計算表!B334</f>
        <v>0</v>
      </c>
      <c r="C334" s="2" t="str">
        <f>計算表!C334</f>
        <v>表-特殊被動</v>
      </c>
      <c r="D334" s="2" t="str">
        <f>計算表!D334</f>
        <v>破甲</v>
      </c>
      <c r="E334" s="2" t="str">
        <f>計算表!E334</f>
        <v>數值 = a + b×(稀有度-2)</v>
      </c>
      <c r="F334" s="2" t="str">
        <f>計算表!F334</f>
        <v>a=稀有級基準 b=每高一階 c=多件疊加後上限。稀有級以上才附帶。</v>
      </c>
      <c r="G334" s="2">
        <f>計算表!G334</f>
        <v>10</v>
      </c>
      <c r="H334" s="2">
        <f>計算表!H334</f>
        <v>2</v>
      </c>
      <c r="I334" s="2" t="str">
        <f>計算表!I334</f>
        <v>—</v>
      </c>
      <c r="J334" s="2">
        <f>計算表!J334</f>
        <v>0</v>
      </c>
      <c r="K334" s="2">
        <f>計算表!K334</f>
        <v>0</v>
      </c>
      <c r="L334" s="2">
        <f>計算表!L334</f>
        <v>0</v>
      </c>
      <c r="M334" s="2">
        <f>計算表!M334</f>
        <v>0</v>
      </c>
      <c r="N334" s="2">
        <f>計算表!N334</f>
        <v>0</v>
      </c>
      <c r="O334" s="2">
        <f>計算表!O334</f>
        <v>0</v>
      </c>
      <c r="P334" s="2">
        <f>計算表!P334</f>
        <v>0</v>
      </c>
      <c r="Q334" s="2">
        <f>計算表!Q334</f>
        <v>0</v>
      </c>
      <c r="R334" s="2">
        <f>計算表!R334</f>
        <v>0</v>
      </c>
    </row>
    <row r="335" spans="1:18" x14ac:dyDescent="0.25">
      <c r="A335">
        <f t="shared" si="5"/>
        <v>334</v>
      </c>
      <c r="B335" s="2">
        <f>計算表!B335</f>
        <v>0</v>
      </c>
      <c r="C335" s="2" t="str">
        <f>計算表!C335</f>
        <v>表-特殊被動</v>
      </c>
      <c r="D335" s="2" t="str">
        <f>計算表!D335</f>
        <v>反震</v>
      </c>
      <c r="E335" s="2" t="str">
        <f>計算表!E335</f>
        <v>數值 = a + b×(稀有度-2)</v>
      </c>
      <c r="F335" s="2" t="str">
        <f>計算表!F335</f>
        <v>a=稀有級基準 b=每高一階 c=多件疊加後上限。稀有級以上才附帶。</v>
      </c>
      <c r="G335" s="2">
        <f>計算表!G335</f>
        <v>5</v>
      </c>
      <c r="H335" s="2">
        <f>計算表!H335</f>
        <v>1</v>
      </c>
      <c r="I335" s="2" t="str">
        <f>計算表!I335</f>
        <v>—</v>
      </c>
      <c r="J335" s="2">
        <f>計算表!J335</f>
        <v>0</v>
      </c>
      <c r="K335" s="2">
        <f>計算表!K335</f>
        <v>0</v>
      </c>
      <c r="L335" s="2">
        <f>計算表!L335</f>
        <v>0</v>
      </c>
      <c r="M335" s="2">
        <f>計算表!M335</f>
        <v>0</v>
      </c>
      <c r="N335" s="2">
        <f>計算表!N335</f>
        <v>0</v>
      </c>
      <c r="O335" s="2">
        <f>計算表!O335</f>
        <v>0</v>
      </c>
      <c r="P335" s="2">
        <f>計算表!P335</f>
        <v>0</v>
      </c>
      <c r="Q335" s="2">
        <f>計算表!Q335</f>
        <v>0</v>
      </c>
      <c r="R335" s="2">
        <f>計算表!R335</f>
        <v>0</v>
      </c>
    </row>
    <row r="336" spans="1:18" x14ac:dyDescent="0.25">
      <c r="A336">
        <f t="shared" si="5"/>
        <v>335</v>
      </c>
      <c r="B336" s="2">
        <f>計算表!B336</f>
        <v>0</v>
      </c>
      <c r="C336" s="2" t="str">
        <f>計算表!C336</f>
        <v>表-特殊被動</v>
      </c>
      <c r="D336" s="2" t="str">
        <f>計算表!D336</f>
        <v>連擊</v>
      </c>
      <c r="E336" s="2" t="str">
        <f>計算表!E336</f>
        <v>數值 = a + b×(稀有度-2)</v>
      </c>
      <c r="F336" s="2" t="str">
        <f>計算表!F336</f>
        <v>a=稀有級基準 b=每高一階 c=多件疊加後上限。稀有級以上才附帶。</v>
      </c>
      <c r="G336" s="2">
        <f>計算表!G336</f>
        <v>10</v>
      </c>
      <c r="H336" s="2">
        <f>計算表!H336</f>
        <v>2</v>
      </c>
      <c r="I336" s="2">
        <f>計算表!I336</f>
        <v>45</v>
      </c>
      <c r="J336" s="2">
        <f>計算表!J336</f>
        <v>0</v>
      </c>
      <c r="K336" s="2">
        <f>計算表!K336</f>
        <v>0</v>
      </c>
      <c r="L336" s="2">
        <f>計算表!L336</f>
        <v>0</v>
      </c>
      <c r="M336" s="2">
        <f>計算表!M336</f>
        <v>0</v>
      </c>
      <c r="N336" s="2">
        <f>計算表!N336</f>
        <v>0</v>
      </c>
      <c r="O336" s="2">
        <f>計算表!O336</f>
        <v>0</v>
      </c>
      <c r="P336" s="2">
        <f>計算表!P336</f>
        <v>0</v>
      </c>
      <c r="Q336" s="2">
        <f>計算表!Q336</f>
        <v>0</v>
      </c>
      <c r="R336" s="2">
        <f>計算表!R336</f>
        <v>0</v>
      </c>
    </row>
    <row r="337" spans="1:18" x14ac:dyDescent="0.25">
      <c r="A337">
        <f t="shared" si="5"/>
        <v>336</v>
      </c>
      <c r="B337" s="2">
        <f>計算表!B337</f>
        <v>0</v>
      </c>
      <c r="C337" s="2" t="str">
        <f>計算表!C337</f>
        <v>表-特殊被動</v>
      </c>
      <c r="D337" s="2" t="str">
        <f>計算表!D337</f>
        <v>暈眩</v>
      </c>
      <c r="E337" s="2" t="str">
        <f>計算表!E337</f>
        <v>數值 = a + b×(稀有度-2)</v>
      </c>
      <c r="F337" s="2" t="str">
        <f>計算表!F337</f>
        <v>a=稀有級基準 b=每高一階 c=多件疊加後上限。稀有級以上才附帶。</v>
      </c>
      <c r="G337" s="2">
        <f>計算表!G337</f>
        <v>6</v>
      </c>
      <c r="H337" s="2">
        <f>計算表!H337</f>
        <v>1.5</v>
      </c>
      <c r="I337" s="2">
        <f>計算表!I337</f>
        <v>30</v>
      </c>
      <c r="J337" s="2">
        <f>計算表!J337</f>
        <v>0</v>
      </c>
      <c r="K337" s="2">
        <f>計算表!K337</f>
        <v>0</v>
      </c>
      <c r="L337" s="2">
        <f>計算表!L337</f>
        <v>0</v>
      </c>
      <c r="M337" s="2">
        <f>計算表!M337</f>
        <v>0</v>
      </c>
      <c r="N337" s="2">
        <f>計算表!N337</f>
        <v>0</v>
      </c>
      <c r="O337" s="2">
        <f>計算表!O337</f>
        <v>0</v>
      </c>
      <c r="P337" s="2">
        <f>計算表!P337</f>
        <v>0</v>
      </c>
      <c r="Q337" s="2">
        <f>計算表!Q337</f>
        <v>0</v>
      </c>
      <c r="R337" s="2">
        <f>計算表!R337</f>
        <v>0</v>
      </c>
    </row>
    <row r="338" spans="1:18" x14ac:dyDescent="0.25">
      <c r="A338">
        <f t="shared" si="5"/>
        <v>337</v>
      </c>
      <c r="B338" s="2">
        <f>計算表!B338</f>
        <v>0</v>
      </c>
      <c r="C338" s="2" t="str">
        <f>計算表!C338</f>
        <v>表-特殊被動</v>
      </c>
      <c r="D338" s="2" t="str">
        <f>計算表!D338</f>
        <v>減速</v>
      </c>
      <c r="E338" s="2" t="str">
        <f>計算表!E338</f>
        <v>數值 = a + b×(稀有度-2)</v>
      </c>
      <c r="F338" s="2" t="str">
        <f>計算表!F338</f>
        <v>a=稀有級基準 b=每高一階 c=多件疊加後上限。稀有級以上才附帶。</v>
      </c>
      <c r="G338" s="2">
        <f>計算表!G338</f>
        <v>12</v>
      </c>
      <c r="H338" s="2">
        <f>計算表!H338</f>
        <v>3</v>
      </c>
      <c r="I338" s="2" t="str">
        <f>計算表!I338</f>
        <v>—</v>
      </c>
      <c r="J338" s="2">
        <f>計算表!J338</f>
        <v>0</v>
      </c>
      <c r="K338" s="2">
        <f>計算表!K338</f>
        <v>0</v>
      </c>
      <c r="L338" s="2">
        <f>計算表!L338</f>
        <v>0</v>
      </c>
      <c r="M338" s="2">
        <f>計算表!M338</f>
        <v>0</v>
      </c>
      <c r="N338" s="2">
        <f>計算表!N338</f>
        <v>0</v>
      </c>
      <c r="O338" s="2">
        <f>計算表!O338</f>
        <v>0</v>
      </c>
      <c r="P338" s="2">
        <f>計算表!P338</f>
        <v>0</v>
      </c>
      <c r="Q338" s="2">
        <f>計算表!Q338</f>
        <v>0</v>
      </c>
      <c r="R338" s="2">
        <f>計算表!R338</f>
        <v>0</v>
      </c>
    </row>
    <row r="339" spans="1:18" x14ac:dyDescent="0.25">
      <c r="A339">
        <f t="shared" si="5"/>
        <v>338</v>
      </c>
      <c r="B339" s="2">
        <f>計算表!B339</f>
        <v>0</v>
      </c>
      <c r="C339" s="2" t="str">
        <f>計算表!C339</f>
        <v>表-特殊被動</v>
      </c>
      <c r="D339" s="2" t="str">
        <f>計算表!D339</f>
        <v>真傷</v>
      </c>
      <c r="E339" s="2" t="str">
        <f>計算表!E339</f>
        <v>數值 = a + b×(稀有度-2)</v>
      </c>
      <c r="F339" s="2" t="str">
        <f>計算表!F339</f>
        <v>a=稀有級基準 b=每高一階 c=多件疊加後上限。稀有級以上才附帶。</v>
      </c>
      <c r="G339" s="2">
        <f>計算表!G339</f>
        <v>6</v>
      </c>
      <c r="H339" s="2">
        <f>計算表!H339</f>
        <v>1.5</v>
      </c>
      <c r="I339" s="2" t="str">
        <f>計算表!I339</f>
        <v>—</v>
      </c>
      <c r="J339" s="2">
        <f>計算表!J339</f>
        <v>0</v>
      </c>
      <c r="K339" s="2">
        <f>計算表!K339</f>
        <v>0</v>
      </c>
      <c r="L339" s="2">
        <f>計算表!L339</f>
        <v>0</v>
      </c>
      <c r="M339" s="2">
        <f>計算表!M339</f>
        <v>0</v>
      </c>
      <c r="N339" s="2">
        <f>計算表!N339</f>
        <v>0</v>
      </c>
      <c r="O339" s="2">
        <f>計算表!O339</f>
        <v>0</v>
      </c>
      <c r="P339" s="2">
        <f>計算表!P339</f>
        <v>0</v>
      </c>
      <c r="Q339" s="2">
        <f>計算表!Q339</f>
        <v>0</v>
      </c>
      <c r="R339" s="2">
        <f>計算表!R339</f>
        <v>0</v>
      </c>
    </row>
    <row r="340" spans="1:18" x14ac:dyDescent="0.25">
      <c r="A340">
        <f t="shared" si="5"/>
        <v>339</v>
      </c>
      <c r="B340" s="2">
        <f>計算表!B340</f>
        <v>0</v>
      </c>
      <c r="C340" s="2" t="str">
        <f>計算表!C340</f>
        <v>表-特殊被動</v>
      </c>
      <c r="D340" s="2" t="str">
        <f>計算表!D340</f>
        <v>吸魂</v>
      </c>
      <c r="E340" s="2" t="str">
        <f>計算表!E340</f>
        <v>數值 = a + b×(稀有度-2)</v>
      </c>
      <c r="F340" s="2" t="str">
        <f>計算表!F340</f>
        <v>a=稀有級基準 b=每高一階 c=多件疊加後上限。稀有級以上才附帶。</v>
      </c>
      <c r="G340" s="2">
        <f>計算表!G340</f>
        <v>5</v>
      </c>
      <c r="H340" s="2">
        <f>計算表!H340</f>
        <v>1.5</v>
      </c>
      <c r="I340" s="2" t="str">
        <f>計算表!I340</f>
        <v>—</v>
      </c>
      <c r="J340" s="2">
        <f>計算表!J340</f>
        <v>0</v>
      </c>
      <c r="K340" s="2">
        <f>計算表!K340</f>
        <v>0</v>
      </c>
      <c r="L340" s="2">
        <f>計算表!L340</f>
        <v>0</v>
      </c>
      <c r="M340" s="2">
        <f>計算表!M340</f>
        <v>0</v>
      </c>
      <c r="N340" s="2">
        <f>計算表!N340</f>
        <v>0</v>
      </c>
      <c r="O340" s="2">
        <f>計算表!O340</f>
        <v>0</v>
      </c>
      <c r="P340" s="2">
        <f>計算表!P340</f>
        <v>0</v>
      </c>
      <c r="Q340" s="2">
        <f>計算表!Q340</f>
        <v>0</v>
      </c>
      <c r="R340" s="2">
        <f>計算表!R340</f>
        <v>0</v>
      </c>
    </row>
    <row r="341" spans="1:18" x14ac:dyDescent="0.25">
      <c r="A341">
        <f t="shared" si="5"/>
        <v>340</v>
      </c>
      <c r="B341" s="2">
        <f>計算表!B341</f>
        <v>0</v>
      </c>
      <c r="C341" s="2" t="str">
        <f>計算表!C341</f>
        <v>表-神鑄特效</v>
      </c>
      <c r="D341" s="2" t="str">
        <f>計算表!D341</f>
        <v>龍血</v>
      </c>
      <c r="E341" s="2" t="str">
        <f>計算表!E341</f>
        <v>數值 = a × rnd(0.8, 1.2)</v>
      </c>
      <c r="F341" s="2" t="str">
        <f>計算表!F341</f>
        <v>生命上限提高 v%（僅神鑄創世裝備，生成必帶 2 條）。</v>
      </c>
      <c r="G341" s="2">
        <f>計算表!G341</f>
        <v>25</v>
      </c>
      <c r="H341" s="2">
        <f>計算表!H341</f>
        <v>0</v>
      </c>
      <c r="I341" s="2">
        <f>計算表!I341</f>
        <v>0</v>
      </c>
      <c r="J341" s="2">
        <f>計算表!J341</f>
        <v>0</v>
      </c>
      <c r="K341" s="2">
        <f>計算表!K341</f>
        <v>0</v>
      </c>
      <c r="L341" s="2">
        <f>計算表!L341</f>
        <v>0</v>
      </c>
      <c r="M341" s="2">
        <f>計算表!M341</f>
        <v>0</v>
      </c>
      <c r="N341" s="2">
        <f>計算表!N341</f>
        <v>0</v>
      </c>
      <c r="O341" s="2">
        <f>計算表!O341</f>
        <v>0</v>
      </c>
      <c r="P341" s="2">
        <f>計算表!P341</f>
        <v>0</v>
      </c>
      <c r="Q341" s="2">
        <f>計算表!Q341</f>
        <v>0</v>
      </c>
      <c r="R341" s="2">
        <f>計算表!R341</f>
        <v>0</v>
      </c>
    </row>
    <row r="342" spans="1:18" x14ac:dyDescent="0.25">
      <c r="A342">
        <f t="shared" si="5"/>
        <v>341</v>
      </c>
      <c r="B342" s="2">
        <f>計算表!B342</f>
        <v>0</v>
      </c>
      <c r="C342" s="2" t="str">
        <f>計算表!C342</f>
        <v>表-神鑄特效</v>
      </c>
      <c r="D342" s="2" t="str">
        <f>計算表!D342</f>
        <v>神力</v>
      </c>
      <c r="E342" s="2" t="str">
        <f>計算表!E342</f>
        <v>數值 = a × rnd(0.8, 1.2)</v>
      </c>
      <c r="F342" s="2" t="str">
        <f>計算表!F342</f>
        <v>物理與魔法攻擊額外提高 v%（額外乘區）（僅神鑄創世裝備，生成必帶 2 條）。</v>
      </c>
      <c r="G342" s="2">
        <f>計算表!G342</f>
        <v>18</v>
      </c>
      <c r="H342" s="2">
        <f>計算表!H342</f>
        <v>0</v>
      </c>
      <c r="I342" s="2">
        <f>計算表!I342</f>
        <v>0</v>
      </c>
      <c r="J342" s="2">
        <f>計算表!J342</f>
        <v>0</v>
      </c>
      <c r="K342" s="2">
        <f>計算表!K342</f>
        <v>0</v>
      </c>
      <c r="L342" s="2">
        <f>計算表!L342</f>
        <v>0</v>
      </c>
      <c r="M342" s="2">
        <f>計算表!M342</f>
        <v>0</v>
      </c>
      <c r="N342" s="2">
        <f>計算表!N342</f>
        <v>0</v>
      </c>
      <c r="O342" s="2">
        <f>計算表!O342</f>
        <v>0</v>
      </c>
      <c r="P342" s="2">
        <f>計算表!P342</f>
        <v>0</v>
      </c>
      <c r="Q342" s="2">
        <f>計算表!Q342</f>
        <v>0</v>
      </c>
      <c r="R342" s="2">
        <f>計算表!R342</f>
        <v>0</v>
      </c>
    </row>
    <row r="343" spans="1:18" x14ac:dyDescent="0.25">
      <c r="A343">
        <f t="shared" si="5"/>
        <v>342</v>
      </c>
      <c r="B343" s="2">
        <f>計算表!B343</f>
        <v>0</v>
      </c>
      <c r="C343" s="2" t="str">
        <f>計算表!C343</f>
        <v>表-神鑄特效</v>
      </c>
      <c r="D343" s="2" t="str">
        <f>計算表!D343</f>
        <v>神速</v>
      </c>
      <c r="E343" s="2" t="str">
        <f>計算表!E343</f>
        <v>數值 = a × rnd(0.8, 1.2)</v>
      </c>
      <c r="F343" s="2" t="str">
        <f>計算表!F343</f>
        <v>攻擊速度提高 v%（僅神鑄創世裝備，生成必帶 2 條）。</v>
      </c>
      <c r="G343" s="2">
        <f>計算表!G343</f>
        <v>15</v>
      </c>
      <c r="H343" s="2">
        <f>計算表!H343</f>
        <v>0</v>
      </c>
      <c r="I343" s="2">
        <f>計算表!I343</f>
        <v>0</v>
      </c>
      <c r="J343" s="2">
        <f>計算表!J343</f>
        <v>0</v>
      </c>
      <c r="K343" s="2">
        <f>計算表!K343</f>
        <v>0</v>
      </c>
      <c r="L343" s="2">
        <f>計算表!L343</f>
        <v>0</v>
      </c>
      <c r="M343" s="2">
        <f>計算表!M343</f>
        <v>0</v>
      </c>
      <c r="N343" s="2">
        <f>計算表!N343</f>
        <v>0</v>
      </c>
      <c r="O343" s="2">
        <f>計算表!O343</f>
        <v>0</v>
      </c>
      <c r="P343" s="2">
        <f>計算表!P343</f>
        <v>0</v>
      </c>
      <c r="Q343" s="2">
        <f>計算表!Q343</f>
        <v>0</v>
      </c>
      <c r="R343" s="2">
        <f>計算表!R343</f>
        <v>0</v>
      </c>
    </row>
    <row r="344" spans="1:18" x14ac:dyDescent="0.25">
      <c r="A344">
        <f t="shared" si="5"/>
        <v>343</v>
      </c>
      <c r="B344" s="2">
        <f>計算表!B344</f>
        <v>0</v>
      </c>
      <c r="C344" s="2" t="str">
        <f>計算表!C344</f>
        <v>表-神鑄特效</v>
      </c>
      <c r="D344" s="2" t="str">
        <f>計算表!D344</f>
        <v>屠神</v>
      </c>
      <c r="E344" s="2" t="str">
        <f>計算表!E344</f>
        <v>數值 = a × rnd(0.8, 1.2)</v>
      </c>
      <c r="F344" s="2" t="str">
        <f>計算表!F344</f>
        <v>對菁英與 BOSS 傷害提高 v%（僅神鑄創世裝備，生成必帶 2 條）。</v>
      </c>
      <c r="G344" s="2">
        <f>計算表!G344</f>
        <v>30</v>
      </c>
      <c r="H344" s="2">
        <f>計算表!H344</f>
        <v>0</v>
      </c>
      <c r="I344" s="2">
        <f>計算表!I344</f>
        <v>0</v>
      </c>
      <c r="J344" s="2">
        <f>計算表!J344</f>
        <v>0</v>
      </c>
      <c r="K344" s="2">
        <f>計算表!K344</f>
        <v>0</v>
      </c>
      <c r="L344" s="2">
        <f>計算表!L344</f>
        <v>0</v>
      </c>
      <c r="M344" s="2">
        <f>計算表!M344</f>
        <v>0</v>
      </c>
      <c r="N344" s="2">
        <f>計算表!N344</f>
        <v>0</v>
      </c>
      <c r="O344" s="2">
        <f>計算表!O344</f>
        <v>0</v>
      </c>
      <c r="P344" s="2">
        <f>計算表!P344</f>
        <v>0</v>
      </c>
      <c r="Q344" s="2">
        <f>計算表!Q344</f>
        <v>0</v>
      </c>
      <c r="R344" s="2">
        <f>計算表!R344</f>
        <v>0</v>
      </c>
    </row>
    <row r="345" spans="1:18" x14ac:dyDescent="0.25">
      <c r="A345">
        <f t="shared" si="5"/>
        <v>344</v>
      </c>
      <c r="B345" s="2">
        <f>計算表!B345</f>
        <v>0</v>
      </c>
      <c r="C345" s="2" t="str">
        <f>計算表!C345</f>
        <v>表-神鑄特效</v>
      </c>
      <c r="D345" s="2" t="str">
        <f>計算表!D345</f>
        <v>貪婪</v>
      </c>
      <c r="E345" s="2" t="str">
        <f>計算表!E345</f>
        <v>數值 = a × rnd(0.8, 1.2)</v>
      </c>
      <c r="F345" s="2" t="str">
        <f>計算表!F345</f>
        <v>金幣加成與掉寶率提高 v%（僅神鑄創世裝備，生成必帶 2 條）。</v>
      </c>
      <c r="G345" s="2">
        <f>計算表!G345</f>
        <v>25</v>
      </c>
      <c r="H345" s="2">
        <f>計算表!H345</f>
        <v>0</v>
      </c>
      <c r="I345" s="2">
        <f>計算表!I345</f>
        <v>0</v>
      </c>
      <c r="J345" s="2">
        <f>計算表!J345</f>
        <v>0</v>
      </c>
      <c r="K345" s="2">
        <f>計算表!K345</f>
        <v>0</v>
      </c>
      <c r="L345" s="2">
        <f>計算表!L345</f>
        <v>0</v>
      </c>
      <c r="M345" s="2">
        <f>計算表!M345</f>
        <v>0</v>
      </c>
      <c r="N345" s="2">
        <f>計算表!N345</f>
        <v>0</v>
      </c>
      <c r="O345" s="2">
        <f>計算表!O345</f>
        <v>0</v>
      </c>
      <c r="P345" s="2">
        <f>計算表!P345</f>
        <v>0</v>
      </c>
      <c r="Q345" s="2">
        <f>計算表!Q345</f>
        <v>0</v>
      </c>
      <c r="R345" s="2">
        <f>計算表!R345</f>
        <v>0</v>
      </c>
    </row>
    <row r="346" spans="1:18" x14ac:dyDescent="0.25">
      <c r="A346">
        <f t="shared" si="5"/>
        <v>345</v>
      </c>
      <c r="B346" s="2">
        <f>計算表!B346</f>
        <v>0</v>
      </c>
      <c r="C346" s="2" t="str">
        <f>計算表!C346</f>
        <v>表-神鑄特效</v>
      </c>
      <c r="D346" s="2" t="str">
        <f>計算表!D346</f>
        <v>神壁</v>
      </c>
      <c r="E346" s="2" t="str">
        <f>計算表!E346</f>
        <v>數值 = a × rnd(0.8, 1.2)</v>
      </c>
      <c r="F346" s="2" t="str">
        <f>計算表!F346</f>
        <v>物理與魔法防禦提高 v%（僅神鑄創世裝備，生成必帶 2 條）。</v>
      </c>
      <c r="G346" s="2">
        <f>計算表!G346</f>
        <v>25</v>
      </c>
      <c r="H346" s="2">
        <f>計算表!H346</f>
        <v>0</v>
      </c>
      <c r="I346" s="2">
        <f>計算表!I346</f>
        <v>0</v>
      </c>
      <c r="J346" s="2">
        <f>計算表!J346</f>
        <v>0</v>
      </c>
      <c r="K346" s="2">
        <f>計算表!K346</f>
        <v>0</v>
      </c>
      <c r="L346" s="2">
        <f>計算表!L346</f>
        <v>0</v>
      </c>
      <c r="M346" s="2">
        <f>計算表!M346</f>
        <v>0</v>
      </c>
      <c r="N346" s="2">
        <f>計算表!N346</f>
        <v>0</v>
      </c>
      <c r="O346" s="2">
        <f>計算表!O346</f>
        <v>0</v>
      </c>
      <c r="P346" s="2">
        <f>計算表!P346</f>
        <v>0</v>
      </c>
      <c r="Q346" s="2">
        <f>計算表!Q346</f>
        <v>0</v>
      </c>
      <c r="R346" s="2">
        <f>計算表!R346</f>
        <v>0</v>
      </c>
    </row>
    <row r="347" spans="1:18" x14ac:dyDescent="0.25">
      <c r="A347">
        <f t="shared" si="5"/>
        <v>346</v>
      </c>
      <c r="B347" s="2">
        <f>計算表!B347</f>
        <v>0</v>
      </c>
      <c r="C347" s="2" t="str">
        <f>計算表!C347</f>
        <v>表-神鑄特效</v>
      </c>
      <c r="D347" s="2" t="str">
        <f>計算表!D347</f>
        <v>天罰</v>
      </c>
      <c r="E347" s="2" t="str">
        <f>計算表!E347</f>
        <v>數值 = a × rnd(0.8, 1.2)</v>
      </c>
      <c r="F347" s="2" t="str">
        <f>計算表!F347</f>
        <v>攻擊時 v% 機率降下神雷（250% 物攻真實傷害）（僅神鑄創世裝備，生成必帶 2 條）。</v>
      </c>
      <c r="G347" s="2">
        <f>計算表!G347</f>
        <v>12</v>
      </c>
      <c r="H347" s="2">
        <f>計算表!H347</f>
        <v>0</v>
      </c>
      <c r="I347" s="2">
        <f>計算表!I347</f>
        <v>0</v>
      </c>
      <c r="J347" s="2">
        <f>計算表!J347</f>
        <v>0</v>
      </c>
      <c r="K347" s="2">
        <f>計算表!K347</f>
        <v>0</v>
      </c>
      <c r="L347" s="2">
        <f>計算表!L347</f>
        <v>0</v>
      </c>
      <c r="M347" s="2">
        <f>計算表!M347</f>
        <v>0</v>
      </c>
      <c r="N347" s="2">
        <f>計算表!N347</f>
        <v>0</v>
      </c>
      <c r="O347" s="2">
        <f>計算表!O347</f>
        <v>0</v>
      </c>
      <c r="P347" s="2">
        <f>計算表!P347</f>
        <v>0</v>
      </c>
      <c r="Q347" s="2">
        <f>計算表!Q347</f>
        <v>0</v>
      </c>
      <c r="R347" s="2">
        <f>計算表!R347</f>
        <v>0</v>
      </c>
    </row>
    <row r="348" spans="1:18" x14ac:dyDescent="0.25">
      <c r="A348">
        <f t="shared" si="5"/>
        <v>347</v>
      </c>
      <c r="B348" s="2">
        <f>計算表!B348</f>
        <v>0</v>
      </c>
      <c r="C348" s="2" t="str">
        <f>計算表!C348</f>
        <v>表-神鑄特效</v>
      </c>
      <c r="D348" s="2" t="str">
        <f>計算表!D348</f>
        <v>破滅</v>
      </c>
      <c r="E348" s="2" t="str">
        <f>計算表!E348</f>
        <v>數值 = a × rnd(0.8, 1.2)</v>
      </c>
      <c r="F348" s="2" t="str">
        <f>計算表!F348</f>
        <v>暴擊時 v% 機率傷害翻倍（僅神鑄創世裝備，生成必帶 2 條）。</v>
      </c>
      <c r="G348" s="2">
        <f>計算表!G348</f>
        <v>15</v>
      </c>
      <c r="H348" s="2">
        <f>計算表!H348</f>
        <v>0</v>
      </c>
      <c r="I348" s="2">
        <f>計算表!I348</f>
        <v>0</v>
      </c>
      <c r="J348" s="2">
        <f>計算表!J348</f>
        <v>0</v>
      </c>
      <c r="K348" s="2">
        <f>計算表!K348</f>
        <v>0</v>
      </c>
      <c r="L348" s="2">
        <f>計算表!L348</f>
        <v>0</v>
      </c>
      <c r="M348" s="2">
        <f>計算表!M348</f>
        <v>0</v>
      </c>
      <c r="N348" s="2">
        <f>計算表!N348</f>
        <v>0</v>
      </c>
      <c r="O348" s="2">
        <f>計算表!O348</f>
        <v>0</v>
      </c>
      <c r="P348" s="2">
        <f>計算表!P348</f>
        <v>0</v>
      </c>
      <c r="Q348" s="2">
        <f>計算表!Q348</f>
        <v>0</v>
      </c>
      <c r="R348" s="2">
        <f>計算表!R348</f>
        <v>0</v>
      </c>
    </row>
    <row r="349" spans="1:18" x14ac:dyDescent="0.25">
      <c r="A349">
        <f t="shared" si="5"/>
        <v>348</v>
      </c>
      <c r="B349" s="2">
        <f>計算表!B349</f>
        <v>0</v>
      </c>
      <c r="C349" s="2" t="str">
        <f>計算表!C349</f>
        <v>表-神鑄特效</v>
      </c>
      <c r="D349" s="2" t="str">
        <f>計算表!D349</f>
        <v>聖佑</v>
      </c>
      <c r="E349" s="2" t="str">
        <f>計算表!E349</f>
        <v>數值 = a × rnd(0.8, 1.2)</v>
      </c>
      <c r="F349" s="2" t="str">
        <f>計算表!F349</f>
        <v>受到的所有傷害降低 v%（上限 50%）（僅神鑄創世裝備，生成必帶 2 條）。</v>
      </c>
      <c r="G349" s="2">
        <f>計算表!G349</f>
        <v>8</v>
      </c>
      <c r="H349" s="2">
        <f>計算表!H349</f>
        <v>0</v>
      </c>
      <c r="I349" s="2">
        <f>計算表!I349</f>
        <v>0</v>
      </c>
      <c r="J349" s="2">
        <f>計算表!J349</f>
        <v>0</v>
      </c>
      <c r="K349" s="2">
        <f>計算表!K349</f>
        <v>0</v>
      </c>
      <c r="L349" s="2">
        <f>計算表!L349</f>
        <v>0</v>
      </c>
      <c r="M349" s="2">
        <f>計算表!M349</f>
        <v>0</v>
      </c>
      <c r="N349" s="2">
        <f>計算表!N349</f>
        <v>0</v>
      </c>
      <c r="O349" s="2">
        <f>計算表!O349</f>
        <v>0</v>
      </c>
      <c r="P349" s="2">
        <f>計算表!P349</f>
        <v>0</v>
      </c>
      <c r="Q349" s="2">
        <f>計算表!Q349</f>
        <v>0</v>
      </c>
      <c r="R349" s="2">
        <f>計算表!R349</f>
        <v>0</v>
      </c>
    </row>
    <row r="350" spans="1:18" x14ac:dyDescent="0.25">
      <c r="A350">
        <f t="shared" si="5"/>
        <v>349</v>
      </c>
      <c r="B350" s="2">
        <f>計算表!B350</f>
        <v>0</v>
      </c>
      <c r="C350" s="2" t="str">
        <f>計算表!C350</f>
        <v>表-神鑄特效</v>
      </c>
      <c r="D350" s="2" t="str">
        <f>計算表!D350</f>
        <v>不朽</v>
      </c>
      <c r="E350" s="2" t="str">
        <f>計算表!E350</f>
        <v>數值 = a × rnd(0.8, 1.2)</v>
      </c>
      <c r="F350" s="2" t="str">
        <f>計算表!F350</f>
        <v>致命時 v% 機率保 1 血並回復 30%（60 秒限一次）（僅神鑄創世裝備，生成必帶 2 條）。</v>
      </c>
      <c r="G350" s="2">
        <f>計算表!G350</f>
        <v>30</v>
      </c>
      <c r="H350" s="2">
        <f>計算表!H350</f>
        <v>0</v>
      </c>
      <c r="I350" s="2">
        <f>計算表!I350</f>
        <v>0</v>
      </c>
      <c r="J350" s="2">
        <f>計算表!J350</f>
        <v>0</v>
      </c>
      <c r="K350" s="2">
        <f>計算表!K350</f>
        <v>0</v>
      </c>
      <c r="L350" s="2">
        <f>計算表!L350</f>
        <v>0</v>
      </c>
      <c r="M350" s="2">
        <f>計算表!M350</f>
        <v>0</v>
      </c>
      <c r="N350" s="2">
        <f>計算表!N350</f>
        <v>0</v>
      </c>
      <c r="O350" s="2">
        <f>計算表!O350</f>
        <v>0</v>
      </c>
      <c r="P350" s="2">
        <f>計算表!P350</f>
        <v>0</v>
      </c>
      <c r="Q350" s="2">
        <f>計算表!Q350</f>
        <v>0</v>
      </c>
      <c r="R350" s="2">
        <f>計算表!R350</f>
        <v>0</v>
      </c>
    </row>
    <row r="351" spans="1:18" x14ac:dyDescent="0.25">
      <c r="A351">
        <f t="shared" si="5"/>
        <v>350</v>
      </c>
      <c r="B351" s="2">
        <f>計算表!B351</f>
        <v>0</v>
      </c>
      <c r="C351" s="2" t="str">
        <f>計算表!C351</f>
        <v>表-神鑄特效</v>
      </c>
      <c r="D351" s="2" t="str">
        <f>計算表!D351</f>
        <v>萬象汲取</v>
      </c>
      <c r="E351" s="2" t="str">
        <f>計算表!E351</f>
        <v>數值 = a × rnd(0.8, 1.2)</v>
      </c>
      <c r="F351" s="2" t="str">
        <f>計算表!F351</f>
        <v>攻擊時額外回復造成傷害 v% 的生命與法力（僅神鑄創世裝備，生成必帶 2 條）。</v>
      </c>
      <c r="G351" s="2">
        <f>計算表!G351</f>
        <v>5</v>
      </c>
      <c r="H351" s="2">
        <f>計算表!H351</f>
        <v>0</v>
      </c>
      <c r="I351" s="2">
        <f>計算表!I351</f>
        <v>0</v>
      </c>
      <c r="J351" s="2">
        <f>計算表!J351</f>
        <v>0</v>
      </c>
      <c r="K351" s="2">
        <f>計算表!K351</f>
        <v>0</v>
      </c>
      <c r="L351" s="2">
        <f>計算表!L351</f>
        <v>0</v>
      </c>
      <c r="M351" s="2">
        <f>計算表!M351</f>
        <v>0</v>
      </c>
      <c r="N351" s="2">
        <f>計算表!N351</f>
        <v>0</v>
      </c>
      <c r="O351" s="2">
        <f>計算表!O351</f>
        <v>0</v>
      </c>
      <c r="P351" s="2">
        <f>計算表!P351</f>
        <v>0</v>
      </c>
      <c r="Q351" s="2">
        <f>計算表!Q351</f>
        <v>0</v>
      </c>
      <c r="R351" s="2">
        <f>計算表!R351</f>
        <v>0</v>
      </c>
    </row>
    <row r="352" spans="1:18" x14ac:dyDescent="0.25">
      <c r="A352">
        <f t="shared" si="5"/>
        <v>351</v>
      </c>
      <c r="B352" s="2">
        <f>計算表!B352</f>
        <v>0</v>
      </c>
      <c r="C352" s="2" t="str">
        <f>計算表!C352</f>
        <v>表-神鑄特效</v>
      </c>
      <c r="D352" s="2" t="str">
        <f>計算表!D352</f>
        <v>神怒</v>
      </c>
      <c r="E352" s="2" t="str">
        <f>計算表!E352</f>
        <v>數值 = a × rnd(0.8, 1.2)</v>
      </c>
      <c r="F352" s="2" t="str">
        <f>計算表!F352</f>
        <v>生命低於 30% 時傷害提高 v%（僅神鑄創世裝備，生成必帶 2 條）。</v>
      </c>
      <c r="G352" s="2">
        <f>計算表!G352</f>
        <v>35</v>
      </c>
      <c r="H352" s="2">
        <f>計算表!H352</f>
        <v>0</v>
      </c>
      <c r="I352" s="2">
        <f>計算表!I352</f>
        <v>0</v>
      </c>
      <c r="J352" s="2">
        <f>計算表!J352</f>
        <v>0</v>
      </c>
      <c r="K352" s="2">
        <f>計算表!K352</f>
        <v>0</v>
      </c>
      <c r="L352" s="2">
        <f>計算表!L352</f>
        <v>0</v>
      </c>
      <c r="M352" s="2">
        <f>計算表!M352</f>
        <v>0</v>
      </c>
      <c r="N352" s="2">
        <f>計算表!N352</f>
        <v>0</v>
      </c>
      <c r="O352" s="2">
        <f>計算表!O352</f>
        <v>0</v>
      </c>
      <c r="P352" s="2">
        <f>計算表!P352</f>
        <v>0</v>
      </c>
      <c r="Q352" s="2">
        <f>計算表!Q352</f>
        <v>0</v>
      </c>
      <c r="R352" s="2">
        <f>計算表!R352</f>
        <v>0</v>
      </c>
    </row>
    <row r="353" spans="1:18" x14ac:dyDescent="0.25">
      <c r="A353">
        <f t="shared" si="5"/>
        <v>352</v>
      </c>
      <c r="B353" s="2">
        <f>計算表!B353</f>
        <v>0</v>
      </c>
      <c r="C353" s="2" t="str">
        <f>計算表!C353</f>
        <v>表-寶石種類</v>
      </c>
      <c r="D353" s="2" t="str">
        <f>計算表!D353</f>
        <v>紅寶石</v>
      </c>
      <c r="E353" s="2" t="str">
        <f>計算表!E353</f>
        <v>數值 = a × 等級 × (1+0.2×(等級-1))</v>
      </c>
      <c r="F353" s="2" t="str">
        <f>計算表!F353</f>
        <v>對應屬性=b。a=一級基準 c=百分比。</v>
      </c>
      <c r="G353" s="2">
        <f>計算表!G353</f>
        <v>6</v>
      </c>
      <c r="H353" s="2" t="str">
        <f>計算表!H353</f>
        <v>物理攻擊</v>
      </c>
      <c r="I353" s="2" t="str">
        <f>計算表!I353</f>
        <v>否</v>
      </c>
      <c r="J353" s="2">
        <f>計算表!J353</f>
        <v>0</v>
      </c>
      <c r="K353" s="2">
        <f>計算表!K353</f>
        <v>0</v>
      </c>
      <c r="L353" s="2">
        <f>計算表!L353</f>
        <v>0</v>
      </c>
      <c r="M353" s="2">
        <f>計算表!M353</f>
        <v>0</v>
      </c>
      <c r="N353" s="2">
        <f>計算表!N353</f>
        <v>0</v>
      </c>
      <c r="O353" s="2">
        <f>計算表!O353</f>
        <v>0</v>
      </c>
      <c r="P353" s="2">
        <f>計算表!P353</f>
        <v>0</v>
      </c>
      <c r="Q353" s="2">
        <f>計算表!Q353</f>
        <v>0</v>
      </c>
      <c r="R353" s="2">
        <f>計算表!R353</f>
        <v>0</v>
      </c>
    </row>
    <row r="354" spans="1:18" x14ac:dyDescent="0.25">
      <c r="A354">
        <f t="shared" si="5"/>
        <v>353</v>
      </c>
      <c r="B354" s="2">
        <f>計算表!B354</f>
        <v>0</v>
      </c>
      <c r="C354" s="2" t="str">
        <f>計算表!C354</f>
        <v>表-寶石種類</v>
      </c>
      <c r="D354" s="2" t="str">
        <f>計算表!D354</f>
        <v>藍寶石</v>
      </c>
      <c r="E354" s="2" t="str">
        <f>計算表!E354</f>
        <v>數值 = a × 等級 × (1+0.2×(等級-1))</v>
      </c>
      <c r="F354" s="2" t="str">
        <f>計算表!F354</f>
        <v>對應屬性=b。a=一級基準 c=百分比。</v>
      </c>
      <c r="G354" s="2">
        <f>計算表!G354</f>
        <v>6</v>
      </c>
      <c r="H354" s="2" t="str">
        <f>計算表!H354</f>
        <v>魔法攻擊</v>
      </c>
      <c r="I354" s="2" t="str">
        <f>計算表!I354</f>
        <v>否</v>
      </c>
      <c r="J354" s="2">
        <f>計算表!J354</f>
        <v>0</v>
      </c>
      <c r="K354" s="2">
        <f>計算表!K354</f>
        <v>0</v>
      </c>
      <c r="L354" s="2">
        <f>計算表!L354</f>
        <v>0</v>
      </c>
      <c r="M354" s="2">
        <f>計算表!M354</f>
        <v>0</v>
      </c>
      <c r="N354" s="2">
        <f>計算表!N354</f>
        <v>0</v>
      </c>
      <c r="O354" s="2">
        <f>計算表!O354</f>
        <v>0</v>
      </c>
      <c r="P354" s="2">
        <f>計算表!P354</f>
        <v>0</v>
      </c>
      <c r="Q354" s="2">
        <f>計算表!Q354</f>
        <v>0</v>
      </c>
      <c r="R354" s="2">
        <f>計算表!R354</f>
        <v>0</v>
      </c>
    </row>
    <row r="355" spans="1:18" x14ac:dyDescent="0.25">
      <c r="A355">
        <f t="shared" si="5"/>
        <v>354</v>
      </c>
      <c r="B355" s="2">
        <f>計算表!B355</f>
        <v>0</v>
      </c>
      <c r="C355" s="2" t="str">
        <f>計算表!C355</f>
        <v>表-寶石種類</v>
      </c>
      <c r="D355" s="2" t="str">
        <f>計算表!D355</f>
        <v>黃玉</v>
      </c>
      <c r="E355" s="2" t="str">
        <f>計算表!E355</f>
        <v>數值 = a × 等級 × (1+0.2×(等級-1))</v>
      </c>
      <c r="F355" s="2" t="str">
        <f>計算表!F355</f>
        <v>對應屬性=b。a=一級基準 c=百分比。</v>
      </c>
      <c r="G355" s="2">
        <f>計算表!G355</f>
        <v>40</v>
      </c>
      <c r="H355" s="2" t="str">
        <f>計算表!H355</f>
        <v>生命值</v>
      </c>
      <c r="I355" s="2" t="str">
        <f>計算表!I355</f>
        <v>否</v>
      </c>
      <c r="J355" s="2">
        <f>計算表!J355</f>
        <v>0</v>
      </c>
      <c r="K355" s="2">
        <f>計算表!K355</f>
        <v>0</v>
      </c>
      <c r="L355" s="2">
        <f>計算表!L355</f>
        <v>0</v>
      </c>
      <c r="M355" s="2">
        <f>計算表!M355</f>
        <v>0</v>
      </c>
      <c r="N355" s="2">
        <f>計算表!N355</f>
        <v>0</v>
      </c>
      <c r="O355" s="2">
        <f>計算表!O355</f>
        <v>0</v>
      </c>
      <c r="P355" s="2">
        <f>計算表!P355</f>
        <v>0</v>
      </c>
      <c r="Q355" s="2">
        <f>計算表!Q355</f>
        <v>0</v>
      </c>
      <c r="R355" s="2">
        <f>計算表!R355</f>
        <v>0</v>
      </c>
    </row>
    <row r="356" spans="1:18" x14ac:dyDescent="0.25">
      <c r="A356">
        <f t="shared" si="5"/>
        <v>355</v>
      </c>
      <c r="B356" s="2">
        <f>計算表!B356</f>
        <v>0</v>
      </c>
      <c r="C356" s="2" t="str">
        <f>計算表!C356</f>
        <v>表-寶石種類</v>
      </c>
      <c r="D356" s="2" t="str">
        <f>計算表!D356</f>
        <v>綠寶石</v>
      </c>
      <c r="E356" s="2" t="str">
        <f>計算表!E356</f>
        <v>數值 = a × 等級 × (1+0.2×(等級-1))</v>
      </c>
      <c r="F356" s="2" t="str">
        <f>計算表!F356</f>
        <v>對應屬性=b。a=一級基準 c=百分比。</v>
      </c>
      <c r="G356" s="2">
        <f>計算表!G356</f>
        <v>3</v>
      </c>
      <c r="H356" s="2" t="str">
        <f>計算表!H356</f>
        <v>生命恢復/秒</v>
      </c>
      <c r="I356" s="2" t="str">
        <f>計算表!I356</f>
        <v>否</v>
      </c>
      <c r="J356" s="2">
        <f>計算表!J356</f>
        <v>0</v>
      </c>
      <c r="K356" s="2">
        <f>計算表!K356</f>
        <v>0</v>
      </c>
      <c r="L356" s="2">
        <f>計算表!L356</f>
        <v>0</v>
      </c>
      <c r="M356" s="2">
        <f>計算表!M356</f>
        <v>0</v>
      </c>
      <c r="N356" s="2">
        <f>計算表!N356</f>
        <v>0</v>
      </c>
      <c r="O356" s="2">
        <f>計算表!O356</f>
        <v>0</v>
      </c>
      <c r="P356" s="2">
        <f>計算表!P356</f>
        <v>0</v>
      </c>
      <c r="Q356" s="2">
        <f>計算表!Q356</f>
        <v>0</v>
      </c>
      <c r="R356" s="2">
        <f>計算表!R356</f>
        <v>0</v>
      </c>
    </row>
    <row r="357" spans="1:18" x14ac:dyDescent="0.25">
      <c r="A357">
        <f t="shared" si="5"/>
        <v>356</v>
      </c>
      <c r="B357" s="2">
        <f>計算表!B357</f>
        <v>0</v>
      </c>
      <c r="C357" s="2" t="str">
        <f>計算表!C357</f>
        <v>表-寶石種類</v>
      </c>
      <c r="D357" s="2" t="str">
        <f>計算表!D357</f>
        <v>鑽石</v>
      </c>
      <c r="E357" s="2" t="str">
        <f>計算表!E357</f>
        <v>數值 = a × 等級 × (1+0.2×(等級-1))</v>
      </c>
      <c r="F357" s="2" t="str">
        <f>計算表!F357</f>
        <v>對應屬性=b。a=一級基準 c=百分比。</v>
      </c>
      <c r="G357" s="2">
        <f>計算表!G357</f>
        <v>5</v>
      </c>
      <c r="H357" s="2" t="str">
        <f>計算表!H357</f>
        <v>物理防禦</v>
      </c>
      <c r="I357" s="2" t="str">
        <f>計算表!I357</f>
        <v>否</v>
      </c>
      <c r="J357" s="2">
        <f>計算表!J357</f>
        <v>0</v>
      </c>
      <c r="K357" s="2">
        <f>計算表!K357</f>
        <v>0</v>
      </c>
      <c r="L357" s="2">
        <f>計算表!L357</f>
        <v>0</v>
      </c>
      <c r="M357" s="2">
        <f>計算表!M357</f>
        <v>0</v>
      </c>
      <c r="N357" s="2">
        <f>計算表!N357</f>
        <v>0</v>
      </c>
      <c r="O357" s="2">
        <f>計算表!O357</f>
        <v>0</v>
      </c>
      <c r="P357" s="2">
        <f>計算表!P357</f>
        <v>0</v>
      </c>
      <c r="Q357" s="2">
        <f>計算表!Q357</f>
        <v>0</v>
      </c>
      <c r="R357" s="2">
        <f>計算表!R357</f>
        <v>0</v>
      </c>
    </row>
    <row r="358" spans="1:18" x14ac:dyDescent="0.25">
      <c r="A358">
        <f t="shared" si="5"/>
        <v>357</v>
      </c>
      <c r="B358" s="2">
        <f>計算表!B358</f>
        <v>0</v>
      </c>
      <c r="C358" s="2" t="str">
        <f>計算表!C358</f>
        <v>表-寶石種類</v>
      </c>
      <c r="D358" s="2" t="str">
        <f>計算表!D358</f>
        <v>青金石</v>
      </c>
      <c r="E358" s="2" t="str">
        <f>計算表!E358</f>
        <v>數值 = a × 等級 × (1+0.2×(等級-1))</v>
      </c>
      <c r="F358" s="2" t="str">
        <f>計算表!F358</f>
        <v>對應屬性=b。a=一級基準 c=百分比。</v>
      </c>
      <c r="G358" s="2">
        <f>計算表!G358</f>
        <v>5</v>
      </c>
      <c r="H358" s="2" t="str">
        <f>計算表!H358</f>
        <v>魔法防禦</v>
      </c>
      <c r="I358" s="2" t="str">
        <f>計算表!I358</f>
        <v>否</v>
      </c>
      <c r="J358" s="2">
        <f>計算表!J358</f>
        <v>0</v>
      </c>
      <c r="K358" s="2">
        <f>計算表!K358</f>
        <v>0</v>
      </c>
      <c r="L358" s="2">
        <f>計算表!L358</f>
        <v>0</v>
      </c>
      <c r="M358" s="2">
        <f>計算表!M358</f>
        <v>0</v>
      </c>
      <c r="N358" s="2">
        <f>計算表!N358</f>
        <v>0</v>
      </c>
      <c r="O358" s="2">
        <f>計算表!O358</f>
        <v>0</v>
      </c>
      <c r="P358" s="2">
        <f>計算表!P358</f>
        <v>0</v>
      </c>
      <c r="Q358" s="2">
        <f>計算表!Q358</f>
        <v>0</v>
      </c>
      <c r="R358" s="2">
        <f>計算表!R358</f>
        <v>0</v>
      </c>
    </row>
    <row r="359" spans="1:18" x14ac:dyDescent="0.25">
      <c r="A359">
        <f t="shared" si="5"/>
        <v>358</v>
      </c>
      <c r="B359" s="2">
        <f>計算表!B359</f>
        <v>0</v>
      </c>
      <c r="C359" s="2" t="str">
        <f>計算表!C359</f>
        <v>表-寶石種類</v>
      </c>
      <c r="D359" s="2" t="str">
        <f>計算表!D359</f>
        <v>紫水晶</v>
      </c>
      <c r="E359" s="2" t="str">
        <f>計算表!E359</f>
        <v>數值 = a × 等級 × (1+0.2×(等級-1))</v>
      </c>
      <c r="F359" s="2" t="str">
        <f>計算表!F359</f>
        <v>對應屬性=b。a=一級基準 c=百分比。</v>
      </c>
      <c r="G359" s="2">
        <f>計算表!G359</f>
        <v>1.5</v>
      </c>
      <c r="H359" s="2" t="str">
        <f>計算表!H359</f>
        <v>暴擊率%</v>
      </c>
      <c r="I359" s="2" t="str">
        <f>計算表!I359</f>
        <v>是</v>
      </c>
      <c r="J359" s="2">
        <f>計算表!J359</f>
        <v>0</v>
      </c>
      <c r="K359" s="2">
        <f>計算表!K359</f>
        <v>0</v>
      </c>
      <c r="L359" s="2">
        <f>計算表!L359</f>
        <v>0</v>
      </c>
      <c r="M359" s="2">
        <f>計算表!M359</f>
        <v>0</v>
      </c>
      <c r="N359" s="2">
        <f>計算表!N359</f>
        <v>0</v>
      </c>
      <c r="O359" s="2">
        <f>計算表!O359</f>
        <v>0</v>
      </c>
      <c r="P359" s="2">
        <f>計算表!P359</f>
        <v>0</v>
      </c>
      <c r="Q359" s="2">
        <f>計算表!Q359</f>
        <v>0</v>
      </c>
      <c r="R359" s="2">
        <f>計算表!R359</f>
        <v>0</v>
      </c>
    </row>
    <row r="360" spans="1:18" x14ac:dyDescent="0.25">
      <c r="A360">
        <f t="shared" si="5"/>
        <v>359</v>
      </c>
      <c r="B360" s="2">
        <f>計算表!B360</f>
        <v>0</v>
      </c>
      <c r="C360" s="2" t="str">
        <f>計算表!C360</f>
        <v>表-寶石種類</v>
      </c>
      <c r="D360" s="2" t="str">
        <f>計算表!D360</f>
        <v>石榴石</v>
      </c>
      <c r="E360" s="2" t="str">
        <f>計算表!E360</f>
        <v>數值 = a × 等級 × (1+0.2×(等級-1))</v>
      </c>
      <c r="F360" s="2" t="str">
        <f>計算表!F360</f>
        <v>對應屬性=b。a=一級基準 c=百分比。</v>
      </c>
      <c r="G360" s="2">
        <f>計算表!G360</f>
        <v>5</v>
      </c>
      <c r="H360" s="2" t="str">
        <f>計算表!H360</f>
        <v>暴擊傷害%</v>
      </c>
      <c r="I360" s="2" t="str">
        <f>計算表!I360</f>
        <v>是</v>
      </c>
      <c r="J360" s="2">
        <f>計算表!J360</f>
        <v>0</v>
      </c>
      <c r="K360" s="2">
        <f>計算表!K360</f>
        <v>0</v>
      </c>
      <c r="L360" s="2">
        <f>計算表!L360</f>
        <v>0</v>
      </c>
      <c r="M360" s="2">
        <f>計算表!M360</f>
        <v>0</v>
      </c>
      <c r="N360" s="2">
        <f>計算表!N360</f>
        <v>0</v>
      </c>
      <c r="O360" s="2">
        <f>計算表!O360</f>
        <v>0</v>
      </c>
      <c r="P360" s="2">
        <f>計算表!P360</f>
        <v>0</v>
      </c>
      <c r="Q360" s="2">
        <f>計算表!Q360</f>
        <v>0</v>
      </c>
      <c r="R360" s="2">
        <f>計算表!R360</f>
        <v>0</v>
      </c>
    </row>
    <row r="361" spans="1:18" x14ac:dyDescent="0.25">
      <c r="A361">
        <f t="shared" si="5"/>
        <v>360</v>
      </c>
      <c r="B361" s="2">
        <f>計算表!B361</f>
        <v>0</v>
      </c>
      <c r="C361" s="2" t="str">
        <f>計算表!C361</f>
        <v>表-寶石種類</v>
      </c>
      <c r="D361" s="2" t="str">
        <f>計算表!D361</f>
        <v>蛋白石</v>
      </c>
      <c r="E361" s="2" t="str">
        <f>計算表!E361</f>
        <v>數值 = a × 等級 × (1+0.2×(等級-1))</v>
      </c>
      <c r="F361" s="2" t="str">
        <f>計算表!F361</f>
        <v>對應屬性=b。a=一級基準 c=百分比。</v>
      </c>
      <c r="G361" s="2">
        <f>計算表!G361</f>
        <v>1.5</v>
      </c>
      <c r="H361" s="2" t="str">
        <f>計算表!H361</f>
        <v>攻擊速度%</v>
      </c>
      <c r="I361" s="2" t="str">
        <f>計算表!I361</f>
        <v>是</v>
      </c>
      <c r="J361" s="2">
        <f>計算表!J361</f>
        <v>0</v>
      </c>
      <c r="K361" s="2">
        <f>計算表!K361</f>
        <v>0</v>
      </c>
      <c r="L361" s="2">
        <f>計算表!L361</f>
        <v>0</v>
      </c>
      <c r="M361" s="2">
        <f>計算表!M361</f>
        <v>0</v>
      </c>
      <c r="N361" s="2">
        <f>計算表!N361</f>
        <v>0</v>
      </c>
      <c r="O361" s="2">
        <f>計算表!O361</f>
        <v>0</v>
      </c>
      <c r="P361" s="2">
        <f>計算表!P361</f>
        <v>0</v>
      </c>
      <c r="Q361" s="2">
        <f>計算表!Q361</f>
        <v>0</v>
      </c>
      <c r="R361" s="2">
        <f>計算表!R361</f>
        <v>0</v>
      </c>
    </row>
    <row r="362" spans="1:18" x14ac:dyDescent="0.25">
      <c r="A362">
        <f t="shared" si="5"/>
        <v>361</v>
      </c>
      <c r="B362" s="2">
        <f>計算表!B362</f>
        <v>0</v>
      </c>
      <c r="C362" s="2" t="str">
        <f>計算表!C362</f>
        <v>表-寶石種類</v>
      </c>
      <c r="D362" s="2" t="str">
        <f>計算表!D362</f>
        <v>黑曜石</v>
      </c>
      <c r="E362" s="2" t="str">
        <f>計算表!E362</f>
        <v>數值 = a × 等級 × (1+0.2×(等級-1))</v>
      </c>
      <c r="F362" s="2" t="str">
        <f>計算表!F362</f>
        <v>對應屬性=b。a=一級基準 c=百分比。</v>
      </c>
      <c r="G362" s="2">
        <f>計算表!G362</f>
        <v>1</v>
      </c>
      <c r="H362" s="2" t="str">
        <f>計算表!H362</f>
        <v>吸血%</v>
      </c>
      <c r="I362" s="2" t="str">
        <f>計算表!I362</f>
        <v>是</v>
      </c>
      <c r="J362" s="2">
        <f>計算表!J362</f>
        <v>0</v>
      </c>
      <c r="K362" s="2">
        <f>計算表!K362</f>
        <v>0</v>
      </c>
      <c r="L362" s="2">
        <f>計算表!L362</f>
        <v>0</v>
      </c>
      <c r="M362" s="2">
        <f>計算表!M362</f>
        <v>0</v>
      </c>
      <c r="N362" s="2">
        <f>計算表!N362</f>
        <v>0</v>
      </c>
      <c r="O362" s="2">
        <f>計算表!O362</f>
        <v>0</v>
      </c>
      <c r="P362" s="2">
        <f>計算表!P362</f>
        <v>0</v>
      </c>
      <c r="Q362" s="2">
        <f>計算表!Q362</f>
        <v>0</v>
      </c>
      <c r="R362" s="2">
        <f>計算表!R362</f>
        <v>0</v>
      </c>
    </row>
    <row r="363" spans="1:18" x14ac:dyDescent="0.25">
      <c r="A363">
        <f t="shared" si="5"/>
        <v>362</v>
      </c>
      <c r="B363" s="2">
        <f>計算表!B363</f>
        <v>0</v>
      </c>
      <c r="C363" s="2" t="str">
        <f>計算表!C363</f>
        <v>表-寶石種類</v>
      </c>
      <c r="D363" s="2" t="str">
        <f>計算表!D363</f>
        <v>月光石</v>
      </c>
      <c r="E363" s="2" t="str">
        <f>計算表!E363</f>
        <v>數值 = a × 等級 × (1+0.2×(等級-1))</v>
      </c>
      <c r="F363" s="2" t="str">
        <f>計算表!F363</f>
        <v>對應屬性=b。a=一級基準 c=百分比。</v>
      </c>
      <c r="G363" s="2">
        <f>計算表!G363</f>
        <v>1</v>
      </c>
      <c r="H363" s="2" t="str">
        <f>計算表!H363</f>
        <v>閃避率%</v>
      </c>
      <c r="I363" s="2" t="str">
        <f>計算表!I363</f>
        <v>是</v>
      </c>
      <c r="J363" s="2">
        <f>計算表!J363</f>
        <v>0</v>
      </c>
      <c r="K363" s="2">
        <f>計算表!K363</f>
        <v>0</v>
      </c>
      <c r="L363" s="2">
        <f>計算表!L363</f>
        <v>0</v>
      </c>
      <c r="M363" s="2">
        <f>計算表!M363</f>
        <v>0</v>
      </c>
      <c r="N363" s="2">
        <f>計算表!N363</f>
        <v>0</v>
      </c>
      <c r="O363" s="2">
        <f>計算表!O363</f>
        <v>0</v>
      </c>
      <c r="P363" s="2">
        <f>計算表!P363</f>
        <v>0</v>
      </c>
      <c r="Q363" s="2">
        <f>計算表!Q363</f>
        <v>0</v>
      </c>
      <c r="R363" s="2">
        <f>計算表!R363</f>
        <v>0</v>
      </c>
    </row>
    <row r="364" spans="1:18" x14ac:dyDescent="0.25">
      <c r="A364">
        <f t="shared" si="5"/>
        <v>363</v>
      </c>
      <c r="B364" s="2">
        <f>計算表!B364</f>
        <v>0</v>
      </c>
      <c r="C364" s="2" t="str">
        <f>計算表!C364</f>
        <v>表-寶石種類</v>
      </c>
      <c r="D364" s="2" t="str">
        <f>計算表!D364</f>
        <v>太陽石</v>
      </c>
      <c r="E364" s="2" t="str">
        <f>計算表!E364</f>
        <v>數值 = a × 等級 × (1+0.2×(等級-1))</v>
      </c>
      <c r="F364" s="2" t="str">
        <f>計算表!F364</f>
        <v>對應屬性=b。a=一級基準 c=百分比。</v>
      </c>
      <c r="G364" s="2">
        <f>計算表!G364</f>
        <v>1.5</v>
      </c>
      <c r="H364" s="2" t="str">
        <f>計算表!H364</f>
        <v>幸運值</v>
      </c>
      <c r="I364" s="2" t="str">
        <f>計算表!I364</f>
        <v>否</v>
      </c>
      <c r="J364" s="2">
        <f>計算表!J364</f>
        <v>0</v>
      </c>
      <c r="K364" s="2">
        <f>計算表!K364</f>
        <v>0</v>
      </c>
      <c r="L364" s="2">
        <f>計算表!L364</f>
        <v>0</v>
      </c>
      <c r="M364" s="2">
        <f>計算表!M364</f>
        <v>0</v>
      </c>
      <c r="N364" s="2">
        <f>計算表!N364</f>
        <v>0</v>
      </c>
      <c r="O364" s="2">
        <f>計算表!O364</f>
        <v>0</v>
      </c>
      <c r="P364" s="2">
        <f>計算表!P364</f>
        <v>0</v>
      </c>
      <c r="Q364" s="2">
        <f>計算表!Q364</f>
        <v>0</v>
      </c>
      <c r="R364" s="2">
        <f>計算表!R364</f>
        <v>0</v>
      </c>
    </row>
    <row r="365" spans="1:18" x14ac:dyDescent="0.25">
      <c r="A365">
        <f t="shared" si="5"/>
        <v>364</v>
      </c>
      <c r="B365" s="2">
        <f>計算表!B365</f>
        <v>0</v>
      </c>
      <c r="C365" s="2" t="str">
        <f>計算表!C365</f>
        <v>表-寶石種類</v>
      </c>
      <c r="D365" s="2" t="str">
        <f>計算表!D365</f>
        <v>翡翠</v>
      </c>
      <c r="E365" s="2" t="str">
        <f>計算表!E365</f>
        <v>數值 = a × 等級 × (1+0.2×(等級-1))</v>
      </c>
      <c r="F365" s="2" t="str">
        <f>計算表!F365</f>
        <v>對應屬性=b。a=一級基準 c=百分比。</v>
      </c>
      <c r="G365" s="2">
        <f>計算表!G365</f>
        <v>1.5</v>
      </c>
      <c r="H365" s="2" t="str">
        <f>計算表!H365</f>
        <v>韌性%</v>
      </c>
      <c r="I365" s="2" t="str">
        <f>計算表!I365</f>
        <v>是</v>
      </c>
      <c r="J365" s="2">
        <f>計算表!J365</f>
        <v>0</v>
      </c>
      <c r="K365" s="2">
        <f>計算表!K365</f>
        <v>0</v>
      </c>
      <c r="L365" s="2">
        <f>計算表!L365</f>
        <v>0</v>
      </c>
      <c r="M365" s="2">
        <f>計算表!M365</f>
        <v>0</v>
      </c>
      <c r="N365" s="2">
        <f>計算表!N365</f>
        <v>0</v>
      </c>
      <c r="O365" s="2">
        <f>計算表!O365</f>
        <v>0</v>
      </c>
      <c r="P365" s="2">
        <f>計算表!P365</f>
        <v>0</v>
      </c>
      <c r="Q365" s="2">
        <f>計算表!Q365</f>
        <v>0</v>
      </c>
      <c r="R365" s="2">
        <f>計算表!R365</f>
        <v>0</v>
      </c>
    </row>
    <row r="366" spans="1:18" x14ac:dyDescent="0.25">
      <c r="A366">
        <f t="shared" si="5"/>
        <v>365</v>
      </c>
      <c r="B366" s="2">
        <f>計算表!B366</f>
        <v>0</v>
      </c>
      <c r="C366" s="2" t="str">
        <f>計算表!C366</f>
        <v>表-寶石種類</v>
      </c>
      <c r="D366" s="2" t="str">
        <f>計算表!D366</f>
        <v>綠松石</v>
      </c>
      <c r="E366" s="2" t="str">
        <f>計算表!E366</f>
        <v>數值 = a × 等級 × (1+0.2×(等級-1))</v>
      </c>
      <c r="F366" s="2" t="str">
        <f>計算表!F366</f>
        <v>對應屬性=b。a=一級基準 c=百分比。</v>
      </c>
      <c r="G366" s="2">
        <f>計算表!G366</f>
        <v>1</v>
      </c>
      <c r="H366" s="2" t="str">
        <f>計算表!H366</f>
        <v>格擋率%</v>
      </c>
      <c r="I366" s="2" t="str">
        <f>計算表!I366</f>
        <v>是</v>
      </c>
      <c r="J366" s="2">
        <f>計算表!J366</f>
        <v>0</v>
      </c>
      <c r="K366" s="2">
        <f>計算表!K366</f>
        <v>0</v>
      </c>
      <c r="L366" s="2">
        <f>計算表!L366</f>
        <v>0</v>
      </c>
      <c r="M366" s="2">
        <f>計算表!M366</f>
        <v>0</v>
      </c>
      <c r="N366" s="2">
        <f>計算表!N366</f>
        <v>0</v>
      </c>
      <c r="O366" s="2">
        <f>計算表!O366</f>
        <v>0</v>
      </c>
      <c r="P366" s="2">
        <f>計算表!P366</f>
        <v>0</v>
      </c>
      <c r="Q366" s="2">
        <f>計算表!Q366</f>
        <v>0</v>
      </c>
      <c r="R366" s="2">
        <f>計算表!R366</f>
        <v>0</v>
      </c>
    </row>
    <row r="367" spans="1:18" x14ac:dyDescent="0.25">
      <c r="A367">
        <f t="shared" si="5"/>
        <v>366</v>
      </c>
      <c r="B367" s="2">
        <f>計算表!B367</f>
        <v>0</v>
      </c>
      <c r="C367" s="2" t="str">
        <f>計算表!C367</f>
        <v>表-寶石種類</v>
      </c>
      <c r="D367" s="2" t="str">
        <f>計算表!D367</f>
        <v>瑪瑙</v>
      </c>
      <c r="E367" s="2" t="str">
        <f>計算表!E367</f>
        <v>數值 = a × 等級 × (1+0.2×(等級-1))</v>
      </c>
      <c r="F367" s="2" t="str">
        <f>計算表!F367</f>
        <v>對應屬性=b。a=一級基準 c=百分比。</v>
      </c>
      <c r="G367" s="2">
        <f>計算表!G367</f>
        <v>1.5</v>
      </c>
      <c r="H367" s="2" t="str">
        <f>計算表!H367</f>
        <v>格擋減傷%</v>
      </c>
      <c r="I367" s="2" t="str">
        <f>計算表!I367</f>
        <v>是</v>
      </c>
      <c r="J367" s="2">
        <f>計算表!J367</f>
        <v>0</v>
      </c>
      <c r="K367" s="2">
        <f>計算表!K367</f>
        <v>0</v>
      </c>
      <c r="L367" s="2">
        <f>計算表!L367</f>
        <v>0</v>
      </c>
      <c r="M367" s="2">
        <f>計算表!M367</f>
        <v>0</v>
      </c>
      <c r="N367" s="2">
        <f>計算表!N367</f>
        <v>0</v>
      </c>
      <c r="O367" s="2">
        <f>計算表!O367</f>
        <v>0</v>
      </c>
      <c r="P367" s="2">
        <f>計算表!P367</f>
        <v>0</v>
      </c>
      <c r="Q367" s="2">
        <f>計算表!Q367</f>
        <v>0</v>
      </c>
      <c r="R367" s="2">
        <f>計算表!R367</f>
        <v>0</v>
      </c>
    </row>
    <row r="368" spans="1:18" x14ac:dyDescent="0.25">
      <c r="A368">
        <f t="shared" si="5"/>
        <v>367</v>
      </c>
      <c r="B368" s="2">
        <f>計算表!B368</f>
        <v>0</v>
      </c>
      <c r="C368" s="2" t="str">
        <f>計算表!C368</f>
        <v>表-寶石種類</v>
      </c>
      <c r="D368" s="2" t="str">
        <f>計算表!D368</f>
        <v>珍珠</v>
      </c>
      <c r="E368" s="2" t="str">
        <f>計算表!E368</f>
        <v>數值 = a × 等級 × (1+0.2×(等級-1))</v>
      </c>
      <c r="F368" s="2" t="str">
        <f>計算表!F368</f>
        <v>對應屬性=b。a=一級基準 c=百分比。</v>
      </c>
      <c r="G368" s="2">
        <f>計算表!G368</f>
        <v>2</v>
      </c>
      <c r="H368" s="2" t="str">
        <f>計算表!H368</f>
        <v>護盾效率%</v>
      </c>
      <c r="I368" s="2" t="str">
        <f>計算表!I368</f>
        <v>是</v>
      </c>
      <c r="J368" s="2">
        <f>計算表!J368</f>
        <v>0</v>
      </c>
      <c r="K368" s="2">
        <f>計算表!K368</f>
        <v>0</v>
      </c>
      <c r="L368" s="2">
        <f>計算表!L368</f>
        <v>0</v>
      </c>
      <c r="M368" s="2">
        <f>計算表!M368</f>
        <v>0</v>
      </c>
      <c r="N368" s="2">
        <f>計算表!N368</f>
        <v>0</v>
      </c>
      <c r="O368" s="2">
        <f>計算表!O368</f>
        <v>0</v>
      </c>
      <c r="P368" s="2">
        <f>計算表!P368</f>
        <v>0</v>
      </c>
      <c r="Q368" s="2">
        <f>計算表!Q368</f>
        <v>0</v>
      </c>
      <c r="R368" s="2">
        <f>計算表!R368</f>
        <v>0</v>
      </c>
    </row>
    <row r="369" spans="1:18" x14ac:dyDescent="0.25">
      <c r="A369">
        <f t="shared" si="5"/>
        <v>368</v>
      </c>
      <c r="B369" s="2">
        <f>計算表!B369</f>
        <v>0</v>
      </c>
      <c r="C369" s="2" t="str">
        <f>計算表!C369</f>
        <v>表-寶石種類</v>
      </c>
      <c r="D369" s="2" t="str">
        <f>計算表!D369</f>
        <v>孔雀石</v>
      </c>
      <c r="E369" s="2" t="str">
        <f>計算表!E369</f>
        <v>數值 = a × 等級 × (1+0.2×(等級-1))</v>
      </c>
      <c r="F369" s="2" t="str">
        <f>計算表!F369</f>
        <v>對應屬性=b。a=一級基準 c=百分比。</v>
      </c>
      <c r="G369" s="2">
        <f>計算表!G369</f>
        <v>0.8</v>
      </c>
      <c r="H369" s="2" t="str">
        <f>計算表!H369</f>
        <v>物理抗性%</v>
      </c>
      <c r="I369" s="2" t="str">
        <f>計算表!I369</f>
        <v>是</v>
      </c>
      <c r="J369" s="2">
        <f>計算表!J369</f>
        <v>0</v>
      </c>
      <c r="K369" s="2">
        <f>計算表!K369</f>
        <v>0</v>
      </c>
      <c r="L369" s="2">
        <f>計算表!L369</f>
        <v>0</v>
      </c>
      <c r="M369" s="2">
        <f>計算表!M369</f>
        <v>0</v>
      </c>
      <c r="N369" s="2">
        <f>計算表!N369</f>
        <v>0</v>
      </c>
      <c r="O369" s="2">
        <f>計算表!O369</f>
        <v>0</v>
      </c>
      <c r="P369" s="2">
        <f>計算表!P369</f>
        <v>0</v>
      </c>
      <c r="Q369" s="2">
        <f>計算表!Q369</f>
        <v>0</v>
      </c>
      <c r="R369" s="2">
        <f>計算表!R369</f>
        <v>0</v>
      </c>
    </row>
    <row r="370" spans="1:18" x14ac:dyDescent="0.25">
      <c r="A370">
        <f t="shared" si="5"/>
        <v>369</v>
      </c>
      <c r="B370" s="2">
        <f>計算表!B370</f>
        <v>0</v>
      </c>
      <c r="C370" s="2" t="str">
        <f>計算表!C370</f>
        <v>表-寶石種類</v>
      </c>
      <c r="D370" s="2" t="str">
        <f>計算表!D370</f>
        <v>螢石</v>
      </c>
      <c r="E370" s="2" t="str">
        <f>計算表!E370</f>
        <v>數值 = a × 等級 × (1+0.2×(等級-1))</v>
      </c>
      <c r="F370" s="2" t="str">
        <f>計算表!F370</f>
        <v>對應屬性=b。a=一級基準 c=百分比。</v>
      </c>
      <c r="G370" s="2">
        <f>計算表!G370</f>
        <v>0.8</v>
      </c>
      <c r="H370" s="2" t="str">
        <f>計算表!H370</f>
        <v>魔法抗性%</v>
      </c>
      <c r="I370" s="2" t="str">
        <f>計算表!I370</f>
        <v>是</v>
      </c>
      <c r="J370" s="2">
        <f>計算表!J370</f>
        <v>0</v>
      </c>
      <c r="K370" s="2">
        <f>計算表!K370</f>
        <v>0</v>
      </c>
      <c r="L370" s="2">
        <f>計算表!L370</f>
        <v>0</v>
      </c>
      <c r="M370" s="2">
        <f>計算表!M370</f>
        <v>0</v>
      </c>
      <c r="N370" s="2">
        <f>計算表!N370</f>
        <v>0</v>
      </c>
      <c r="O370" s="2">
        <f>計算表!O370</f>
        <v>0</v>
      </c>
      <c r="P370" s="2">
        <f>計算表!P370</f>
        <v>0</v>
      </c>
      <c r="Q370" s="2">
        <f>計算表!Q370</f>
        <v>0</v>
      </c>
      <c r="R370" s="2">
        <f>計算表!R370</f>
        <v>0</v>
      </c>
    </row>
    <row r="371" spans="1:18" x14ac:dyDescent="0.25">
      <c r="A371">
        <f t="shared" si="5"/>
        <v>370</v>
      </c>
      <c r="B371" s="2">
        <f>計算表!B371</f>
        <v>0</v>
      </c>
      <c r="C371" s="2" t="str">
        <f>計算表!C371</f>
        <v>表-自動機組零件</v>
      </c>
      <c r="D371" s="2" t="str">
        <f>計算表!D371</f>
        <v>加速齒輪</v>
      </c>
      <c r="E371" s="2" t="str">
        <f>計算表!E371</f>
        <v>效果值 = a × 階級(T1~T7)</v>
      </c>
      <c r="F371" s="2" t="str">
        <f>計算表!F371</f>
        <v>節點=b。分解速度 +v%/階（另固定+50 個百分點）（掉寶類零件效果實際×0.5）。</v>
      </c>
      <c r="G371" s="2">
        <f>計算表!G371</f>
        <v>25</v>
      </c>
      <c r="H371" s="2" t="str">
        <f>計算表!H371</f>
        <v>salvage</v>
      </c>
      <c r="I371" s="2">
        <f>計算表!I371</f>
        <v>0</v>
      </c>
      <c r="J371" s="2">
        <f>計算表!J371</f>
        <v>0</v>
      </c>
      <c r="K371" s="2">
        <f>計算表!K371</f>
        <v>0</v>
      </c>
      <c r="L371" s="2">
        <f>計算表!L371</f>
        <v>0</v>
      </c>
      <c r="M371" s="2">
        <f>計算表!M371</f>
        <v>0</v>
      </c>
      <c r="N371" s="2">
        <f>計算表!N371</f>
        <v>0</v>
      </c>
      <c r="O371" s="2">
        <f>計算表!O371</f>
        <v>0</v>
      </c>
      <c r="P371" s="2">
        <f>計算表!P371</f>
        <v>0</v>
      </c>
      <c r="Q371" s="2">
        <f>計算表!Q371</f>
        <v>0</v>
      </c>
      <c r="R371" s="2">
        <f>計算表!R371</f>
        <v>0</v>
      </c>
    </row>
    <row r="372" spans="1:18" x14ac:dyDescent="0.25">
      <c r="A372">
        <f t="shared" si="5"/>
        <v>371</v>
      </c>
      <c r="B372" s="2">
        <f>計算表!B372</f>
        <v>0</v>
      </c>
      <c r="C372" s="2" t="str">
        <f>計算表!C372</f>
        <v>表-自動機組零件</v>
      </c>
      <c r="D372" s="2" t="str">
        <f>計算表!D372</f>
        <v>碎片熔煉爐</v>
      </c>
      <c r="E372" s="2" t="str">
        <f>計算表!E372</f>
        <v>效果值 = a × 階級(T1~T7)</v>
      </c>
      <c r="F372" s="2" t="str">
        <f>計算表!F372</f>
        <v>節點=b。分解碎片產量 +v%/階（掉寶類零件效果實際×0.5）。</v>
      </c>
      <c r="G372" s="2">
        <f>計算表!G372</f>
        <v>20</v>
      </c>
      <c r="H372" s="2" t="str">
        <f>計算表!H372</f>
        <v>salvage</v>
      </c>
      <c r="I372" s="2">
        <f>計算表!I372</f>
        <v>0</v>
      </c>
      <c r="J372" s="2">
        <f>計算表!J372</f>
        <v>0</v>
      </c>
      <c r="K372" s="2">
        <f>計算表!K372</f>
        <v>0</v>
      </c>
      <c r="L372" s="2">
        <f>計算表!L372</f>
        <v>0</v>
      </c>
      <c r="M372" s="2">
        <f>計算表!M372</f>
        <v>0</v>
      </c>
      <c r="N372" s="2">
        <f>計算表!N372</f>
        <v>0</v>
      </c>
      <c r="O372" s="2">
        <f>計算表!O372</f>
        <v>0</v>
      </c>
      <c r="P372" s="2">
        <f>計算表!P372</f>
        <v>0</v>
      </c>
      <c r="Q372" s="2">
        <f>計算表!Q372</f>
        <v>0</v>
      </c>
      <c r="R372" s="2">
        <f>計算表!R372</f>
        <v>0</v>
      </c>
    </row>
    <row r="373" spans="1:18" x14ac:dyDescent="0.25">
      <c r="A373">
        <f t="shared" si="5"/>
        <v>372</v>
      </c>
      <c r="B373" s="2">
        <f>計算表!B373</f>
        <v>0</v>
      </c>
      <c r="C373" s="2" t="str">
        <f>計算表!C373</f>
        <v>表-自動機組零件</v>
      </c>
      <c r="D373" s="2" t="str">
        <f>計算表!D373</f>
        <v>淘金濾網</v>
      </c>
      <c r="E373" s="2" t="str">
        <f>計算表!E373</f>
        <v>效果值 = a × 階級(T1~T7)</v>
      </c>
      <c r="F373" s="2" t="str">
        <f>計算表!F373</f>
        <v>節點=b。分解金幣產量 +v%/階（掉寶類零件效果實際×0.5）。</v>
      </c>
      <c r="G373" s="2">
        <f>計算表!G373</f>
        <v>25</v>
      </c>
      <c r="H373" s="2" t="str">
        <f>計算表!H373</f>
        <v>salvage</v>
      </c>
      <c r="I373" s="2">
        <f>計算表!I373</f>
        <v>0</v>
      </c>
      <c r="J373" s="2">
        <f>計算表!J373</f>
        <v>0</v>
      </c>
      <c r="K373" s="2">
        <f>計算表!K373</f>
        <v>0</v>
      </c>
      <c r="L373" s="2">
        <f>計算表!L373</f>
        <v>0</v>
      </c>
      <c r="M373" s="2">
        <f>計算表!M373</f>
        <v>0</v>
      </c>
      <c r="N373" s="2">
        <f>計算表!N373</f>
        <v>0</v>
      </c>
      <c r="O373" s="2">
        <f>計算表!O373</f>
        <v>0</v>
      </c>
      <c r="P373" s="2">
        <f>計算表!P373</f>
        <v>0</v>
      </c>
      <c r="Q373" s="2">
        <f>計算表!Q373</f>
        <v>0</v>
      </c>
      <c r="R373" s="2">
        <f>計算表!R373</f>
        <v>0</v>
      </c>
    </row>
    <row r="374" spans="1:18" x14ac:dyDescent="0.25">
      <c r="A374">
        <f t="shared" si="5"/>
        <v>373</v>
      </c>
      <c r="B374" s="2">
        <f>計算表!B374</f>
        <v>0</v>
      </c>
      <c r="C374" s="2" t="str">
        <f>計算表!C374</f>
        <v>表-自動機組零件</v>
      </c>
      <c r="D374" s="2" t="str">
        <f>計算表!D374</f>
        <v>精粹透鏡</v>
      </c>
      <c r="E374" s="2" t="str">
        <f>計算表!E374</f>
        <v>效果值 = a × 階級(T1~T7)</v>
      </c>
      <c r="F374" s="2" t="str">
        <f>計算表!F374</f>
        <v>節點=b。附魔精華拆解產出率 +v%/階（掉寶類零件效果實際×0.5）。</v>
      </c>
      <c r="G374" s="2">
        <f>計算表!G374</f>
        <v>20</v>
      </c>
      <c r="H374" s="2" t="str">
        <f>計算表!H374</f>
        <v>salvage</v>
      </c>
      <c r="I374" s="2">
        <f>計算表!I374</f>
        <v>0</v>
      </c>
      <c r="J374" s="2">
        <f>計算表!J374</f>
        <v>0</v>
      </c>
      <c r="K374" s="2">
        <f>計算表!K374</f>
        <v>0</v>
      </c>
      <c r="L374" s="2">
        <f>計算表!L374</f>
        <v>0</v>
      </c>
      <c r="M374" s="2">
        <f>計算表!M374</f>
        <v>0</v>
      </c>
      <c r="N374" s="2">
        <f>計算表!N374</f>
        <v>0</v>
      </c>
      <c r="O374" s="2">
        <f>計算表!O374</f>
        <v>0</v>
      </c>
      <c r="P374" s="2">
        <f>計算表!P374</f>
        <v>0</v>
      </c>
      <c r="Q374" s="2">
        <f>計算表!Q374</f>
        <v>0</v>
      </c>
      <c r="R374" s="2">
        <f>計算表!R374</f>
        <v>0</v>
      </c>
    </row>
    <row r="375" spans="1:18" x14ac:dyDescent="0.25">
      <c r="A375">
        <f t="shared" si="5"/>
        <v>374</v>
      </c>
      <c r="B375" s="2">
        <f>計算表!B375</f>
        <v>0</v>
      </c>
      <c r="C375" s="2" t="str">
        <f>計算表!C375</f>
        <v>表-自動機組零件</v>
      </c>
      <c r="D375" s="2" t="str">
        <f>計算表!D375</f>
        <v>拓本回收臂</v>
      </c>
      <c r="E375" s="2" t="str">
        <f>計算表!E375</f>
        <v>效果值 = a × 階級(T1~T7)</v>
      </c>
      <c r="F375" s="2" t="str">
        <f>計算表!F375</f>
        <v>節點=b。分解 v%/階 機率回收 1 本附魔書（掉寶類零件效果實際×0.5）。</v>
      </c>
      <c r="G375" s="2">
        <f>計算表!G375</f>
        <v>0.4</v>
      </c>
      <c r="H375" s="2" t="str">
        <f>計算表!H375</f>
        <v>salvage</v>
      </c>
      <c r="I375" s="2">
        <f>計算表!I375</f>
        <v>0</v>
      </c>
      <c r="J375" s="2">
        <f>計算表!J375</f>
        <v>0</v>
      </c>
      <c r="K375" s="2">
        <f>計算表!K375</f>
        <v>0</v>
      </c>
      <c r="L375" s="2">
        <f>計算表!L375</f>
        <v>0</v>
      </c>
      <c r="M375" s="2">
        <f>計算表!M375</f>
        <v>0</v>
      </c>
      <c r="N375" s="2">
        <f>計算表!N375</f>
        <v>0</v>
      </c>
      <c r="O375" s="2">
        <f>計算表!O375</f>
        <v>0</v>
      </c>
      <c r="P375" s="2">
        <f>計算表!P375</f>
        <v>0</v>
      </c>
      <c r="Q375" s="2">
        <f>計算表!Q375</f>
        <v>0</v>
      </c>
      <c r="R375" s="2">
        <f>計算表!R375</f>
        <v>0</v>
      </c>
    </row>
    <row r="376" spans="1:18" x14ac:dyDescent="0.25">
      <c r="A376">
        <f t="shared" si="5"/>
        <v>375</v>
      </c>
      <c r="B376" s="2">
        <f>計算表!B376</f>
        <v>0</v>
      </c>
      <c r="C376" s="2" t="str">
        <f>計算表!C376</f>
        <v>表-自動機組零件</v>
      </c>
      <c r="D376" s="2" t="str">
        <f>計算表!D376</f>
        <v>複製處理艙</v>
      </c>
      <c r="E376" s="2" t="str">
        <f>計算表!E376</f>
        <v>效果值 = a × 階級(T1~T7)</v>
      </c>
      <c r="F376" s="2" t="str">
        <f>計算表!F376</f>
        <v>節點=b。分解 v%/階 機率碎片+金幣翻倍（掉寶類零件效果實際×0.5）。</v>
      </c>
      <c r="G376" s="2">
        <f>計算表!G376</f>
        <v>3</v>
      </c>
      <c r="H376" s="2" t="str">
        <f>計算表!H376</f>
        <v>salvage</v>
      </c>
      <c r="I376" s="2">
        <f>計算表!I376</f>
        <v>0</v>
      </c>
      <c r="J376" s="2">
        <f>計算表!J376</f>
        <v>0</v>
      </c>
      <c r="K376" s="2">
        <f>計算表!K376</f>
        <v>0</v>
      </c>
      <c r="L376" s="2">
        <f>計算表!L376</f>
        <v>0</v>
      </c>
      <c r="M376" s="2">
        <f>計算表!M376</f>
        <v>0</v>
      </c>
      <c r="N376" s="2">
        <f>計算表!N376</f>
        <v>0</v>
      </c>
      <c r="O376" s="2">
        <f>計算表!O376</f>
        <v>0</v>
      </c>
      <c r="P376" s="2">
        <f>計算表!P376</f>
        <v>0</v>
      </c>
      <c r="Q376" s="2">
        <f>計算表!Q376</f>
        <v>0</v>
      </c>
      <c r="R376" s="2">
        <f>計算表!R376</f>
        <v>0</v>
      </c>
    </row>
    <row r="377" spans="1:18" x14ac:dyDescent="0.25">
      <c r="A377">
        <f t="shared" si="5"/>
        <v>376</v>
      </c>
      <c r="B377" s="2">
        <f>計算表!B377</f>
        <v>0</v>
      </c>
      <c r="C377" s="2" t="str">
        <f>計算表!C377</f>
        <v>表-自動機組零件</v>
      </c>
      <c r="D377" s="2" t="str">
        <f>計算表!D377</f>
        <v>知識回收器</v>
      </c>
      <c r="E377" s="2" t="str">
        <f>計算表!E377</f>
        <v>效果值 = a × 階級(T1~T7)</v>
      </c>
      <c r="F377" s="2" t="str">
        <f>計算表!F377</f>
        <v>節點=b。分解 v%/階 機率獲得經驗(裝備等級×25)（掉寶類零件效果實際×0.5）。</v>
      </c>
      <c r="G377" s="2">
        <f>計算表!G377</f>
        <v>1.5</v>
      </c>
      <c r="H377" s="2" t="str">
        <f>計算表!H377</f>
        <v>salvage</v>
      </c>
      <c r="I377" s="2">
        <f>計算表!I377</f>
        <v>0</v>
      </c>
      <c r="J377" s="2">
        <f>計算表!J377</f>
        <v>0</v>
      </c>
      <c r="K377" s="2">
        <f>計算表!K377</f>
        <v>0</v>
      </c>
      <c r="L377" s="2">
        <f>計算表!L377</f>
        <v>0</v>
      </c>
      <c r="M377" s="2">
        <f>計算表!M377</f>
        <v>0</v>
      </c>
      <c r="N377" s="2">
        <f>計算表!N377</f>
        <v>0</v>
      </c>
      <c r="O377" s="2">
        <f>計算表!O377</f>
        <v>0</v>
      </c>
      <c r="P377" s="2">
        <f>計算表!P377</f>
        <v>0</v>
      </c>
      <c r="Q377" s="2">
        <f>計算表!Q377</f>
        <v>0</v>
      </c>
      <c r="R377" s="2">
        <f>計算表!R377</f>
        <v>0</v>
      </c>
    </row>
    <row r="378" spans="1:18" x14ac:dyDescent="0.25">
      <c r="A378">
        <f t="shared" si="5"/>
        <v>377</v>
      </c>
      <c r="B378" s="2">
        <f>計算表!B378</f>
        <v>0</v>
      </c>
      <c r="C378" s="2" t="str">
        <f>計算表!C378</f>
        <v>表-自動機組零件</v>
      </c>
      <c r="D378" s="2" t="str">
        <f>計算表!D378</f>
        <v>探礦核心</v>
      </c>
      <c r="E378" s="2" t="str">
        <f>計算表!E378</f>
        <v>效果值 = a × 階級(T1~T7)</v>
      </c>
      <c r="F378" s="2" t="str">
        <f>計算表!F378</f>
        <v>節點=b。分解 v%/階 機率額外掉一個零件（掉寶類零件效果實際×0.5）。</v>
      </c>
      <c r="G378" s="2">
        <f>計算表!G378</f>
        <v>0.15</v>
      </c>
      <c r="H378" s="2" t="str">
        <f>計算表!H378</f>
        <v>salvage</v>
      </c>
      <c r="I378" s="2">
        <f>計算表!I378</f>
        <v>0</v>
      </c>
      <c r="J378" s="2">
        <f>計算表!J378</f>
        <v>0</v>
      </c>
      <c r="K378" s="2">
        <f>計算表!K378</f>
        <v>0</v>
      </c>
      <c r="L378" s="2">
        <f>計算表!L378</f>
        <v>0</v>
      </c>
      <c r="M378" s="2">
        <f>計算表!M378</f>
        <v>0</v>
      </c>
      <c r="N378" s="2">
        <f>計算表!N378</f>
        <v>0</v>
      </c>
      <c r="O378" s="2">
        <f>計算表!O378</f>
        <v>0</v>
      </c>
      <c r="P378" s="2">
        <f>計算表!P378</f>
        <v>0</v>
      </c>
      <c r="Q378" s="2">
        <f>計算表!Q378</f>
        <v>0</v>
      </c>
      <c r="R378" s="2">
        <f>計算表!R378</f>
        <v>0</v>
      </c>
    </row>
    <row r="379" spans="1:18" x14ac:dyDescent="0.25">
      <c r="A379">
        <f t="shared" si="5"/>
        <v>378</v>
      </c>
      <c r="B379" s="2">
        <f>計算表!B379</f>
        <v>0</v>
      </c>
      <c r="C379" s="2" t="str">
        <f>計算表!C379</f>
        <v>表-自動機組零件</v>
      </c>
      <c r="D379" s="2" t="str">
        <f>計算表!D379</f>
        <v>幸運晶片</v>
      </c>
      <c r="E379" s="2" t="str">
        <f>計算表!E379</f>
        <v>效果值 = a × 階級(T1~T7)</v>
      </c>
      <c r="F379" s="2" t="str">
        <f>計算表!F379</f>
        <v>節點=b。分解 v%/階 機率大豐收(碎片/金幣/精華×3)（掉寶類零件效果實際×0.5）。</v>
      </c>
      <c r="G379" s="2">
        <f>計算表!G379</f>
        <v>0.5</v>
      </c>
      <c r="H379" s="2" t="str">
        <f>計算表!H379</f>
        <v>salvage</v>
      </c>
      <c r="I379" s="2">
        <f>計算表!I379</f>
        <v>0</v>
      </c>
      <c r="J379" s="2">
        <f>計算表!J379</f>
        <v>0</v>
      </c>
      <c r="K379" s="2">
        <f>計算表!K379</f>
        <v>0</v>
      </c>
      <c r="L379" s="2">
        <f>計算表!L379</f>
        <v>0</v>
      </c>
      <c r="M379" s="2">
        <f>計算表!M379</f>
        <v>0</v>
      </c>
      <c r="N379" s="2">
        <f>計算表!N379</f>
        <v>0</v>
      </c>
      <c r="O379" s="2">
        <f>計算表!O379</f>
        <v>0</v>
      </c>
      <c r="P379" s="2">
        <f>計算表!P379</f>
        <v>0</v>
      </c>
      <c r="Q379" s="2">
        <f>計算表!Q379</f>
        <v>0</v>
      </c>
      <c r="R379" s="2">
        <f>計算表!R379</f>
        <v>0</v>
      </c>
    </row>
    <row r="380" spans="1:18" x14ac:dyDescent="0.25">
      <c r="A380">
        <f t="shared" si="5"/>
        <v>379</v>
      </c>
      <c r="B380" s="2">
        <f>計算表!B380</f>
        <v>0</v>
      </c>
      <c r="C380" s="2" t="str">
        <f>計算表!C380</f>
        <v>表-自動機組零件</v>
      </c>
      <c r="D380" s="2" t="str">
        <f>計算表!D380</f>
        <v>太古精華萃取器</v>
      </c>
      <c r="E380" s="2" t="str">
        <f>計算表!E380</f>
        <v>效果值 = a × 階級(T1~T7)</v>
      </c>
      <c r="F380" s="2" t="str">
        <f>計算表!F380</f>
        <v>節點=b。分解太古精華掉落率 +v%/階（掉寶類零件效果實際×0.5）。</v>
      </c>
      <c r="G380" s="2">
        <f>計算表!G380</f>
        <v>25</v>
      </c>
      <c r="H380" s="2" t="str">
        <f>計算表!H380</f>
        <v>salvage</v>
      </c>
      <c r="I380" s="2">
        <f>計算表!I380</f>
        <v>0</v>
      </c>
      <c r="J380" s="2">
        <f>計算表!J380</f>
        <v>0</v>
      </c>
      <c r="K380" s="2">
        <f>計算表!K380</f>
        <v>0</v>
      </c>
      <c r="L380" s="2">
        <f>計算表!L380</f>
        <v>0</v>
      </c>
      <c r="M380" s="2">
        <f>計算表!M380</f>
        <v>0</v>
      </c>
      <c r="N380" s="2">
        <f>計算表!N380</f>
        <v>0</v>
      </c>
      <c r="O380" s="2">
        <f>計算表!O380</f>
        <v>0</v>
      </c>
      <c r="P380" s="2">
        <f>計算表!P380</f>
        <v>0</v>
      </c>
      <c r="Q380" s="2">
        <f>計算表!Q380</f>
        <v>0</v>
      </c>
      <c r="R380" s="2">
        <f>計算表!R380</f>
        <v>0</v>
      </c>
    </row>
    <row r="381" spans="1:18" x14ac:dyDescent="0.25">
      <c r="A381">
        <f t="shared" si="5"/>
        <v>380</v>
      </c>
      <c r="B381" s="2">
        <f>計算表!B381</f>
        <v>0</v>
      </c>
      <c r="C381" s="2" t="str">
        <f>計算表!C381</f>
        <v>表-自動機組零件</v>
      </c>
      <c r="D381" s="2" t="str">
        <f>計算表!D381</f>
        <v>幸運核心</v>
      </c>
      <c r="E381" s="2" t="str">
        <f>計算表!E381</f>
        <v>效果值 = a × 階級(T1~T7)</v>
      </c>
      <c r="F381" s="2" t="str">
        <f>計算表!F381</f>
        <v>節點=b。合成大成功率 +v%/階（掉寶類零件效果實際×0.5）。</v>
      </c>
      <c r="G381" s="2">
        <f>計算表!G381</f>
        <v>8</v>
      </c>
      <c r="H381" s="2" t="str">
        <f>計算表!H381</f>
        <v>synth</v>
      </c>
      <c r="I381" s="2">
        <f>計算表!I381</f>
        <v>0</v>
      </c>
      <c r="J381" s="2">
        <f>計算表!J381</f>
        <v>0</v>
      </c>
      <c r="K381" s="2">
        <f>計算表!K381</f>
        <v>0</v>
      </c>
      <c r="L381" s="2">
        <f>計算表!L381</f>
        <v>0</v>
      </c>
      <c r="M381" s="2">
        <f>計算表!M381</f>
        <v>0</v>
      </c>
      <c r="N381" s="2">
        <f>計算表!N381</f>
        <v>0</v>
      </c>
      <c r="O381" s="2">
        <f>計算表!O381</f>
        <v>0</v>
      </c>
      <c r="P381" s="2">
        <f>計算表!P381</f>
        <v>0</v>
      </c>
      <c r="Q381" s="2">
        <f>計算表!Q381</f>
        <v>0</v>
      </c>
      <c r="R381" s="2">
        <f>計算表!R381</f>
        <v>0</v>
      </c>
    </row>
    <row r="382" spans="1:18" x14ac:dyDescent="0.25">
      <c r="A382">
        <f t="shared" si="5"/>
        <v>381</v>
      </c>
      <c r="B382" s="2">
        <f>計算表!B382</f>
        <v>0</v>
      </c>
      <c r="C382" s="2" t="str">
        <f>計算表!C382</f>
        <v>表-自動機組零件</v>
      </c>
      <c r="D382" s="2" t="str">
        <f>計算表!D382</f>
        <v>重骰模組</v>
      </c>
      <c r="E382" s="2" t="str">
        <f>計算表!E382</f>
        <v>效果值 = a × 階級(T1~T7)</v>
      </c>
      <c r="F382" s="2" t="str">
        <f>計算表!F382</f>
        <v>節點=b。合成詞條重骰機率 +v%/階（掉寶類零件效果實際×0.5）。</v>
      </c>
      <c r="G382" s="2">
        <f>計算表!G382</f>
        <v>15</v>
      </c>
      <c r="H382" s="2" t="str">
        <f>計算表!H382</f>
        <v>synth</v>
      </c>
      <c r="I382" s="2">
        <f>計算表!I382</f>
        <v>0</v>
      </c>
      <c r="J382" s="2">
        <f>計算表!J382</f>
        <v>0</v>
      </c>
      <c r="K382" s="2">
        <f>計算表!K382</f>
        <v>0</v>
      </c>
      <c r="L382" s="2">
        <f>計算表!L382</f>
        <v>0</v>
      </c>
      <c r="M382" s="2">
        <f>計算表!M382</f>
        <v>0</v>
      </c>
      <c r="N382" s="2">
        <f>計算表!N382</f>
        <v>0</v>
      </c>
      <c r="O382" s="2">
        <f>計算表!O382</f>
        <v>0</v>
      </c>
      <c r="P382" s="2">
        <f>計算表!P382</f>
        <v>0</v>
      </c>
      <c r="Q382" s="2">
        <f>計算表!Q382</f>
        <v>0</v>
      </c>
      <c r="R382" s="2">
        <f>計算表!R382</f>
        <v>0</v>
      </c>
    </row>
    <row r="383" spans="1:18" x14ac:dyDescent="0.25">
      <c r="A383">
        <f t="shared" si="5"/>
        <v>382</v>
      </c>
      <c r="B383" s="2">
        <f>計算表!B383</f>
        <v>0</v>
      </c>
      <c r="C383" s="2" t="str">
        <f>計算表!C383</f>
        <v>表-固定參數</v>
      </c>
      <c r="D383" s="2" t="str">
        <f>計算表!D383</f>
        <v>出怪間隔</v>
      </c>
      <c r="E383" s="2" t="str">
        <f>計算表!E383</f>
        <v>a 秒 × (1-移動速度%)</v>
      </c>
      <c r="F383" s="2" t="str">
        <f>計算表!F383</f>
        <v>RESPAWN_DELAY。</v>
      </c>
      <c r="G383" s="2">
        <f>計算表!G383</f>
        <v>0.8</v>
      </c>
      <c r="H383" s="2">
        <f>計算表!H383</f>
        <v>0</v>
      </c>
      <c r="I383" s="2">
        <f>計算表!I383</f>
        <v>0</v>
      </c>
      <c r="J383" s="2">
        <f>計算表!J383</f>
        <v>0</v>
      </c>
      <c r="K383" s="2">
        <f>計算表!K383</f>
        <v>0</v>
      </c>
      <c r="L383" s="2">
        <f>計算表!L383</f>
        <v>0</v>
      </c>
      <c r="M383" s="2">
        <f>計算表!M383</f>
        <v>0</v>
      </c>
      <c r="N383" s="2">
        <f>計算表!N383</f>
        <v>0</v>
      </c>
      <c r="O383" s="2">
        <f>計算表!O383</f>
        <v>0</v>
      </c>
      <c r="P383" s="2">
        <f>計算表!P383</f>
        <v>0</v>
      </c>
      <c r="Q383" s="2">
        <f>計算表!Q383</f>
        <v>0</v>
      </c>
      <c r="R383" s="2">
        <f>計算表!R383</f>
        <v>0</v>
      </c>
    </row>
    <row r="384" spans="1:18" x14ac:dyDescent="0.25">
      <c r="A384">
        <f t="shared" si="5"/>
        <v>383</v>
      </c>
      <c r="B384" s="2">
        <f>計算表!B384</f>
        <v>0</v>
      </c>
      <c r="C384" s="2" t="str">
        <f>計算表!C384</f>
        <v>表-固定參數</v>
      </c>
      <c r="D384" s="2" t="str">
        <f>計算表!D384</f>
        <v>死亡復活時間</v>
      </c>
      <c r="E384" s="2" t="str">
        <f>計算表!E384</f>
        <v>a 秒</v>
      </c>
      <c r="F384" s="2" t="str">
        <f>計算表!F384</f>
        <v>REVIVE_DELAY。</v>
      </c>
      <c r="G384" s="2">
        <f>計算表!G384</f>
        <v>3</v>
      </c>
      <c r="H384" s="2">
        <f>計算表!H384</f>
        <v>0</v>
      </c>
      <c r="I384" s="2">
        <f>計算表!I384</f>
        <v>0</v>
      </c>
      <c r="J384" s="2">
        <f>計算表!J384</f>
        <v>0</v>
      </c>
      <c r="K384" s="2">
        <f>計算表!K384</f>
        <v>0</v>
      </c>
      <c r="L384" s="2">
        <f>計算表!L384</f>
        <v>0</v>
      </c>
      <c r="M384" s="2">
        <f>計算表!M384</f>
        <v>0</v>
      </c>
      <c r="N384" s="2">
        <f>計算表!N384</f>
        <v>0</v>
      </c>
      <c r="O384" s="2">
        <f>計算表!O384</f>
        <v>0</v>
      </c>
      <c r="P384" s="2">
        <f>計算表!P384</f>
        <v>0</v>
      </c>
      <c r="Q384" s="2">
        <f>計算表!Q384</f>
        <v>0</v>
      </c>
      <c r="R384" s="2">
        <f>計算表!R384</f>
        <v>0</v>
      </c>
    </row>
    <row r="385" spans="1:18" x14ac:dyDescent="0.25">
      <c r="A385">
        <f t="shared" si="5"/>
        <v>384</v>
      </c>
      <c r="B385" s="2">
        <f>計算表!B385</f>
        <v>0</v>
      </c>
      <c r="C385" s="2" t="str">
        <f>計算表!C385</f>
        <v>表-固定參數</v>
      </c>
      <c r="D385" s="2" t="str">
        <f>計算表!D385</f>
        <v>零件階級上限</v>
      </c>
      <c r="E385" s="2" t="str">
        <f>計算表!E385</f>
        <v>T a</v>
      </c>
      <c r="F385" s="2" t="str">
        <f>計算表!F385</f>
        <v>PART_MAX_TIER。</v>
      </c>
      <c r="G385" s="2">
        <f>計算表!G385</f>
        <v>7</v>
      </c>
      <c r="H385" s="2">
        <f>計算表!H385</f>
        <v>0</v>
      </c>
      <c r="I385" s="2">
        <f>計算表!I385</f>
        <v>0</v>
      </c>
      <c r="J385" s="2">
        <f>計算表!J385</f>
        <v>0</v>
      </c>
      <c r="K385" s="2">
        <f>計算表!K385</f>
        <v>0</v>
      </c>
      <c r="L385" s="2">
        <f>計算表!L385</f>
        <v>0</v>
      </c>
      <c r="M385" s="2">
        <f>計算表!M385</f>
        <v>0</v>
      </c>
      <c r="N385" s="2">
        <f>計算表!N385</f>
        <v>0</v>
      </c>
      <c r="O385" s="2">
        <f>計算表!O385</f>
        <v>0</v>
      </c>
      <c r="P385" s="2">
        <f>計算表!P385</f>
        <v>0</v>
      </c>
      <c r="Q385" s="2">
        <f>計算表!Q385</f>
        <v>0</v>
      </c>
      <c r="R385" s="2">
        <f>計算表!R385</f>
        <v>0</v>
      </c>
    </row>
    <row r="386" spans="1:18" x14ac:dyDescent="0.25">
      <c r="A386">
        <f t="shared" si="5"/>
        <v>385</v>
      </c>
      <c r="B386" s="2">
        <f>計算表!B386</f>
        <v>0</v>
      </c>
      <c r="C386" s="2" t="str">
        <f>計算表!C386</f>
        <v>表-固定參數</v>
      </c>
      <c r="D386" s="2" t="str">
        <f>計算表!D386</f>
        <v>零件庫存保留</v>
      </c>
      <c r="E386" s="2" t="str">
        <f>計算表!E386</f>
        <v>每種未安裝最多保留 a 顆</v>
      </c>
      <c r="F386" s="2" t="str">
        <f>計算表!F386</f>
        <v>PART_KEEP_PER_KEY，多餘自動分解。</v>
      </c>
      <c r="G386" s="2">
        <f>計算表!G386</f>
        <v>10</v>
      </c>
      <c r="H386" s="2">
        <f>計算表!H386</f>
        <v>0</v>
      </c>
      <c r="I386" s="2">
        <f>計算表!I386</f>
        <v>0</v>
      </c>
      <c r="J386" s="2">
        <f>計算表!J386</f>
        <v>0</v>
      </c>
      <c r="K386" s="2">
        <f>計算表!K386</f>
        <v>0</v>
      </c>
      <c r="L386" s="2">
        <f>計算表!L386</f>
        <v>0</v>
      </c>
      <c r="M386" s="2">
        <f>計算表!M386</f>
        <v>0</v>
      </c>
      <c r="N386" s="2">
        <f>計算表!N386</f>
        <v>0</v>
      </c>
      <c r="O386" s="2">
        <f>計算表!O386</f>
        <v>0</v>
      </c>
      <c r="P386" s="2">
        <f>計算表!P386</f>
        <v>0</v>
      </c>
      <c r="Q386" s="2">
        <f>計算表!Q386</f>
        <v>0</v>
      </c>
      <c r="R386" s="2">
        <f>計算表!R386</f>
        <v>0</v>
      </c>
    </row>
    <row r="387" spans="1:18" x14ac:dyDescent="0.25">
      <c r="A387">
        <f t="shared" si="5"/>
        <v>386</v>
      </c>
      <c r="B387" s="2">
        <f>計算表!B387</f>
        <v>0</v>
      </c>
      <c r="C387" s="2" t="str">
        <f>計算表!C387</f>
        <v>表-固定參數</v>
      </c>
      <c r="D387" s="2" t="str">
        <f>計算表!D387</f>
        <v>合成節點槽位</v>
      </c>
      <c r="E387" s="2" t="str">
        <f>計算表!E387</f>
        <v>a 格</v>
      </c>
      <c r="F387" s="2" t="str">
        <f>計算表!F387</f>
        <v>分解槽為金幣解鎖 10~20 格。</v>
      </c>
      <c r="G387" s="2">
        <f>計算表!G387</f>
        <v>2</v>
      </c>
      <c r="H387" s="2">
        <f>計算表!H387</f>
        <v>0</v>
      </c>
      <c r="I387" s="2">
        <f>計算表!I387</f>
        <v>0</v>
      </c>
      <c r="J387" s="2">
        <f>計算表!J387</f>
        <v>0</v>
      </c>
      <c r="K387" s="2">
        <f>計算表!K387</f>
        <v>0</v>
      </c>
      <c r="L387" s="2">
        <f>計算表!L387</f>
        <v>0</v>
      </c>
      <c r="M387" s="2">
        <f>計算表!M387</f>
        <v>0</v>
      </c>
      <c r="N387" s="2">
        <f>計算表!N387</f>
        <v>0</v>
      </c>
      <c r="O387" s="2">
        <f>計算表!O387</f>
        <v>0</v>
      </c>
      <c r="P387" s="2">
        <f>計算表!P387</f>
        <v>0</v>
      </c>
      <c r="Q387" s="2">
        <f>計算表!Q387</f>
        <v>0</v>
      </c>
      <c r="R387" s="2">
        <f>計算表!R387</f>
        <v>0</v>
      </c>
    </row>
    <row r="388" spans="1:18" x14ac:dyDescent="0.25">
      <c r="A388">
        <f t="shared" ref="A388:A445" si="6">A387+1</f>
        <v>387</v>
      </c>
      <c r="B388" s="2">
        <f>計算表!B388</f>
        <v>0</v>
      </c>
      <c r="C388" s="2" t="str">
        <f>計算表!C388</f>
        <v>表-固定參數</v>
      </c>
      <c r="D388" s="2" t="str">
        <f>計算表!D388</f>
        <v>寶石一般上限 / 神鑄上限</v>
      </c>
      <c r="E388" s="2" t="str">
        <f>計算表!E388</f>
        <v>一般 a 階；神鑄可到 b 階</v>
      </c>
      <c r="F388" s="2" t="str">
        <f>計算表!F388</f>
        <v>GEM_MAX_LEVEL / GEM_FORGE_MAX_LEVEL。</v>
      </c>
      <c r="G388" s="2">
        <f>計算表!G388</f>
        <v>5</v>
      </c>
      <c r="H388" s="2">
        <f>計算表!H388</f>
        <v>10</v>
      </c>
      <c r="I388" s="2">
        <f>計算表!I388</f>
        <v>0</v>
      </c>
      <c r="J388" s="2">
        <f>計算表!J388</f>
        <v>0</v>
      </c>
      <c r="K388" s="2">
        <f>計算表!K388</f>
        <v>0</v>
      </c>
      <c r="L388" s="2">
        <f>計算表!L388</f>
        <v>0</v>
      </c>
      <c r="M388" s="2">
        <f>計算表!M388</f>
        <v>0</v>
      </c>
      <c r="N388" s="2">
        <f>計算表!N388</f>
        <v>0</v>
      </c>
      <c r="O388" s="2">
        <f>計算表!O388</f>
        <v>0</v>
      </c>
      <c r="P388" s="2">
        <f>計算表!P388</f>
        <v>0</v>
      </c>
      <c r="Q388" s="2">
        <f>計算表!Q388</f>
        <v>0</v>
      </c>
      <c r="R388" s="2">
        <f>計算表!R388</f>
        <v>0</v>
      </c>
    </row>
    <row r="389" spans="1:18" x14ac:dyDescent="0.25">
      <c r="A389">
        <f t="shared" si="6"/>
        <v>388</v>
      </c>
      <c r="B389" s="2">
        <f>計算表!B389</f>
        <v>0</v>
      </c>
      <c r="C389" s="2" t="str">
        <f>計算表!C389</f>
        <v>表-固定參數</v>
      </c>
      <c r="D389" s="2" t="str">
        <f>計算表!D389</f>
        <v>詞條數硬上限</v>
      </c>
      <c r="E389" s="2" t="str">
        <f>計算表!E389</f>
        <v>a 條</v>
      </c>
      <c r="F389" s="2" t="str">
        <f>計算表!F389</f>
        <v>MAX_AFFIXES = 創世 7 條 + 詞條上限率突破 1 條。單件裝備可堆疊的最大詞條數。</v>
      </c>
      <c r="G389" s="2">
        <f>計算表!G389</f>
        <v>8</v>
      </c>
      <c r="H389" s="2">
        <f>計算表!H389</f>
        <v>0</v>
      </c>
      <c r="I389" s="2">
        <f>計算表!I389</f>
        <v>0</v>
      </c>
      <c r="J389" s="2">
        <f>計算表!J389</f>
        <v>0</v>
      </c>
      <c r="K389" s="2">
        <f>計算表!K389</f>
        <v>0</v>
      </c>
      <c r="L389" s="2">
        <f>計算表!L389</f>
        <v>0</v>
      </c>
      <c r="M389" s="2">
        <f>計算表!M389</f>
        <v>0</v>
      </c>
      <c r="N389" s="2">
        <f>計算表!N389</f>
        <v>0</v>
      </c>
      <c r="O389" s="2">
        <f>計算表!O389</f>
        <v>0</v>
      </c>
      <c r="P389" s="2">
        <f>計算表!P389</f>
        <v>0</v>
      </c>
      <c r="Q389" s="2">
        <f>計算表!Q389</f>
        <v>0</v>
      </c>
      <c r="R389" s="2">
        <f>計算表!R389</f>
        <v>0</v>
      </c>
    </row>
    <row r="390" spans="1:18" x14ac:dyDescent="0.25">
      <c r="A390">
        <f t="shared" si="6"/>
        <v>389</v>
      </c>
      <c r="B390" s="2">
        <f>計算表!B390</f>
        <v>0</v>
      </c>
      <c r="C390" s="2" t="str">
        <f>計算表!C390</f>
        <v>表-戰力權重</v>
      </c>
      <c r="D390" s="2" t="str">
        <f>計算表!D390</f>
        <v>物理攻擊</v>
      </c>
      <c r="E390" s="2" t="str">
        <f>計算表!E390</f>
        <v>評分權重 = a</v>
      </c>
      <c r="F390" s="2" t="str">
        <f>計算表!F390</f>
        <v>「戰力評分」中該詞條/對應寶石屬性的權重；未列出者以 1 計。</v>
      </c>
      <c r="G390" s="2">
        <f>計算表!G390</f>
        <v>1</v>
      </c>
      <c r="H390" s="2">
        <f>計算表!H390</f>
        <v>0</v>
      </c>
      <c r="I390" s="2">
        <f>計算表!I390</f>
        <v>0</v>
      </c>
      <c r="J390" s="2">
        <f>計算表!J390</f>
        <v>0</v>
      </c>
      <c r="K390" s="2">
        <f>計算表!K390</f>
        <v>0</v>
      </c>
      <c r="L390" s="2">
        <f>計算表!L390</f>
        <v>0</v>
      </c>
      <c r="M390" s="2">
        <f>計算表!M390</f>
        <v>0</v>
      </c>
      <c r="N390" s="2">
        <f>計算表!N390</f>
        <v>0</v>
      </c>
      <c r="O390" s="2">
        <f>計算表!O390</f>
        <v>0</v>
      </c>
      <c r="P390" s="2">
        <f>計算表!P390</f>
        <v>0</v>
      </c>
      <c r="Q390" s="2">
        <f>計算表!Q390</f>
        <v>0</v>
      </c>
      <c r="R390" s="2">
        <f>計算表!R390</f>
        <v>0</v>
      </c>
    </row>
    <row r="391" spans="1:18" x14ac:dyDescent="0.25">
      <c r="A391">
        <f t="shared" si="6"/>
        <v>390</v>
      </c>
      <c r="B391" s="2">
        <f>計算表!B391</f>
        <v>0</v>
      </c>
      <c r="C391" s="2" t="str">
        <f>計算表!C391</f>
        <v>表-戰力權重</v>
      </c>
      <c r="D391" s="2" t="str">
        <f>計算表!D391</f>
        <v>物理攻擊%</v>
      </c>
      <c r="E391" s="2" t="str">
        <f>計算表!E391</f>
        <v>評分權重 = a</v>
      </c>
      <c r="F391" s="2" t="str">
        <f>計算表!F391</f>
        <v>「戰力評分」中該詞條/對應寶石屬性的權重；未列出者以 1 計。</v>
      </c>
      <c r="G391" s="2">
        <f>計算表!G391</f>
        <v>2.6</v>
      </c>
      <c r="H391" s="2">
        <f>計算表!H391</f>
        <v>0</v>
      </c>
      <c r="I391" s="2">
        <f>計算表!I391</f>
        <v>0</v>
      </c>
      <c r="J391" s="2">
        <f>計算表!J391</f>
        <v>0</v>
      </c>
      <c r="K391" s="2">
        <f>計算表!K391</f>
        <v>0</v>
      </c>
      <c r="L391" s="2">
        <f>計算表!L391</f>
        <v>0</v>
      </c>
      <c r="M391" s="2">
        <f>計算表!M391</f>
        <v>0</v>
      </c>
      <c r="N391" s="2">
        <f>計算表!N391</f>
        <v>0</v>
      </c>
      <c r="O391" s="2">
        <f>計算表!O391</f>
        <v>0</v>
      </c>
      <c r="P391" s="2">
        <f>計算表!P391</f>
        <v>0</v>
      </c>
      <c r="Q391" s="2">
        <f>計算表!Q391</f>
        <v>0</v>
      </c>
      <c r="R391" s="2">
        <f>計算表!R391</f>
        <v>0</v>
      </c>
    </row>
    <row r="392" spans="1:18" x14ac:dyDescent="0.25">
      <c r="A392">
        <f t="shared" si="6"/>
        <v>391</v>
      </c>
      <c r="B392" s="2">
        <f>計算表!B392</f>
        <v>0</v>
      </c>
      <c r="C392" s="2" t="str">
        <f>計算表!C392</f>
        <v>表-戰力權重</v>
      </c>
      <c r="D392" s="2" t="str">
        <f>計算表!D392</f>
        <v>魔法攻擊</v>
      </c>
      <c r="E392" s="2" t="str">
        <f>計算表!E392</f>
        <v>評分權重 = a</v>
      </c>
      <c r="F392" s="2" t="str">
        <f>計算表!F392</f>
        <v>「戰力評分」中該詞條/對應寶石屬性的權重；未列出者以 1 計。</v>
      </c>
      <c r="G392" s="2">
        <f>計算表!G392</f>
        <v>1</v>
      </c>
      <c r="H392" s="2">
        <f>計算表!H392</f>
        <v>0</v>
      </c>
      <c r="I392" s="2">
        <f>計算表!I392</f>
        <v>0</v>
      </c>
      <c r="J392" s="2">
        <f>計算表!J392</f>
        <v>0</v>
      </c>
      <c r="K392" s="2">
        <f>計算表!K392</f>
        <v>0</v>
      </c>
      <c r="L392" s="2">
        <f>計算表!L392</f>
        <v>0</v>
      </c>
      <c r="M392" s="2">
        <f>計算表!M392</f>
        <v>0</v>
      </c>
      <c r="N392" s="2">
        <f>計算表!N392</f>
        <v>0</v>
      </c>
      <c r="O392" s="2">
        <f>計算表!O392</f>
        <v>0</v>
      </c>
      <c r="P392" s="2">
        <f>計算表!P392</f>
        <v>0</v>
      </c>
      <c r="Q392" s="2">
        <f>計算表!Q392</f>
        <v>0</v>
      </c>
      <c r="R392" s="2">
        <f>計算表!R392</f>
        <v>0</v>
      </c>
    </row>
    <row r="393" spans="1:18" x14ac:dyDescent="0.25">
      <c r="A393">
        <f t="shared" si="6"/>
        <v>392</v>
      </c>
      <c r="B393" s="2">
        <f>計算表!B393</f>
        <v>0</v>
      </c>
      <c r="C393" s="2" t="str">
        <f>計算表!C393</f>
        <v>表-戰力權重</v>
      </c>
      <c r="D393" s="2" t="str">
        <f>計算表!D393</f>
        <v>魔法攻擊%</v>
      </c>
      <c r="E393" s="2" t="str">
        <f>計算表!E393</f>
        <v>評分權重 = a</v>
      </c>
      <c r="F393" s="2" t="str">
        <f>計算表!F393</f>
        <v>「戰力評分」中該詞條/對應寶石屬性的權重；未列出者以 1 計。</v>
      </c>
      <c r="G393" s="2">
        <f>計算表!G393</f>
        <v>2.6</v>
      </c>
      <c r="H393" s="2">
        <f>計算表!H393</f>
        <v>0</v>
      </c>
      <c r="I393" s="2">
        <f>計算表!I393</f>
        <v>0</v>
      </c>
      <c r="J393" s="2">
        <f>計算表!J393</f>
        <v>0</v>
      </c>
      <c r="K393" s="2">
        <f>計算表!K393</f>
        <v>0</v>
      </c>
      <c r="L393" s="2">
        <f>計算表!L393</f>
        <v>0</v>
      </c>
      <c r="M393" s="2">
        <f>計算表!M393</f>
        <v>0</v>
      </c>
      <c r="N393" s="2">
        <f>計算表!N393</f>
        <v>0</v>
      </c>
      <c r="O393" s="2">
        <f>計算表!O393</f>
        <v>0</v>
      </c>
      <c r="P393" s="2">
        <f>計算表!P393</f>
        <v>0</v>
      </c>
      <c r="Q393" s="2">
        <f>計算表!Q393</f>
        <v>0</v>
      </c>
      <c r="R393" s="2">
        <f>計算表!R393</f>
        <v>0</v>
      </c>
    </row>
    <row r="394" spans="1:18" x14ac:dyDescent="0.25">
      <c r="A394">
        <f t="shared" si="6"/>
        <v>393</v>
      </c>
      <c r="B394" s="2">
        <f>計算表!B394</f>
        <v>0</v>
      </c>
      <c r="C394" s="2" t="str">
        <f>計算表!C394</f>
        <v>表-戰力權重</v>
      </c>
      <c r="D394" s="2" t="str">
        <f>計算表!D394</f>
        <v>生命值</v>
      </c>
      <c r="E394" s="2" t="str">
        <f>計算表!E394</f>
        <v>評分權重 = a</v>
      </c>
      <c r="F394" s="2" t="str">
        <f>計算表!F394</f>
        <v>「戰力評分」中該詞條/對應寶石屬性的權重；未列出者以 1 計。</v>
      </c>
      <c r="G394" s="2">
        <f>計算表!G394</f>
        <v>0.16</v>
      </c>
      <c r="H394" s="2">
        <f>計算表!H394</f>
        <v>0</v>
      </c>
      <c r="I394" s="2">
        <f>計算表!I394</f>
        <v>0</v>
      </c>
      <c r="J394" s="2">
        <f>計算表!J394</f>
        <v>0</v>
      </c>
      <c r="K394" s="2">
        <f>計算表!K394</f>
        <v>0</v>
      </c>
      <c r="L394" s="2">
        <f>計算表!L394</f>
        <v>0</v>
      </c>
      <c r="M394" s="2">
        <f>計算表!M394</f>
        <v>0</v>
      </c>
      <c r="N394" s="2">
        <f>計算表!N394</f>
        <v>0</v>
      </c>
      <c r="O394" s="2">
        <f>計算表!O394</f>
        <v>0</v>
      </c>
      <c r="P394" s="2">
        <f>計算表!P394</f>
        <v>0</v>
      </c>
      <c r="Q394" s="2">
        <f>計算表!Q394</f>
        <v>0</v>
      </c>
      <c r="R394" s="2">
        <f>計算表!R394</f>
        <v>0</v>
      </c>
    </row>
    <row r="395" spans="1:18" x14ac:dyDescent="0.25">
      <c r="A395">
        <f t="shared" si="6"/>
        <v>394</v>
      </c>
      <c r="B395" s="2">
        <f>計算表!B395</f>
        <v>0</v>
      </c>
      <c r="C395" s="2" t="str">
        <f>計算表!C395</f>
        <v>表-戰力權重</v>
      </c>
      <c r="D395" s="2" t="str">
        <f>計算表!D395</f>
        <v>生命值%</v>
      </c>
      <c r="E395" s="2" t="str">
        <f>計算表!E395</f>
        <v>評分權重 = a</v>
      </c>
      <c r="F395" s="2" t="str">
        <f>計算表!F395</f>
        <v>「戰力評分」中該詞條/對應寶石屬性的權重；未列出者以 1 計。</v>
      </c>
      <c r="G395" s="2">
        <f>計算表!G395</f>
        <v>2.2000000000000002</v>
      </c>
      <c r="H395" s="2">
        <f>計算表!H395</f>
        <v>0</v>
      </c>
      <c r="I395" s="2">
        <f>計算表!I395</f>
        <v>0</v>
      </c>
      <c r="J395" s="2">
        <f>計算表!J395</f>
        <v>0</v>
      </c>
      <c r="K395" s="2">
        <f>計算表!K395</f>
        <v>0</v>
      </c>
      <c r="L395" s="2">
        <f>計算表!L395</f>
        <v>0</v>
      </c>
      <c r="M395" s="2">
        <f>計算表!M395</f>
        <v>0</v>
      </c>
      <c r="N395" s="2">
        <f>計算表!N395</f>
        <v>0</v>
      </c>
      <c r="O395" s="2">
        <f>計算表!O395</f>
        <v>0</v>
      </c>
      <c r="P395" s="2">
        <f>計算表!P395</f>
        <v>0</v>
      </c>
      <c r="Q395" s="2">
        <f>計算表!Q395</f>
        <v>0</v>
      </c>
      <c r="R395" s="2">
        <f>計算表!R395</f>
        <v>0</v>
      </c>
    </row>
    <row r="396" spans="1:18" x14ac:dyDescent="0.25">
      <c r="A396">
        <f t="shared" si="6"/>
        <v>395</v>
      </c>
      <c r="B396" s="2">
        <f>計算表!B396</f>
        <v>0</v>
      </c>
      <c r="C396" s="2" t="str">
        <f>計算表!C396</f>
        <v>表-戰力權重</v>
      </c>
      <c r="D396" s="2" t="str">
        <f>計算表!D396</f>
        <v>生命恢復/秒</v>
      </c>
      <c r="E396" s="2" t="str">
        <f>計算表!E396</f>
        <v>評分權重 = a</v>
      </c>
      <c r="F396" s="2" t="str">
        <f>計算表!F396</f>
        <v>「戰力評分」中該詞條/對應寶石屬性的權重；未列出者以 1 計。</v>
      </c>
      <c r="G396" s="2">
        <f>計算表!G396</f>
        <v>0.6</v>
      </c>
      <c r="H396" s="2">
        <f>計算表!H396</f>
        <v>0</v>
      </c>
      <c r="I396" s="2">
        <f>計算表!I396</f>
        <v>0</v>
      </c>
      <c r="J396" s="2">
        <f>計算表!J396</f>
        <v>0</v>
      </c>
      <c r="K396" s="2">
        <f>計算表!K396</f>
        <v>0</v>
      </c>
      <c r="L396" s="2">
        <f>計算表!L396</f>
        <v>0</v>
      </c>
      <c r="M396" s="2">
        <f>計算表!M396</f>
        <v>0</v>
      </c>
      <c r="N396" s="2">
        <f>計算表!N396</f>
        <v>0</v>
      </c>
      <c r="O396" s="2">
        <f>計算表!O396</f>
        <v>0</v>
      </c>
      <c r="P396" s="2">
        <f>計算表!P396</f>
        <v>0</v>
      </c>
      <c r="Q396" s="2">
        <f>計算表!Q396</f>
        <v>0</v>
      </c>
      <c r="R396" s="2">
        <f>計算表!R396</f>
        <v>0</v>
      </c>
    </row>
    <row r="397" spans="1:18" x14ac:dyDescent="0.25">
      <c r="A397">
        <f t="shared" si="6"/>
        <v>396</v>
      </c>
      <c r="B397" s="2">
        <f>計算表!B397</f>
        <v>0</v>
      </c>
      <c r="C397" s="2" t="str">
        <f>計算表!C397</f>
        <v>表-戰力權重</v>
      </c>
      <c r="D397" s="2" t="str">
        <f>計算表!D397</f>
        <v>物理防禦</v>
      </c>
      <c r="E397" s="2" t="str">
        <f>計算表!E397</f>
        <v>評分權重 = a</v>
      </c>
      <c r="F397" s="2" t="str">
        <f>計算表!F397</f>
        <v>「戰力評分」中該詞條/對應寶石屬性的權重；未列出者以 1 計。</v>
      </c>
      <c r="G397" s="2">
        <f>計算表!G397</f>
        <v>0.9</v>
      </c>
      <c r="H397" s="2">
        <f>計算表!H397</f>
        <v>0</v>
      </c>
      <c r="I397" s="2">
        <f>計算表!I397</f>
        <v>0</v>
      </c>
      <c r="J397" s="2">
        <f>計算表!J397</f>
        <v>0</v>
      </c>
      <c r="K397" s="2">
        <f>計算表!K397</f>
        <v>0</v>
      </c>
      <c r="L397" s="2">
        <f>計算表!L397</f>
        <v>0</v>
      </c>
      <c r="M397" s="2">
        <f>計算表!M397</f>
        <v>0</v>
      </c>
      <c r="N397" s="2">
        <f>計算表!N397</f>
        <v>0</v>
      </c>
      <c r="O397" s="2">
        <f>計算表!O397</f>
        <v>0</v>
      </c>
      <c r="P397" s="2">
        <f>計算表!P397</f>
        <v>0</v>
      </c>
      <c r="Q397" s="2">
        <f>計算表!Q397</f>
        <v>0</v>
      </c>
      <c r="R397" s="2">
        <f>計算表!R397</f>
        <v>0</v>
      </c>
    </row>
    <row r="398" spans="1:18" x14ac:dyDescent="0.25">
      <c r="A398">
        <f t="shared" si="6"/>
        <v>397</v>
      </c>
      <c r="B398" s="2">
        <f>計算表!B398</f>
        <v>0</v>
      </c>
      <c r="C398" s="2" t="str">
        <f>計算表!C398</f>
        <v>表-戰力權重</v>
      </c>
      <c r="D398" s="2" t="str">
        <f>計算表!D398</f>
        <v>物理防禦%</v>
      </c>
      <c r="E398" s="2" t="str">
        <f>計算表!E398</f>
        <v>評分權重 = a</v>
      </c>
      <c r="F398" s="2" t="str">
        <f>計算表!F398</f>
        <v>「戰力評分」中該詞條/對應寶石屬性的權重；未列出者以 1 計。</v>
      </c>
      <c r="G398" s="2">
        <f>計算表!G398</f>
        <v>1.8</v>
      </c>
      <c r="H398" s="2">
        <f>計算表!H398</f>
        <v>0</v>
      </c>
      <c r="I398" s="2">
        <f>計算表!I398</f>
        <v>0</v>
      </c>
      <c r="J398" s="2">
        <f>計算表!J398</f>
        <v>0</v>
      </c>
      <c r="K398" s="2">
        <f>計算表!K398</f>
        <v>0</v>
      </c>
      <c r="L398" s="2">
        <f>計算表!L398</f>
        <v>0</v>
      </c>
      <c r="M398" s="2">
        <f>計算表!M398</f>
        <v>0</v>
      </c>
      <c r="N398" s="2">
        <f>計算表!N398</f>
        <v>0</v>
      </c>
      <c r="O398" s="2">
        <f>計算表!O398</f>
        <v>0</v>
      </c>
      <c r="P398" s="2">
        <f>計算表!P398</f>
        <v>0</v>
      </c>
      <c r="Q398" s="2">
        <f>計算表!Q398</f>
        <v>0</v>
      </c>
      <c r="R398" s="2">
        <f>計算表!R398</f>
        <v>0</v>
      </c>
    </row>
    <row r="399" spans="1:18" x14ac:dyDescent="0.25">
      <c r="A399">
        <f t="shared" si="6"/>
        <v>398</v>
      </c>
      <c r="B399" s="2">
        <f>計算表!B399</f>
        <v>0</v>
      </c>
      <c r="C399" s="2" t="str">
        <f>計算表!C399</f>
        <v>表-戰力權重</v>
      </c>
      <c r="D399" s="2" t="str">
        <f>計算表!D399</f>
        <v>魔法防禦</v>
      </c>
      <c r="E399" s="2" t="str">
        <f>計算表!E399</f>
        <v>評分權重 = a</v>
      </c>
      <c r="F399" s="2" t="str">
        <f>計算表!F399</f>
        <v>「戰力評分」中該詞條/對應寶石屬性的權重；未列出者以 1 計。</v>
      </c>
      <c r="G399" s="2">
        <f>計算表!G399</f>
        <v>0.9</v>
      </c>
      <c r="H399" s="2">
        <f>計算表!H399</f>
        <v>0</v>
      </c>
      <c r="I399" s="2">
        <f>計算表!I399</f>
        <v>0</v>
      </c>
      <c r="J399" s="2">
        <f>計算表!J399</f>
        <v>0</v>
      </c>
      <c r="K399" s="2">
        <f>計算表!K399</f>
        <v>0</v>
      </c>
      <c r="L399" s="2">
        <f>計算表!L399</f>
        <v>0</v>
      </c>
      <c r="M399" s="2">
        <f>計算表!M399</f>
        <v>0</v>
      </c>
      <c r="N399" s="2">
        <f>計算表!N399</f>
        <v>0</v>
      </c>
      <c r="O399" s="2">
        <f>計算表!O399</f>
        <v>0</v>
      </c>
      <c r="P399" s="2">
        <f>計算表!P399</f>
        <v>0</v>
      </c>
      <c r="Q399" s="2">
        <f>計算表!Q399</f>
        <v>0</v>
      </c>
      <c r="R399" s="2">
        <f>計算表!R399</f>
        <v>0</v>
      </c>
    </row>
    <row r="400" spans="1:18" x14ac:dyDescent="0.25">
      <c r="A400">
        <f t="shared" si="6"/>
        <v>399</v>
      </c>
      <c r="B400" s="2">
        <f>計算表!B400</f>
        <v>0</v>
      </c>
      <c r="C400" s="2" t="str">
        <f>計算表!C400</f>
        <v>表-戰力權重</v>
      </c>
      <c r="D400" s="2" t="str">
        <f>計算表!D400</f>
        <v>法力值</v>
      </c>
      <c r="E400" s="2" t="str">
        <f>計算表!E400</f>
        <v>評分權重 = a</v>
      </c>
      <c r="F400" s="2" t="str">
        <f>計算表!F400</f>
        <v>「戰力評分」中該詞條/對應寶石屬性的權重；未列出者以 1 計。</v>
      </c>
      <c r="G400" s="2">
        <f>計算表!G400</f>
        <v>0.25</v>
      </c>
      <c r="H400" s="2">
        <f>計算表!H400</f>
        <v>0</v>
      </c>
      <c r="I400" s="2">
        <f>計算表!I400</f>
        <v>0</v>
      </c>
      <c r="J400" s="2">
        <f>計算表!J400</f>
        <v>0</v>
      </c>
      <c r="K400" s="2">
        <f>計算表!K400</f>
        <v>0</v>
      </c>
      <c r="L400" s="2">
        <f>計算表!L400</f>
        <v>0</v>
      </c>
      <c r="M400" s="2">
        <f>計算表!M400</f>
        <v>0</v>
      </c>
      <c r="N400" s="2">
        <f>計算表!N400</f>
        <v>0</v>
      </c>
      <c r="O400" s="2">
        <f>計算表!O400</f>
        <v>0</v>
      </c>
      <c r="P400" s="2">
        <f>計算表!P400</f>
        <v>0</v>
      </c>
      <c r="Q400" s="2">
        <f>計算表!Q400</f>
        <v>0</v>
      </c>
      <c r="R400" s="2">
        <f>計算表!R400</f>
        <v>0</v>
      </c>
    </row>
    <row r="401" spans="1:18" x14ac:dyDescent="0.25">
      <c r="A401">
        <f t="shared" si="6"/>
        <v>400</v>
      </c>
      <c r="B401" s="2">
        <f>計算表!B401</f>
        <v>0</v>
      </c>
      <c r="C401" s="2" t="str">
        <f>計算表!C401</f>
        <v>表-戰力權重</v>
      </c>
      <c r="D401" s="2" t="str">
        <f>計算表!D401</f>
        <v>法力恢復/秒</v>
      </c>
      <c r="E401" s="2" t="str">
        <f>計算表!E401</f>
        <v>評分權重 = a</v>
      </c>
      <c r="F401" s="2" t="str">
        <f>計算表!F401</f>
        <v>「戰力評分」中該詞條/對應寶石屬性的權重；未列出者以 1 計。</v>
      </c>
      <c r="G401" s="2">
        <f>計算表!G401</f>
        <v>2</v>
      </c>
      <c r="H401" s="2">
        <f>計算表!H401</f>
        <v>0</v>
      </c>
      <c r="I401" s="2">
        <f>計算表!I401</f>
        <v>0</v>
      </c>
      <c r="J401" s="2">
        <f>計算表!J401</f>
        <v>0</v>
      </c>
      <c r="K401" s="2">
        <f>計算表!K401</f>
        <v>0</v>
      </c>
      <c r="L401" s="2">
        <f>計算表!L401</f>
        <v>0</v>
      </c>
      <c r="M401" s="2">
        <f>計算表!M401</f>
        <v>0</v>
      </c>
      <c r="N401" s="2">
        <f>計算表!N401</f>
        <v>0</v>
      </c>
      <c r="O401" s="2">
        <f>計算表!O401</f>
        <v>0</v>
      </c>
      <c r="P401" s="2">
        <f>計算表!P401</f>
        <v>0</v>
      </c>
      <c r="Q401" s="2">
        <f>計算表!Q401</f>
        <v>0</v>
      </c>
      <c r="R401" s="2">
        <f>計算表!R401</f>
        <v>0</v>
      </c>
    </row>
    <row r="402" spans="1:18" x14ac:dyDescent="0.25">
      <c r="A402">
        <f t="shared" si="6"/>
        <v>401</v>
      </c>
      <c r="B402" s="2">
        <f>計算表!B402</f>
        <v>0</v>
      </c>
      <c r="C402" s="2" t="str">
        <f>計算表!C402</f>
        <v>表-戰力權重</v>
      </c>
      <c r="D402" s="2" t="str">
        <f>計算表!D402</f>
        <v>力量</v>
      </c>
      <c r="E402" s="2" t="str">
        <f>計算表!E402</f>
        <v>評分權重 = a</v>
      </c>
      <c r="F402" s="2" t="str">
        <f>計算表!F402</f>
        <v>「戰力評分」中該詞條/對應寶石屬性的權重；未列出者以 1 計。</v>
      </c>
      <c r="G402" s="2">
        <f>計算表!G402</f>
        <v>1.8</v>
      </c>
      <c r="H402" s="2">
        <f>計算表!H402</f>
        <v>0</v>
      </c>
      <c r="I402" s="2">
        <f>計算表!I402</f>
        <v>0</v>
      </c>
      <c r="J402" s="2">
        <f>計算表!J402</f>
        <v>0</v>
      </c>
      <c r="K402" s="2">
        <f>計算表!K402</f>
        <v>0</v>
      </c>
      <c r="L402" s="2">
        <f>計算表!L402</f>
        <v>0</v>
      </c>
      <c r="M402" s="2">
        <f>計算表!M402</f>
        <v>0</v>
      </c>
      <c r="N402" s="2">
        <f>計算表!N402</f>
        <v>0</v>
      </c>
      <c r="O402" s="2">
        <f>計算表!O402</f>
        <v>0</v>
      </c>
      <c r="P402" s="2">
        <f>計算表!P402</f>
        <v>0</v>
      </c>
      <c r="Q402" s="2">
        <f>計算表!Q402</f>
        <v>0</v>
      </c>
      <c r="R402" s="2">
        <f>計算表!R402</f>
        <v>0</v>
      </c>
    </row>
    <row r="403" spans="1:18" x14ac:dyDescent="0.25">
      <c r="A403">
        <f t="shared" si="6"/>
        <v>402</v>
      </c>
      <c r="B403" s="2">
        <f>計算表!B403</f>
        <v>0</v>
      </c>
      <c r="C403" s="2" t="str">
        <f>計算表!C403</f>
        <v>表-戰力權重</v>
      </c>
      <c r="D403" s="2" t="str">
        <f>計算表!D403</f>
        <v>敏捷</v>
      </c>
      <c r="E403" s="2" t="str">
        <f>計算表!E403</f>
        <v>評分權重 = a</v>
      </c>
      <c r="F403" s="2" t="str">
        <f>計算表!F403</f>
        <v>「戰力評分」中該詞條/對應寶石屬性的權重；未列出者以 1 計。</v>
      </c>
      <c r="G403" s="2">
        <f>計算表!G403</f>
        <v>1.8</v>
      </c>
      <c r="H403" s="2">
        <f>計算表!H403</f>
        <v>0</v>
      </c>
      <c r="I403" s="2">
        <f>計算表!I403</f>
        <v>0</v>
      </c>
      <c r="J403" s="2">
        <f>計算表!J403</f>
        <v>0</v>
      </c>
      <c r="K403" s="2">
        <f>計算表!K403</f>
        <v>0</v>
      </c>
      <c r="L403" s="2">
        <f>計算表!L403</f>
        <v>0</v>
      </c>
      <c r="M403" s="2">
        <f>計算表!M403</f>
        <v>0</v>
      </c>
      <c r="N403" s="2">
        <f>計算表!N403</f>
        <v>0</v>
      </c>
      <c r="O403" s="2">
        <f>計算表!O403</f>
        <v>0</v>
      </c>
      <c r="P403" s="2">
        <f>計算表!P403</f>
        <v>0</v>
      </c>
      <c r="Q403" s="2">
        <f>計算表!Q403</f>
        <v>0</v>
      </c>
      <c r="R403" s="2">
        <f>計算表!R403</f>
        <v>0</v>
      </c>
    </row>
    <row r="404" spans="1:18" x14ac:dyDescent="0.25">
      <c r="A404">
        <f t="shared" si="6"/>
        <v>403</v>
      </c>
      <c r="B404" s="2">
        <f>計算表!B404</f>
        <v>0</v>
      </c>
      <c r="C404" s="2" t="str">
        <f>計算表!C404</f>
        <v>表-戰力權重</v>
      </c>
      <c r="D404" s="2" t="str">
        <f>計算表!D404</f>
        <v>智力</v>
      </c>
      <c r="E404" s="2" t="str">
        <f>計算表!E404</f>
        <v>評分權重 = a</v>
      </c>
      <c r="F404" s="2" t="str">
        <f>計算表!F404</f>
        <v>「戰力評分」中該詞條/對應寶石屬性的權重；未列出者以 1 計。</v>
      </c>
      <c r="G404" s="2">
        <f>計算表!G404</f>
        <v>1.8</v>
      </c>
      <c r="H404" s="2">
        <f>計算表!H404</f>
        <v>0</v>
      </c>
      <c r="I404" s="2">
        <f>計算表!I404</f>
        <v>0</v>
      </c>
      <c r="J404" s="2">
        <f>計算表!J404</f>
        <v>0</v>
      </c>
      <c r="K404" s="2">
        <f>計算表!K404</f>
        <v>0</v>
      </c>
      <c r="L404" s="2">
        <f>計算表!L404</f>
        <v>0</v>
      </c>
      <c r="M404" s="2">
        <f>計算表!M404</f>
        <v>0</v>
      </c>
      <c r="N404" s="2">
        <f>計算表!N404</f>
        <v>0</v>
      </c>
      <c r="O404" s="2">
        <f>計算表!O404</f>
        <v>0</v>
      </c>
      <c r="P404" s="2">
        <f>計算表!P404</f>
        <v>0</v>
      </c>
      <c r="Q404" s="2">
        <f>計算表!Q404</f>
        <v>0</v>
      </c>
      <c r="R404" s="2">
        <f>計算表!R404</f>
        <v>0</v>
      </c>
    </row>
    <row r="405" spans="1:18" x14ac:dyDescent="0.25">
      <c r="A405">
        <f t="shared" si="6"/>
        <v>404</v>
      </c>
      <c r="B405" s="2">
        <f>計算表!B405</f>
        <v>0</v>
      </c>
      <c r="C405" s="2" t="str">
        <f>計算表!C405</f>
        <v>表-戰力權重</v>
      </c>
      <c r="D405" s="2" t="str">
        <f>計算表!D405</f>
        <v>耐力</v>
      </c>
      <c r="E405" s="2" t="str">
        <f>計算表!E405</f>
        <v>評分權重 = a</v>
      </c>
      <c r="F405" s="2" t="str">
        <f>計算表!F405</f>
        <v>「戰力評分」中該詞條/對應寶石屬性的權重；未列出者以 1 計。</v>
      </c>
      <c r="G405" s="2">
        <f>計算表!G405</f>
        <v>1.8</v>
      </c>
      <c r="H405" s="2">
        <f>計算表!H405</f>
        <v>0</v>
      </c>
      <c r="I405" s="2">
        <f>計算表!I405</f>
        <v>0</v>
      </c>
      <c r="J405" s="2">
        <f>計算表!J405</f>
        <v>0</v>
      </c>
      <c r="K405" s="2">
        <f>計算表!K405</f>
        <v>0</v>
      </c>
      <c r="L405" s="2">
        <f>計算表!L405</f>
        <v>0</v>
      </c>
      <c r="M405" s="2">
        <f>計算表!M405</f>
        <v>0</v>
      </c>
      <c r="N405" s="2">
        <f>計算表!N405</f>
        <v>0</v>
      </c>
      <c r="O405" s="2">
        <f>計算表!O405</f>
        <v>0</v>
      </c>
      <c r="P405" s="2">
        <f>計算表!P405</f>
        <v>0</v>
      </c>
      <c r="Q405" s="2">
        <f>計算表!Q405</f>
        <v>0</v>
      </c>
      <c r="R405" s="2">
        <f>計算表!R405</f>
        <v>0</v>
      </c>
    </row>
    <row r="406" spans="1:18" x14ac:dyDescent="0.25">
      <c r="A406">
        <f t="shared" si="6"/>
        <v>405</v>
      </c>
      <c r="B406" s="2">
        <f>計算表!B406</f>
        <v>0</v>
      </c>
      <c r="C406" s="2" t="str">
        <f>計算表!C406</f>
        <v>表-戰力權重</v>
      </c>
      <c r="D406" s="2" t="str">
        <f>計算表!D406</f>
        <v>攻擊速度%</v>
      </c>
      <c r="E406" s="2" t="str">
        <f>計算表!E406</f>
        <v>評分權重 = a</v>
      </c>
      <c r="F406" s="2" t="str">
        <f>計算表!F406</f>
        <v>「戰力評分」中該詞條/對應寶石屬性的權重；未列出者以 1 計。</v>
      </c>
      <c r="G406" s="2">
        <f>計算表!G406</f>
        <v>2.8</v>
      </c>
      <c r="H406" s="2">
        <f>計算表!H406</f>
        <v>0</v>
      </c>
      <c r="I406" s="2">
        <f>計算表!I406</f>
        <v>0</v>
      </c>
      <c r="J406" s="2">
        <f>計算表!J406</f>
        <v>0</v>
      </c>
      <c r="K406" s="2">
        <f>計算表!K406</f>
        <v>0</v>
      </c>
      <c r="L406" s="2">
        <f>計算表!L406</f>
        <v>0</v>
      </c>
      <c r="M406" s="2">
        <f>計算表!M406</f>
        <v>0</v>
      </c>
      <c r="N406" s="2">
        <f>計算表!N406</f>
        <v>0</v>
      </c>
      <c r="O406" s="2">
        <f>計算表!O406</f>
        <v>0</v>
      </c>
      <c r="P406" s="2">
        <f>計算表!P406</f>
        <v>0</v>
      </c>
      <c r="Q406" s="2">
        <f>計算表!Q406</f>
        <v>0</v>
      </c>
      <c r="R406" s="2">
        <f>計算表!R406</f>
        <v>0</v>
      </c>
    </row>
    <row r="407" spans="1:18" x14ac:dyDescent="0.25">
      <c r="A407">
        <f t="shared" si="6"/>
        <v>406</v>
      </c>
      <c r="B407" s="2">
        <f>計算表!B407</f>
        <v>0</v>
      </c>
      <c r="C407" s="2" t="str">
        <f>計算表!C407</f>
        <v>表-戰力權重</v>
      </c>
      <c r="D407" s="2" t="str">
        <f>計算表!D407</f>
        <v>暴擊率%</v>
      </c>
      <c r="E407" s="2" t="str">
        <f>計算表!E407</f>
        <v>評分權重 = a</v>
      </c>
      <c r="F407" s="2" t="str">
        <f>計算表!F407</f>
        <v>「戰力評分」中該詞條/對應寶石屬性的權重；未列出者以 1 計。</v>
      </c>
      <c r="G407" s="2">
        <f>計算表!G407</f>
        <v>2.4</v>
      </c>
      <c r="H407" s="2">
        <f>計算表!H407</f>
        <v>0</v>
      </c>
      <c r="I407" s="2">
        <f>計算表!I407</f>
        <v>0</v>
      </c>
      <c r="J407" s="2">
        <f>計算表!J407</f>
        <v>0</v>
      </c>
      <c r="K407" s="2">
        <f>計算表!K407</f>
        <v>0</v>
      </c>
      <c r="L407" s="2">
        <f>計算表!L407</f>
        <v>0</v>
      </c>
      <c r="M407" s="2">
        <f>計算表!M407</f>
        <v>0</v>
      </c>
      <c r="N407" s="2">
        <f>計算表!N407</f>
        <v>0</v>
      </c>
      <c r="O407" s="2">
        <f>計算表!O407</f>
        <v>0</v>
      </c>
      <c r="P407" s="2">
        <f>計算表!P407</f>
        <v>0</v>
      </c>
      <c r="Q407" s="2">
        <f>計算表!Q407</f>
        <v>0</v>
      </c>
      <c r="R407" s="2">
        <f>計算表!R407</f>
        <v>0</v>
      </c>
    </row>
    <row r="408" spans="1:18" x14ac:dyDescent="0.25">
      <c r="A408">
        <f t="shared" si="6"/>
        <v>407</v>
      </c>
      <c r="B408" s="2">
        <f>計算表!B408</f>
        <v>0</v>
      </c>
      <c r="C408" s="2" t="str">
        <f>計算表!C408</f>
        <v>表-戰力權重</v>
      </c>
      <c r="D408" s="2" t="str">
        <f>計算表!D408</f>
        <v>暴擊傷害%</v>
      </c>
      <c r="E408" s="2" t="str">
        <f>計算表!E408</f>
        <v>評分權重 = a</v>
      </c>
      <c r="F408" s="2" t="str">
        <f>計算表!F408</f>
        <v>「戰力評分」中該詞條/對應寶石屬性的權重；未列出者以 1 計。</v>
      </c>
      <c r="G408" s="2">
        <f>計算表!G408</f>
        <v>0.9</v>
      </c>
      <c r="H408" s="2">
        <f>計算表!H408</f>
        <v>0</v>
      </c>
      <c r="I408" s="2">
        <f>計算表!I408</f>
        <v>0</v>
      </c>
      <c r="J408" s="2">
        <f>計算表!J408</f>
        <v>0</v>
      </c>
      <c r="K408" s="2">
        <f>計算表!K408</f>
        <v>0</v>
      </c>
      <c r="L408" s="2">
        <f>計算表!L408</f>
        <v>0</v>
      </c>
      <c r="M408" s="2">
        <f>計算表!M408</f>
        <v>0</v>
      </c>
      <c r="N408" s="2">
        <f>計算表!N408</f>
        <v>0</v>
      </c>
      <c r="O408" s="2">
        <f>計算表!O408</f>
        <v>0</v>
      </c>
      <c r="P408" s="2">
        <f>計算表!P408</f>
        <v>0</v>
      </c>
      <c r="Q408" s="2">
        <f>計算表!Q408</f>
        <v>0</v>
      </c>
      <c r="R408" s="2">
        <f>計算表!R408</f>
        <v>0</v>
      </c>
    </row>
    <row r="409" spans="1:18" x14ac:dyDescent="0.25">
      <c r="A409">
        <f t="shared" si="6"/>
        <v>408</v>
      </c>
      <c r="B409" s="2">
        <f>計算表!B409</f>
        <v>0</v>
      </c>
      <c r="C409" s="2" t="str">
        <f>計算表!C409</f>
        <v>表-戰力權重</v>
      </c>
      <c r="D409" s="2" t="str">
        <f>計算表!D409</f>
        <v>物理穿透%</v>
      </c>
      <c r="E409" s="2" t="str">
        <f>計算表!E409</f>
        <v>評分權重 = a</v>
      </c>
      <c r="F409" s="2" t="str">
        <f>計算表!F409</f>
        <v>「戰力評分」中該詞條/對應寶石屬性的權重；未列出者以 1 計。</v>
      </c>
      <c r="G409" s="2">
        <f>計算表!G409</f>
        <v>2.2000000000000002</v>
      </c>
      <c r="H409" s="2">
        <f>計算表!H409</f>
        <v>0</v>
      </c>
      <c r="I409" s="2">
        <f>計算表!I409</f>
        <v>0</v>
      </c>
      <c r="J409" s="2">
        <f>計算表!J409</f>
        <v>0</v>
      </c>
      <c r="K409" s="2">
        <f>計算表!K409</f>
        <v>0</v>
      </c>
      <c r="L409" s="2">
        <f>計算表!L409</f>
        <v>0</v>
      </c>
      <c r="M409" s="2">
        <f>計算表!M409</f>
        <v>0</v>
      </c>
      <c r="N409" s="2">
        <f>計算表!N409</f>
        <v>0</v>
      </c>
      <c r="O409" s="2">
        <f>計算表!O409</f>
        <v>0</v>
      </c>
      <c r="P409" s="2">
        <f>計算表!P409</f>
        <v>0</v>
      </c>
      <c r="Q409" s="2">
        <f>計算表!Q409</f>
        <v>0</v>
      </c>
      <c r="R409" s="2">
        <f>計算表!R409</f>
        <v>0</v>
      </c>
    </row>
    <row r="410" spans="1:18" x14ac:dyDescent="0.25">
      <c r="A410">
        <f t="shared" si="6"/>
        <v>409</v>
      </c>
      <c r="B410" s="2">
        <f>計算表!B410</f>
        <v>0</v>
      </c>
      <c r="C410" s="2" t="str">
        <f>計算表!C410</f>
        <v>表-戰力權重</v>
      </c>
      <c r="D410" s="2" t="str">
        <f>計算表!D410</f>
        <v>魔法穿透%</v>
      </c>
      <c r="E410" s="2" t="str">
        <f>計算表!E410</f>
        <v>評分權重 = a</v>
      </c>
      <c r="F410" s="2" t="str">
        <f>計算表!F410</f>
        <v>「戰力評分」中該詞條/對應寶石屬性的權重；未列出者以 1 計。</v>
      </c>
      <c r="G410" s="2">
        <f>計算表!G410</f>
        <v>2.2000000000000002</v>
      </c>
      <c r="H410" s="2">
        <f>計算表!H410</f>
        <v>0</v>
      </c>
      <c r="I410" s="2">
        <f>計算表!I410</f>
        <v>0</v>
      </c>
      <c r="J410" s="2">
        <f>計算表!J410</f>
        <v>0</v>
      </c>
      <c r="K410" s="2">
        <f>計算表!K410</f>
        <v>0</v>
      </c>
      <c r="L410" s="2">
        <f>計算表!L410</f>
        <v>0</v>
      </c>
      <c r="M410" s="2">
        <f>計算表!M410</f>
        <v>0</v>
      </c>
      <c r="N410" s="2">
        <f>計算表!N410</f>
        <v>0</v>
      </c>
      <c r="O410" s="2">
        <f>計算表!O410</f>
        <v>0</v>
      </c>
      <c r="P410" s="2">
        <f>計算表!P410</f>
        <v>0</v>
      </c>
      <c r="Q410" s="2">
        <f>計算表!Q410</f>
        <v>0</v>
      </c>
      <c r="R410" s="2">
        <f>計算表!R410</f>
        <v>0</v>
      </c>
    </row>
    <row r="411" spans="1:18" x14ac:dyDescent="0.25">
      <c r="A411">
        <f t="shared" si="6"/>
        <v>410</v>
      </c>
      <c r="B411" s="2">
        <f>計算表!B411</f>
        <v>0</v>
      </c>
      <c r="C411" s="2" t="str">
        <f>計算表!C411</f>
        <v>表-戰力權重</v>
      </c>
      <c r="D411" s="2" t="str">
        <f>計算表!D411</f>
        <v>命中率%</v>
      </c>
      <c r="E411" s="2" t="str">
        <f>計算表!E411</f>
        <v>評分權重 = a</v>
      </c>
      <c r="F411" s="2" t="str">
        <f>計算表!F411</f>
        <v>「戰力評分」中該詞條/對應寶石屬性的權重；未列出者以 1 計。</v>
      </c>
      <c r="G411" s="2">
        <f>計算表!G411</f>
        <v>1.2</v>
      </c>
      <c r="H411" s="2">
        <f>計算表!H411</f>
        <v>0</v>
      </c>
      <c r="I411" s="2">
        <f>計算表!I411</f>
        <v>0</v>
      </c>
      <c r="J411" s="2">
        <f>計算表!J411</f>
        <v>0</v>
      </c>
      <c r="K411" s="2">
        <f>計算表!K411</f>
        <v>0</v>
      </c>
      <c r="L411" s="2">
        <f>計算表!L411</f>
        <v>0</v>
      </c>
      <c r="M411" s="2">
        <f>計算表!M411</f>
        <v>0</v>
      </c>
      <c r="N411" s="2">
        <f>計算表!N411</f>
        <v>0</v>
      </c>
      <c r="O411" s="2">
        <f>計算表!O411</f>
        <v>0</v>
      </c>
      <c r="P411" s="2">
        <f>計算表!P411</f>
        <v>0</v>
      </c>
      <c r="Q411" s="2">
        <f>計算表!Q411</f>
        <v>0</v>
      </c>
      <c r="R411" s="2">
        <f>計算表!R411</f>
        <v>0</v>
      </c>
    </row>
    <row r="412" spans="1:18" x14ac:dyDescent="0.25">
      <c r="A412">
        <f t="shared" si="6"/>
        <v>411</v>
      </c>
      <c r="B412" s="2">
        <f>計算表!B412</f>
        <v>0</v>
      </c>
      <c r="C412" s="2" t="str">
        <f>計算表!C412</f>
        <v>表-戰力權重</v>
      </c>
      <c r="D412" s="2" t="str">
        <f>計算表!D412</f>
        <v>冷卻縮減%</v>
      </c>
      <c r="E412" s="2" t="str">
        <f>計算表!E412</f>
        <v>評分權重 = a</v>
      </c>
      <c r="F412" s="2" t="str">
        <f>計算表!F412</f>
        <v>「戰力評分」中該詞條/對應寶石屬性的權重；未列出者以 1 計。</v>
      </c>
      <c r="G412" s="2">
        <f>計算表!G412</f>
        <v>2</v>
      </c>
      <c r="H412" s="2">
        <f>計算表!H412</f>
        <v>0</v>
      </c>
      <c r="I412" s="2">
        <f>計算表!I412</f>
        <v>0</v>
      </c>
      <c r="J412" s="2">
        <f>計算表!J412</f>
        <v>0</v>
      </c>
      <c r="K412" s="2">
        <f>計算表!K412</f>
        <v>0</v>
      </c>
      <c r="L412" s="2">
        <f>計算表!L412</f>
        <v>0</v>
      </c>
      <c r="M412" s="2">
        <f>計算表!M412</f>
        <v>0</v>
      </c>
      <c r="N412" s="2">
        <f>計算表!N412</f>
        <v>0</v>
      </c>
      <c r="O412" s="2">
        <f>計算表!O412</f>
        <v>0</v>
      </c>
      <c r="P412" s="2">
        <f>計算表!P412</f>
        <v>0</v>
      </c>
      <c r="Q412" s="2">
        <f>計算表!Q412</f>
        <v>0</v>
      </c>
      <c r="R412" s="2">
        <f>計算表!R412</f>
        <v>0</v>
      </c>
    </row>
    <row r="413" spans="1:18" x14ac:dyDescent="0.25">
      <c r="A413">
        <f t="shared" si="6"/>
        <v>412</v>
      </c>
      <c r="B413" s="2">
        <f>計算表!B413</f>
        <v>0</v>
      </c>
      <c r="C413" s="2" t="str">
        <f>計算表!C413</f>
        <v>表-戰力權重</v>
      </c>
      <c r="D413" s="2" t="str">
        <f>計算表!D413</f>
        <v>施法速度%</v>
      </c>
      <c r="E413" s="2" t="str">
        <f>計算表!E413</f>
        <v>評分權重 = a</v>
      </c>
      <c r="F413" s="2" t="str">
        <f>計算表!F413</f>
        <v>「戰力評分」中該詞條/對應寶石屬性的權重；未列出者以 1 計。</v>
      </c>
      <c r="G413" s="2">
        <f>計算表!G413</f>
        <v>1.4</v>
      </c>
      <c r="H413" s="2">
        <f>計算表!H413</f>
        <v>0</v>
      </c>
      <c r="I413" s="2">
        <f>計算表!I413</f>
        <v>0</v>
      </c>
      <c r="J413" s="2">
        <f>計算表!J413</f>
        <v>0</v>
      </c>
      <c r="K413" s="2">
        <f>計算表!K413</f>
        <v>0</v>
      </c>
      <c r="L413" s="2">
        <f>計算表!L413</f>
        <v>0</v>
      </c>
      <c r="M413" s="2">
        <f>計算表!M413</f>
        <v>0</v>
      </c>
      <c r="N413" s="2">
        <f>計算表!N413</f>
        <v>0</v>
      </c>
      <c r="O413" s="2">
        <f>計算表!O413</f>
        <v>0</v>
      </c>
      <c r="P413" s="2">
        <f>計算表!P413</f>
        <v>0</v>
      </c>
      <c r="Q413" s="2">
        <f>計算表!Q413</f>
        <v>0</v>
      </c>
      <c r="R413" s="2">
        <f>計算表!R413</f>
        <v>0</v>
      </c>
    </row>
    <row r="414" spans="1:18" x14ac:dyDescent="0.25">
      <c r="A414">
        <f t="shared" si="6"/>
        <v>413</v>
      </c>
      <c r="B414" s="2">
        <f>計算表!B414</f>
        <v>0</v>
      </c>
      <c r="C414" s="2" t="str">
        <f>計算表!C414</f>
        <v>表-戰力權重</v>
      </c>
      <c r="D414" s="2" t="str">
        <f>計算表!D414</f>
        <v>吸血%</v>
      </c>
      <c r="E414" s="2" t="str">
        <f>計算表!E414</f>
        <v>評分權重 = a</v>
      </c>
      <c r="F414" s="2" t="str">
        <f>計算表!F414</f>
        <v>「戰力評分」中該詞條/對應寶石屬性的權重；未列出者以 1 計。</v>
      </c>
      <c r="G414" s="2">
        <f>計算表!G414</f>
        <v>2.2000000000000002</v>
      </c>
      <c r="H414" s="2">
        <f>計算表!H414</f>
        <v>0</v>
      </c>
      <c r="I414" s="2">
        <f>計算表!I414</f>
        <v>0</v>
      </c>
      <c r="J414" s="2">
        <f>計算表!J414</f>
        <v>0</v>
      </c>
      <c r="K414" s="2">
        <f>計算表!K414</f>
        <v>0</v>
      </c>
      <c r="L414" s="2">
        <f>計算表!L414</f>
        <v>0</v>
      </c>
      <c r="M414" s="2">
        <f>計算表!M414</f>
        <v>0</v>
      </c>
      <c r="N414" s="2">
        <f>計算表!N414</f>
        <v>0</v>
      </c>
      <c r="O414" s="2">
        <f>計算表!O414</f>
        <v>0</v>
      </c>
      <c r="P414" s="2">
        <f>計算表!P414</f>
        <v>0</v>
      </c>
      <c r="Q414" s="2">
        <f>計算表!Q414</f>
        <v>0</v>
      </c>
      <c r="R414" s="2">
        <f>計算表!R414</f>
        <v>0</v>
      </c>
    </row>
    <row r="415" spans="1:18" x14ac:dyDescent="0.25">
      <c r="A415">
        <f t="shared" si="6"/>
        <v>414</v>
      </c>
      <c r="B415" s="2">
        <f>計算表!B415</f>
        <v>0</v>
      </c>
      <c r="C415" s="2" t="str">
        <f>計算表!C415</f>
        <v>表-戰力權重</v>
      </c>
      <c r="D415" s="2" t="str">
        <f>計算表!D415</f>
        <v>吸魔%</v>
      </c>
      <c r="E415" s="2" t="str">
        <f>計算表!E415</f>
        <v>評分權重 = a</v>
      </c>
      <c r="F415" s="2" t="str">
        <f>計算表!F415</f>
        <v>「戰力評分」中該詞條/對應寶石屬性的權重；未列出者以 1 計。</v>
      </c>
      <c r="G415" s="2">
        <f>計算表!G415</f>
        <v>1.4</v>
      </c>
      <c r="H415" s="2">
        <f>計算表!H415</f>
        <v>0</v>
      </c>
      <c r="I415" s="2">
        <f>計算表!I415</f>
        <v>0</v>
      </c>
      <c r="J415" s="2">
        <f>計算表!J415</f>
        <v>0</v>
      </c>
      <c r="K415" s="2">
        <f>計算表!K415</f>
        <v>0</v>
      </c>
      <c r="L415" s="2">
        <f>計算表!L415</f>
        <v>0</v>
      </c>
      <c r="M415" s="2">
        <f>計算表!M415</f>
        <v>0</v>
      </c>
      <c r="N415" s="2">
        <f>計算表!N415</f>
        <v>0</v>
      </c>
      <c r="O415" s="2">
        <f>計算表!O415</f>
        <v>0</v>
      </c>
      <c r="P415" s="2">
        <f>計算表!P415</f>
        <v>0</v>
      </c>
      <c r="Q415" s="2">
        <f>計算表!Q415</f>
        <v>0</v>
      </c>
      <c r="R415" s="2">
        <f>計算表!R415</f>
        <v>0</v>
      </c>
    </row>
    <row r="416" spans="1:18" x14ac:dyDescent="0.25">
      <c r="A416">
        <f t="shared" si="6"/>
        <v>415</v>
      </c>
      <c r="B416" s="2">
        <f>計算表!B416</f>
        <v>0</v>
      </c>
      <c r="C416" s="2" t="str">
        <f>計算表!C416</f>
        <v>表-戰力權重</v>
      </c>
      <c r="D416" s="2" t="str">
        <f>計算表!D416</f>
        <v>對菁英傷害%</v>
      </c>
      <c r="E416" s="2" t="str">
        <f>計算表!E416</f>
        <v>評分權重 = a</v>
      </c>
      <c r="F416" s="2" t="str">
        <f>計算表!F416</f>
        <v>「戰力評分」中該詞條/對應寶石屬性的權重；未列出者以 1 計。</v>
      </c>
      <c r="G416" s="2">
        <f>計算表!G416</f>
        <v>1.2</v>
      </c>
      <c r="H416" s="2">
        <f>計算表!H416</f>
        <v>0</v>
      </c>
      <c r="I416" s="2">
        <f>計算表!I416</f>
        <v>0</v>
      </c>
      <c r="J416" s="2">
        <f>計算表!J416</f>
        <v>0</v>
      </c>
      <c r="K416" s="2">
        <f>計算表!K416</f>
        <v>0</v>
      </c>
      <c r="L416" s="2">
        <f>計算表!L416</f>
        <v>0</v>
      </c>
      <c r="M416" s="2">
        <f>計算表!M416</f>
        <v>0</v>
      </c>
      <c r="N416" s="2">
        <f>計算表!N416</f>
        <v>0</v>
      </c>
      <c r="O416" s="2">
        <f>計算表!O416</f>
        <v>0</v>
      </c>
      <c r="P416" s="2">
        <f>計算表!P416</f>
        <v>0</v>
      </c>
      <c r="Q416" s="2">
        <f>計算表!Q416</f>
        <v>0</v>
      </c>
      <c r="R416" s="2">
        <f>計算表!R416</f>
        <v>0</v>
      </c>
    </row>
    <row r="417" spans="1:18" x14ac:dyDescent="0.25">
      <c r="A417">
        <f t="shared" si="6"/>
        <v>416</v>
      </c>
      <c r="B417" s="2">
        <f>計算表!B417</f>
        <v>0</v>
      </c>
      <c r="C417" s="2" t="str">
        <f>計算表!C417</f>
        <v>表-戰力權重</v>
      </c>
      <c r="D417" s="2" t="str">
        <f>計算表!D417</f>
        <v>對BOSS傷害%</v>
      </c>
      <c r="E417" s="2" t="str">
        <f>計算表!E417</f>
        <v>評分權重 = a</v>
      </c>
      <c r="F417" s="2" t="str">
        <f>計算表!F417</f>
        <v>「戰力評分」中該詞條/對應寶石屬性的權重；未列出者以 1 計。</v>
      </c>
      <c r="G417" s="2">
        <f>計算表!G417</f>
        <v>1.2</v>
      </c>
      <c r="H417" s="2">
        <f>計算表!H417</f>
        <v>0</v>
      </c>
      <c r="I417" s="2">
        <f>計算表!I417</f>
        <v>0</v>
      </c>
      <c r="J417" s="2">
        <f>計算表!J417</f>
        <v>0</v>
      </c>
      <c r="K417" s="2">
        <f>計算表!K417</f>
        <v>0</v>
      </c>
      <c r="L417" s="2">
        <f>計算表!L417</f>
        <v>0</v>
      </c>
      <c r="M417" s="2">
        <f>計算表!M417</f>
        <v>0</v>
      </c>
      <c r="N417" s="2">
        <f>計算表!N417</f>
        <v>0</v>
      </c>
      <c r="O417" s="2">
        <f>計算表!O417</f>
        <v>0</v>
      </c>
      <c r="P417" s="2">
        <f>計算表!P417</f>
        <v>0</v>
      </c>
      <c r="Q417" s="2">
        <f>計算表!Q417</f>
        <v>0</v>
      </c>
      <c r="R417" s="2">
        <f>計算表!R417</f>
        <v>0</v>
      </c>
    </row>
    <row r="418" spans="1:18" x14ac:dyDescent="0.25">
      <c r="A418">
        <f t="shared" si="6"/>
        <v>417</v>
      </c>
      <c r="B418" s="2">
        <f>計算表!B418</f>
        <v>0</v>
      </c>
      <c r="C418" s="2" t="str">
        <f>計算表!C418</f>
        <v>表-戰力權重</v>
      </c>
      <c r="D418" s="2" t="str">
        <f>計算表!D418</f>
        <v>範圍傷害%</v>
      </c>
      <c r="E418" s="2" t="str">
        <f>計算表!E418</f>
        <v>評分權重 = a</v>
      </c>
      <c r="F418" s="2" t="str">
        <f>計算表!F418</f>
        <v>「戰力評分」中該詞條/對應寶石屬性的權重；未列出者以 1 計。</v>
      </c>
      <c r="G418" s="2">
        <f>計算表!G418</f>
        <v>1.4</v>
      </c>
      <c r="H418" s="2">
        <f>計算表!H418</f>
        <v>0</v>
      </c>
      <c r="I418" s="2">
        <f>計算表!I418</f>
        <v>0</v>
      </c>
      <c r="J418" s="2">
        <f>計算表!J418</f>
        <v>0</v>
      </c>
      <c r="K418" s="2">
        <f>計算表!K418</f>
        <v>0</v>
      </c>
      <c r="L418" s="2">
        <f>計算表!L418</f>
        <v>0</v>
      </c>
      <c r="M418" s="2">
        <f>計算表!M418</f>
        <v>0</v>
      </c>
      <c r="N418" s="2">
        <f>計算表!N418</f>
        <v>0</v>
      </c>
      <c r="O418" s="2">
        <f>計算表!O418</f>
        <v>0</v>
      </c>
      <c r="P418" s="2">
        <f>計算表!P418</f>
        <v>0</v>
      </c>
      <c r="Q418" s="2">
        <f>計算表!Q418</f>
        <v>0</v>
      </c>
      <c r="R418" s="2">
        <f>計算表!R418</f>
        <v>0</v>
      </c>
    </row>
    <row r="419" spans="1:18" x14ac:dyDescent="0.25">
      <c r="A419">
        <f t="shared" si="6"/>
        <v>418</v>
      </c>
      <c r="B419" s="2">
        <f>計算表!B419</f>
        <v>0</v>
      </c>
      <c r="C419" s="2" t="str">
        <f>計算表!C419</f>
        <v>表-戰力權重</v>
      </c>
      <c r="D419" s="2" t="str">
        <f>計算表!D419</f>
        <v>全局減傷</v>
      </c>
      <c r="E419" s="2" t="str">
        <f>計算表!E419</f>
        <v>評分權重 = a</v>
      </c>
      <c r="F419" s="2" t="str">
        <f>計算表!F419</f>
        <v>「戰力評分」中該詞條/對應寶石屬性的權重；未列出者以 1 計。</v>
      </c>
      <c r="G419" s="2">
        <f>計算表!G419</f>
        <v>1</v>
      </c>
      <c r="H419" s="2">
        <f>計算表!H419</f>
        <v>0</v>
      </c>
      <c r="I419" s="2">
        <f>計算表!I419</f>
        <v>0</v>
      </c>
      <c r="J419" s="2">
        <f>計算表!J419</f>
        <v>0</v>
      </c>
      <c r="K419" s="2">
        <f>計算表!K419</f>
        <v>0</v>
      </c>
      <c r="L419" s="2">
        <f>計算表!L419</f>
        <v>0</v>
      </c>
      <c r="M419" s="2">
        <f>計算表!M419</f>
        <v>0</v>
      </c>
      <c r="N419" s="2">
        <f>計算表!N419</f>
        <v>0</v>
      </c>
      <c r="O419" s="2">
        <f>計算表!O419</f>
        <v>0</v>
      </c>
      <c r="P419" s="2">
        <f>計算表!P419</f>
        <v>0</v>
      </c>
      <c r="Q419" s="2">
        <f>計算表!Q419</f>
        <v>0</v>
      </c>
      <c r="R419" s="2">
        <f>計算表!R419</f>
        <v>0</v>
      </c>
    </row>
    <row r="420" spans="1:18" x14ac:dyDescent="0.25">
      <c r="A420">
        <f t="shared" si="6"/>
        <v>419</v>
      </c>
      <c r="B420" s="2">
        <f>計算表!B420</f>
        <v>0</v>
      </c>
      <c r="C420" s="2" t="str">
        <f>計算表!C420</f>
        <v>表-戰力權重</v>
      </c>
      <c r="D420" s="2" t="str">
        <f>計算表!D420</f>
        <v>格擋率%</v>
      </c>
      <c r="E420" s="2" t="str">
        <f>計算表!E420</f>
        <v>評分權重 = a</v>
      </c>
      <c r="F420" s="2" t="str">
        <f>計算表!F420</f>
        <v>「戰力評分」中該詞條/對應寶石屬性的權重；未列出者以 1 計。</v>
      </c>
      <c r="G420" s="2">
        <f>計算表!G420</f>
        <v>2</v>
      </c>
      <c r="H420" s="2">
        <f>計算表!H420</f>
        <v>0</v>
      </c>
      <c r="I420" s="2">
        <f>計算表!I420</f>
        <v>0</v>
      </c>
      <c r="J420" s="2">
        <f>計算表!J420</f>
        <v>0</v>
      </c>
      <c r="K420" s="2">
        <f>計算表!K420</f>
        <v>0</v>
      </c>
      <c r="L420" s="2">
        <f>計算表!L420</f>
        <v>0</v>
      </c>
      <c r="M420" s="2">
        <f>計算表!M420</f>
        <v>0</v>
      </c>
      <c r="N420" s="2">
        <f>計算表!N420</f>
        <v>0</v>
      </c>
      <c r="O420" s="2">
        <f>計算表!O420</f>
        <v>0</v>
      </c>
      <c r="P420" s="2">
        <f>計算表!P420</f>
        <v>0</v>
      </c>
      <c r="Q420" s="2">
        <f>計算表!Q420</f>
        <v>0</v>
      </c>
      <c r="R420" s="2">
        <f>計算表!R420</f>
        <v>0</v>
      </c>
    </row>
    <row r="421" spans="1:18" x14ac:dyDescent="0.25">
      <c r="A421">
        <f t="shared" si="6"/>
        <v>420</v>
      </c>
      <c r="B421" s="2">
        <f>計算表!B421</f>
        <v>0</v>
      </c>
      <c r="C421" s="2" t="str">
        <f>計算表!C421</f>
        <v>表-戰力權重</v>
      </c>
      <c r="D421" s="2" t="str">
        <f>計算表!D421</f>
        <v>格擋減傷%</v>
      </c>
      <c r="E421" s="2" t="str">
        <f>計算表!E421</f>
        <v>評分權重 = a</v>
      </c>
      <c r="F421" s="2" t="str">
        <f>計算表!F421</f>
        <v>「戰力評分」中該詞條/對應寶石屬性的權重；未列出者以 1 計。</v>
      </c>
      <c r="G421" s="2">
        <f>計算表!G421</f>
        <v>1.2</v>
      </c>
      <c r="H421" s="2">
        <f>計算表!H421</f>
        <v>0</v>
      </c>
      <c r="I421" s="2">
        <f>計算表!I421</f>
        <v>0</v>
      </c>
      <c r="J421" s="2">
        <f>計算表!J421</f>
        <v>0</v>
      </c>
      <c r="K421" s="2">
        <f>計算表!K421</f>
        <v>0</v>
      </c>
      <c r="L421" s="2">
        <f>計算表!L421</f>
        <v>0</v>
      </c>
      <c r="M421" s="2">
        <f>計算表!M421</f>
        <v>0</v>
      </c>
      <c r="N421" s="2">
        <f>計算表!N421</f>
        <v>0</v>
      </c>
      <c r="O421" s="2">
        <f>計算表!O421</f>
        <v>0</v>
      </c>
      <c r="P421" s="2">
        <f>計算表!P421</f>
        <v>0</v>
      </c>
      <c r="Q421" s="2">
        <f>計算表!Q421</f>
        <v>0</v>
      </c>
      <c r="R421" s="2">
        <f>計算表!R421</f>
        <v>0</v>
      </c>
    </row>
    <row r="422" spans="1:18" x14ac:dyDescent="0.25">
      <c r="A422">
        <f t="shared" si="6"/>
        <v>421</v>
      </c>
      <c r="B422" s="2">
        <f>計算表!B422</f>
        <v>0</v>
      </c>
      <c r="C422" s="2" t="str">
        <f>計算表!C422</f>
        <v>表-戰力權重</v>
      </c>
      <c r="D422" s="2" t="str">
        <f>計算表!D422</f>
        <v>閃避率%</v>
      </c>
      <c r="E422" s="2" t="str">
        <f>計算表!E422</f>
        <v>評分權重 = a</v>
      </c>
      <c r="F422" s="2" t="str">
        <f>計算表!F422</f>
        <v>「戰力評分」中該詞條/對應寶石屬性的權重；未列出者以 1 計。</v>
      </c>
      <c r="G422" s="2">
        <f>計算表!G422</f>
        <v>2.2000000000000002</v>
      </c>
      <c r="H422" s="2">
        <f>計算表!H422</f>
        <v>0</v>
      </c>
      <c r="I422" s="2">
        <f>計算表!I422</f>
        <v>0</v>
      </c>
      <c r="J422" s="2">
        <f>計算表!J422</f>
        <v>0</v>
      </c>
      <c r="K422" s="2">
        <f>計算表!K422</f>
        <v>0</v>
      </c>
      <c r="L422" s="2">
        <f>計算表!L422</f>
        <v>0</v>
      </c>
      <c r="M422" s="2">
        <f>計算表!M422</f>
        <v>0</v>
      </c>
      <c r="N422" s="2">
        <f>計算表!N422</f>
        <v>0</v>
      </c>
      <c r="O422" s="2">
        <f>計算表!O422</f>
        <v>0</v>
      </c>
      <c r="P422" s="2">
        <f>計算表!P422</f>
        <v>0</v>
      </c>
      <c r="Q422" s="2">
        <f>計算表!Q422</f>
        <v>0</v>
      </c>
      <c r="R422" s="2">
        <f>計算表!R422</f>
        <v>0</v>
      </c>
    </row>
    <row r="423" spans="1:18" x14ac:dyDescent="0.25">
      <c r="A423">
        <f t="shared" si="6"/>
        <v>422</v>
      </c>
      <c r="B423" s="2">
        <f>計算表!B423</f>
        <v>0</v>
      </c>
      <c r="C423" s="2" t="str">
        <f>計算表!C423</f>
        <v>表-戰力權重</v>
      </c>
      <c r="D423" s="2" t="str">
        <f>計算表!D423</f>
        <v>韌性%</v>
      </c>
      <c r="E423" s="2" t="str">
        <f>計算表!E423</f>
        <v>評分權重 = a</v>
      </c>
      <c r="F423" s="2" t="str">
        <f>計算表!F423</f>
        <v>「戰力評分」中該詞條/對應寶石屬性的權重；未列出者以 1 計。</v>
      </c>
      <c r="G423" s="2">
        <f>計算表!G423</f>
        <v>1.2</v>
      </c>
      <c r="H423" s="2">
        <f>計算表!H423</f>
        <v>0</v>
      </c>
      <c r="I423" s="2">
        <f>計算表!I423</f>
        <v>0</v>
      </c>
      <c r="J423" s="2">
        <f>計算表!J423</f>
        <v>0</v>
      </c>
      <c r="K423" s="2">
        <f>計算表!K423</f>
        <v>0</v>
      </c>
      <c r="L423" s="2">
        <f>計算表!L423</f>
        <v>0</v>
      </c>
      <c r="M423" s="2">
        <f>計算表!M423</f>
        <v>0</v>
      </c>
      <c r="N423" s="2">
        <f>計算表!N423</f>
        <v>0</v>
      </c>
      <c r="O423" s="2">
        <f>計算表!O423</f>
        <v>0</v>
      </c>
      <c r="P423" s="2">
        <f>計算表!P423</f>
        <v>0</v>
      </c>
      <c r="Q423" s="2">
        <f>計算表!Q423</f>
        <v>0</v>
      </c>
      <c r="R423" s="2">
        <f>計算表!R423</f>
        <v>0</v>
      </c>
    </row>
    <row r="424" spans="1:18" x14ac:dyDescent="0.25">
      <c r="A424">
        <f t="shared" si="6"/>
        <v>423</v>
      </c>
      <c r="B424" s="2">
        <f>計算表!B424</f>
        <v>0</v>
      </c>
      <c r="C424" s="2" t="str">
        <f>計算表!C424</f>
        <v>表-戰力權重</v>
      </c>
      <c r="D424" s="2" t="str">
        <f>計算表!D424</f>
        <v>護盾效率%</v>
      </c>
      <c r="E424" s="2" t="str">
        <f>計算表!E424</f>
        <v>評分權重 = a</v>
      </c>
      <c r="F424" s="2" t="str">
        <f>計算表!F424</f>
        <v>「戰力評分」中該詞條/對應寶石屬性的權重；未列出者以 1 計。</v>
      </c>
      <c r="G424" s="2">
        <f>計算表!G424</f>
        <v>1</v>
      </c>
      <c r="H424" s="2">
        <f>計算表!H424</f>
        <v>0</v>
      </c>
      <c r="I424" s="2">
        <f>計算表!I424</f>
        <v>0</v>
      </c>
      <c r="J424" s="2">
        <f>計算表!J424</f>
        <v>0</v>
      </c>
      <c r="K424" s="2">
        <f>計算表!K424</f>
        <v>0</v>
      </c>
      <c r="L424" s="2">
        <f>計算表!L424</f>
        <v>0</v>
      </c>
      <c r="M424" s="2">
        <f>計算表!M424</f>
        <v>0</v>
      </c>
      <c r="N424" s="2">
        <f>計算表!N424</f>
        <v>0</v>
      </c>
      <c r="O424" s="2">
        <f>計算表!O424</f>
        <v>0</v>
      </c>
      <c r="P424" s="2">
        <f>計算表!P424</f>
        <v>0</v>
      </c>
      <c r="Q424" s="2">
        <f>計算表!Q424</f>
        <v>0</v>
      </c>
      <c r="R424" s="2">
        <f>計算表!R424</f>
        <v>0</v>
      </c>
    </row>
    <row r="425" spans="1:18" x14ac:dyDescent="0.25">
      <c r="A425">
        <f t="shared" si="6"/>
        <v>424</v>
      </c>
      <c r="B425" s="2">
        <f>計算表!B425</f>
        <v>0</v>
      </c>
      <c r="C425" s="2" t="str">
        <f>計算表!C425</f>
        <v>表-戰力權重</v>
      </c>
      <c r="D425" s="2" t="str">
        <f>計算表!D425</f>
        <v>物理抗性%</v>
      </c>
      <c r="E425" s="2" t="str">
        <f>計算表!E425</f>
        <v>評分權重 = a</v>
      </c>
      <c r="F425" s="2" t="str">
        <f>計算表!F425</f>
        <v>「戰力評分」中該詞條/對應寶石屬性的權重；未列出者以 1 計。</v>
      </c>
      <c r="G425" s="2">
        <f>計算表!G425</f>
        <v>2</v>
      </c>
      <c r="H425" s="2">
        <f>計算表!H425</f>
        <v>0</v>
      </c>
      <c r="I425" s="2">
        <f>計算表!I425</f>
        <v>0</v>
      </c>
      <c r="J425" s="2">
        <f>計算表!J425</f>
        <v>0</v>
      </c>
      <c r="K425" s="2">
        <f>計算表!K425</f>
        <v>0</v>
      </c>
      <c r="L425" s="2">
        <f>計算表!L425</f>
        <v>0</v>
      </c>
      <c r="M425" s="2">
        <f>計算表!M425</f>
        <v>0</v>
      </c>
      <c r="N425" s="2">
        <f>計算表!N425</f>
        <v>0</v>
      </c>
      <c r="O425" s="2">
        <f>計算表!O425</f>
        <v>0</v>
      </c>
      <c r="P425" s="2">
        <f>計算表!P425</f>
        <v>0</v>
      </c>
      <c r="Q425" s="2">
        <f>計算表!Q425</f>
        <v>0</v>
      </c>
      <c r="R425" s="2">
        <f>計算表!R425</f>
        <v>0</v>
      </c>
    </row>
    <row r="426" spans="1:18" x14ac:dyDescent="0.25">
      <c r="A426">
        <f t="shared" si="6"/>
        <v>425</v>
      </c>
      <c r="B426" s="2">
        <f>計算表!B426</f>
        <v>0</v>
      </c>
      <c r="C426" s="2" t="str">
        <f>計算表!C426</f>
        <v>表-戰力權重</v>
      </c>
      <c r="D426" s="2" t="str">
        <f>計算表!D426</f>
        <v>魔法抗性%</v>
      </c>
      <c r="E426" s="2" t="str">
        <f>計算表!E426</f>
        <v>評分權重 = a</v>
      </c>
      <c r="F426" s="2" t="str">
        <f>計算表!F426</f>
        <v>「戰力評分」中該詞條/對應寶石屬性的權重；未列出者以 1 計。</v>
      </c>
      <c r="G426" s="2">
        <f>計算表!G426</f>
        <v>2</v>
      </c>
      <c r="H426" s="2">
        <f>計算表!H426</f>
        <v>0</v>
      </c>
      <c r="I426" s="2">
        <f>計算表!I426</f>
        <v>0</v>
      </c>
      <c r="J426" s="2">
        <f>計算表!J426</f>
        <v>0</v>
      </c>
      <c r="K426" s="2">
        <f>計算表!K426</f>
        <v>0</v>
      </c>
      <c r="L426" s="2">
        <f>計算表!L426</f>
        <v>0</v>
      </c>
      <c r="M426" s="2">
        <f>計算表!M426</f>
        <v>0</v>
      </c>
      <c r="N426" s="2">
        <f>計算表!N426</f>
        <v>0</v>
      </c>
      <c r="O426" s="2">
        <f>計算表!O426</f>
        <v>0</v>
      </c>
      <c r="P426" s="2">
        <f>計算表!P426</f>
        <v>0</v>
      </c>
      <c r="Q426" s="2">
        <f>計算表!Q426</f>
        <v>0</v>
      </c>
      <c r="R426" s="2">
        <f>計算表!R426</f>
        <v>0</v>
      </c>
    </row>
    <row r="427" spans="1:18" x14ac:dyDescent="0.25">
      <c r="A427">
        <f t="shared" si="6"/>
        <v>426</v>
      </c>
      <c r="B427" s="2">
        <f>計算表!B427</f>
        <v>0</v>
      </c>
      <c r="C427" s="2" t="str">
        <f>計算表!C427</f>
        <v>表-戰力權重</v>
      </c>
      <c r="D427" s="2" t="str">
        <f>計算表!D427</f>
        <v>火焰抗性%</v>
      </c>
      <c r="E427" s="2" t="str">
        <f>計算表!E427</f>
        <v>評分權重 = a</v>
      </c>
      <c r="F427" s="2" t="str">
        <f>計算表!F427</f>
        <v>「戰力評分」中該詞條/對應寶石屬性的權重；未列出者以 1 計。</v>
      </c>
      <c r="G427" s="2">
        <f>計算表!G427</f>
        <v>0.8</v>
      </c>
      <c r="H427" s="2">
        <f>計算表!H427</f>
        <v>0</v>
      </c>
      <c r="I427" s="2">
        <f>計算表!I427</f>
        <v>0</v>
      </c>
      <c r="J427" s="2">
        <f>計算表!J427</f>
        <v>0</v>
      </c>
      <c r="K427" s="2">
        <f>計算表!K427</f>
        <v>0</v>
      </c>
      <c r="L427" s="2">
        <f>計算表!L427</f>
        <v>0</v>
      </c>
      <c r="M427" s="2">
        <f>計算表!M427</f>
        <v>0</v>
      </c>
      <c r="N427" s="2">
        <f>計算表!N427</f>
        <v>0</v>
      </c>
      <c r="O427" s="2">
        <f>計算表!O427</f>
        <v>0</v>
      </c>
      <c r="P427" s="2">
        <f>計算表!P427</f>
        <v>0</v>
      </c>
      <c r="Q427" s="2">
        <f>計算表!Q427</f>
        <v>0</v>
      </c>
      <c r="R427" s="2">
        <f>計算表!R427</f>
        <v>0</v>
      </c>
    </row>
    <row r="428" spans="1:18" x14ac:dyDescent="0.25">
      <c r="A428">
        <f t="shared" si="6"/>
        <v>427</v>
      </c>
      <c r="B428" s="2">
        <f>計算表!B428</f>
        <v>0</v>
      </c>
      <c r="C428" s="2" t="str">
        <f>計算表!C428</f>
        <v>表-戰力權重</v>
      </c>
      <c r="D428" s="2" t="str">
        <f>計算表!D428</f>
        <v>冰霜抗性%</v>
      </c>
      <c r="E428" s="2" t="str">
        <f>計算表!E428</f>
        <v>評分權重 = a</v>
      </c>
      <c r="F428" s="2" t="str">
        <f>計算表!F428</f>
        <v>「戰力評分」中該詞條/對應寶石屬性的權重；未列出者以 1 計。</v>
      </c>
      <c r="G428" s="2">
        <f>計算表!G428</f>
        <v>0.8</v>
      </c>
      <c r="H428" s="2">
        <f>計算表!H428</f>
        <v>0</v>
      </c>
      <c r="I428" s="2">
        <f>計算表!I428</f>
        <v>0</v>
      </c>
      <c r="J428" s="2">
        <f>計算表!J428</f>
        <v>0</v>
      </c>
      <c r="K428" s="2">
        <f>計算表!K428</f>
        <v>0</v>
      </c>
      <c r="L428" s="2">
        <f>計算表!L428</f>
        <v>0</v>
      </c>
      <c r="M428" s="2">
        <f>計算表!M428</f>
        <v>0</v>
      </c>
      <c r="N428" s="2">
        <f>計算表!N428</f>
        <v>0</v>
      </c>
      <c r="O428" s="2">
        <f>計算表!O428</f>
        <v>0</v>
      </c>
      <c r="P428" s="2">
        <f>計算表!P428</f>
        <v>0</v>
      </c>
      <c r="Q428" s="2">
        <f>計算表!Q428</f>
        <v>0</v>
      </c>
      <c r="R428" s="2">
        <f>計算表!R428</f>
        <v>0</v>
      </c>
    </row>
    <row r="429" spans="1:18" x14ac:dyDescent="0.25">
      <c r="A429">
        <f t="shared" si="6"/>
        <v>428</v>
      </c>
      <c r="B429" s="2">
        <f>計算表!B429</f>
        <v>0</v>
      </c>
      <c r="C429" s="2" t="str">
        <f>計算表!C429</f>
        <v>表-戰力權重</v>
      </c>
      <c r="D429" s="2" t="str">
        <f>計算表!D429</f>
        <v>雷電抗性%</v>
      </c>
      <c r="E429" s="2" t="str">
        <f>計算表!E429</f>
        <v>評分權重 = a</v>
      </c>
      <c r="F429" s="2" t="str">
        <f>計算表!F429</f>
        <v>「戰力評分」中該詞條/對應寶石屬性的權重；未列出者以 1 計。</v>
      </c>
      <c r="G429" s="2">
        <f>計算表!G429</f>
        <v>0.8</v>
      </c>
      <c r="H429" s="2">
        <f>計算表!H429</f>
        <v>0</v>
      </c>
      <c r="I429" s="2">
        <f>計算表!I429</f>
        <v>0</v>
      </c>
      <c r="J429" s="2">
        <f>計算表!J429</f>
        <v>0</v>
      </c>
      <c r="K429" s="2">
        <f>計算表!K429</f>
        <v>0</v>
      </c>
      <c r="L429" s="2">
        <f>計算表!L429</f>
        <v>0</v>
      </c>
      <c r="M429" s="2">
        <f>計算表!M429</f>
        <v>0</v>
      </c>
      <c r="N429" s="2">
        <f>計算表!N429</f>
        <v>0</v>
      </c>
      <c r="O429" s="2">
        <f>計算表!O429</f>
        <v>0</v>
      </c>
      <c r="P429" s="2">
        <f>計算表!P429</f>
        <v>0</v>
      </c>
      <c r="Q429" s="2">
        <f>計算表!Q429</f>
        <v>0</v>
      </c>
      <c r="R429" s="2">
        <f>計算表!R429</f>
        <v>0</v>
      </c>
    </row>
    <row r="430" spans="1:18" x14ac:dyDescent="0.25">
      <c r="A430">
        <f t="shared" si="6"/>
        <v>429</v>
      </c>
      <c r="B430" s="2">
        <f>計算表!B430</f>
        <v>0</v>
      </c>
      <c r="C430" s="2" t="str">
        <f>計算表!C430</f>
        <v>表-戰力權重</v>
      </c>
      <c r="D430" s="2" t="str">
        <f>計算表!D430</f>
        <v>劇毒抗性%</v>
      </c>
      <c r="E430" s="2" t="str">
        <f>計算表!E430</f>
        <v>評分權重 = a</v>
      </c>
      <c r="F430" s="2" t="str">
        <f>計算表!F430</f>
        <v>「戰力評分」中該詞條/對應寶石屬性的權重；未列出者以 1 計。</v>
      </c>
      <c r="G430" s="2">
        <f>計算表!G430</f>
        <v>0.8</v>
      </c>
      <c r="H430" s="2">
        <f>計算表!H430</f>
        <v>0</v>
      </c>
      <c r="I430" s="2">
        <f>計算表!I430</f>
        <v>0</v>
      </c>
      <c r="J430" s="2">
        <f>計算表!J430</f>
        <v>0</v>
      </c>
      <c r="K430" s="2">
        <f>計算表!K430</f>
        <v>0</v>
      </c>
      <c r="L430" s="2">
        <f>計算表!L430</f>
        <v>0</v>
      </c>
      <c r="M430" s="2">
        <f>計算表!M430</f>
        <v>0</v>
      </c>
      <c r="N430" s="2">
        <f>計算表!N430</f>
        <v>0</v>
      </c>
      <c r="O430" s="2">
        <f>計算表!O430</f>
        <v>0</v>
      </c>
      <c r="P430" s="2">
        <f>計算表!P430</f>
        <v>0</v>
      </c>
      <c r="Q430" s="2">
        <f>計算表!Q430</f>
        <v>0</v>
      </c>
      <c r="R430" s="2">
        <f>計算表!R430</f>
        <v>0</v>
      </c>
    </row>
    <row r="431" spans="1:18" x14ac:dyDescent="0.25">
      <c r="A431">
        <f t="shared" si="6"/>
        <v>430</v>
      </c>
      <c r="B431" s="2">
        <f>計算表!B431</f>
        <v>0</v>
      </c>
      <c r="C431" s="2" t="str">
        <f>計算表!C431</f>
        <v>表-戰力權重</v>
      </c>
      <c r="D431" s="2" t="str">
        <f>計算表!D431</f>
        <v>聖光抗性%</v>
      </c>
      <c r="E431" s="2" t="str">
        <f>計算表!E431</f>
        <v>評分權重 = a</v>
      </c>
      <c r="F431" s="2" t="str">
        <f>計算表!F431</f>
        <v>「戰力評分」中該詞條/對應寶石屬性的權重；未列出者以 1 計。</v>
      </c>
      <c r="G431" s="2">
        <f>計算表!G431</f>
        <v>0.8</v>
      </c>
      <c r="H431" s="2">
        <f>計算表!H431</f>
        <v>0</v>
      </c>
      <c r="I431" s="2">
        <f>計算表!I431</f>
        <v>0</v>
      </c>
      <c r="J431" s="2">
        <f>計算表!J431</f>
        <v>0</v>
      </c>
      <c r="K431" s="2">
        <f>計算表!K431</f>
        <v>0</v>
      </c>
      <c r="L431" s="2">
        <f>計算表!L431</f>
        <v>0</v>
      </c>
      <c r="M431" s="2">
        <f>計算表!M431</f>
        <v>0</v>
      </c>
      <c r="N431" s="2">
        <f>計算表!N431</f>
        <v>0</v>
      </c>
      <c r="O431" s="2">
        <f>計算表!O431</f>
        <v>0</v>
      </c>
      <c r="P431" s="2">
        <f>計算表!P431</f>
        <v>0</v>
      </c>
      <c r="Q431" s="2">
        <f>計算表!Q431</f>
        <v>0</v>
      </c>
      <c r="R431" s="2">
        <f>計算表!R431</f>
        <v>0</v>
      </c>
    </row>
    <row r="432" spans="1:18" x14ac:dyDescent="0.25">
      <c r="A432">
        <f t="shared" si="6"/>
        <v>431</v>
      </c>
      <c r="B432" s="2">
        <f>計算表!B432</f>
        <v>0</v>
      </c>
      <c r="C432" s="2" t="str">
        <f>計算表!C432</f>
        <v>表-戰力權重</v>
      </c>
      <c r="D432" s="2" t="str">
        <f>計算表!D432</f>
        <v>暗影抗性%</v>
      </c>
      <c r="E432" s="2" t="str">
        <f>計算表!E432</f>
        <v>評分權重 = a</v>
      </c>
      <c r="F432" s="2" t="str">
        <f>計算表!F432</f>
        <v>「戰力評分」中該詞條/對應寶石屬性的權重；未列出者以 1 計。</v>
      </c>
      <c r="G432" s="2">
        <f>計算表!G432</f>
        <v>0.8</v>
      </c>
      <c r="H432" s="2">
        <f>計算表!H432</f>
        <v>0</v>
      </c>
      <c r="I432" s="2">
        <f>計算表!I432</f>
        <v>0</v>
      </c>
      <c r="J432" s="2">
        <f>計算表!J432</f>
        <v>0</v>
      </c>
      <c r="K432" s="2">
        <f>計算表!K432</f>
        <v>0</v>
      </c>
      <c r="L432" s="2">
        <f>計算表!L432</f>
        <v>0</v>
      </c>
      <c r="M432" s="2">
        <f>計算表!M432</f>
        <v>0</v>
      </c>
      <c r="N432" s="2">
        <f>計算表!N432</f>
        <v>0</v>
      </c>
      <c r="O432" s="2">
        <f>計算表!O432</f>
        <v>0</v>
      </c>
      <c r="P432" s="2">
        <f>計算表!P432</f>
        <v>0</v>
      </c>
      <c r="Q432" s="2">
        <f>計算表!Q432</f>
        <v>0</v>
      </c>
      <c r="R432" s="2">
        <f>計算表!R432</f>
        <v>0</v>
      </c>
    </row>
    <row r="433" spans="1:18" x14ac:dyDescent="0.25">
      <c r="A433">
        <f t="shared" si="6"/>
        <v>432</v>
      </c>
      <c r="B433" s="2">
        <f>計算表!B433</f>
        <v>0</v>
      </c>
      <c r="C433" s="2" t="str">
        <f>計算表!C433</f>
        <v>表-戰力權重</v>
      </c>
      <c r="D433" s="2" t="str">
        <f>計算表!D433</f>
        <v>控制時間縮減%</v>
      </c>
      <c r="E433" s="2" t="str">
        <f>計算表!E433</f>
        <v>評分權重 = a</v>
      </c>
      <c r="F433" s="2" t="str">
        <f>計算表!F433</f>
        <v>「戰力評分」中該詞條/對應寶石屬性的權重；未列出者以 1 計。</v>
      </c>
      <c r="G433" s="2">
        <f>計算表!G433</f>
        <v>1.2</v>
      </c>
      <c r="H433" s="2">
        <f>計算表!H433</f>
        <v>0</v>
      </c>
      <c r="I433" s="2">
        <f>計算表!I433</f>
        <v>0</v>
      </c>
      <c r="J433" s="2">
        <f>計算表!J433</f>
        <v>0</v>
      </c>
      <c r="K433" s="2">
        <f>計算表!K433</f>
        <v>0</v>
      </c>
      <c r="L433" s="2">
        <f>計算表!L433</f>
        <v>0</v>
      </c>
      <c r="M433" s="2">
        <f>計算表!M433</f>
        <v>0</v>
      </c>
      <c r="N433" s="2">
        <f>計算表!N433</f>
        <v>0</v>
      </c>
      <c r="O433" s="2">
        <f>計算表!O433</f>
        <v>0</v>
      </c>
      <c r="P433" s="2">
        <f>計算表!P433</f>
        <v>0</v>
      </c>
      <c r="Q433" s="2">
        <f>計算表!Q433</f>
        <v>0</v>
      </c>
      <c r="R433" s="2">
        <f>計算表!R433</f>
        <v>0</v>
      </c>
    </row>
    <row r="434" spans="1:18" x14ac:dyDescent="0.25">
      <c r="A434">
        <f t="shared" si="6"/>
        <v>433</v>
      </c>
      <c r="B434" s="2">
        <f>計算表!B434</f>
        <v>0</v>
      </c>
      <c r="C434" s="2" t="str">
        <f>計算表!C434</f>
        <v>表-戰力權重</v>
      </c>
      <c r="D434" s="2" t="str">
        <f>計算表!D434</f>
        <v>移動速度%</v>
      </c>
      <c r="E434" s="2" t="str">
        <f>計算表!E434</f>
        <v>評分權重 = a</v>
      </c>
      <c r="F434" s="2" t="str">
        <f>計算表!F434</f>
        <v>「戰力評分」中該詞條/對應寶石屬性的權重；未列出者以 1 計。</v>
      </c>
      <c r="G434" s="2">
        <f>計算表!G434</f>
        <v>1.5</v>
      </c>
      <c r="H434" s="2">
        <f>計算表!H434</f>
        <v>0</v>
      </c>
      <c r="I434" s="2">
        <f>計算表!I434</f>
        <v>0</v>
      </c>
      <c r="J434" s="2">
        <f>計算表!J434</f>
        <v>0</v>
      </c>
      <c r="K434" s="2">
        <f>計算表!K434</f>
        <v>0</v>
      </c>
      <c r="L434" s="2">
        <f>計算表!L434</f>
        <v>0</v>
      </c>
      <c r="M434" s="2">
        <f>計算表!M434</f>
        <v>0</v>
      </c>
      <c r="N434" s="2">
        <f>計算表!N434</f>
        <v>0</v>
      </c>
      <c r="O434" s="2">
        <f>計算表!O434</f>
        <v>0</v>
      </c>
      <c r="P434" s="2">
        <f>計算表!P434</f>
        <v>0</v>
      </c>
      <c r="Q434" s="2">
        <f>計算表!Q434</f>
        <v>0</v>
      </c>
      <c r="R434" s="2">
        <f>計算表!R434</f>
        <v>0</v>
      </c>
    </row>
    <row r="435" spans="1:18" x14ac:dyDescent="0.25">
      <c r="A435">
        <f t="shared" si="6"/>
        <v>434</v>
      </c>
      <c r="B435" s="2">
        <f>計算表!B435</f>
        <v>0</v>
      </c>
      <c r="C435" s="2" t="str">
        <f>計算表!C435</f>
        <v>表-戰力權重</v>
      </c>
      <c r="D435" s="2" t="str">
        <f>計算表!D435</f>
        <v>掉寶率%</v>
      </c>
      <c r="E435" s="2" t="str">
        <f>計算表!E435</f>
        <v>評分權重 = a</v>
      </c>
      <c r="F435" s="2" t="str">
        <f>計算表!F435</f>
        <v>「戰力評分」中該詞條/對應寶石屬性的權重；未列出者以 1 計。</v>
      </c>
      <c r="G435" s="2">
        <f>計算表!G435</f>
        <v>0.8</v>
      </c>
      <c r="H435" s="2">
        <f>計算表!H435</f>
        <v>0</v>
      </c>
      <c r="I435" s="2">
        <f>計算表!I435</f>
        <v>0</v>
      </c>
      <c r="J435" s="2">
        <f>計算表!J435</f>
        <v>0</v>
      </c>
      <c r="K435" s="2">
        <f>計算表!K435</f>
        <v>0</v>
      </c>
      <c r="L435" s="2">
        <f>計算表!L435</f>
        <v>0</v>
      </c>
      <c r="M435" s="2">
        <f>計算表!M435</f>
        <v>0</v>
      </c>
      <c r="N435" s="2">
        <f>計算表!N435</f>
        <v>0</v>
      </c>
      <c r="O435" s="2">
        <f>計算表!O435</f>
        <v>0</v>
      </c>
      <c r="P435" s="2">
        <f>計算表!P435</f>
        <v>0</v>
      </c>
      <c r="Q435" s="2">
        <f>計算表!Q435</f>
        <v>0</v>
      </c>
      <c r="R435" s="2">
        <f>計算表!R435</f>
        <v>0</v>
      </c>
    </row>
    <row r="436" spans="1:18" x14ac:dyDescent="0.25">
      <c r="A436">
        <f t="shared" si="6"/>
        <v>435</v>
      </c>
      <c r="B436" s="2">
        <f>計算表!B436</f>
        <v>0</v>
      </c>
      <c r="C436" s="2" t="str">
        <f>計算表!C436</f>
        <v>表-戰力權重</v>
      </c>
      <c r="D436" s="2" t="str">
        <f>計算表!D436</f>
        <v>經驗加成%</v>
      </c>
      <c r="E436" s="2" t="str">
        <f>計算表!E436</f>
        <v>評分權重 = a</v>
      </c>
      <c r="F436" s="2" t="str">
        <f>計算表!F436</f>
        <v>「戰力評分」中該詞條/對應寶石屬性的權重；未列出者以 1 計。</v>
      </c>
      <c r="G436" s="2">
        <f>計算表!G436</f>
        <v>0.8</v>
      </c>
      <c r="H436" s="2">
        <f>計算表!H436</f>
        <v>0</v>
      </c>
      <c r="I436" s="2">
        <f>計算表!I436</f>
        <v>0</v>
      </c>
      <c r="J436" s="2">
        <f>計算表!J436</f>
        <v>0</v>
      </c>
      <c r="K436" s="2">
        <f>計算表!K436</f>
        <v>0</v>
      </c>
      <c r="L436" s="2">
        <f>計算表!L436</f>
        <v>0</v>
      </c>
      <c r="M436" s="2">
        <f>計算表!M436</f>
        <v>0</v>
      </c>
      <c r="N436" s="2">
        <f>計算表!N436</f>
        <v>0</v>
      </c>
      <c r="O436" s="2">
        <f>計算表!O436</f>
        <v>0</v>
      </c>
      <c r="P436" s="2">
        <f>計算表!P436</f>
        <v>0</v>
      </c>
      <c r="Q436" s="2">
        <f>計算表!Q436</f>
        <v>0</v>
      </c>
      <c r="R436" s="2">
        <f>計算表!R436</f>
        <v>0</v>
      </c>
    </row>
    <row r="437" spans="1:18" x14ac:dyDescent="0.25">
      <c r="A437">
        <f t="shared" si="6"/>
        <v>436</v>
      </c>
      <c r="B437" s="2">
        <f>計算表!B437</f>
        <v>0</v>
      </c>
      <c r="C437" s="2" t="str">
        <f>計算表!C437</f>
        <v>表-戰力權重</v>
      </c>
      <c r="D437" s="2" t="str">
        <f>計算表!D437</f>
        <v>金幣加成%</v>
      </c>
      <c r="E437" s="2" t="str">
        <f>計算表!E437</f>
        <v>評分權重 = a</v>
      </c>
      <c r="F437" s="2" t="str">
        <f>計算表!F437</f>
        <v>「戰力評分」中該詞條/對應寶石屬性的權重；未列出者以 1 計。</v>
      </c>
      <c r="G437" s="2">
        <f>計算表!G437</f>
        <v>0.8</v>
      </c>
      <c r="H437" s="2">
        <f>計算表!H437</f>
        <v>0</v>
      </c>
      <c r="I437" s="2">
        <f>計算表!I437</f>
        <v>0</v>
      </c>
      <c r="J437" s="2">
        <f>計算表!J437</f>
        <v>0</v>
      </c>
      <c r="K437" s="2">
        <f>計算表!K437</f>
        <v>0</v>
      </c>
      <c r="L437" s="2">
        <f>計算表!L437</f>
        <v>0</v>
      </c>
      <c r="M437" s="2">
        <f>計算表!M437</f>
        <v>0</v>
      </c>
      <c r="N437" s="2">
        <f>計算表!N437</f>
        <v>0</v>
      </c>
      <c r="O437" s="2">
        <f>計算表!O437</f>
        <v>0</v>
      </c>
      <c r="P437" s="2">
        <f>計算表!P437</f>
        <v>0</v>
      </c>
      <c r="Q437" s="2">
        <f>計算表!Q437</f>
        <v>0</v>
      </c>
      <c r="R437" s="2">
        <f>計算表!R437</f>
        <v>0</v>
      </c>
    </row>
    <row r="438" spans="1:18" x14ac:dyDescent="0.25">
      <c r="A438">
        <f t="shared" si="6"/>
        <v>437</v>
      </c>
      <c r="B438" s="2">
        <f>計算表!B438</f>
        <v>0</v>
      </c>
      <c r="C438" s="2" t="str">
        <f>計算表!C438</f>
        <v>表-戰力權重</v>
      </c>
      <c r="D438" s="2" t="str">
        <f>計算表!D438</f>
        <v>幸運值</v>
      </c>
      <c r="E438" s="2" t="str">
        <f>計算表!E438</f>
        <v>評分權重 = a</v>
      </c>
      <c r="F438" s="2" t="str">
        <f>計算表!F438</f>
        <v>「戰力評分」中該詞條/對應寶石屬性的權重；未列出者以 1 計。</v>
      </c>
      <c r="G438" s="2">
        <f>計算表!G438</f>
        <v>1.5</v>
      </c>
      <c r="H438" s="2">
        <f>計算表!H438</f>
        <v>0</v>
      </c>
      <c r="I438" s="2">
        <f>計算表!I438</f>
        <v>0</v>
      </c>
      <c r="J438" s="2">
        <f>計算表!J438</f>
        <v>0</v>
      </c>
      <c r="K438" s="2">
        <f>計算表!K438</f>
        <v>0</v>
      </c>
      <c r="L438" s="2">
        <f>計算表!L438</f>
        <v>0</v>
      </c>
      <c r="M438" s="2">
        <f>計算表!M438</f>
        <v>0</v>
      </c>
      <c r="N438" s="2">
        <f>計算表!N438</f>
        <v>0</v>
      </c>
      <c r="O438" s="2">
        <f>計算表!O438</f>
        <v>0</v>
      </c>
      <c r="P438" s="2">
        <f>計算表!P438</f>
        <v>0</v>
      </c>
      <c r="Q438" s="2">
        <f>計算表!Q438</f>
        <v>0</v>
      </c>
      <c r="R438" s="2">
        <f>計算表!R438</f>
        <v>0</v>
      </c>
    </row>
    <row r="439" spans="1:18" x14ac:dyDescent="0.25">
      <c r="A439">
        <f t="shared" si="6"/>
        <v>438</v>
      </c>
      <c r="B439" s="2">
        <f>計算表!B439</f>
        <v>0</v>
      </c>
      <c r="C439" s="2" t="str">
        <f>計算表!C439</f>
        <v>表-戰力權重</v>
      </c>
      <c r="D439" s="2" t="str">
        <f>計算表!D439</f>
        <v>負重上限</v>
      </c>
      <c r="E439" s="2" t="str">
        <f>計算表!E439</f>
        <v>評分權重 = a</v>
      </c>
      <c r="F439" s="2" t="str">
        <f>計算表!F439</f>
        <v>「戰力評分」中該詞條/對應寶石屬性的權重；未列出者以 1 計。</v>
      </c>
      <c r="G439" s="2">
        <f>計算表!G439</f>
        <v>0.8</v>
      </c>
      <c r="H439" s="2">
        <f>計算表!H439</f>
        <v>0</v>
      </c>
      <c r="I439" s="2">
        <f>計算表!I439</f>
        <v>0</v>
      </c>
      <c r="J439" s="2">
        <f>計算表!J439</f>
        <v>0</v>
      </c>
      <c r="K439" s="2">
        <f>計算表!K439</f>
        <v>0</v>
      </c>
      <c r="L439" s="2">
        <f>計算表!L439</f>
        <v>0</v>
      </c>
      <c r="M439" s="2">
        <f>計算表!M439</f>
        <v>0</v>
      </c>
      <c r="N439" s="2">
        <f>計算表!N439</f>
        <v>0</v>
      </c>
      <c r="O439" s="2">
        <f>計算表!O439</f>
        <v>0</v>
      </c>
      <c r="P439" s="2">
        <f>計算表!P439</f>
        <v>0</v>
      </c>
      <c r="Q439" s="2">
        <f>計算表!Q439</f>
        <v>0</v>
      </c>
      <c r="R439" s="2">
        <f>計算表!R439</f>
        <v>0</v>
      </c>
    </row>
    <row r="440" spans="1:18" x14ac:dyDescent="0.25">
      <c r="A440">
        <f t="shared" si="6"/>
        <v>439</v>
      </c>
      <c r="B440" s="2">
        <f>計算表!B440</f>
        <v>0</v>
      </c>
      <c r="C440" s="2" t="str">
        <f>計算表!C440</f>
        <v>表-戰力權重</v>
      </c>
      <c r="D440" s="2" t="str">
        <f>計算表!D440</f>
        <v>強化成功率%</v>
      </c>
      <c r="E440" s="2" t="str">
        <f>計算表!E440</f>
        <v>評分權重 = a</v>
      </c>
      <c r="F440" s="2" t="str">
        <f>計算表!F440</f>
        <v>「戰力評分」中該詞條/對應寶石屬性的權重；未列出者以 1 計。</v>
      </c>
      <c r="G440" s="2">
        <f>計算表!G440</f>
        <v>0.8</v>
      </c>
      <c r="H440" s="2">
        <f>計算表!H440</f>
        <v>0</v>
      </c>
      <c r="I440" s="2">
        <f>計算表!I440</f>
        <v>0</v>
      </c>
      <c r="J440" s="2">
        <f>計算表!J440</f>
        <v>0</v>
      </c>
      <c r="K440" s="2">
        <f>計算表!K440</f>
        <v>0</v>
      </c>
      <c r="L440" s="2">
        <f>計算表!L440</f>
        <v>0</v>
      </c>
      <c r="M440" s="2">
        <f>計算表!M440</f>
        <v>0</v>
      </c>
      <c r="N440" s="2">
        <f>計算表!N440</f>
        <v>0</v>
      </c>
      <c r="O440" s="2">
        <f>計算表!O440</f>
        <v>0</v>
      </c>
      <c r="P440" s="2">
        <f>計算表!P440</f>
        <v>0</v>
      </c>
      <c r="Q440" s="2">
        <f>計算表!Q440</f>
        <v>0</v>
      </c>
      <c r="R440" s="2">
        <f>計算表!R440</f>
        <v>0</v>
      </c>
    </row>
    <row r="441" spans="1:18" x14ac:dyDescent="0.25">
      <c r="A441">
        <f t="shared" si="6"/>
        <v>440</v>
      </c>
      <c r="B441" s="2">
        <f>計算表!B441</f>
        <v>0</v>
      </c>
      <c r="C441" s="2" t="str">
        <f>計算表!C441</f>
        <v>表-戰力權重</v>
      </c>
      <c r="D441" s="2" t="str">
        <f>計算表!D441</f>
        <v>分解高產率%</v>
      </c>
      <c r="E441" s="2" t="str">
        <f>計算表!E441</f>
        <v>評分權重 = a</v>
      </c>
      <c r="F441" s="2" t="str">
        <f>計算表!F441</f>
        <v>「戰力評分」中該詞條/對應寶石屬性的權重；未列出者以 1 計。</v>
      </c>
      <c r="G441" s="2">
        <f>計算表!G441</f>
        <v>0.8</v>
      </c>
      <c r="H441" s="2">
        <f>計算表!H441</f>
        <v>0</v>
      </c>
      <c r="I441" s="2">
        <f>計算表!I441</f>
        <v>0</v>
      </c>
      <c r="J441" s="2">
        <f>計算表!J441</f>
        <v>0</v>
      </c>
      <c r="K441" s="2">
        <f>計算表!K441</f>
        <v>0</v>
      </c>
      <c r="L441" s="2">
        <f>計算表!L441</f>
        <v>0</v>
      </c>
      <c r="M441" s="2">
        <f>計算表!M441</f>
        <v>0</v>
      </c>
      <c r="N441" s="2">
        <f>計算表!N441</f>
        <v>0</v>
      </c>
      <c r="O441" s="2">
        <f>計算表!O441</f>
        <v>0</v>
      </c>
      <c r="P441" s="2">
        <f>計算表!P441</f>
        <v>0</v>
      </c>
      <c r="Q441" s="2">
        <f>計算表!Q441</f>
        <v>0</v>
      </c>
      <c r="R441" s="2">
        <f>計算表!R441</f>
        <v>0</v>
      </c>
    </row>
    <row r="442" spans="1:18" x14ac:dyDescent="0.25">
      <c r="A442">
        <f t="shared" si="6"/>
        <v>441</v>
      </c>
      <c r="B442" s="2">
        <f>計算表!B442</f>
        <v>0</v>
      </c>
      <c r="C442" s="2" t="str">
        <f>計算表!C442</f>
        <v>表-戰力權重</v>
      </c>
      <c r="D442" s="2" t="str">
        <f>計算表!D442</f>
        <v>合成變異率%</v>
      </c>
      <c r="E442" s="2" t="str">
        <f>計算表!E442</f>
        <v>評分權重 = a</v>
      </c>
      <c r="F442" s="2" t="str">
        <f>計算表!F442</f>
        <v>「戰力評分」中該詞條/對應寶石屬性的權重；未列出者以 1 計。</v>
      </c>
      <c r="G442" s="2">
        <f>計算表!G442</f>
        <v>1.2</v>
      </c>
      <c r="H442" s="2">
        <f>計算表!H442</f>
        <v>0</v>
      </c>
      <c r="I442" s="2">
        <f>計算表!I442</f>
        <v>0</v>
      </c>
      <c r="J442" s="2">
        <f>計算表!J442</f>
        <v>0</v>
      </c>
      <c r="K442" s="2">
        <f>計算表!K442</f>
        <v>0</v>
      </c>
      <c r="L442" s="2">
        <f>計算表!L442</f>
        <v>0</v>
      </c>
      <c r="M442" s="2">
        <f>計算表!M442</f>
        <v>0</v>
      </c>
      <c r="N442" s="2">
        <f>計算表!N442</f>
        <v>0</v>
      </c>
      <c r="O442" s="2">
        <f>計算表!O442</f>
        <v>0</v>
      </c>
      <c r="P442" s="2">
        <f>計算表!P442</f>
        <v>0</v>
      </c>
      <c r="Q442" s="2">
        <f>計算表!Q442</f>
        <v>0</v>
      </c>
      <c r="R442" s="2">
        <f>計算表!R442</f>
        <v>0</v>
      </c>
    </row>
    <row r="443" spans="1:18" x14ac:dyDescent="0.25">
      <c r="A443">
        <f t="shared" si="6"/>
        <v>442</v>
      </c>
      <c r="B443" s="2">
        <f>計算表!B443</f>
        <v>0</v>
      </c>
      <c r="C443" s="2" t="str">
        <f>計算表!C443</f>
        <v>表-戰力權重</v>
      </c>
      <c r="D443" s="2" t="str">
        <f>計算表!D443</f>
        <v>狂暴閾值+</v>
      </c>
      <c r="E443" s="2" t="str">
        <f>計算表!E443</f>
        <v>評分權重 = a</v>
      </c>
      <c r="F443" s="2" t="str">
        <f>計算表!F443</f>
        <v>「戰力評分」中該詞條/對應寶石屬性的權重；未列出者以 1 計。</v>
      </c>
      <c r="G443" s="2">
        <f>計算表!G443</f>
        <v>1</v>
      </c>
      <c r="H443" s="2">
        <f>計算表!H443</f>
        <v>0</v>
      </c>
      <c r="I443" s="2">
        <f>計算表!I443</f>
        <v>0</v>
      </c>
      <c r="J443" s="2">
        <f>計算表!J443</f>
        <v>0</v>
      </c>
      <c r="K443" s="2">
        <f>計算表!K443</f>
        <v>0</v>
      </c>
      <c r="L443" s="2">
        <f>計算表!L443</f>
        <v>0</v>
      </c>
      <c r="M443" s="2">
        <f>計算表!M443</f>
        <v>0</v>
      </c>
      <c r="N443" s="2">
        <f>計算表!N443</f>
        <v>0</v>
      </c>
      <c r="O443" s="2">
        <f>計算表!O443</f>
        <v>0</v>
      </c>
      <c r="P443" s="2">
        <f>計算表!P443</f>
        <v>0</v>
      </c>
      <c r="Q443" s="2">
        <f>計算表!Q443</f>
        <v>0</v>
      </c>
      <c r="R443" s="2">
        <f>計算表!R443</f>
        <v>0</v>
      </c>
    </row>
    <row r="444" spans="1:18" x14ac:dyDescent="0.25">
      <c r="A444">
        <f t="shared" si="6"/>
        <v>443</v>
      </c>
      <c r="B444" s="2">
        <f>計算表!B444</f>
        <v>0</v>
      </c>
      <c r="C444" s="2" t="str">
        <f>計算表!C444</f>
        <v>表-戰力權重</v>
      </c>
      <c r="D444" s="2" t="str">
        <f>計算表!D444</f>
        <v>詞條上限率%</v>
      </c>
      <c r="E444" s="2" t="str">
        <f>計算表!E444</f>
        <v>評分權重 = a</v>
      </c>
      <c r="F444" s="2" t="str">
        <f>計算表!F444</f>
        <v>「戰力評分」中該詞條/對應寶石屬性的權重；未列出者以 1 計。</v>
      </c>
      <c r="G444" s="2">
        <f>計算表!G444</f>
        <v>1.2</v>
      </c>
      <c r="H444" s="2">
        <f>計算表!H444</f>
        <v>0</v>
      </c>
      <c r="I444" s="2">
        <f>計算表!I444</f>
        <v>0</v>
      </c>
      <c r="J444" s="2">
        <f>計算表!J444</f>
        <v>0</v>
      </c>
      <c r="K444" s="2">
        <f>計算表!K444</f>
        <v>0</v>
      </c>
      <c r="L444" s="2">
        <f>計算表!L444</f>
        <v>0</v>
      </c>
      <c r="M444" s="2">
        <f>計算表!M444</f>
        <v>0</v>
      </c>
      <c r="N444" s="2">
        <f>計算表!N444</f>
        <v>0</v>
      </c>
      <c r="O444" s="2">
        <f>計算表!O444</f>
        <v>0</v>
      </c>
      <c r="P444" s="2">
        <f>計算表!P444</f>
        <v>0</v>
      </c>
      <c r="Q444" s="2">
        <f>計算表!Q444</f>
        <v>0</v>
      </c>
      <c r="R444" s="2">
        <f>計算表!R444</f>
        <v>0</v>
      </c>
    </row>
    <row r="445" spans="1:18" x14ac:dyDescent="0.25">
      <c r="A445">
        <f t="shared" si="6"/>
        <v>444</v>
      </c>
      <c r="B445" s="2">
        <f>計算表!B445</f>
        <v>0</v>
      </c>
      <c r="C445" s="2" t="str">
        <f>計算表!C445</f>
        <v>表-戰力權重</v>
      </c>
      <c r="D445" s="2" t="str">
        <f>計算表!D445</f>
        <v>寶石鑲嵌效率%</v>
      </c>
      <c r="E445" s="2" t="str">
        <f>計算表!E445</f>
        <v>評分權重 = a</v>
      </c>
      <c r="F445" s="2" t="str">
        <f>計算表!F445</f>
        <v>「戰力評分」中該詞條/對應寶石屬性的權重；未列出者以 1 計。</v>
      </c>
      <c r="G445" s="2">
        <f>計算表!G445</f>
        <v>1</v>
      </c>
      <c r="H445" s="2">
        <f>計算表!H445</f>
        <v>0</v>
      </c>
      <c r="I445" s="2">
        <f>計算表!I445</f>
        <v>0</v>
      </c>
      <c r="J445" s="2">
        <f>計算表!J445</f>
        <v>0</v>
      </c>
      <c r="K445" s="2">
        <f>計算表!K445</f>
        <v>0</v>
      </c>
      <c r="L445" s="2">
        <f>計算表!L445</f>
        <v>0</v>
      </c>
      <c r="M445" s="2">
        <f>計算表!M445</f>
        <v>0</v>
      </c>
      <c r="N445" s="2">
        <f>計算表!N445</f>
        <v>0</v>
      </c>
      <c r="O445" s="2">
        <f>計算表!O445</f>
        <v>0</v>
      </c>
      <c r="P445" s="2">
        <f>計算表!P445</f>
        <v>0</v>
      </c>
      <c r="Q445" s="2">
        <f>計算表!Q445</f>
        <v>0</v>
      </c>
      <c r="R445" s="2">
        <f>計算表!R445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FB42-4596-4E15-8D43-58FA62307D65}">
  <dimension ref="A1:R445"/>
  <sheetViews>
    <sheetView tabSelected="1" topLeftCell="E1" workbookViewId="0">
      <pane ySplit="1" topLeftCell="A184" activePane="bottomLeft" state="frozen"/>
      <selection activeCell="F1" sqref="F1"/>
      <selection pane="bottomLeft" activeCell="M207" sqref="M207"/>
    </sheetView>
  </sheetViews>
  <sheetFormatPr defaultRowHeight="15.75" x14ac:dyDescent="0.25"/>
  <cols>
    <col min="3" max="3" width="18.28515625" bestFit="1" customWidth="1"/>
    <col min="4" max="4" width="31.140625" bestFit="1" customWidth="1"/>
    <col min="5" max="5" width="42.28515625" customWidth="1"/>
    <col min="6" max="6" width="110.42578125" customWidth="1"/>
    <col min="7" max="7" width="15.42578125" customWidth="1"/>
    <col min="8" max="8" width="15.140625" customWidth="1"/>
    <col min="9" max="9" width="15" customWidth="1"/>
    <col min="10" max="10" width="14.28515625" bestFit="1" customWidth="1"/>
    <col min="11" max="14" width="15.42578125" bestFit="1" customWidth="1"/>
    <col min="15" max="16" width="17.5703125" customWidth="1"/>
  </cols>
  <sheetData>
    <row r="1" spans="1:18" x14ac:dyDescent="0.25">
      <c r="A1" t="s">
        <v>0</v>
      </c>
      <c r="B1" t="s">
        <v>924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v>1</v>
      </c>
      <c r="C2" t="s">
        <v>17</v>
      </c>
      <c r="D2" t="s">
        <v>18</v>
      </c>
      <c r="E2" t="s">
        <v>928</v>
      </c>
      <c r="F2" t="s">
        <v>929</v>
      </c>
      <c r="G2">
        <v>30</v>
      </c>
      <c r="H2">
        <v>2.2000000000000002</v>
      </c>
      <c r="I2">
        <v>40</v>
      </c>
      <c r="J2">
        <v>9999</v>
      </c>
    </row>
    <row r="3" spans="1:18" x14ac:dyDescent="0.25">
      <c r="A3">
        <f>A2+1</f>
        <v>2</v>
      </c>
      <c r="C3" t="s">
        <v>17</v>
      </c>
      <c r="D3" t="s">
        <v>19</v>
      </c>
      <c r="E3" t="s">
        <v>20</v>
      </c>
      <c r="F3" t="s">
        <v>21</v>
      </c>
      <c r="G3">
        <v>5</v>
      </c>
      <c r="H3">
        <v>2</v>
      </c>
    </row>
    <row r="4" spans="1:18" x14ac:dyDescent="0.25">
      <c r="A4">
        <f t="shared" ref="A4:A67" si="0">A3+1</f>
        <v>3</v>
      </c>
      <c r="C4" t="s">
        <v>17</v>
      </c>
      <c r="D4" t="s">
        <v>22</v>
      </c>
      <c r="E4" t="s">
        <v>23</v>
      </c>
      <c r="F4" t="s">
        <v>24</v>
      </c>
      <c r="G4">
        <v>2</v>
      </c>
      <c r="H4">
        <v>1</v>
      </c>
      <c r="I4">
        <v>10000</v>
      </c>
    </row>
    <row r="5" spans="1:18" x14ac:dyDescent="0.25">
      <c r="A5">
        <f t="shared" si="0"/>
        <v>4</v>
      </c>
      <c r="C5" t="s">
        <v>17</v>
      </c>
      <c r="D5" t="s">
        <v>25</v>
      </c>
      <c r="E5" t="s">
        <v>26</v>
      </c>
      <c r="F5" t="s">
        <v>27</v>
      </c>
      <c r="G5">
        <v>20</v>
      </c>
      <c r="H5">
        <v>2</v>
      </c>
      <c r="I5">
        <v>20</v>
      </c>
    </row>
    <row r="6" spans="1:18" x14ac:dyDescent="0.25">
      <c r="A6">
        <f t="shared" si="0"/>
        <v>5</v>
      </c>
      <c r="C6" t="s">
        <v>17</v>
      </c>
      <c r="D6" t="s">
        <v>28</v>
      </c>
      <c r="E6" t="s">
        <v>29</v>
      </c>
      <c r="F6" t="s">
        <v>30</v>
      </c>
      <c r="G6">
        <v>9999</v>
      </c>
      <c r="H6">
        <v>10</v>
      </c>
    </row>
    <row r="7" spans="1:18" x14ac:dyDescent="0.25">
      <c r="A7">
        <f t="shared" si="0"/>
        <v>6</v>
      </c>
      <c r="C7" t="s">
        <v>17</v>
      </c>
      <c r="D7" t="s">
        <v>31</v>
      </c>
      <c r="E7" t="s">
        <v>32</v>
      </c>
      <c r="F7" t="s">
        <v>33</v>
      </c>
      <c r="G7">
        <v>10</v>
      </c>
    </row>
    <row r="8" spans="1:18" x14ac:dyDescent="0.25">
      <c r="A8">
        <f t="shared" si="0"/>
        <v>7</v>
      </c>
      <c r="C8" t="s">
        <v>17</v>
      </c>
      <c r="D8" t="s">
        <v>34</v>
      </c>
      <c r="E8" t="s">
        <v>933</v>
      </c>
      <c r="F8" t="s">
        <v>932</v>
      </c>
      <c r="G8">
        <v>1</v>
      </c>
      <c r="H8">
        <v>1</v>
      </c>
    </row>
    <row r="9" spans="1:18" x14ac:dyDescent="0.25">
      <c r="A9">
        <f t="shared" si="0"/>
        <v>8</v>
      </c>
      <c r="C9" t="s">
        <v>35</v>
      </c>
      <c r="D9" t="s">
        <v>36</v>
      </c>
      <c r="E9" t="s">
        <v>37</v>
      </c>
      <c r="F9" t="s">
        <v>927</v>
      </c>
      <c r="G9">
        <v>1</v>
      </c>
      <c r="H9" t="s">
        <v>38</v>
      </c>
      <c r="I9">
        <v>0</v>
      </c>
      <c r="J9" t="s">
        <v>39</v>
      </c>
      <c r="K9">
        <v>20</v>
      </c>
      <c r="L9">
        <v>0</v>
      </c>
    </row>
    <row r="10" spans="1:18" x14ac:dyDescent="0.25">
      <c r="A10">
        <f t="shared" si="0"/>
        <v>9</v>
      </c>
      <c r="C10" t="s">
        <v>35</v>
      </c>
      <c r="D10" t="s">
        <v>40</v>
      </c>
      <c r="E10" t="s">
        <v>37</v>
      </c>
      <c r="F10" t="s">
        <v>926</v>
      </c>
      <c r="G10">
        <v>10</v>
      </c>
      <c r="H10" t="s">
        <v>41</v>
      </c>
      <c r="I10" s="1">
        <v>100000</v>
      </c>
      <c r="J10" t="s">
        <v>42</v>
      </c>
      <c r="K10">
        <v>30</v>
      </c>
      <c r="L10">
        <v>20</v>
      </c>
    </row>
    <row r="11" spans="1:18" x14ac:dyDescent="0.25">
      <c r="A11">
        <f t="shared" si="0"/>
        <v>10</v>
      </c>
      <c r="C11" t="s">
        <v>35</v>
      </c>
      <c r="D11" t="s">
        <v>43</v>
      </c>
      <c r="E11" t="s">
        <v>37</v>
      </c>
      <c r="F11" t="s">
        <v>926</v>
      </c>
      <c r="G11">
        <v>20</v>
      </c>
      <c r="H11" t="s">
        <v>44</v>
      </c>
      <c r="I11" s="1">
        <f>I10*3</f>
        <v>300000</v>
      </c>
      <c r="J11" t="s">
        <v>45</v>
      </c>
      <c r="K11">
        <v>40</v>
      </c>
      <c r="L11">
        <v>40</v>
      </c>
    </row>
    <row r="12" spans="1:18" x14ac:dyDescent="0.25">
      <c r="A12">
        <f t="shared" si="0"/>
        <v>11</v>
      </c>
      <c r="C12" t="s">
        <v>35</v>
      </c>
      <c r="D12" t="s">
        <v>46</v>
      </c>
      <c r="E12" t="s">
        <v>37</v>
      </c>
      <c r="F12" t="s">
        <v>926</v>
      </c>
      <c r="G12">
        <v>40</v>
      </c>
      <c r="H12" t="s">
        <v>47</v>
      </c>
      <c r="I12" s="1">
        <f t="shared" ref="I12:I19" si="1">I11*3</f>
        <v>900000</v>
      </c>
      <c r="J12" t="s">
        <v>48</v>
      </c>
      <c r="K12">
        <v>50</v>
      </c>
      <c r="L12">
        <v>60</v>
      </c>
    </row>
    <row r="13" spans="1:18" x14ac:dyDescent="0.25">
      <c r="A13">
        <f t="shared" si="0"/>
        <v>12</v>
      </c>
      <c r="C13" t="s">
        <v>35</v>
      </c>
      <c r="D13" t="s">
        <v>49</v>
      </c>
      <c r="E13" t="s">
        <v>37</v>
      </c>
      <c r="F13" t="s">
        <v>926</v>
      </c>
      <c r="G13">
        <v>80</v>
      </c>
      <c r="H13" t="s">
        <v>50</v>
      </c>
      <c r="I13" s="1">
        <f t="shared" si="1"/>
        <v>2700000</v>
      </c>
      <c r="J13" t="s">
        <v>51</v>
      </c>
      <c r="K13">
        <v>60</v>
      </c>
      <c r="L13">
        <v>80</v>
      </c>
    </row>
    <row r="14" spans="1:18" x14ac:dyDescent="0.25">
      <c r="A14">
        <f t="shared" si="0"/>
        <v>13</v>
      </c>
      <c r="C14" t="s">
        <v>35</v>
      </c>
      <c r="D14" t="s">
        <v>52</v>
      </c>
      <c r="E14" t="s">
        <v>37</v>
      </c>
      <c r="F14" t="s">
        <v>926</v>
      </c>
      <c r="G14">
        <v>160</v>
      </c>
      <c r="H14" t="s">
        <v>53</v>
      </c>
      <c r="I14" s="1">
        <f t="shared" si="1"/>
        <v>8100000</v>
      </c>
      <c r="J14" t="s">
        <v>54</v>
      </c>
      <c r="K14">
        <v>70</v>
      </c>
      <c r="L14">
        <v>100</v>
      </c>
    </row>
    <row r="15" spans="1:18" x14ac:dyDescent="0.25">
      <c r="A15">
        <f t="shared" si="0"/>
        <v>14</v>
      </c>
      <c r="C15" t="s">
        <v>35</v>
      </c>
      <c r="D15" t="s">
        <v>55</v>
      </c>
      <c r="E15" t="s">
        <v>37</v>
      </c>
      <c r="F15" t="s">
        <v>926</v>
      </c>
      <c r="G15">
        <v>320</v>
      </c>
      <c r="H15" t="s">
        <v>56</v>
      </c>
      <c r="I15" s="1">
        <f t="shared" si="1"/>
        <v>24300000</v>
      </c>
      <c r="J15" t="s">
        <v>57</v>
      </c>
      <c r="K15">
        <v>80</v>
      </c>
      <c r="L15">
        <v>120</v>
      </c>
    </row>
    <row r="16" spans="1:18" x14ac:dyDescent="0.25">
      <c r="A16">
        <f t="shared" si="0"/>
        <v>15</v>
      </c>
      <c r="C16" t="s">
        <v>35</v>
      </c>
      <c r="D16" t="s">
        <v>58</v>
      </c>
      <c r="E16" t="s">
        <v>37</v>
      </c>
      <c r="F16" t="s">
        <v>926</v>
      </c>
      <c r="G16">
        <v>640</v>
      </c>
      <c r="H16" t="s">
        <v>59</v>
      </c>
      <c r="I16" s="1">
        <f t="shared" si="1"/>
        <v>72900000</v>
      </c>
      <c r="J16" t="s">
        <v>60</v>
      </c>
      <c r="K16">
        <v>90</v>
      </c>
      <c r="L16">
        <v>140</v>
      </c>
    </row>
    <row r="17" spans="1:12" x14ac:dyDescent="0.25">
      <c r="A17">
        <f t="shared" si="0"/>
        <v>16</v>
      </c>
      <c r="C17" t="s">
        <v>35</v>
      </c>
      <c r="D17" t="s">
        <v>61</v>
      </c>
      <c r="E17" t="s">
        <v>37</v>
      </c>
      <c r="F17" t="s">
        <v>926</v>
      </c>
      <c r="G17">
        <v>1280</v>
      </c>
      <c r="H17" t="s">
        <v>62</v>
      </c>
      <c r="I17" s="1">
        <f t="shared" si="1"/>
        <v>218700000</v>
      </c>
      <c r="J17" t="s">
        <v>63</v>
      </c>
      <c r="K17">
        <v>100</v>
      </c>
      <c r="L17">
        <v>160</v>
      </c>
    </row>
    <row r="18" spans="1:12" x14ac:dyDescent="0.25">
      <c r="A18">
        <f t="shared" si="0"/>
        <v>17</v>
      </c>
      <c r="C18" t="s">
        <v>35</v>
      </c>
      <c r="D18" t="s">
        <v>64</v>
      </c>
      <c r="E18" t="s">
        <v>37</v>
      </c>
      <c r="F18" t="s">
        <v>926</v>
      </c>
      <c r="G18">
        <v>2560</v>
      </c>
      <c r="H18" t="s">
        <v>65</v>
      </c>
      <c r="I18" s="1">
        <f t="shared" si="1"/>
        <v>656100000</v>
      </c>
      <c r="J18" t="s">
        <v>66</v>
      </c>
      <c r="K18">
        <v>110</v>
      </c>
      <c r="L18">
        <v>180</v>
      </c>
    </row>
    <row r="19" spans="1:12" x14ac:dyDescent="0.25">
      <c r="A19">
        <f t="shared" si="0"/>
        <v>18</v>
      </c>
      <c r="C19" t="s">
        <v>35</v>
      </c>
      <c r="D19" t="s">
        <v>67</v>
      </c>
      <c r="E19" t="s">
        <v>37</v>
      </c>
      <c r="F19" t="s">
        <v>926</v>
      </c>
      <c r="G19">
        <v>5120</v>
      </c>
      <c r="H19" t="s">
        <v>925</v>
      </c>
      <c r="I19" s="1">
        <f t="shared" si="1"/>
        <v>1968300000</v>
      </c>
      <c r="J19" t="s">
        <v>68</v>
      </c>
      <c r="K19">
        <v>120</v>
      </c>
      <c r="L19">
        <v>200</v>
      </c>
    </row>
    <row r="20" spans="1:12" x14ac:dyDescent="0.25">
      <c r="A20">
        <f t="shared" si="0"/>
        <v>19</v>
      </c>
      <c r="C20" t="s">
        <v>69</v>
      </c>
      <c r="D20" t="s">
        <v>70</v>
      </c>
      <c r="E20" t="s">
        <v>71</v>
      </c>
      <c r="F20" t="s">
        <v>72</v>
      </c>
      <c r="G20">
        <v>120</v>
      </c>
      <c r="H20">
        <v>22</v>
      </c>
      <c r="I20">
        <v>10</v>
      </c>
    </row>
    <row r="21" spans="1:12" x14ac:dyDescent="0.25">
      <c r="A21">
        <f t="shared" si="0"/>
        <v>20</v>
      </c>
      <c r="C21" t="s">
        <v>69</v>
      </c>
      <c r="D21" t="s">
        <v>73</v>
      </c>
      <c r="E21" t="s">
        <v>74</v>
      </c>
      <c r="F21" t="s">
        <v>75</v>
      </c>
      <c r="G21">
        <v>40</v>
      </c>
      <c r="H21">
        <v>4</v>
      </c>
    </row>
    <row r="22" spans="1:12" x14ac:dyDescent="0.25">
      <c r="A22">
        <f t="shared" si="0"/>
        <v>21</v>
      </c>
      <c r="C22" t="s">
        <v>69</v>
      </c>
      <c r="D22" t="s">
        <v>76</v>
      </c>
      <c r="E22" t="s">
        <v>77</v>
      </c>
      <c r="F22" t="s">
        <v>78</v>
      </c>
      <c r="G22">
        <v>2</v>
      </c>
      <c r="H22">
        <v>0.06</v>
      </c>
    </row>
    <row r="23" spans="1:12" x14ac:dyDescent="0.25">
      <c r="A23">
        <f t="shared" si="0"/>
        <v>22</v>
      </c>
      <c r="C23" t="s">
        <v>69</v>
      </c>
      <c r="D23" t="s">
        <v>79</v>
      </c>
      <c r="E23" t="s">
        <v>80</v>
      </c>
      <c r="F23" t="s">
        <v>81</v>
      </c>
      <c r="G23">
        <v>8</v>
      </c>
      <c r="H23">
        <v>1.6</v>
      </c>
      <c r="I23">
        <v>2</v>
      </c>
    </row>
    <row r="24" spans="1:12" x14ac:dyDescent="0.25">
      <c r="A24">
        <f t="shared" si="0"/>
        <v>23</v>
      </c>
      <c r="C24" t="s">
        <v>69</v>
      </c>
      <c r="D24" t="s">
        <v>82</v>
      </c>
      <c r="E24" t="s">
        <v>83</v>
      </c>
      <c r="F24" t="s">
        <v>84</v>
      </c>
      <c r="G24">
        <v>6</v>
      </c>
      <c r="H24">
        <v>1.2</v>
      </c>
      <c r="I24">
        <v>2</v>
      </c>
    </row>
    <row r="25" spans="1:12" x14ac:dyDescent="0.25">
      <c r="A25">
        <f t="shared" si="0"/>
        <v>24</v>
      </c>
      <c r="C25" t="s">
        <v>69</v>
      </c>
      <c r="D25" t="s">
        <v>85</v>
      </c>
      <c r="E25" t="s">
        <v>86</v>
      </c>
      <c r="F25" t="s">
        <v>87</v>
      </c>
      <c r="G25">
        <v>4</v>
      </c>
      <c r="H25">
        <v>1</v>
      </c>
      <c r="I25">
        <v>0.9</v>
      </c>
    </row>
    <row r="26" spans="1:12" x14ac:dyDescent="0.25">
      <c r="A26">
        <f t="shared" si="0"/>
        <v>25</v>
      </c>
      <c r="C26" t="s">
        <v>69</v>
      </c>
      <c r="D26" t="s">
        <v>88</v>
      </c>
      <c r="E26" t="s">
        <v>89</v>
      </c>
      <c r="F26" t="s">
        <v>90</v>
      </c>
      <c r="G26">
        <v>3</v>
      </c>
      <c r="H26">
        <v>0.8</v>
      </c>
      <c r="I26">
        <v>0.7</v>
      </c>
    </row>
    <row r="27" spans="1:12" x14ac:dyDescent="0.25">
      <c r="A27">
        <f t="shared" si="0"/>
        <v>26</v>
      </c>
      <c r="C27" t="s">
        <v>69</v>
      </c>
      <c r="D27" t="s">
        <v>91</v>
      </c>
      <c r="E27" t="s">
        <v>92</v>
      </c>
      <c r="F27" t="s">
        <v>93</v>
      </c>
      <c r="G27">
        <v>5</v>
      </c>
      <c r="H27">
        <v>0.06</v>
      </c>
    </row>
    <row r="28" spans="1:12" x14ac:dyDescent="0.25">
      <c r="A28">
        <f t="shared" si="0"/>
        <v>27</v>
      </c>
      <c r="C28" t="s">
        <v>69</v>
      </c>
      <c r="D28" t="s">
        <v>94</v>
      </c>
      <c r="E28" t="s">
        <v>95</v>
      </c>
      <c r="F28" t="s">
        <v>96</v>
      </c>
      <c r="G28">
        <v>150</v>
      </c>
    </row>
    <row r="29" spans="1:12" x14ac:dyDescent="0.25">
      <c r="A29">
        <f t="shared" si="0"/>
        <v>28</v>
      </c>
      <c r="C29" t="s">
        <v>69</v>
      </c>
      <c r="D29" t="s">
        <v>97</v>
      </c>
      <c r="E29" t="s">
        <v>98</v>
      </c>
      <c r="F29" t="s">
        <v>99</v>
      </c>
      <c r="G29">
        <v>1</v>
      </c>
      <c r="H29">
        <v>0.15</v>
      </c>
    </row>
    <row r="30" spans="1:12" x14ac:dyDescent="0.25">
      <c r="A30">
        <f t="shared" si="0"/>
        <v>29</v>
      </c>
      <c r="C30" t="s">
        <v>69</v>
      </c>
      <c r="D30" t="s">
        <v>100</v>
      </c>
      <c r="E30" t="s">
        <v>95</v>
      </c>
      <c r="F30" t="s">
        <v>101</v>
      </c>
      <c r="G30">
        <v>100</v>
      </c>
    </row>
    <row r="31" spans="1:12" x14ac:dyDescent="0.25">
      <c r="A31">
        <f t="shared" si="0"/>
        <v>30</v>
      </c>
      <c r="C31" t="s">
        <v>69</v>
      </c>
      <c r="D31" t="s">
        <v>102</v>
      </c>
      <c r="E31" t="s">
        <v>103</v>
      </c>
      <c r="F31" t="s">
        <v>104</v>
      </c>
      <c r="G31">
        <v>0.08</v>
      </c>
    </row>
    <row r="32" spans="1:12" x14ac:dyDescent="0.25">
      <c r="A32">
        <f t="shared" si="0"/>
        <v>31</v>
      </c>
      <c r="C32" t="s">
        <v>69</v>
      </c>
      <c r="D32" t="s">
        <v>105</v>
      </c>
      <c r="E32" t="s">
        <v>106</v>
      </c>
      <c r="F32" t="s">
        <v>107</v>
      </c>
      <c r="G32">
        <v>0.5</v>
      </c>
    </row>
    <row r="33" spans="1:8" x14ac:dyDescent="0.25">
      <c r="A33">
        <f t="shared" si="0"/>
        <v>32</v>
      </c>
      <c r="C33" t="s">
        <v>69</v>
      </c>
      <c r="D33" t="s">
        <v>108</v>
      </c>
      <c r="E33" t="s">
        <v>109</v>
      </c>
      <c r="F33" t="s">
        <v>110</v>
      </c>
      <c r="G33">
        <v>1.5</v>
      </c>
    </row>
    <row r="34" spans="1:8" x14ac:dyDescent="0.25">
      <c r="A34">
        <f t="shared" si="0"/>
        <v>33</v>
      </c>
      <c r="C34" t="s">
        <v>69</v>
      </c>
      <c r="D34" t="s">
        <v>111</v>
      </c>
      <c r="E34" t="s">
        <v>112</v>
      </c>
      <c r="F34" t="s">
        <v>113</v>
      </c>
      <c r="G34">
        <v>95</v>
      </c>
      <c r="H34">
        <v>40000</v>
      </c>
    </row>
    <row r="35" spans="1:8" x14ac:dyDescent="0.25">
      <c r="A35">
        <f t="shared" si="0"/>
        <v>34</v>
      </c>
      <c r="C35" t="s">
        <v>114</v>
      </c>
      <c r="D35" t="s">
        <v>115</v>
      </c>
      <c r="E35" t="s">
        <v>116</v>
      </c>
      <c r="F35" t="s">
        <v>934</v>
      </c>
      <c r="G35">
        <v>100</v>
      </c>
    </row>
    <row r="36" spans="1:8" x14ac:dyDescent="0.25">
      <c r="A36">
        <f t="shared" si="0"/>
        <v>35</v>
      </c>
      <c r="C36" t="s">
        <v>114</v>
      </c>
      <c r="D36" t="s">
        <v>117</v>
      </c>
      <c r="E36" t="s">
        <v>116</v>
      </c>
      <c r="F36" t="s">
        <v>935</v>
      </c>
      <c r="G36">
        <v>80</v>
      </c>
    </row>
    <row r="37" spans="1:8" x14ac:dyDescent="0.25">
      <c r="A37">
        <f t="shared" si="0"/>
        <v>36</v>
      </c>
      <c r="C37" t="s">
        <v>114</v>
      </c>
      <c r="D37" t="s">
        <v>118</v>
      </c>
      <c r="E37" t="s">
        <v>116</v>
      </c>
      <c r="F37" t="s">
        <v>936</v>
      </c>
      <c r="G37">
        <v>80</v>
      </c>
    </row>
    <row r="38" spans="1:8" x14ac:dyDescent="0.25">
      <c r="A38">
        <f t="shared" si="0"/>
        <v>37</v>
      </c>
      <c r="C38" t="s">
        <v>114</v>
      </c>
      <c r="D38" t="s">
        <v>119</v>
      </c>
      <c r="E38" t="s">
        <v>116</v>
      </c>
      <c r="F38" t="s">
        <v>937</v>
      </c>
      <c r="G38">
        <v>60</v>
      </c>
    </row>
    <row r="39" spans="1:8" x14ac:dyDescent="0.25">
      <c r="A39">
        <f t="shared" si="0"/>
        <v>38</v>
      </c>
      <c r="C39" t="s">
        <v>114</v>
      </c>
      <c r="D39" t="s">
        <v>120</v>
      </c>
      <c r="E39" t="s">
        <v>116</v>
      </c>
      <c r="F39" t="s">
        <v>938</v>
      </c>
      <c r="G39">
        <v>50</v>
      </c>
    </row>
    <row r="40" spans="1:8" x14ac:dyDescent="0.25">
      <c r="A40">
        <f t="shared" si="0"/>
        <v>39</v>
      </c>
      <c r="C40" t="s">
        <v>114</v>
      </c>
      <c r="D40" t="s">
        <v>121</v>
      </c>
      <c r="E40" t="s">
        <v>116</v>
      </c>
      <c r="F40" t="s">
        <v>939</v>
      </c>
      <c r="G40">
        <v>60</v>
      </c>
    </row>
    <row r="41" spans="1:8" x14ac:dyDescent="0.25">
      <c r="A41">
        <f t="shared" si="0"/>
        <v>40</v>
      </c>
      <c r="C41" t="s">
        <v>114</v>
      </c>
      <c r="D41" t="s">
        <v>122</v>
      </c>
      <c r="E41" t="s">
        <v>116</v>
      </c>
      <c r="F41" t="s">
        <v>940</v>
      </c>
      <c r="G41">
        <v>30</v>
      </c>
    </row>
    <row r="42" spans="1:8" x14ac:dyDescent="0.25">
      <c r="A42">
        <f t="shared" si="0"/>
        <v>41</v>
      </c>
      <c r="C42" t="s">
        <v>114</v>
      </c>
      <c r="D42" t="s">
        <v>123</v>
      </c>
      <c r="E42" t="s">
        <v>116</v>
      </c>
      <c r="F42" t="s">
        <v>941</v>
      </c>
      <c r="G42">
        <v>50</v>
      </c>
    </row>
    <row r="43" spans="1:8" x14ac:dyDescent="0.25">
      <c r="A43">
        <f t="shared" si="0"/>
        <v>42</v>
      </c>
      <c r="C43" t="s">
        <v>114</v>
      </c>
      <c r="D43" t="s">
        <v>124</v>
      </c>
      <c r="E43" t="s">
        <v>116</v>
      </c>
      <c r="F43" t="s">
        <v>942</v>
      </c>
      <c r="G43">
        <v>50</v>
      </c>
    </row>
    <row r="44" spans="1:8" x14ac:dyDescent="0.25">
      <c r="A44">
        <f t="shared" si="0"/>
        <v>43</v>
      </c>
      <c r="C44" t="s">
        <v>114</v>
      </c>
      <c r="D44" t="s">
        <v>125</v>
      </c>
      <c r="E44" t="s">
        <v>116</v>
      </c>
      <c r="F44" t="s">
        <v>943</v>
      </c>
      <c r="G44">
        <v>40</v>
      </c>
    </row>
    <row r="45" spans="1:8" x14ac:dyDescent="0.25">
      <c r="A45">
        <f t="shared" si="0"/>
        <v>44</v>
      </c>
      <c r="C45" t="s">
        <v>114</v>
      </c>
      <c r="D45" t="s">
        <v>126</v>
      </c>
      <c r="E45" t="s">
        <v>116</v>
      </c>
      <c r="F45" t="s">
        <v>944</v>
      </c>
      <c r="G45">
        <v>60</v>
      </c>
    </row>
    <row r="46" spans="1:8" x14ac:dyDescent="0.25">
      <c r="A46">
        <f t="shared" si="0"/>
        <v>45</v>
      </c>
      <c r="C46" t="s">
        <v>114</v>
      </c>
      <c r="D46" t="s">
        <v>127</v>
      </c>
      <c r="E46" t="s">
        <v>116</v>
      </c>
      <c r="F46" t="s">
        <v>945</v>
      </c>
      <c r="G46">
        <v>60</v>
      </c>
    </row>
    <row r="47" spans="1:8" x14ac:dyDescent="0.25">
      <c r="A47">
        <f t="shared" si="0"/>
        <v>46</v>
      </c>
      <c r="C47" t="s">
        <v>114</v>
      </c>
      <c r="D47" t="s">
        <v>128</v>
      </c>
      <c r="E47" t="s">
        <v>116</v>
      </c>
      <c r="F47" t="s">
        <v>946</v>
      </c>
      <c r="G47">
        <v>60</v>
      </c>
    </row>
    <row r="48" spans="1:8" x14ac:dyDescent="0.25">
      <c r="A48">
        <f t="shared" si="0"/>
        <v>47</v>
      </c>
      <c r="C48" t="s">
        <v>114</v>
      </c>
      <c r="D48" t="s">
        <v>129</v>
      </c>
      <c r="E48" t="s">
        <v>116</v>
      </c>
      <c r="F48" t="s">
        <v>947</v>
      </c>
      <c r="G48">
        <v>75</v>
      </c>
    </row>
    <row r="49" spans="1:8" x14ac:dyDescent="0.25">
      <c r="A49">
        <f t="shared" si="0"/>
        <v>48</v>
      </c>
      <c r="C49" t="s">
        <v>114</v>
      </c>
      <c r="D49" t="s">
        <v>130</v>
      </c>
      <c r="E49" t="s">
        <v>116</v>
      </c>
      <c r="F49" t="s">
        <v>948</v>
      </c>
      <c r="G49">
        <v>80</v>
      </c>
    </row>
    <row r="50" spans="1:8" x14ac:dyDescent="0.25">
      <c r="A50">
        <f t="shared" si="0"/>
        <v>49</v>
      </c>
      <c r="C50" t="s">
        <v>114</v>
      </c>
      <c r="D50" t="s">
        <v>131</v>
      </c>
      <c r="E50" t="s">
        <v>116</v>
      </c>
      <c r="F50" t="s">
        <v>949</v>
      </c>
      <c r="G50">
        <v>60</v>
      </c>
    </row>
    <row r="51" spans="1:8" x14ac:dyDescent="0.25">
      <c r="A51">
        <f t="shared" si="0"/>
        <v>50</v>
      </c>
      <c r="C51" t="s">
        <v>114</v>
      </c>
      <c r="D51" t="s">
        <v>132</v>
      </c>
      <c r="E51" t="s">
        <v>116</v>
      </c>
      <c r="F51" t="s">
        <v>950</v>
      </c>
      <c r="G51">
        <v>50</v>
      </c>
    </row>
    <row r="52" spans="1:8" x14ac:dyDescent="0.25">
      <c r="A52">
        <f t="shared" si="0"/>
        <v>51</v>
      </c>
      <c r="C52" t="s">
        <v>114</v>
      </c>
      <c r="D52" t="s">
        <v>133</v>
      </c>
      <c r="E52" t="s">
        <v>116</v>
      </c>
      <c r="F52" t="s">
        <v>951</v>
      </c>
      <c r="G52">
        <v>100</v>
      </c>
    </row>
    <row r="53" spans="1:8" x14ac:dyDescent="0.25">
      <c r="A53">
        <f t="shared" si="0"/>
        <v>52</v>
      </c>
      <c r="C53" t="s">
        <v>114</v>
      </c>
      <c r="D53" t="s">
        <v>134</v>
      </c>
      <c r="E53" t="s">
        <v>116</v>
      </c>
      <c r="F53" t="s">
        <v>952</v>
      </c>
      <c r="G53">
        <v>60</v>
      </c>
    </row>
    <row r="54" spans="1:8" x14ac:dyDescent="0.25">
      <c r="A54">
        <f t="shared" si="0"/>
        <v>53</v>
      </c>
      <c r="C54" t="s">
        <v>114</v>
      </c>
      <c r="D54" t="s">
        <v>135</v>
      </c>
      <c r="E54" t="s">
        <v>116</v>
      </c>
      <c r="F54" t="s">
        <v>953</v>
      </c>
      <c r="G54">
        <v>30</v>
      </c>
    </row>
    <row r="55" spans="1:8" x14ac:dyDescent="0.25">
      <c r="A55">
        <f t="shared" si="0"/>
        <v>54</v>
      </c>
      <c r="C55" t="s">
        <v>114</v>
      </c>
      <c r="D55" t="s">
        <v>136</v>
      </c>
      <c r="E55" t="s">
        <v>116</v>
      </c>
      <c r="F55" t="s">
        <v>954</v>
      </c>
      <c r="G55">
        <v>100</v>
      </c>
    </row>
    <row r="56" spans="1:8" x14ac:dyDescent="0.25">
      <c r="A56">
        <f t="shared" si="0"/>
        <v>55</v>
      </c>
      <c r="C56" t="s">
        <v>114</v>
      </c>
      <c r="D56" t="s">
        <v>137</v>
      </c>
      <c r="E56" t="s">
        <v>116</v>
      </c>
      <c r="F56" t="s">
        <v>955</v>
      </c>
      <c r="G56">
        <v>45</v>
      </c>
    </row>
    <row r="57" spans="1:8" x14ac:dyDescent="0.25">
      <c r="A57">
        <f t="shared" si="0"/>
        <v>56</v>
      </c>
      <c r="C57" t="s">
        <v>114</v>
      </c>
      <c r="D57" t="s">
        <v>138</v>
      </c>
      <c r="E57" t="s">
        <v>116</v>
      </c>
      <c r="F57" t="s">
        <v>956</v>
      </c>
      <c r="G57">
        <v>30</v>
      </c>
    </row>
    <row r="58" spans="1:8" x14ac:dyDescent="0.25">
      <c r="A58">
        <f t="shared" si="0"/>
        <v>57</v>
      </c>
      <c r="C58" t="s">
        <v>114</v>
      </c>
      <c r="D58" t="s">
        <v>139</v>
      </c>
      <c r="E58" t="s">
        <v>116</v>
      </c>
      <c r="F58" t="s">
        <v>957</v>
      </c>
      <c r="G58">
        <v>85</v>
      </c>
    </row>
    <row r="59" spans="1:8" x14ac:dyDescent="0.25">
      <c r="A59">
        <f t="shared" si="0"/>
        <v>58</v>
      </c>
      <c r="C59" t="s">
        <v>140</v>
      </c>
      <c r="D59" t="s">
        <v>141</v>
      </c>
      <c r="E59" t="s">
        <v>142</v>
      </c>
      <c r="F59" t="s">
        <v>143</v>
      </c>
      <c r="G59">
        <v>60</v>
      </c>
      <c r="H59">
        <v>8</v>
      </c>
    </row>
    <row r="60" spans="1:8" x14ac:dyDescent="0.25">
      <c r="A60">
        <f t="shared" si="0"/>
        <v>59</v>
      </c>
      <c r="C60" t="s">
        <v>140</v>
      </c>
      <c r="D60" t="s">
        <v>144</v>
      </c>
      <c r="E60" t="s">
        <v>145</v>
      </c>
      <c r="F60" t="s">
        <v>146</v>
      </c>
      <c r="G60">
        <v>0.9</v>
      </c>
      <c r="H60">
        <v>1.1000000000000001</v>
      </c>
    </row>
    <row r="61" spans="1:8" x14ac:dyDescent="0.25">
      <c r="A61">
        <f t="shared" si="0"/>
        <v>60</v>
      </c>
      <c r="C61" t="s">
        <v>140</v>
      </c>
      <c r="D61" t="s">
        <v>147</v>
      </c>
      <c r="E61" t="s">
        <v>148</v>
      </c>
      <c r="F61" t="s">
        <v>149</v>
      </c>
      <c r="G61">
        <v>1</v>
      </c>
    </row>
    <row r="62" spans="1:8" x14ac:dyDescent="0.25">
      <c r="A62">
        <f t="shared" si="0"/>
        <v>61</v>
      </c>
      <c r="C62" t="s">
        <v>140</v>
      </c>
      <c r="D62" t="s">
        <v>150</v>
      </c>
      <c r="E62" t="s">
        <v>151</v>
      </c>
      <c r="F62" t="s">
        <v>152</v>
      </c>
      <c r="G62">
        <v>0.7</v>
      </c>
    </row>
    <row r="63" spans="1:8" x14ac:dyDescent="0.25">
      <c r="A63">
        <f t="shared" si="0"/>
        <v>62</v>
      </c>
      <c r="C63" t="s">
        <v>140</v>
      </c>
      <c r="D63" t="s">
        <v>153</v>
      </c>
      <c r="E63" t="s">
        <v>154</v>
      </c>
      <c r="F63" t="s">
        <v>155</v>
      </c>
      <c r="G63">
        <v>12</v>
      </c>
    </row>
    <row r="64" spans="1:8" x14ac:dyDescent="0.25">
      <c r="A64">
        <f t="shared" si="0"/>
        <v>63</v>
      </c>
      <c r="C64" t="s">
        <v>140</v>
      </c>
      <c r="D64" t="s">
        <v>156</v>
      </c>
      <c r="E64" t="s">
        <v>157</v>
      </c>
      <c r="F64" t="s">
        <v>158</v>
      </c>
      <c r="G64">
        <v>1</v>
      </c>
    </row>
    <row r="65" spans="1:10" x14ac:dyDescent="0.25">
      <c r="A65">
        <f t="shared" si="0"/>
        <v>64</v>
      </c>
      <c r="C65" t="s">
        <v>140</v>
      </c>
      <c r="D65" t="s">
        <v>159</v>
      </c>
      <c r="E65" t="s">
        <v>160</v>
      </c>
      <c r="F65" t="s">
        <v>161</v>
      </c>
      <c r="G65">
        <v>10</v>
      </c>
    </row>
    <row r="66" spans="1:10" x14ac:dyDescent="0.25">
      <c r="A66">
        <f t="shared" si="0"/>
        <v>65</v>
      </c>
      <c r="C66" t="s">
        <v>140</v>
      </c>
      <c r="D66" t="s">
        <v>162</v>
      </c>
      <c r="E66" t="s">
        <v>154</v>
      </c>
      <c r="F66" t="s">
        <v>163</v>
      </c>
      <c r="G66">
        <v>50</v>
      </c>
    </row>
    <row r="67" spans="1:10" x14ac:dyDescent="0.25">
      <c r="A67">
        <f t="shared" si="0"/>
        <v>66</v>
      </c>
      <c r="C67" t="s">
        <v>140</v>
      </c>
      <c r="D67" t="s">
        <v>164</v>
      </c>
      <c r="E67" t="s">
        <v>165</v>
      </c>
      <c r="F67" t="s">
        <v>166</v>
      </c>
      <c r="G67">
        <v>50</v>
      </c>
    </row>
    <row r="68" spans="1:10" x14ac:dyDescent="0.25">
      <c r="A68">
        <f t="shared" ref="A68:A131" si="2">A67+1</f>
        <v>67</v>
      </c>
      <c r="C68" t="s">
        <v>140</v>
      </c>
      <c r="D68" t="s">
        <v>167</v>
      </c>
      <c r="E68" t="s">
        <v>168</v>
      </c>
      <c r="F68" t="s">
        <v>169</v>
      </c>
      <c r="G68">
        <v>30</v>
      </c>
      <c r="H68">
        <v>60</v>
      </c>
    </row>
    <row r="69" spans="1:10" x14ac:dyDescent="0.25">
      <c r="A69">
        <f t="shared" si="2"/>
        <v>68</v>
      </c>
      <c r="C69" t="s">
        <v>140</v>
      </c>
      <c r="D69" t="s">
        <v>170</v>
      </c>
      <c r="E69" t="s">
        <v>171</v>
      </c>
      <c r="F69" t="s">
        <v>172</v>
      </c>
      <c r="G69">
        <v>5</v>
      </c>
      <c r="H69">
        <v>150</v>
      </c>
      <c r="I69">
        <v>100</v>
      </c>
      <c r="J69">
        <v>0.75</v>
      </c>
    </row>
    <row r="70" spans="1:10" x14ac:dyDescent="0.25">
      <c r="A70">
        <f t="shared" si="2"/>
        <v>69</v>
      </c>
      <c r="C70" t="s">
        <v>173</v>
      </c>
      <c r="D70" t="s">
        <v>174</v>
      </c>
      <c r="E70" t="s">
        <v>175</v>
      </c>
      <c r="F70" t="s">
        <v>176</v>
      </c>
      <c r="G70">
        <v>15</v>
      </c>
    </row>
    <row r="71" spans="1:10" x14ac:dyDescent="0.25">
      <c r="A71">
        <f t="shared" si="2"/>
        <v>70</v>
      </c>
      <c r="C71" t="s">
        <v>173</v>
      </c>
      <c r="D71" t="s">
        <v>177</v>
      </c>
      <c r="E71" t="s">
        <v>175</v>
      </c>
      <c r="F71" t="s">
        <v>178</v>
      </c>
      <c r="G71">
        <v>10</v>
      </c>
    </row>
    <row r="72" spans="1:10" x14ac:dyDescent="0.25">
      <c r="A72">
        <f t="shared" si="2"/>
        <v>71</v>
      </c>
      <c r="C72" t="s">
        <v>173</v>
      </c>
      <c r="D72" t="s">
        <v>179</v>
      </c>
      <c r="E72" t="s">
        <v>175</v>
      </c>
      <c r="F72" t="s">
        <v>180</v>
      </c>
      <c r="G72">
        <v>25</v>
      </c>
    </row>
    <row r="73" spans="1:10" x14ac:dyDescent="0.25">
      <c r="A73">
        <f t="shared" si="2"/>
        <v>72</v>
      </c>
      <c r="C73" t="s">
        <v>173</v>
      </c>
      <c r="D73" t="s">
        <v>181</v>
      </c>
      <c r="E73" t="s">
        <v>175</v>
      </c>
      <c r="F73" t="s">
        <v>182</v>
      </c>
      <c r="G73">
        <v>20</v>
      </c>
    </row>
    <row r="74" spans="1:10" x14ac:dyDescent="0.25">
      <c r="A74">
        <f t="shared" si="2"/>
        <v>73</v>
      </c>
      <c r="C74" t="s">
        <v>173</v>
      </c>
      <c r="D74" t="s">
        <v>183</v>
      </c>
      <c r="E74" t="s">
        <v>175</v>
      </c>
      <c r="F74" t="s">
        <v>184</v>
      </c>
      <c r="G74">
        <v>100</v>
      </c>
    </row>
    <row r="75" spans="1:10" x14ac:dyDescent="0.25">
      <c r="A75">
        <f t="shared" si="2"/>
        <v>74</v>
      </c>
      <c r="C75" t="s">
        <v>185</v>
      </c>
      <c r="D75" t="s">
        <v>186</v>
      </c>
      <c r="E75" t="s">
        <v>187</v>
      </c>
      <c r="F75" t="s">
        <v>188</v>
      </c>
      <c r="G75">
        <v>30</v>
      </c>
      <c r="H75">
        <v>8</v>
      </c>
      <c r="I75">
        <v>1.08</v>
      </c>
    </row>
    <row r="76" spans="1:10" x14ac:dyDescent="0.25">
      <c r="A76">
        <f t="shared" si="2"/>
        <v>75</v>
      </c>
      <c r="C76" t="s">
        <v>185</v>
      </c>
      <c r="D76" t="s">
        <v>189</v>
      </c>
      <c r="E76" t="s">
        <v>187</v>
      </c>
      <c r="F76" t="s">
        <v>188</v>
      </c>
      <c r="G76">
        <v>6</v>
      </c>
      <c r="H76">
        <v>1.2</v>
      </c>
      <c r="I76">
        <v>1.1100000000000001</v>
      </c>
    </row>
    <row r="77" spans="1:10" x14ac:dyDescent="0.25">
      <c r="A77">
        <f t="shared" si="2"/>
        <v>76</v>
      </c>
      <c r="C77" t="s">
        <v>185</v>
      </c>
      <c r="D77" t="s">
        <v>85</v>
      </c>
      <c r="E77" t="s">
        <v>187</v>
      </c>
      <c r="F77" t="s">
        <v>190</v>
      </c>
      <c r="G77">
        <v>2</v>
      </c>
      <c r="H77">
        <v>0.5</v>
      </c>
      <c r="I77">
        <v>1.08</v>
      </c>
    </row>
    <row r="78" spans="1:10" x14ac:dyDescent="0.25">
      <c r="A78">
        <f t="shared" si="2"/>
        <v>77</v>
      </c>
      <c r="C78" t="s">
        <v>185</v>
      </c>
      <c r="D78" t="s">
        <v>191</v>
      </c>
      <c r="E78" t="s">
        <v>187</v>
      </c>
      <c r="F78" t="s">
        <v>188</v>
      </c>
      <c r="G78">
        <v>20</v>
      </c>
      <c r="H78">
        <v>1</v>
      </c>
      <c r="I78">
        <v>1.05</v>
      </c>
    </row>
    <row r="79" spans="1:10" x14ac:dyDescent="0.25">
      <c r="A79">
        <f t="shared" si="2"/>
        <v>78</v>
      </c>
      <c r="C79" t="s">
        <v>185</v>
      </c>
      <c r="D79" t="s">
        <v>192</v>
      </c>
      <c r="E79" t="s">
        <v>187</v>
      </c>
      <c r="F79" t="s">
        <v>188</v>
      </c>
      <c r="G79">
        <v>8</v>
      </c>
      <c r="H79">
        <v>1</v>
      </c>
      <c r="I79">
        <v>1.06</v>
      </c>
    </row>
    <row r="80" spans="1:10" x14ac:dyDescent="0.25">
      <c r="A80">
        <f t="shared" si="2"/>
        <v>79</v>
      </c>
      <c r="C80" t="s">
        <v>185</v>
      </c>
      <c r="D80" t="s">
        <v>97</v>
      </c>
      <c r="E80" t="s">
        <v>193</v>
      </c>
      <c r="F80" t="s">
        <v>194</v>
      </c>
      <c r="G80">
        <v>2</v>
      </c>
    </row>
    <row r="81" spans="1:12" x14ac:dyDescent="0.25">
      <c r="A81">
        <f t="shared" si="2"/>
        <v>80</v>
      </c>
      <c r="C81" t="s">
        <v>185</v>
      </c>
      <c r="D81" t="s">
        <v>195</v>
      </c>
      <c r="E81" t="s">
        <v>196</v>
      </c>
      <c r="F81" t="s">
        <v>958</v>
      </c>
      <c r="G81">
        <v>2.5</v>
      </c>
      <c r="H81">
        <v>1.5</v>
      </c>
      <c r="I81">
        <v>3</v>
      </c>
      <c r="J81">
        <v>5</v>
      </c>
      <c r="K81">
        <v>1.25</v>
      </c>
    </row>
    <row r="82" spans="1:12" x14ac:dyDescent="0.25">
      <c r="A82">
        <f t="shared" si="2"/>
        <v>81</v>
      </c>
      <c r="C82" t="s">
        <v>185</v>
      </c>
      <c r="D82" t="s">
        <v>197</v>
      </c>
      <c r="E82" t="s">
        <v>198</v>
      </c>
      <c r="F82" t="s">
        <v>199</v>
      </c>
      <c r="G82">
        <v>1.5</v>
      </c>
    </row>
    <row r="83" spans="1:12" x14ac:dyDescent="0.25">
      <c r="A83">
        <f t="shared" si="2"/>
        <v>82</v>
      </c>
      <c r="C83" t="s">
        <v>200</v>
      </c>
      <c r="D83" t="s">
        <v>201</v>
      </c>
      <c r="E83" t="s">
        <v>202</v>
      </c>
      <c r="F83" t="s">
        <v>203</v>
      </c>
      <c r="G83">
        <v>60</v>
      </c>
    </row>
    <row r="84" spans="1:12" x14ac:dyDescent="0.25">
      <c r="A84">
        <f t="shared" si="2"/>
        <v>83</v>
      </c>
      <c r="C84" t="s">
        <v>200</v>
      </c>
      <c r="D84" t="s">
        <v>204</v>
      </c>
      <c r="E84" t="s">
        <v>202</v>
      </c>
      <c r="F84" t="s">
        <v>203</v>
      </c>
      <c r="G84">
        <v>25</v>
      </c>
    </row>
    <row r="85" spans="1:12" x14ac:dyDescent="0.25">
      <c r="A85">
        <f t="shared" si="2"/>
        <v>84</v>
      </c>
      <c r="C85" t="s">
        <v>200</v>
      </c>
      <c r="D85" t="s">
        <v>205</v>
      </c>
      <c r="E85" t="s">
        <v>202</v>
      </c>
      <c r="F85" t="s">
        <v>203</v>
      </c>
      <c r="G85">
        <v>10</v>
      </c>
    </row>
    <row r="86" spans="1:12" x14ac:dyDescent="0.25">
      <c r="A86">
        <f t="shared" si="2"/>
        <v>85</v>
      </c>
      <c r="C86" t="s">
        <v>200</v>
      </c>
      <c r="D86" t="s">
        <v>206</v>
      </c>
      <c r="E86" t="s">
        <v>202</v>
      </c>
      <c r="F86" t="s">
        <v>203</v>
      </c>
      <c r="G86">
        <v>5</v>
      </c>
    </row>
    <row r="87" spans="1:12" x14ac:dyDescent="0.25">
      <c r="A87">
        <f t="shared" si="2"/>
        <v>86</v>
      </c>
      <c r="C87" t="s">
        <v>207</v>
      </c>
      <c r="D87" t="s">
        <v>208</v>
      </c>
      <c r="E87" t="s">
        <v>37</v>
      </c>
      <c r="F87" t="s">
        <v>959</v>
      </c>
      <c r="G87">
        <v>1</v>
      </c>
      <c r="H87">
        <v>1</v>
      </c>
      <c r="I87">
        <v>1</v>
      </c>
      <c r="J87">
        <v>1</v>
      </c>
      <c r="K87">
        <v>1</v>
      </c>
      <c r="L87" t="s">
        <v>209</v>
      </c>
    </row>
    <row r="88" spans="1:12" x14ac:dyDescent="0.25">
      <c r="A88">
        <f t="shared" si="2"/>
        <v>87</v>
      </c>
      <c r="C88" t="s">
        <v>207</v>
      </c>
      <c r="D88" t="s">
        <v>210</v>
      </c>
      <c r="E88" t="s">
        <v>37</v>
      </c>
      <c r="F88" t="s">
        <v>959</v>
      </c>
      <c r="G88">
        <v>2.2000000000000002</v>
      </c>
      <c r="H88">
        <v>1.8</v>
      </c>
      <c r="I88">
        <v>1.6</v>
      </c>
      <c r="J88">
        <v>1.5</v>
      </c>
      <c r="K88">
        <v>1.25</v>
      </c>
      <c r="L88" t="s">
        <v>211</v>
      </c>
    </row>
    <row r="89" spans="1:12" x14ac:dyDescent="0.25">
      <c r="A89">
        <f t="shared" si="2"/>
        <v>88</v>
      </c>
      <c r="C89" t="s">
        <v>207</v>
      </c>
      <c r="D89" t="s">
        <v>212</v>
      </c>
      <c r="E89" t="s">
        <v>37</v>
      </c>
      <c r="F89" t="s">
        <v>959</v>
      </c>
      <c r="G89">
        <v>4</v>
      </c>
      <c r="H89">
        <v>2.8</v>
      </c>
      <c r="I89">
        <v>2.4</v>
      </c>
      <c r="J89">
        <v>2</v>
      </c>
      <c r="K89">
        <v>1.5</v>
      </c>
      <c r="L89" t="s">
        <v>213</v>
      </c>
    </row>
    <row r="90" spans="1:12" x14ac:dyDescent="0.25">
      <c r="A90">
        <f t="shared" si="2"/>
        <v>89</v>
      </c>
      <c r="C90" t="s">
        <v>214</v>
      </c>
      <c r="D90" t="s">
        <v>215</v>
      </c>
      <c r="E90" t="s">
        <v>216</v>
      </c>
      <c r="F90" t="s">
        <v>217</v>
      </c>
      <c r="G90">
        <v>4</v>
      </c>
      <c r="H90">
        <v>5</v>
      </c>
    </row>
    <row r="91" spans="1:12" x14ac:dyDescent="0.25">
      <c r="A91">
        <f t="shared" si="2"/>
        <v>90</v>
      </c>
      <c r="C91" t="s">
        <v>214</v>
      </c>
      <c r="D91" t="s">
        <v>218</v>
      </c>
      <c r="E91" t="s">
        <v>219</v>
      </c>
      <c r="F91" t="s">
        <v>220</v>
      </c>
      <c r="G91">
        <v>3</v>
      </c>
    </row>
    <row r="92" spans="1:12" x14ac:dyDescent="0.25">
      <c r="A92">
        <f t="shared" si="2"/>
        <v>91</v>
      </c>
      <c r="C92" t="s">
        <v>214</v>
      </c>
      <c r="D92" t="s">
        <v>221</v>
      </c>
      <c r="E92" t="s">
        <v>222</v>
      </c>
      <c r="F92" t="s">
        <v>223</v>
      </c>
      <c r="G92">
        <v>100000</v>
      </c>
      <c r="H92">
        <v>2.6</v>
      </c>
    </row>
    <row r="93" spans="1:12" x14ac:dyDescent="0.25">
      <c r="A93">
        <f t="shared" si="2"/>
        <v>92</v>
      </c>
      <c r="C93" t="s">
        <v>214</v>
      </c>
      <c r="D93" t="s">
        <v>186</v>
      </c>
      <c r="E93" t="s">
        <v>224</v>
      </c>
      <c r="F93" t="s">
        <v>225</v>
      </c>
      <c r="G93">
        <v>22</v>
      </c>
      <c r="H93">
        <v>5</v>
      </c>
    </row>
    <row r="94" spans="1:12" x14ac:dyDescent="0.25">
      <c r="A94">
        <f t="shared" si="2"/>
        <v>93</v>
      </c>
      <c r="C94" t="s">
        <v>214</v>
      </c>
      <c r="D94" t="s">
        <v>189</v>
      </c>
      <c r="E94" t="s">
        <v>226</v>
      </c>
      <c r="F94" t="s">
        <v>225</v>
      </c>
      <c r="G94">
        <v>1.9</v>
      </c>
      <c r="H94">
        <v>2</v>
      </c>
    </row>
    <row r="95" spans="1:12" x14ac:dyDescent="0.25">
      <c r="A95">
        <f t="shared" si="2"/>
        <v>94</v>
      </c>
      <c r="C95" t="s">
        <v>214</v>
      </c>
      <c r="D95" t="s">
        <v>227</v>
      </c>
      <c r="E95" t="s">
        <v>228</v>
      </c>
      <c r="F95" t="s">
        <v>229</v>
      </c>
      <c r="G95">
        <v>1.5</v>
      </c>
    </row>
    <row r="96" spans="1:12" x14ac:dyDescent="0.25">
      <c r="A96">
        <f t="shared" si="2"/>
        <v>95</v>
      </c>
      <c r="C96" t="s">
        <v>214</v>
      </c>
      <c r="D96" t="s">
        <v>230</v>
      </c>
      <c r="E96" t="s">
        <v>231</v>
      </c>
      <c r="F96" t="s">
        <v>232</v>
      </c>
      <c r="G96">
        <v>2</v>
      </c>
      <c r="H96">
        <v>70</v>
      </c>
    </row>
    <row r="97" spans="1:10" x14ac:dyDescent="0.25">
      <c r="A97">
        <f t="shared" si="2"/>
        <v>96</v>
      </c>
      <c r="C97" t="s">
        <v>214</v>
      </c>
      <c r="D97" t="s">
        <v>233</v>
      </c>
      <c r="E97" t="s">
        <v>234</v>
      </c>
      <c r="F97" t="s">
        <v>235</v>
      </c>
      <c r="G97">
        <v>5</v>
      </c>
      <c r="H97">
        <v>20</v>
      </c>
    </row>
    <row r="98" spans="1:10" x14ac:dyDescent="0.25">
      <c r="A98">
        <f t="shared" si="2"/>
        <v>97</v>
      </c>
      <c r="C98" t="s">
        <v>214</v>
      </c>
      <c r="D98" t="s">
        <v>236</v>
      </c>
      <c r="E98" t="s">
        <v>226</v>
      </c>
      <c r="F98" t="s">
        <v>237</v>
      </c>
      <c r="G98">
        <v>0.5</v>
      </c>
      <c r="H98">
        <v>2</v>
      </c>
    </row>
    <row r="99" spans="1:10" x14ac:dyDescent="0.25">
      <c r="A99">
        <f t="shared" si="2"/>
        <v>98</v>
      </c>
      <c r="C99" t="s">
        <v>214</v>
      </c>
      <c r="D99" t="s">
        <v>192</v>
      </c>
      <c r="E99" t="s">
        <v>238</v>
      </c>
      <c r="F99" t="s">
        <v>239</v>
      </c>
      <c r="G99">
        <v>2</v>
      </c>
    </row>
    <row r="100" spans="1:10" x14ac:dyDescent="0.25">
      <c r="A100">
        <f t="shared" si="2"/>
        <v>99</v>
      </c>
      <c r="C100" t="s">
        <v>214</v>
      </c>
      <c r="D100" t="s">
        <v>240</v>
      </c>
      <c r="E100" t="s">
        <v>241</v>
      </c>
      <c r="F100" t="s">
        <v>242</v>
      </c>
      <c r="G100">
        <v>60</v>
      </c>
      <c r="H100">
        <v>40</v>
      </c>
      <c r="I100">
        <v>3</v>
      </c>
      <c r="J100">
        <v>8</v>
      </c>
    </row>
    <row r="101" spans="1:10" x14ac:dyDescent="0.25">
      <c r="A101">
        <f t="shared" si="2"/>
        <v>100</v>
      </c>
      <c r="C101" t="s">
        <v>214</v>
      </c>
      <c r="D101" t="s">
        <v>243</v>
      </c>
      <c r="E101" t="s">
        <v>244</v>
      </c>
      <c r="F101" t="s">
        <v>245</v>
      </c>
      <c r="G101">
        <v>51</v>
      </c>
      <c r="H101">
        <v>100</v>
      </c>
    </row>
    <row r="102" spans="1:10" x14ac:dyDescent="0.25">
      <c r="A102">
        <f t="shared" si="2"/>
        <v>101</v>
      </c>
      <c r="C102" t="s">
        <v>214</v>
      </c>
      <c r="D102" t="s">
        <v>246</v>
      </c>
      <c r="E102" t="s">
        <v>244</v>
      </c>
      <c r="F102" t="s">
        <v>247</v>
      </c>
      <c r="G102">
        <v>1</v>
      </c>
      <c r="H102">
        <v>50</v>
      </c>
    </row>
    <row r="103" spans="1:10" x14ac:dyDescent="0.25">
      <c r="A103">
        <f t="shared" si="2"/>
        <v>102</v>
      </c>
      <c r="C103" t="s">
        <v>214</v>
      </c>
      <c r="D103" t="s">
        <v>248</v>
      </c>
      <c r="E103" t="s">
        <v>249</v>
      </c>
      <c r="F103" t="s">
        <v>250</v>
      </c>
      <c r="G103">
        <v>5</v>
      </c>
      <c r="H103">
        <v>1</v>
      </c>
    </row>
    <row r="104" spans="1:10" x14ac:dyDescent="0.25">
      <c r="A104">
        <f t="shared" si="2"/>
        <v>103</v>
      </c>
      <c r="C104" t="s">
        <v>214</v>
      </c>
      <c r="D104" t="s">
        <v>251</v>
      </c>
      <c r="E104" t="s">
        <v>252</v>
      </c>
      <c r="F104" t="s">
        <v>253</v>
      </c>
      <c r="G104">
        <v>30</v>
      </c>
      <c r="H104">
        <v>2</v>
      </c>
      <c r="I104">
        <v>0.2</v>
      </c>
    </row>
    <row r="105" spans="1:10" x14ac:dyDescent="0.25">
      <c r="A105">
        <f t="shared" si="2"/>
        <v>104</v>
      </c>
      <c r="C105" t="s">
        <v>254</v>
      </c>
      <c r="D105" t="s">
        <v>255</v>
      </c>
      <c r="E105" t="s">
        <v>256</v>
      </c>
      <c r="F105" t="s">
        <v>257</v>
      </c>
      <c r="G105">
        <v>0.5</v>
      </c>
    </row>
    <row r="106" spans="1:10" x14ac:dyDescent="0.25">
      <c r="A106">
        <f t="shared" si="2"/>
        <v>105</v>
      </c>
      <c r="C106" t="s">
        <v>254</v>
      </c>
      <c r="D106" t="s">
        <v>258</v>
      </c>
      <c r="E106" t="s">
        <v>259</v>
      </c>
      <c r="F106" t="s">
        <v>260</v>
      </c>
      <c r="G106">
        <v>50</v>
      </c>
    </row>
    <row r="107" spans="1:10" x14ac:dyDescent="0.25">
      <c r="A107">
        <f t="shared" si="2"/>
        <v>106</v>
      </c>
      <c r="C107" t="s">
        <v>254</v>
      </c>
      <c r="D107" t="s">
        <v>261</v>
      </c>
      <c r="E107" t="s">
        <v>262</v>
      </c>
      <c r="F107" t="s">
        <v>263</v>
      </c>
    </row>
    <row r="108" spans="1:10" x14ac:dyDescent="0.25">
      <c r="A108">
        <f t="shared" si="2"/>
        <v>107</v>
      </c>
      <c r="C108" t="s">
        <v>264</v>
      </c>
      <c r="D108" t="s">
        <v>265</v>
      </c>
      <c r="E108" t="s">
        <v>266</v>
      </c>
      <c r="F108" t="s">
        <v>267</v>
      </c>
      <c r="G108">
        <v>200</v>
      </c>
      <c r="H108">
        <v>6.0000000000000001E-3</v>
      </c>
    </row>
    <row r="109" spans="1:10" x14ac:dyDescent="0.25">
      <c r="A109">
        <f t="shared" si="2"/>
        <v>108</v>
      </c>
      <c r="C109" t="s">
        <v>264</v>
      </c>
      <c r="D109" t="s">
        <v>268</v>
      </c>
      <c r="E109" t="s">
        <v>269</v>
      </c>
      <c r="F109" t="s">
        <v>960</v>
      </c>
      <c r="G109">
        <v>55</v>
      </c>
      <c r="H109" t="s">
        <v>270</v>
      </c>
      <c r="I109" t="s">
        <v>271</v>
      </c>
      <c r="J109" t="s">
        <v>209</v>
      </c>
    </row>
    <row r="110" spans="1:10" x14ac:dyDescent="0.25">
      <c r="A110">
        <f t="shared" si="2"/>
        <v>109</v>
      </c>
      <c r="C110" t="s">
        <v>264</v>
      </c>
      <c r="D110" t="s">
        <v>272</v>
      </c>
      <c r="E110" t="s">
        <v>269</v>
      </c>
      <c r="F110" t="s">
        <v>960</v>
      </c>
      <c r="G110">
        <v>25</v>
      </c>
      <c r="H110" t="s">
        <v>270</v>
      </c>
      <c r="I110">
        <v>2</v>
      </c>
      <c r="J110" t="s">
        <v>209</v>
      </c>
    </row>
    <row r="111" spans="1:10" x14ac:dyDescent="0.25">
      <c r="A111">
        <f t="shared" si="2"/>
        <v>110</v>
      </c>
      <c r="C111" t="s">
        <v>264</v>
      </c>
      <c r="D111" t="s">
        <v>273</v>
      </c>
      <c r="E111" t="s">
        <v>269</v>
      </c>
      <c r="F111" t="s">
        <v>960</v>
      </c>
      <c r="G111">
        <v>12</v>
      </c>
      <c r="H111" t="s">
        <v>270</v>
      </c>
      <c r="I111">
        <v>2.5</v>
      </c>
      <c r="J111" t="s">
        <v>209</v>
      </c>
    </row>
    <row r="112" spans="1:10" x14ac:dyDescent="0.25">
      <c r="A112">
        <f t="shared" si="2"/>
        <v>111</v>
      </c>
      <c r="C112" t="s">
        <v>264</v>
      </c>
      <c r="D112" t="s">
        <v>274</v>
      </c>
      <c r="E112" t="s">
        <v>269</v>
      </c>
      <c r="F112" t="s">
        <v>960</v>
      </c>
      <c r="G112">
        <v>5.5</v>
      </c>
      <c r="H112" t="s">
        <v>270</v>
      </c>
      <c r="I112">
        <v>3</v>
      </c>
      <c r="J112" t="s">
        <v>209</v>
      </c>
    </row>
    <row r="113" spans="1:11" x14ac:dyDescent="0.25">
      <c r="A113">
        <f t="shared" si="2"/>
        <v>112</v>
      </c>
      <c r="C113" t="s">
        <v>264</v>
      </c>
      <c r="D113" t="s">
        <v>275</v>
      </c>
      <c r="E113" t="s">
        <v>269</v>
      </c>
      <c r="F113" t="s">
        <v>960</v>
      </c>
      <c r="G113">
        <v>1.8</v>
      </c>
      <c r="H113" t="s">
        <v>270</v>
      </c>
      <c r="I113">
        <v>3.5</v>
      </c>
      <c r="J113" t="s">
        <v>276</v>
      </c>
    </row>
    <row r="114" spans="1:11" x14ac:dyDescent="0.25">
      <c r="A114">
        <f t="shared" si="2"/>
        <v>113</v>
      </c>
      <c r="C114" t="s">
        <v>264</v>
      </c>
      <c r="D114" t="s">
        <v>277</v>
      </c>
      <c r="E114" t="s">
        <v>269</v>
      </c>
      <c r="F114" t="s">
        <v>960</v>
      </c>
      <c r="G114">
        <v>0.35</v>
      </c>
      <c r="H114" t="s">
        <v>270</v>
      </c>
      <c r="I114">
        <v>4</v>
      </c>
      <c r="J114" t="s">
        <v>278</v>
      </c>
    </row>
    <row r="115" spans="1:11" x14ac:dyDescent="0.25">
      <c r="A115">
        <f t="shared" si="2"/>
        <v>114</v>
      </c>
      <c r="C115" t="s">
        <v>264</v>
      </c>
      <c r="D115" t="s">
        <v>279</v>
      </c>
      <c r="E115" t="s">
        <v>269</v>
      </c>
      <c r="F115" t="s">
        <v>960</v>
      </c>
      <c r="G115">
        <v>0.08</v>
      </c>
      <c r="H115" t="s">
        <v>270</v>
      </c>
      <c r="I115">
        <v>4.5</v>
      </c>
      <c r="J115" t="s">
        <v>280</v>
      </c>
    </row>
    <row r="116" spans="1:11" x14ac:dyDescent="0.25">
      <c r="A116">
        <f t="shared" si="2"/>
        <v>115</v>
      </c>
      <c r="C116" t="s">
        <v>264</v>
      </c>
      <c r="D116" t="s">
        <v>281</v>
      </c>
      <c r="E116" t="s">
        <v>269</v>
      </c>
      <c r="F116" t="s">
        <v>960</v>
      </c>
      <c r="G116">
        <v>1.4999999999999999E-2</v>
      </c>
      <c r="H116" t="s">
        <v>270</v>
      </c>
      <c r="I116">
        <v>5</v>
      </c>
      <c r="J116" t="s">
        <v>282</v>
      </c>
    </row>
    <row r="117" spans="1:11" x14ac:dyDescent="0.25">
      <c r="A117">
        <f t="shared" si="2"/>
        <v>116</v>
      </c>
      <c r="C117" t="s">
        <v>283</v>
      </c>
      <c r="D117" t="s">
        <v>284</v>
      </c>
      <c r="E117" t="s">
        <v>285</v>
      </c>
      <c r="F117" t="s">
        <v>286</v>
      </c>
      <c r="G117" t="s">
        <v>961</v>
      </c>
      <c r="H117" t="s">
        <v>962</v>
      </c>
      <c r="I117" t="s">
        <v>963</v>
      </c>
      <c r="J117" t="s">
        <v>288</v>
      </c>
    </row>
    <row r="118" spans="1:11" x14ac:dyDescent="0.25">
      <c r="A118">
        <f t="shared" si="2"/>
        <v>117</v>
      </c>
      <c r="C118" t="s">
        <v>283</v>
      </c>
      <c r="D118" t="s">
        <v>289</v>
      </c>
      <c r="E118" t="s">
        <v>285</v>
      </c>
      <c r="F118" t="s">
        <v>286</v>
      </c>
      <c r="G118" t="s">
        <v>290</v>
      </c>
      <c r="H118" t="s">
        <v>291</v>
      </c>
      <c r="I118" t="s">
        <v>964</v>
      </c>
      <c r="J118" t="s">
        <v>288</v>
      </c>
    </row>
    <row r="119" spans="1:11" x14ac:dyDescent="0.25">
      <c r="A119">
        <f t="shared" si="2"/>
        <v>118</v>
      </c>
      <c r="C119" t="s">
        <v>283</v>
      </c>
      <c r="D119" t="s">
        <v>292</v>
      </c>
      <c r="E119" t="s">
        <v>285</v>
      </c>
      <c r="F119" t="s">
        <v>286</v>
      </c>
      <c r="G119" t="s">
        <v>293</v>
      </c>
      <c r="H119" t="s">
        <v>294</v>
      </c>
      <c r="I119" t="s">
        <v>295</v>
      </c>
      <c r="J119" t="s">
        <v>288</v>
      </c>
    </row>
    <row r="120" spans="1:11" x14ac:dyDescent="0.25">
      <c r="A120">
        <f t="shared" si="2"/>
        <v>119</v>
      </c>
      <c r="C120" t="s">
        <v>283</v>
      </c>
      <c r="D120" t="s">
        <v>296</v>
      </c>
      <c r="E120" t="s">
        <v>285</v>
      </c>
      <c r="F120" t="s">
        <v>286</v>
      </c>
      <c r="G120" t="s">
        <v>297</v>
      </c>
      <c r="H120" t="s">
        <v>965</v>
      </c>
      <c r="I120" t="s">
        <v>966</v>
      </c>
      <c r="J120" t="s">
        <v>967</v>
      </c>
    </row>
    <row r="121" spans="1:11" x14ac:dyDescent="0.25">
      <c r="A121">
        <f t="shared" si="2"/>
        <v>120</v>
      </c>
      <c r="C121" t="s">
        <v>283</v>
      </c>
      <c r="D121" t="s">
        <v>298</v>
      </c>
      <c r="E121" t="s">
        <v>285</v>
      </c>
      <c r="F121" t="s">
        <v>286</v>
      </c>
      <c r="G121" t="s">
        <v>297</v>
      </c>
      <c r="H121" t="s">
        <v>299</v>
      </c>
      <c r="I121" t="s">
        <v>971</v>
      </c>
      <c r="J121" t="s">
        <v>972</v>
      </c>
    </row>
    <row r="122" spans="1:11" x14ac:dyDescent="0.25">
      <c r="A122">
        <f t="shared" si="2"/>
        <v>121</v>
      </c>
      <c r="C122" t="s">
        <v>283</v>
      </c>
      <c r="D122" t="s">
        <v>300</v>
      </c>
      <c r="E122" t="s">
        <v>285</v>
      </c>
      <c r="F122" t="s">
        <v>286</v>
      </c>
      <c r="G122" t="s">
        <v>297</v>
      </c>
      <c r="H122" t="s">
        <v>299</v>
      </c>
      <c r="I122" t="s">
        <v>968</v>
      </c>
      <c r="J122" t="s">
        <v>969</v>
      </c>
    </row>
    <row r="123" spans="1:11" x14ac:dyDescent="0.25">
      <c r="A123">
        <f t="shared" si="2"/>
        <v>122</v>
      </c>
      <c r="C123" t="s">
        <v>283</v>
      </c>
      <c r="D123" t="s">
        <v>301</v>
      </c>
      <c r="E123" t="s">
        <v>285</v>
      </c>
      <c r="F123" t="s">
        <v>286</v>
      </c>
      <c r="G123" t="s">
        <v>297</v>
      </c>
      <c r="H123" t="s">
        <v>299</v>
      </c>
      <c r="I123" t="s">
        <v>287</v>
      </c>
      <c r="J123" t="s">
        <v>970</v>
      </c>
    </row>
    <row r="124" spans="1:11" x14ac:dyDescent="0.25">
      <c r="A124">
        <f t="shared" si="2"/>
        <v>123</v>
      </c>
      <c r="C124" t="s">
        <v>283</v>
      </c>
      <c r="D124" t="s">
        <v>302</v>
      </c>
      <c r="E124" t="s">
        <v>285</v>
      </c>
      <c r="F124" t="s">
        <v>286</v>
      </c>
      <c r="G124" t="s">
        <v>297</v>
      </c>
      <c r="H124" t="s">
        <v>299</v>
      </c>
      <c r="I124" t="s">
        <v>287</v>
      </c>
      <c r="J124" t="s">
        <v>288</v>
      </c>
    </row>
    <row r="125" spans="1:11" x14ac:dyDescent="0.25">
      <c r="A125">
        <f t="shared" si="2"/>
        <v>124</v>
      </c>
      <c r="C125" t="s">
        <v>303</v>
      </c>
      <c r="D125" t="s">
        <v>304</v>
      </c>
      <c r="E125" t="s">
        <v>305</v>
      </c>
      <c r="F125" t="s">
        <v>306</v>
      </c>
      <c r="G125">
        <v>2</v>
      </c>
      <c r="H125">
        <v>0.5</v>
      </c>
      <c r="I125">
        <v>0.2</v>
      </c>
      <c r="J125">
        <v>0</v>
      </c>
      <c r="K125">
        <v>0</v>
      </c>
    </row>
    <row r="126" spans="1:11" x14ac:dyDescent="0.25">
      <c r="A126">
        <f t="shared" si="2"/>
        <v>125</v>
      </c>
      <c r="C126" t="s">
        <v>303</v>
      </c>
      <c r="D126" t="s">
        <v>307</v>
      </c>
      <c r="E126" t="s">
        <v>305</v>
      </c>
      <c r="F126" t="s">
        <v>306</v>
      </c>
      <c r="G126">
        <v>4</v>
      </c>
      <c r="H126">
        <v>0.8</v>
      </c>
      <c r="I126">
        <v>0.3</v>
      </c>
      <c r="J126">
        <v>0</v>
      </c>
      <c r="K126">
        <v>0</v>
      </c>
    </row>
    <row r="127" spans="1:11" x14ac:dyDescent="0.25">
      <c r="A127">
        <f t="shared" si="2"/>
        <v>126</v>
      </c>
      <c r="C127" t="s">
        <v>303</v>
      </c>
      <c r="D127" t="s">
        <v>308</v>
      </c>
      <c r="E127" t="s">
        <v>305</v>
      </c>
      <c r="F127" t="s">
        <v>306</v>
      </c>
      <c r="G127">
        <v>6</v>
      </c>
      <c r="H127">
        <v>1.1000000000000001</v>
      </c>
      <c r="I127">
        <v>0.4</v>
      </c>
      <c r="J127">
        <v>0</v>
      </c>
      <c r="K127">
        <v>0</v>
      </c>
    </row>
    <row r="128" spans="1:11" x14ac:dyDescent="0.25">
      <c r="A128">
        <f t="shared" si="2"/>
        <v>127</v>
      </c>
      <c r="C128" t="s">
        <v>303</v>
      </c>
      <c r="D128" t="s">
        <v>309</v>
      </c>
      <c r="E128" t="s">
        <v>305</v>
      </c>
      <c r="F128" t="s">
        <v>306</v>
      </c>
      <c r="G128">
        <v>8</v>
      </c>
      <c r="H128">
        <v>1.4</v>
      </c>
      <c r="I128">
        <v>0.5</v>
      </c>
      <c r="J128">
        <v>0.1</v>
      </c>
      <c r="K128">
        <v>0</v>
      </c>
    </row>
    <row r="129" spans="1:11" x14ac:dyDescent="0.25">
      <c r="A129">
        <f t="shared" si="2"/>
        <v>128</v>
      </c>
      <c r="C129" t="s">
        <v>303</v>
      </c>
      <c r="D129" t="s">
        <v>310</v>
      </c>
      <c r="E129" t="s">
        <v>305</v>
      </c>
      <c r="F129" t="s">
        <v>306</v>
      </c>
      <c r="G129">
        <v>10</v>
      </c>
      <c r="H129">
        <v>1.7</v>
      </c>
      <c r="I129">
        <v>0.6</v>
      </c>
      <c r="J129">
        <v>0.2</v>
      </c>
      <c r="K129">
        <v>0</v>
      </c>
    </row>
    <row r="130" spans="1:11" x14ac:dyDescent="0.25">
      <c r="A130">
        <f t="shared" si="2"/>
        <v>129</v>
      </c>
      <c r="C130" t="s">
        <v>303</v>
      </c>
      <c r="D130" t="s">
        <v>311</v>
      </c>
      <c r="E130" t="s">
        <v>305</v>
      </c>
      <c r="F130" t="s">
        <v>306</v>
      </c>
      <c r="G130">
        <v>12</v>
      </c>
      <c r="H130">
        <v>2</v>
      </c>
      <c r="I130">
        <v>0.7</v>
      </c>
      <c r="J130">
        <v>0.3</v>
      </c>
      <c r="K130">
        <v>0.2</v>
      </c>
    </row>
    <row r="131" spans="1:11" x14ac:dyDescent="0.25">
      <c r="A131">
        <f t="shared" si="2"/>
        <v>130</v>
      </c>
      <c r="C131" t="s">
        <v>303</v>
      </c>
      <c r="D131" t="s">
        <v>312</v>
      </c>
      <c r="E131" t="s">
        <v>305</v>
      </c>
      <c r="F131" t="s">
        <v>306</v>
      </c>
      <c r="G131">
        <v>14</v>
      </c>
      <c r="H131">
        <v>2.2999999999999998</v>
      </c>
      <c r="I131">
        <v>0.8</v>
      </c>
      <c r="J131">
        <v>0.4</v>
      </c>
      <c r="K131">
        <v>0.3</v>
      </c>
    </row>
    <row r="132" spans="1:11" x14ac:dyDescent="0.25">
      <c r="A132">
        <f t="shared" ref="A132:A195" si="3">A131+1</f>
        <v>131</v>
      </c>
      <c r="C132" t="s">
        <v>313</v>
      </c>
      <c r="D132" t="s">
        <v>314</v>
      </c>
      <c r="E132" t="s">
        <v>315</v>
      </c>
      <c r="F132" t="s">
        <v>316</v>
      </c>
      <c r="G132">
        <v>4</v>
      </c>
    </row>
    <row r="133" spans="1:11" x14ac:dyDescent="0.25">
      <c r="A133">
        <f t="shared" si="3"/>
        <v>132</v>
      </c>
      <c r="C133" t="s">
        <v>313</v>
      </c>
      <c r="D133" t="s">
        <v>317</v>
      </c>
      <c r="E133" t="s">
        <v>318</v>
      </c>
      <c r="F133" t="s">
        <v>319</v>
      </c>
      <c r="G133">
        <v>5</v>
      </c>
      <c r="H133">
        <v>0.1</v>
      </c>
      <c r="I133">
        <v>150</v>
      </c>
      <c r="J133">
        <v>0.1</v>
      </c>
    </row>
    <row r="134" spans="1:11" x14ac:dyDescent="0.25">
      <c r="A134">
        <f t="shared" si="3"/>
        <v>133</v>
      </c>
      <c r="C134" t="s">
        <v>313</v>
      </c>
      <c r="D134" t="s">
        <v>320</v>
      </c>
      <c r="E134" t="s">
        <v>318</v>
      </c>
      <c r="F134" t="s">
        <v>321</v>
      </c>
      <c r="G134">
        <v>20</v>
      </c>
      <c r="H134">
        <v>2</v>
      </c>
      <c r="I134">
        <v>250</v>
      </c>
      <c r="J134">
        <v>0.2</v>
      </c>
    </row>
    <row r="135" spans="1:11" x14ac:dyDescent="0.25">
      <c r="A135">
        <f t="shared" si="3"/>
        <v>134</v>
      </c>
      <c r="C135" t="s">
        <v>313</v>
      </c>
      <c r="D135" t="s">
        <v>322</v>
      </c>
      <c r="E135" t="s">
        <v>323</v>
      </c>
      <c r="F135" t="s">
        <v>324</v>
      </c>
      <c r="G135">
        <v>0.5</v>
      </c>
    </row>
    <row r="136" spans="1:11" x14ac:dyDescent="0.25">
      <c r="A136">
        <f t="shared" si="3"/>
        <v>135</v>
      </c>
      <c r="C136" t="s">
        <v>325</v>
      </c>
      <c r="D136" t="s">
        <v>326</v>
      </c>
      <c r="E136" t="s">
        <v>318</v>
      </c>
      <c r="F136" t="s">
        <v>327</v>
      </c>
      <c r="G136">
        <v>3</v>
      </c>
      <c r="H136">
        <v>1</v>
      </c>
      <c r="I136">
        <v>250</v>
      </c>
      <c r="J136">
        <v>0.1</v>
      </c>
    </row>
    <row r="137" spans="1:11" x14ac:dyDescent="0.25">
      <c r="A137">
        <f t="shared" si="3"/>
        <v>136</v>
      </c>
      <c r="C137" t="s">
        <v>325</v>
      </c>
      <c r="D137" t="s">
        <v>328</v>
      </c>
      <c r="E137" t="s">
        <v>329</v>
      </c>
      <c r="F137" t="s">
        <v>330</v>
      </c>
      <c r="G137">
        <v>100</v>
      </c>
      <c r="H137">
        <v>5</v>
      </c>
      <c r="I137">
        <v>40</v>
      </c>
      <c r="J137">
        <v>0.5</v>
      </c>
    </row>
    <row r="138" spans="1:11" x14ac:dyDescent="0.25">
      <c r="A138">
        <f t="shared" si="3"/>
        <v>137</v>
      </c>
      <c r="C138" t="s">
        <v>325</v>
      </c>
      <c r="D138" t="s">
        <v>331</v>
      </c>
      <c r="E138" t="s">
        <v>329</v>
      </c>
      <c r="F138" t="s">
        <v>332</v>
      </c>
      <c r="G138">
        <v>100</v>
      </c>
      <c r="H138">
        <v>10</v>
      </c>
      <c r="I138">
        <v>40</v>
      </c>
      <c r="J138">
        <v>2</v>
      </c>
    </row>
    <row r="139" spans="1:11" x14ac:dyDescent="0.25">
      <c r="A139">
        <f t="shared" si="3"/>
        <v>138</v>
      </c>
      <c r="C139" t="s">
        <v>325</v>
      </c>
      <c r="D139" t="s">
        <v>333</v>
      </c>
      <c r="E139" t="s">
        <v>334</v>
      </c>
      <c r="F139" t="s">
        <v>335</v>
      </c>
      <c r="G139">
        <v>1.35</v>
      </c>
    </row>
    <row r="140" spans="1:11" x14ac:dyDescent="0.25">
      <c r="A140">
        <f t="shared" si="3"/>
        <v>139</v>
      </c>
      <c r="C140" t="s">
        <v>336</v>
      </c>
      <c r="D140" t="s">
        <v>337</v>
      </c>
      <c r="E140" t="s">
        <v>338</v>
      </c>
      <c r="F140" t="s">
        <v>339</v>
      </c>
      <c r="G140">
        <v>4</v>
      </c>
    </row>
    <row r="141" spans="1:11" x14ac:dyDescent="0.25">
      <c r="A141">
        <f t="shared" si="3"/>
        <v>140</v>
      </c>
      <c r="C141" t="s">
        <v>336</v>
      </c>
      <c r="D141" t="s">
        <v>191</v>
      </c>
      <c r="E141" t="s">
        <v>340</v>
      </c>
      <c r="F141" t="s">
        <v>341</v>
      </c>
      <c r="G141">
        <v>200</v>
      </c>
    </row>
    <row r="142" spans="1:11" x14ac:dyDescent="0.25">
      <c r="A142">
        <f t="shared" si="3"/>
        <v>141</v>
      </c>
      <c r="C142" t="s">
        <v>336</v>
      </c>
      <c r="D142" t="s">
        <v>342</v>
      </c>
      <c r="E142" t="s">
        <v>343</v>
      </c>
      <c r="F142" t="s">
        <v>344</v>
      </c>
      <c r="G142">
        <v>4</v>
      </c>
    </row>
    <row r="143" spans="1:11" x14ac:dyDescent="0.25">
      <c r="A143">
        <f t="shared" si="3"/>
        <v>142</v>
      </c>
      <c r="C143" t="s">
        <v>336</v>
      </c>
      <c r="D143" t="s">
        <v>345</v>
      </c>
      <c r="E143" t="s">
        <v>346</v>
      </c>
      <c r="F143" t="s">
        <v>347</v>
      </c>
      <c r="G143">
        <v>3</v>
      </c>
    </row>
    <row r="144" spans="1:11" x14ac:dyDescent="0.25">
      <c r="A144">
        <f t="shared" si="3"/>
        <v>143</v>
      </c>
      <c r="C144" t="s">
        <v>336</v>
      </c>
      <c r="D144" t="s">
        <v>348</v>
      </c>
      <c r="E144" t="s">
        <v>216</v>
      </c>
      <c r="F144" t="s">
        <v>349</v>
      </c>
      <c r="G144">
        <v>4</v>
      </c>
      <c r="H144">
        <v>5</v>
      </c>
    </row>
    <row r="145" spans="1:13" x14ac:dyDescent="0.25">
      <c r="A145">
        <f t="shared" si="3"/>
        <v>144</v>
      </c>
      <c r="C145" t="s">
        <v>350</v>
      </c>
      <c r="D145" t="s">
        <v>284</v>
      </c>
      <c r="E145" t="s">
        <v>351</v>
      </c>
      <c r="F145" t="s">
        <v>352</v>
      </c>
      <c r="G145" t="s">
        <v>353</v>
      </c>
      <c r="H145" t="s">
        <v>354</v>
      </c>
      <c r="I145" t="s">
        <v>355</v>
      </c>
      <c r="J145" t="s">
        <v>356</v>
      </c>
      <c r="K145" t="s">
        <v>357</v>
      </c>
      <c r="L145" t="s">
        <v>358</v>
      </c>
      <c r="M145" t="s">
        <v>359</v>
      </c>
    </row>
    <row r="146" spans="1:13" x14ac:dyDescent="0.25">
      <c r="A146">
        <f t="shared" si="3"/>
        <v>145</v>
      </c>
      <c r="C146" t="s">
        <v>350</v>
      </c>
      <c r="D146" t="s">
        <v>289</v>
      </c>
      <c r="E146" t="s">
        <v>351</v>
      </c>
      <c r="F146" t="s">
        <v>352</v>
      </c>
      <c r="G146" t="s">
        <v>353</v>
      </c>
      <c r="H146" t="s">
        <v>354</v>
      </c>
      <c r="I146" t="s">
        <v>355</v>
      </c>
      <c r="J146" t="s">
        <v>356</v>
      </c>
      <c r="K146" t="s">
        <v>357</v>
      </c>
      <c r="L146" t="s">
        <v>358</v>
      </c>
      <c r="M146" t="s">
        <v>359</v>
      </c>
    </row>
    <row r="147" spans="1:13" x14ac:dyDescent="0.25">
      <c r="A147">
        <f t="shared" si="3"/>
        <v>146</v>
      </c>
      <c r="C147" t="s">
        <v>350</v>
      </c>
      <c r="D147" t="s">
        <v>292</v>
      </c>
      <c r="E147" t="s">
        <v>351</v>
      </c>
      <c r="F147" t="s">
        <v>352</v>
      </c>
      <c r="G147" t="s">
        <v>360</v>
      </c>
      <c r="H147" t="s">
        <v>361</v>
      </c>
      <c r="I147" t="s">
        <v>355</v>
      </c>
      <c r="J147" t="s">
        <v>356</v>
      </c>
      <c r="K147" t="s">
        <v>357</v>
      </c>
      <c r="L147" t="s">
        <v>358</v>
      </c>
      <c r="M147" t="s">
        <v>359</v>
      </c>
    </row>
    <row r="148" spans="1:13" x14ac:dyDescent="0.25">
      <c r="A148">
        <f t="shared" si="3"/>
        <v>147</v>
      </c>
      <c r="C148" t="s">
        <v>350</v>
      </c>
      <c r="D148" t="s">
        <v>296</v>
      </c>
      <c r="E148" t="s">
        <v>351</v>
      </c>
      <c r="F148" t="s">
        <v>352</v>
      </c>
      <c r="G148" t="s">
        <v>362</v>
      </c>
      <c r="H148" t="s">
        <v>361</v>
      </c>
      <c r="I148" t="s">
        <v>363</v>
      </c>
      <c r="J148" t="s">
        <v>364</v>
      </c>
      <c r="K148" t="s">
        <v>365</v>
      </c>
      <c r="L148" t="s">
        <v>366</v>
      </c>
      <c r="M148" t="s">
        <v>367</v>
      </c>
    </row>
    <row r="149" spans="1:13" x14ac:dyDescent="0.25">
      <c r="A149">
        <f t="shared" si="3"/>
        <v>148</v>
      </c>
      <c r="C149" t="s">
        <v>350</v>
      </c>
      <c r="D149" t="s">
        <v>298</v>
      </c>
      <c r="E149" t="s">
        <v>351</v>
      </c>
      <c r="F149" t="s">
        <v>352</v>
      </c>
      <c r="G149" t="s">
        <v>368</v>
      </c>
      <c r="H149" t="s">
        <v>369</v>
      </c>
      <c r="I149" t="s">
        <v>363</v>
      </c>
      <c r="J149" t="s">
        <v>370</v>
      </c>
      <c r="K149" t="s">
        <v>371</v>
      </c>
      <c r="L149" t="s">
        <v>372</v>
      </c>
      <c r="M149" t="s">
        <v>373</v>
      </c>
    </row>
    <row r="150" spans="1:13" x14ac:dyDescent="0.25">
      <c r="A150">
        <f t="shared" si="3"/>
        <v>149</v>
      </c>
      <c r="C150" t="s">
        <v>350</v>
      </c>
      <c r="D150" t="s">
        <v>300</v>
      </c>
      <c r="E150" t="s">
        <v>351</v>
      </c>
      <c r="F150" t="s">
        <v>352</v>
      </c>
      <c r="G150" t="s">
        <v>374</v>
      </c>
      <c r="H150" t="s">
        <v>375</v>
      </c>
      <c r="I150" t="s">
        <v>376</v>
      </c>
      <c r="J150" t="s">
        <v>377</v>
      </c>
      <c r="K150" t="s">
        <v>378</v>
      </c>
      <c r="L150" t="s">
        <v>379</v>
      </c>
      <c r="M150" t="s">
        <v>380</v>
      </c>
    </row>
    <row r="151" spans="1:13" x14ac:dyDescent="0.25">
      <c r="A151">
        <f t="shared" si="3"/>
        <v>150</v>
      </c>
      <c r="C151" t="s">
        <v>350</v>
      </c>
      <c r="D151" t="s">
        <v>301</v>
      </c>
      <c r="E151" t="s">
        <v>351</v>
      </c>
      <c r="F151" t="s">
        <v>352</v>
      </c>
      <c r="G151" t="s">
        <v>353</v>
      </c>
      <c r="H151" t="s">
        <v>381</v>
      </c>
      <c r="I151" t="s">
        <v>382</v>
      </c>
      <c r="J151" t="s">
        <v>383</v>
      </c>
      <c r="K151" t="s">
        <v>384</v>
      </c>
      <c r="L151" t="s">
        <v>385</v>
      </c>
      <c r="M151" t="s">
        <v>386</v>
      </c>
    </row>
    <row r="152" spans="1:13" x14ac:dyDescent="0.25">
      <c r="A152">
        <f t="shared" si="3"/>
        <v>151</v>
      </c>
      <c r="C152" t="s">
        <v>350</v>
      </c>
      <c r="D152" t="s">
        <v>302</v>
      </c>
      <c r="E152" t="s">
        <v>351</v>
      </c>
      <c r="F152" t="s">
        <v>352</v>
      </c>
      <c r="G152" t="s">
        <v>353</v>
      </c>
      <c r="H152" t="s">
        <v>354</v>
      </c>
      <c r="I152" t="s">
        <v>387</v>
      </c>
      <c r="J152" t="s">
        <v>388</v>
      </c>
      <c r="K152" t="s">
        <v>389</v>
      </c>
      <c r="L152" t="s">
        <v>390</v>
      </c>
      <c r="M152" t="s">
        <v>391</v>
      </c>
    </row>
    <row r="153" spans="1:13" x14ac:dyDescent="0.25">
      <c r="A153">
        <f t="shared" si="3"/>
        <v>152</v>
      </c>
      <c r="C153" t="s">
        <v>392</v>
      </c>
      <c r="D153" t="s">
        <v>393</v>
      </c>
      <c r="E153" t="s">
        <v>394</v>
      </c>
      <c r="F153" t="s">
        <v>395</v>
      </c>
    </row>
    <row r="154" spans="1:13" x14ac:dyDescent="0.25">
      <c r="A154">
        <f t="shared" si="3"/>
        <v>153</v>
      </c>
      <c r="C154" t="s">
        <v>392</v>
      </c>
      <c r="D154" t="s">
        <v>396</v>
      </c>
      <c r="E154" t="s">
        <v>397</v>
      </c>
      <c r="F154" t="s">
        <v>398</v>
      </c>
      <c r="G154">
        <v>1.35</v>
      </c>
    </row>
    <row r="155" spans="1:13" x14ac:dyDescent="0.25">
      <c r="A155">
        <f t="shared" si="3"/>
        <v>154</v>
      </c>
      <c r="C155" t="s">
        <v>392</v>
      </c>
      <c r="D155" t="s">
        <v>399</v>
      </c>
      <c r="E155" t="s">
        <v>400</v>
      </c>
      <c r="F155" t="s">
        <v>401</v>
      </c>
      <c r="G155">
        <v>0.05</v>
      </c>
    </row>
    <row r="156" spans="1:13" x14ac:dyDescent="0.25">
      <c r="A156">
        <f t="shared" si="3"/>
        <v>155</v>
      </c>
      <c r="C156" t="s">
        <v>392</v>
      </c>
      <c r="D156" t="s">
        <v>402</v>
      </c>
      <c r="E156" t="s">
        <v>403</v>
      </c>
      <c r="F156" t="s">
        <v>404</v>
      </c>
      <c r="G156">
        <v>2</v>
      </c>
    </row>
    <row r="157" spans="1:13" x14ac:dyDescent="0.25">
      <c r="A157">
        <f t="shared" si="3"/>
        <v>156</v>
      </c>
      <c r="C157" t="s">
        <v>392</v>
      </c>
      <c r="D157" t="s">
        <v>405</v>
      </c>
      <c r="E157" t="s">
        <v>406</v>
      </c>
      <c r="F157" t="s">
        <v>407</v>
      </c>
    </row>
    <row r="158" spans="1:13" x14ac:dyDescent="0.25">
      <c r="A158">
        <f t="shared" si="3"/>
        <v>157</v>
      </c>
      <c r="C158" t="s">
        <v>392</v>
      </c>
      <c r="D158" t="s">
        <v>408</v>
      </c>
      <c r="E158" t="s">
        <v>409</v>
      </c>
      <c r="F158" t="s">
        <v>410</v>
      </c>
      <c r="G158">
        <v>5</v>
      </c>
      <c r="H158">
        <v>1.2</v>
      </c>
      <c r="I158">
        <v>0.15</v>
      </c>
    </row>
    <row r="159" spans="1:13" x14ac:dyDescent="0.25">
      <c r="A159">
        <f t="shared" si="3"/>
        <v>158</v>
      </c>
      <c r="C159" t="s">
        <v>392</v>
      </c>
      <c r="D159" t="s">
        <v>411</v>
      </c>
      <c r="E159" t="s">
        <v>412</v>
      </c>
      <c r="F159" t="s">
        <v>413</v>
      </c>
      <c r="G159">
        <v>8</v>
      </c>
      <c r="H159">
        <v>4</v>
      </c>
      <c r="I159">
        <v>3</v>
      </c>
      <c r="J159">
        <v>60</v>
      </c>
    </row>
    <row r="160" spans="1:13" x14ac:dyDescent="0.25">
      <c r="A160">
        <f t="shared" si="3"/>
        <v>159</v>
      </c>
      <c r="C160" t="s">
        <v>392</v>
      </c>
      <c r="D160" t="s">
        <v>414</v>
      </c>
      <c r="E160" t="s">
        <v>415</v>
      </c>
      <c r="F160" t="s">
        <v>416</v>
      </c>
      <c r="G160">
        <v>1</v>
      </c>
      <c r="H160">
        <v>5</v>
      </c>
    </row>
    <row r="161" spans="1:15" x14ac:dyDescent="0.25">
      <c r="A161">
        <f t="shared" si="3"/>
        <v>160</v>
      </c>
      <c r="C161" t="s">
        <v>392</v>
      </c>
      <c r="D161" t="s">
        <v>417</v>
      </c>
      <c r="E161" t="s">
        <v>418</v>
      </c>
      <c r="F161" t="s">
        <v>419</v>
      </c>
      <c r="G161">
        <v>0.15</v>
      </c>
      <c r="H161">
        <v>0.06</v>
      </c>
    </row>
    <row r="162" spans="1:15" x14ac:dyDescent="0.25">
      <c r="A162">
        <f t="shared" si="3"/>
        <v>161</v>
      </c>
      <c r="C162" t="s">
        <v>392</v>
      </c>
      <c r="D162" t="s">
        <v>420</v>
      </c>
      <c r="E162" t="s">
        <v>421</v>
      </c>
      <c r="F162" t="s">
        <v>422</v>
      </c>
      <c r="G162">
        <v>2</v>
      </c>
      <c r="H162">
        <v>0.6</v>
      </c>
    </row>
    <row r="163" spans="1:15" x14ac:dyDescent="0.25">
      <c r="A163">
        <f t="shared" si="3"/>
        <v>162</v>
      </c>
      <c r="C163" t="s">
        <v>392</v>
      </c>
      <c r="D163" t="s">
        <v>423</v>
      </c>
      <c r="E163" t="s">
        <v>424</v>
      </c>
      <c r="F163" t="s">
        <v>425</v>
      </c>
      <c r="G163">
        <v>3</v>
      </c>
      <c r="H163">
        <v>0.5</v>
      </c>
    </row>
    <row r="164" spans="1:15" x14ac:dyDescent="0.25">
      <c r="A164">
        <f t="shared" si="3"/>
        <v>163</v>
      </c>
      <c r="C164" t="s">
        <v>426</v>
      </c>
      <c r="D164" t="s">
        <v>427</v>
      </c>
      <c r="E164" t="s">
        <v>428</v>
      </c>
      <c r="F164" t="s">
        <v>429</v>
      </c>
      <c r="G164">
        <v>0.1</v>
      </c>
      <c r="H164">
        <v>0.5</v>
      </c>
      <c r="I164">
        <v>1</v>
      </c>
      <c r="J164">
        <v>2</v>
      </c>
      <c r="K164">
        <v>4</v>
      </c>
      <c r="L164">
        <v>8</v>
      </c>
      <c r="M164">
        <v>20</v>
      </c>
      <c r="N164">
        <v>100</v>
      </c>
      <c r="O164">
        <v>100</v>
      </c>
    </row>
    <row r="165" spans="1:15" x14ac:dyDescent="0.25">
      <c r="A165">
        <f t="shared" si="3"/>
        <v>164</v>
      </c>
      <c r="C165" t="s">
        <v>426</v>
      </c>
      <c r="D165" t="s">
        <v>430</v>
      </c>
      <c r="E165" t="s">
        <v>431</v>
      </c>
      <c r="F165" t="s">
        <v>432</v>
      </c>
      <c r="G165">
        <v>0</v>
      </c>
      <c r="H165">
        <v>0</v>
      </c>
      <c r="I165">
        <v>0</v>
      </c>
      <c r="J165">
        <v>0</v>
      </c>
      <c r="K165">
        <v>0.5</v>
      </c>
      <c r="L165">
        <v>1</v>
      </c>
      <c r="M165">
        <v>10</v>
      </c>
      <c r="N165">
        <v>100</v>
      </c>
      <c r="O165">
        <v>100</v>
      </c>
    </row>
    <row r="166" spans="1:15" x14ac:dyDescent="0.25">
      <c r="A166">
        <f t="shared" si="3"/>
        <v>165</v>
      </c>
      <c r="C166" t="s">
        <v>433</v>
      </c>
      <c r="D166" t="s">
        <v>434</v>
      </c>
      <c r="E166" t="s">
        <v>435</v>
      </c>
      <c r="F166" t="s">
        <v>436</v>
      </c>
      <c r="G166">
        <v>5</v>
      </c>
    </row>
    <row r="167" spans="1:15" x14ac:dyDescent="0.25">
      <c r="A167">
        <f t="shared" si="3"/>
        <v>166</v>
      </c>
      <c r="C167" t="s">
        <v>433</v>
      </c>
      <c r="D167" t="s">
        <v>437</v>
      </c>
      <c r="E167" t="s">
        <v>438</v>
      </c>
      <c r="F167" t="s">
        <v>439</v>
      </c>
      <c r="G167">
        <v>55</v>
      </c>
      <c r="H167">
        <v>40</v>
      </c>
      <c r="I167">
        <v>25</v>
      </c>
    </row>
    <row r="168" spans="1:15" x14ac:dyDescent="0.25">
      <c r="A168">
        <f t="shared" si="3"/>
        <v>167</v>
      </c>
      <c r="C168" t="s">
        <v>433</v>
      </c>
      <c r="D168" t="s">
        <v>440</v>
      </c>
      <c r="E168" t="s">
        <v>441</v>
      </c>
      <c r="F168" t="s">
        <v>442</v>
      </c>
      <c r="G168">
        <v>5000000</v>
      </c>
      <c r="H168">
        <v>20000000</v>
      </c>
      <c r="I168">
        <v>100000000</v>
      </c>
    </row>
    <row r="169" spans="1:15" x14ac:dyDescent="0.25">
      <c r="A169">
        <f t="shared" si="3"/>
        <v>168</v>
      </c>
      <c r="C169" t="s">
        <v>433</v>
      </c>
      <c r="D169" t="s">
        <v>443</v>
      </c>
      <c r="E169" t="s">
        <v>441</v>
      </c>
      <c r="G169">
        <v>3</v>
      </c>
      <c r="H169">
        <v>5</v>
      </c>
      <c r="I169">
        <v>8</v>
      </c>
    </row>
    <row r="170" spans="1:15" x14ac:dyDescent="0.25">
      <c r="A170">
        <f t="shared" si="3"/>
        <v>169</v>
      </c>
      <c r="C170" t="s">
        <v>433</v>
      </c>
      <c r="D170" t="s">
        <v>444</v>
      </c>
      <c r="E170" t="s">
        <v>435</v>
      </c>
      <c r="F170" t="s">
        <v>445</v>
      </c>
      <c r="G170">
        <v>3</v>
      </c>
    </row>
    <row r="171" spans="1:15" x14ac:dyDescent="0.25">
      <c r="A171">
        <f t="shared" si="3"/>
        <v>170</v>
      </c>
      <c r="C171" t="s">
        <v>433</v>
      </c>
      <c r="D171" t="s">
        <v>446</v>
      </c>
      <c r="E171" t="s">
        <v>447</v>
      </c>
      <c r="F171" t="s">
        <v>448</v>
      </c>
      <c r="G171">
        <v>45</v>
      </c>
      <c r="H171">
        <v>35</v>
      </c>
      <c r="I171">
        <v>25</v>
      </c>
      <c r="J171">
        <v>15</v>
      </c>
      <c r="K171">
        <v>5</v>
      </c>
    </row>
    <row r="172" spans="1:15" x14ac:dyDescent="0.25">
      <c r="A172">
        <f t="shared" si="3"/>
        <v>171</v>
      </c>
      <c r="C172" t="s">
        <v>433</v>
      </c>
      <c r="D172" t="s">
        <v>449</v>
      </c>
      <c r="E172" t="s">
        <v>450</v>
      </c>
      <c r="F172" t="s">
        <v>451</v>
      </c>
      <c r="G172">
        <v>1000000</v>
      </c>
      <c r="H172">
        <v>5</v>
      </c>
    </row>
    <row r="173" spans="1:15" x14ac:dyDescent="0.25">
      <c r="A173">
        <f t="shared" si="3"/>
        <v>172</v>
      </c>
      <c r="C173" t="s">
        <v>433</v>
      </c>
      <c r="D173" t="s">
        <v>452</v>
      </c>
      <c r="E173" t="s">
        <v>453</v>
      </c>
      <c r="G173">
        <v>2</v>
      </c>
      <c r="H173">
        <v>3</v>
      </c>
      <c r="I173">
        <v>4</v>
      </c>
      <c r="J173">
        <v>5</v>
      </c>
      <c r="K173">
        <v>6</v>
      </c>
    </row>
    <row r="174" spans="1:15" x14ac:dyDescent="0.25">
      <c r="A174">
        <f t="shared" si="3"/>
        <v>173</v>
      </c>
      <c r="C174" t="s">
        <v>433</v>
      </c>
      <c r="D174" t="s">
        <v>454</v>
      </c>
      <c r="E174" t="s">
        <v>455</v>
      </c>
      <c r="F174" t="s">
        <v>456</v>
      </c>
      <c r="G174">
        <v>3</v>
      </c>
      <c r="H174">
        <v>3</v>
      </c>
    </row>
    <row r="175" spans="1:15" x14ac:dyDescent="0.25">
      <c r="A175">
        <f t="shared" si="3"/>
        <v>174</v>
      </c>
      <c r="C175" t="s">
        <v>433</v>
      </c>
      <c r="D175" t="s">
        <v>457</v>
      </c>
      <c r="E175" t="s">
        <v>458</v>
      </c>
      <c r="F175" t="s">
        <v>459</v>
      </c>
      <c r="G175">
        <v>6</v>
      </c>
      <c r="H175">
        <v>6</v>
      </c>
    </row>
    <row r="176" spans="1:15" x14ac:dyDescent="0.25">
      <c r="A176">
        <f t="shared" si="3"/>
        <v>175</v>
      </c>
      <c r="C176" t="s">
        <v>460</v>
      </c>
      <c r="D176" t="s">
        <v>461</v>
      </c>
      <c r="E176" t="s">
        <v>462</v>
      </c>
      <c r="F176" t="s">
        <v>463</v>
      </c>
      <c r="G176">
        <v>30</v>
      </c>
      <c r="H176">
        <v>6</v>
      </c>
    </row>
    <row r="177" spans="1:9" x14ac:dyDescent="0.25">
      <c r="A177">
        <f t="shared" si="3"/>
        <v>176</v>
      </c>
      <c r="C177" t="s">
        <v>460</v>
      </c>
      <c r="D177" t="s">
        <v>464</v>
      </c>
      <c r="E177" t="s">
        <v>465</v>
      </c>
      <c r="G177">
        <v>25</v>
      </c>
      <c r="H177">
        <v>1.45</v>
      </c>
      <c r="I177">
        <v>0.08</v>
      </c>
    </row>
    <row r="178" spans="1:9" x14ac:dyDescent="0.25">
      <c r="A178">
        <f t="shared" si="3"/>
        <v>177</v>
      </c>
      <c r="C178" t="s">
        <v>460</v>
      </c>
      <c r="D178" t="s">
        <v>466</v>
      </c>
      <c r="E178" t="s">
        <v>465</v>
      </c>
      <c r="G178">
        <v>8</v>
      </c>
      <c r="H178">
        <v>1.35</v>
      </c>
      <c r="I178">
        <v>0.04</v>
      </c>
    </row>
    <row r="179" spans="1:9" x14ac:dyDescent="0.25">
      <c r="A179">
        <f t="shared" si="3"/>
        <v>178</v>
      </c>
      <c r="C179" t="s">
        <v>460</v>
      </c>
      <c r="D179" t="s">
        <v>467</v>
      </c>
      <c r="E179" t="s">
        <v>468</v>
      </c>
    </row>
    <row r="180" spans="1:9" x14ac:dyDescent="0.25">
      <c r="A180">
        <f t="shared" si="3"/>
        <v>179</v>
      </c>
      <c r="C180" t="s">
        <v>469</v>
      </c>
      <c r="D180" t="s">
        <v>464</v>
      </c>
      <c r="E180" t="s">
        <v>470</v>
      </c>
      <c r="G180">
        <v>40</v>
      </c>
      <c r="H180">
        <v>1.7</v>
      </c>
      <c r="I180">
        <v>0.15</v>
      </c>
    </row>
    <row r="181" spans="1:9" x14ac:dyDescent="0.25">
      <c r="A181">
        <f t="shared" si="3"/>
        <v>180</v>
      </c>
      <c r="C181" t="s">
        <v>469</v>
      </c>
      <c r="D181" t="s">
        <v>471</v>
      </c>
      <c r="E181" t="s">
        <v>472</v>
      </c>
      <c r="F181" t="s">
        <v>473</v>
      </c>
      <c r="G181">
        <v>9</v>
      </c>
      <c r="H181">
        <v>14</v>
      </c>
      <c r="I181">
        <v>20</v>
      </c>
    </row>
    <row r="182" spans="1:9" x14ac:dyDescent="0.25">
      <c r="A182">
        <f t="shared" si="3"/>
        <v>181</v>
      </c>
      <c r="C182" t="s">
        <v>469</v>
      </c>
      <c r="D182" t="s">
        <v>474</v>
      </c>
      <c r="E182" t="s">
        <v>475</v>
      </c>
      <c r="F182" t="s">
        <v>476</v>
      </c>
      <c r="G182">
        <v>30</v>
      </c>
    </row>
    <row r="183" spans="1:9" x14ac:dyDescent="0.25">
      <c r="A183">
        <f t="shared" si="3"/>
        <v>182</v>
      </c>
      <c r="C183" t="s">
        <v>477</v>
      </c>
      <c r="D183" t="s">
        <v>478</v>
      </c>
      <c r="E183" t="s">
        <v>479</v>
      </c>
      <c r="F183" t="s">
        <v>480</v>
      </c>
      <c r="G183">
        <v>5</v>
      </c>
    </row>
    <row r="184" spans="1:9" x14ac:dyDescent="0.25">
      <c r="A184">
        <f t="shared" si="3"/>
        <v>183</v>
      </c>
      <c r="C184" t="s">
        <v>477</v>
      </c>
      <c r="D184" t="s">
        <v>481</v>
      </c>
      <c r="E184" t="s">
        <v>482</v>
      </c>
    </row>
    <row r="185" spans="1:9" x14ac:dyDescent="0.25">
      <c r="A185">
        <f t="shared" si="3"/>
        <v>184</v>
      </c>
      <c r="C185" t="s">
        <v>477</v>
      </c>
      <c r="D185" t="s">
        <v>483</v>
      </c>
      <c r="E185" t="s">
        <v>484</v>
      </c>
    </row>
    <row r="186" spans="1:9" x14ac:dyDescent="0.25">
      <c r="A186">
        <f t="shared" si="3"/>
        <v>185</v>
      </c>
      <c r="C186" t="s">
        <v>477</v>
      </c>
      <c r="D186" t="s">
        <v>485</v>
      </c>
      <c r="E186" t="s">
        <v>486</v>
      </c>
    </row>
    <row r="187" spans="1:9" x14ac:dyDescent="0.25">
      <c r="A187">
        <f t="shared" si="3"/>
        <v>186</v>
      </c>
      <c r="C187" t="s">
        <v>487</v>
      </c>
      <c r="D187" t="s">
        <v>488</v>
      </c>
      <c r="E187" t="s">
        <v>489</v>
      </c>
      <c r="F187" t="s">
        <v>490</v>
      </c>
      <c r="G187">
        <v>2</v>
      </c>
    </row>
    <row r="188" spans="1:9" x14ac:dyDescent="0.25">
      <c r="A188">
        <f t="shared" si="3"/>
        <v>187</v>
      </c>
      <c r="C188" t="s">
        <v>491</v>
      </c>
      <c r="D188" t="s">
        <v>492</v>
      </c>
      <c r="E188" t="s">
        <v>493</v>
      </c>
      <c r="F188" t="s">
        <v>494</v>
      </c>
      <c r="G188">
        <v>10000</v>
      </c>
      <c r="H188">
        <v>3</v>
      </c>
    </row>
    <row r="189" spans="1:9" x14ac:dyDescent="0.25">
      <c r="A189">
        <f t="shared" si="3"/>
        <v>188</v>
      </c>
      <c r="C189" t="s">
        <v>495</v>
      </c>
      <c r="D189" t="s">
        <v>496</v>
      </c>
      <c r="E189" t="s">
        <v>497</v>
      </c>
      <c r="F189" t="s">
        <v>498</v>
      </c>
      <c r="G189">
        <v>20000</v>
      </c>
    </row>
    <row r="190" spans="1:9" x14ac:dyDescent="0.25">
      <c r="A190">
        <f t="shared" si="3"/>
        <v>189</v>
      </c>
      <c r="C190" t="s">
        <v>495</v>
      </c>
      <c r="D190" t="s">
        <v>499</v>
      </c>
      <c r="E190" t="s">
        <v>500</v>
      </c>
      <c r="G190">
        <v>30</v>
      </c>
      <c r="H190">
        <v>2</v>
      </c>
    </row>
    <row r="191" spans="1:9" x14ac:dyDescent="0.25">
      <c r="A191">
        <f t="shared" si="3"/>
        <v>190</v>
      </c>
      <c r="C191" t="s">
        <v>495</v>
      </c>
      <c r="D191" t="s">
        <v>501</v>
      </c>
      <c r="E191" t="s">
        <v>502</v>
      </c>
      <c r="F191" t="s">
        <v>503</v>
      </c>
      <c r="G191">
        <v>60</v>
      </c>
    </row>
    <row r="192" spans="1:9" x14ac:dyDescent="0.25">
      <c r="A192">
        <f t="shared" si="3"/>
        <v>191</v>
      </c>
      <c r="C192" t="s">
        <v>495</v>
      </c>
      <c r="D192" t="s">
        <v>504</v>
      </c>
      <c r="E192" t="s">
        <v>505</v>
      </c>
      <c r="F192" t="s">
        <v>506</v>
      </c>
      <c r="G192">
        <v>10000</v>
      </c>
    </row>
    <row r="193" spans="1:16" x14ac:dyDescent="0.25">
      <c r="A193">
        <f t="shared" si="3"/>
        <v>192</v>
      </c>
      <c r="C193" t="s">
        <v>495</v>
      </c>
      <c r="D193" t="s">
        <v>507</v>
      </c>
      <c r="E193" t="s">
        <v>508</v>
      </c>
      <c r="G193">
        <v>2</v>
      </c>
    </row>
    <row r="194" spans="1:16" x14ac:dyDescent="0.25">
      <c r="A194">
        <f t="shared" si="3"/>
        <v>193</v>
      </c>
      <c r="C194" t="s">
        <v>509</v>
      </c>
      <c r="D194" t="s">
        <v>510</v>
      </c>
      <c r="E194" t="s">
        <v>511</v>
      </c>
      <c r="F194" t="s">
        <v>512</v>
      </c>
      <c r="G194">
        <v>0.2</v>
      </c>
    </row>
    <row r="195" spans="1:16" x14ac:dyDescent="0.25">
      <c r="A195">
        <f t="shared" si="3"/>
        <v>194</v>
      </c>
      <c r="C195" t="s">
        <v>509</v>
      </c>
      <c r="D195" t="s">
        <v>513</v>
      </c>
      <c r="E195" t="s">
        <v>514</v>
      </c>
      <c r="F195" t="s">
        <v>515</v>
      </c>
      <c r="G195">
        <v>2</v>
      </c>
    </row>
    <row r="196" spans="1:16" x14ac:dyDescent="0.25">
      <c r="A196">
        <f t="shared" ref="A196:A259" si="4">A195+1</f>
        <v>195</v>
      </c>
      <c r="C196" t="s">
        <v>509</v>
      </c>
      <c r="D196" t="s">
        <v>516</v>
      </c>
      <c r="E196" t="s">
        <v>517</v>
      </c>
      <c r="F196" t="s">
        <v>518</v>
      </c>
      <c r="G196">
        <v>3</v>
      </c>
    </row>
    <row r="197" spans="1:16" x14ac:dyDescent="0.25">
      <c r="A197">
        <f t="shared" si="4"/>
        <v>196</v>
      </c>
      <c r="C197" t="s">
        <v>509</v>
      </c>
      <c r="D197" t="s">
        <v>519</v>
      </c>
      <c r="E197" t="s">
        <v>520</v>
      </c>
      <c r="F197" t="s">
        <v>521</v>
      </c>
    </row>
    <row r="198" spans="1:16" x14ac:dyDescent="0.25">
      <c r="A198">
        <f t="shared" si="4"/>
        <v>197</v>
      </c>
      <c r="C198" t="s">
        <v>509</v>
      </c>
      <c r="D198" t="s">
        <v>522</v>
      </c>
      <c r="E198" t="s">
        <v>523</v>
      </c>
      <c r="F198" t="s">
        <v>524</v>
      </c>
      <c r="G198">
        <v>100</v>
      </c>
      <c r="H198">
        <v>300</v>
      </c>
      <c r="I198">
        <v>900</v>
      </c>
      <c r="J198">
        <v>2700</v>
      </c>
      <c r="K198">
        <v>8100</v>
      </c>
    </row>
    <row r="199" spans="1:16" x14ac:dyDescent="0.25">
      <c r="A199">
        <f t="shared" si="4"/>
        <v>198</v>
      </c>
      <c r="C199" t="s">
        <v>509</v>
      </c>
      <c r="D199" t="s">
        <v>525</v>
      </c>
      <c r="E199" t="s">
        <v>526</v>
      </c>
      <c r="F199" t="s">
        <v>527</v>
      </c>
      <c r="G199">
        <v>9</v>
      </c>
      <c r="H199">
        <v>100</v>
      </c>
    </row>
    <row r="200" spans="1:16" x14ac:dyDescent="0.25">
      <c r="A200">
        <f t="shared" si="4"/>
        <v>199</v>
      </c>
      <c r="C200" t="s">
        <v>509</v>
      </c>
      <c r="D200" t="s">
        <v>528</v>
      </c>
      <c r="E200" t="s">
        <v>529</v>
      </c>
      <c r="F200" t="s">
        <v>530</v>
      </c>
      <c r="G200">
        <v>0.7</v>
      </c>
    </row>
    <row r="201" spans="1:16" x14ac:dyDescent="0.25">
      <c r="A201">
        <f t="shared" si="4"/>
        <v>200</v>
      </c>
      <c r="C201" t="s">
        <v>509</v>
      </c>
      <c r="D201" t="s">
        <v>531</v>
      </c>
      <c r="E201" t="s">
        <v>532</v>
      </c>
      <c r="F201" t="s">
        <v>533</v>
      </c>
      <c r="G201">
        <v>0.7</v>
      </c>
    </row>
    <row r="202" spans="1:16" x14ac:dyDescent="0.25">
      <c r="A202">
        <f t="shared" si="4"/>
        <v>201</v>
      </c>
      <c r="C202" t="s">
        <v>509</v>
      </c>
      <c r="D202" t="s">
        <v>534</v>
      </c>
      <c r="E202" t="s">
        <v>535</v>
      </c>
      <c r="F202" t="s">
        <v>536</v>
      </c>
      <c r="G202">
        <v>10</v>
      </c>
      <c r="H202">
        <v>60</v>
      </c>
      <c r="I202">
        <v>10</v>
      </c>
    </row>
    <row r="203" spans="1:16" x14ac:dyDescent="0.25">
      <c r="A203">
        <f t="shared" si="4"/>
        <v>202</v>
      </c>
      <c r="C203" t="s">
        <v>509</v>
      </c>
      <c r="D203" t="s">
        <v>537</v>
      </c>
      <c r="E203" t="s">
        <v>538</v>
      </c>
      <c r="F203" t="s">
        <v>539</v>
      </c>
    </row>
    <row r="204" spans="1:16" x14ac:dyDescent="0.25">
      <c r="A204">
        <f t="shared" si="4"/>
        <v>203</v>
      </c>
      <c r="C204" t="s">
        <v>540</v>
      </c>
      <c r="D204" t="s">
        <v>541</v>
      </c>
      <c r="E204" t="s">
        <v>542</v>
      </c>
      <c r="F204" t="s">
        <v>543</v>
      </c>
      <c r="G204">
        <v>10000</v>
      </c>
      <c r="H204">
        <v>3</v>
      </c>
      <c r="I204">
        <v>4000000</v>
      </c>
    </row>
    <row r="205" spans="1:16" x14ac:dyDescent="0.25">
      <c r="A205">
        <f t="shared" si="4"/>
        <v>204</v>
      </c>
      <c r="C205" t="s">
        <v>540</v>
      </c>
      <c r="D205" t="s">
        <v>544</v>
      </c>
      <c r="E205" t="s">
        <v>545</v>
      </c>
      <c r="F205" t="s">
        <v>546</v>
      </c>
      <c r="G205">
        <v>5000</v>
      </c>
      <c r="H205">
        <v>2.5</v>
      </c>
    </row>
    <row r="206" spans="1:16" x14ac:dyDescent="0.25">
      <c r="A206">
        <f t="shared" si="4"/>
        <v>205</v>
      </c>
      <c r="C206" t="s">
        <v>540</v>
      </c>
      <c r="D206" t="s">
        <v>547</v>
      </c>
      <c r="E206" t="s">
        <v>548</v>
      </c>
      <c r="G206">
        <v>8</v>
      </c>
    </row>
    <row r="207" spans="1:16" x14ac:dyDescent="0.25">
      <c r="A207">
        <f t="shared" si="4"/>
        <v>206</v>
      </c>
      <c r="C207" t="s">
        <v>540</v>
      </c>
      <c r="D207" t="s">
        <v>549</v>
      </c>
      <c r="E207" t="s">
        <v>550</v>
      </c>
      <c r="F207" t="s">
        <v>551</v>
      </c>
      <c r="G207" s="1">
        <v>10000</v>
      </c>
      <c r="H207" s="1">
        <v>100000</v>
      </c>
      <c r="I207" s="1">
        <v>500000</v>
      </c>
      <c r="J207" s="1">
        <v>2000000</v>
      </c>
      <c r="K207" s="1">
        <v>10000000</v>
      </c>
      <c r="L207" s="1">
        <v>50000000</v>
      </c>
      <c r="M207" s="1">
        <v>200000000</v>
      </c>
      <c r="N207" s="1">
        <v>1000000000</v>
      </c>
      <c r="O207" s="1">
        <v>10000000000</v>
      </c>
      <c r="P207" s="1">
        <v>1000000000000</v>
      </c>
    </row>
    <row r="208" spans="1:16" x14ac:dyDescent="0.25">
      <c r="A208">
        <f t="shared" si="4"/>
        <v>207</v>
      </c>
      <c r="C208" t="s">
        <v>552</v>
      </c>
      <c r="D208" t="s">
        <v>553</v>
      </c>
      <c r="E208" t="s">
        <v>554</v>
      </c>
      <c r="F208" t="s">
        <v>555</v>
      </c>
      <c r="G208" t="s">
        <v>556</v>
      </c>
      <c r="H208" t="s">
        <v>557</v>
      </c>
    </row>
    <row r="209" spans="1:11" x14ac:dyDescent="0.25">
      <c r="A209">
        <f t="shared" si="4"/>
        <v>208</v>
      </c>
      <c r="C209" t="s">
        <v>552</v>
      </c>
      <c r="D209" t="s">
        <v>558</v>
      </c>
      <c r="E209" t="s">
        <v>554</v>
      </c>
      <c r="F209" t="s">
        <v>555</v>
      </c>
      <c r="G209" t="s">
        <v>556</v>
      </c>
      <c r="H209" t="s">
        <v>559</v>
      </c>
      <c r="I209" t="s">
        <v>560</v>
      </c>
    </row>
    <row r="210" spans="1:11" x14ac:dyDescent="0.25">
      <c r="A210">
        <f t="shared" si="4"/>
        <v>209</v>
      </c>
      <c r="C210" t="s">
        <v>552</v>
      </c>
      <c r="D210" t="s">
        <v>561</v>
      </c>
      <c r="E210" t="s">
        <v>554</v>
      </c>
      <c r="F210" t="s">
        <v>555</v>
      </c>
      <c r="G210" t="s">
        <v>556</v>
      </c>
      <c r="H210" t="s">
        <v>562</v>
      </c>
      <c r="I210" t="s">
        <v>560</v>
      </c>
      <c r="J210" t="s">
        <v>563</v>
      </c>
    </row>
    <row r="211" spans="1:11" x14ac:dyDescent="0.25">
      <c r="A211">
        <f t="shared" si="4"/>
        <v>210</v>
      </c>
      <c r="C211" t="s">
        <v>552</v>
      </c>
      <c r="D211" t="s">
        <v>564</v>
      </c>
      <c r="E211" t="s">
        <v>554</v>
      </c>
      <c r="F211" t="s">
        <v>555</v>
      </c>
      <c r="G211" t="s">
        <v>565</v>
      </c>
      <c r="H211" t="s">
        <v>562</v>
      </c>
      <c r="I211" t="s">
        <v>566</v>
      </c>
      <c r="J211" t="s">
        <v>563</v>
      </c>
    </row>
    <row r="212" spans="1:11" x14ac:dyDescent="0.25">
      <c r="A212">
        <f t="shared" si="4"/>
        <v>211</v>
      </c>
      <c r="C212" t="s">
        <v>552</v>
      </c>
      <c r="D212" t="s">
        <v>567</v>
      </c>
      <c r="E212" t="s">
        <v>554</v>
      </c>
      <c r="F212" t="s">
        <v>555</v>
      </c>
      <c r="G212" t="s">
        <v>568</v>
      </c>
      <c r="H212" t="s">
        <v>562</v>
      </c>
      <c r="I212" t="s">
        <v>566</v>
      </c>
      <c r="J212" t="s">
        <v>569</v>
      </c>
    </row>
    <row r="213" spans="1:11" x14ac:dyDescent="0.25">
      <c r="A213">
        <f t="shared" si="4"/>
        <v>212</v>
      </c>
      <c r="C213" t="s">
        <v>552</v>
      </c>
      <c r="D213" t="s">
        <v>570</v>
      </c>
      <c r="E213" t="s">
        <v>554</v>
      </c>
      <c r="F213" t="s">
        <v>555</v>
      </c>
      <c r="G213" t="s">
        <v>571</v>
      </c>
      <c r="H213" t="s">
        <v>562</v>
      </c>
      <c r="I213" t="s">
        <v>566</v>
      </c>
      <c r="J213" t="s">
        <v>569</v>
      </c>
      <c r="K213" t="s">
        <v>572</v>
      </c>
    </row>
    <row r="214" spans="1:11" x14ac:dyDescent="0.25">
      <c r="A214">
        <f t="shared" si="4"/>
        <v>213</v>
      </c>
      <c r="C214" t="s">
        <v>552</v>
      </c>
      <c r="D214" t="s">
        <v>573</v>
      </c>
      <c r="E214" t="s">
        <v>554</v>
      </c>
      <c r="F214" t="s">
        <v>555</v>
      </c>
      <c r="G214" t="s">
        <v>574</v>
      </c>
      <c r="H214" t="s">
        <v>575</v>
      </c>
      <c r="I214" t="s">
        <v>569</v>
      </c>
      <c r="J214" t="s">
        <v>576</v>
      </c>
      <c r="K214" t="s">
        <v>577</v>
      </c>
    </row>
    <row r="215" spans="1:11" x14ac:dyDescent="0.25">
      <c r="A215">
        <f t="shared" si="4"/>
        <v>214</v>
      </c>
      <c r="C215" t="s">
        <v>552</v>
      </c>
      <c r="D215" t="s">
        <v>578</v>
      </c>
      <c r="E215" t="s">
        <v>554</v>
      </c>
      <c r="F215" t="s">
        <v>555</v>
      </c>
      <c r="G215" t="s">
        <v>562</v>
      </c>
      <c r="H215" t="s">
        <v>575</v>
      </c>
      <c r="I215" t="s">
        <v>569</v>
      </c>
      <c r="J215" t="s">
        <v>576</v>
      </c>
      <c r="K215" t="s">
        <v>579</v>
      </c>
    </row>
    <row r="216" spans="1:11" x14ac:dyDescent="0.25">
      <c r="A216">
        <f t="shared" si="4"/>
        <v>215</v>
      </c>
      <c r="C216" t="s">
        <v>552</v>
      </c>
      <c r="D216" t="s">
        <v>580</v>
      </c>
      <c r="E216" t="s">
        <v>554</v>
      </c>
      <c r="F216" t="s">
        <v>555</v>
      </c>
      <c r="G216" t="s">
        <v>575</v>
      </c>
      <c r="H216" t="s">
        <v>581</v>
      </c>
      <c r="I216" t="s">
        <v>576</v>
      </c>
      <c r="J216" t="s">
        <v>582</v>
      </c>
      <c r="K216" t="s">
        <v>583</v>
      </c>
    </row>
    <row r="217" spans="1:11" x14ac:dyDescent="0.25">
      <c r="A217">
        <f t="shared" si="4"/>
        <v>216</v>
      </c>
      <c r="C217" t="s">
        <v>552</v>
      </c>
      <c r="D217" t="s">
        <v>584</v>
      </c>
      <c r="E217" t="s">
        <v>554</v>
      </c>
      <c r="F217" t="s">
        <v>555</v>
      </c>
      <c r="G217" t="s">
        <v>581</v>
      </c>
      <c r="H217" t="s">
        <v>585</v>
      </c>
      <c r="I217" t="s">
        <v>582</v>
      </c>
      <c r="J217" t="s">
        <v>586</v>
      </c>
      <c r="K217" t="s">
        <v>587</v>
      </c>
    </row>
    <row r="218" spans="1:11" x14ac:dyDescent="0.25">
      <c r="A218">
        <f t="shared" si="4"/>
        <v>217</v>
      </c>
      <c r="C218" t="s">
        <v>552</v>
      </c>
      <c r="D218" t="s">
        <v>588</v>
      </c>
      <c r="E218" t="s">
        <v>554</v>
      </c>
      <c r="F218" t="s">
        <v>555</v>
      </c>
      <c r="G218" t="s">
        <v>585</v>
      </c>
      <c r="H218" t="s">
        <v>589</v>
      </c>
      <c r="I218" t="s">
        <v>586</v>
      </c>
      <c r="J218" t="s">
        <v>590</v>
      </c>
      <c r="K218" t="s">
        <v>591</v>
      </c>
    </row>
    <row r="219" spans="1:11" x14ac:dyDescent="0.25">
      <c r="A219">
        <f t="shared" si="4"/>
        <v>218</v>
      </c>
      <c r="C219" t="s">
        <v>552</v>
      </c>
      <c r="D219" t="s">
        <v>592</v>
      </c>
      <c r="E219" t="s">
        <v>554</v>
      </c>
      <c r="F219" t="s">
        <v>555</v>
      </c>
      <c r="G219" t="s">
        <v>589</v>
      </c>
      <c r="H219" t="s">
        <v>593</v>
      </c>
      <c r="I219" t="s">
        <v>590</v>
      </c>
      <c r="J219" t="s">
        <v>594</v>
      </c>
      <c r="K219" t="s">
        <v>595</v>
      </c>
    </row>
    <row r="220" spans="1:11" x14ac:dyDescent="0.25">
      <c r="A220">
        <f t="shared" si="4"/>
        <v>219</v>
      </c>
      <c r="C220" t="s">
        <v>552</v>
      </c>
      <c r="D220" t="s">
        <v>596</v>
      </c>
      <c r="E220" t="s">
        <v>554</v>
      </c>
      <c r="F220" t="s">
        <v>555</v>
      </c>
      <c r="G220" t="s">
        <v>593</v>
      </c>
      <c r="H220" t="s">
        <v>597</v>
      </c>
      <c r="I220" t="s">
        <v>594</v>
      </c>
      <c r="J220" t="s">
        <v>598</v>
      </c>
      <c r="K220" t="s">
        <v>599</v>
      </c>
    </row>
    <row r="221" spans="1:11" x14ac:dyDescent="0.25">
      <c r="A221">
        <f t="shared" si="4"/>
        <v>220</v>
      </c>
      <c r="C221" t="s">
        <v>552</v>
      </c>
      <c r="D221" t="s">
        <v>600</v>
      </c>
      <c r="E221" t="s">
        <v>554</v>
      </c>
      <c r="F221" t="s">
        <v>555</v>
      </c>
      <c r="G221" t="s">
        <v>597</v>
      </c>
      <c r="H221" t="s">
        <v>601</v>
      </c>
      <c r="I221" t="s">
        <v>598</v>
      </c>
      <c r="J221" t="s">
        <v>602</v>
      </c>
      <c r="K221" t="s">
        <v>603</v>
      </c>
    </row>
    <row r="222" spans="1:11" x14ac:dyDescent="0.25">
      <c r="A222">
        <f t="shared" si="4"/>
        <v>221</v>
      </c>
      <c r="C222" t="s">
        <v>552</v>
      </c>
      <c r="D222" t="s">
        <v>604</v>
      </c>
      <c r="E222" t="s">
        <v>554</v>
      </c>
      <c r="F222" t="s">
        <v>555</v>
      </c>
      <c r="G222" t="s">
        <v>601</v>
      </c>
      <c r="H222" t="s">
        <v>605</v>
      </c>
      <c r="I222" t="s">
        <v>602</v>
      </c>
      <c r="J222" t="s">
        <v>606</v>
      </c>
      <c r="K222" t="s">
        <v>607</v>
      </c>
    </row>
    <row r="223" spans="1:11" x14ac:dyDescent="0.25">
      <c r="A223">
        <f t="shared" si="4"/>
        <v>222</v>
      </c>
      <c r="C223" t="s">
        <v>552</v>
      </c>
      <c r="D223" t="s">
        <v>608</v>
      </c>
      <c r="E223" t="s">
        <v>554</v>
      </c>
      <c r="F223" t="s">
        <v>555</v>
      </c>
      <c r="G223" t="s">
        <v>605</v>
      </c>
      <c r="H223" t="s">
        <v>609</v>
      </c>
      <c r="I223" t="s">
        <v>606</v>
      </c>
      <c r="J223" t="s">
        <v>610</v>
      </c>
      <c r="K223" t="s">
        <v>611</v>
      </c>
    </row>
    <row r="224" spans="1:11" x14ac:dyDescent="0.25">
      <c r="A224">
        <f t="shared" si="4"/>
        <v>223</v>
      </c>
      <c r="C224" t="s">
        <v>552</v>
      </c>
      <c r="D224" t="s">
        <v>612</v>
      </c>
      <c r="E224" t="s">
        <v>554</v>
      </c>
      <c r="F224" t="s">
        <v>555</v>
      </c>
      <c r="G224" t="s">
        <v>609</v>
      </c>
      <c r="H224" t="s">
        <v>613</v>
      </c>
      <c r="I224" t="s">
        <v>610</v>
      </c>
      <c r="J224" t="s">
        <v>614</v>
      </c>
      <c r="K224" t="s">
        <v>615</v>
      </c>
    </row>
    <row r="225" spans="1:12" x14ac:dyDescent="0.25">
      <c r="A225">
        <f t="shared" si="4"/>
        <v>224</v>
      </c>
      <c r="C225" t="s">
        <v>552</v>
      </c>
      <c r="D225" t="s">
        <v>616</v>
      </c>
      <c r="E225" t="s">
        <v>554</v>
      </c>
      <c r="F225" t="s">
        <v>555</v>
      </c>
      <c r="G225" t="s">
        <v>599</v>
      </c>
      <c r="H225" t="s">
        <v>617</v>
      </c>
      <c r="I225" t="s">
        <v>618</v>
      </c>
      <c r="J225" t="s">
        <v>614</v>
      </c>
      <c r="K225" t="s">
        <v>619</v>
      </c>
      <c r="L225" t="s">
        <v>620</v>
      </c>
    </row>
    <row r="226" spans="1:12" x14ac:dyDescent="0.25">
      <c r="A226">
        <f t="shared" si="4"/>
        <v>225</v>
      </c>
      <c r="C226" t="s">
        <v>552</v>
      </c>
      <c r="D226" t="s">
        <v>621</v>
      </c>
      <c r="E226" t="s">
        <v>554</v>
      </c>
      <c r="F226" t="s">
        <v>555</v>
      </c>
      <c r="G226" t="s">
        <v>599</v>
      </c>
      <c r="H226" t="s">
        <v>617</v>
      </c>
      <c r="I226" t="s">
        <v>618</v>
      </c>
      <c r="J226" t="s">
        <v>614</v>
      </c>
      <c r="K226" t="s">
        <v>619</v>
      </c>
      <c r="L226" t="s">
        <v>620</v>
      </c>
    </row>
    <row r="227" spans="1:12" x14ac:dyDescent="0.25">
      <c r="A227">
        <f t="shared" si="4"/>
        <v>226</v>
      </c>
      <c r="C227" t="s">
        <v>552</v>
      </c>
      <c r="D227" t="s">
        <v>622</v>
      </c>
      <c r="E227" t="s">
        <v>554</v>
      </c>
      <c r="F227" t="s">
        <v>555</v>
      </c>
      <c r="G227" t="s">
        <v>599</v>
      </c>
      <c r="H227" t="s">
        <v>617</v>
      </c>
      <c r="I227" t="s">
        <v>618</v>
      </c>
      <c r="J227" t="s">
        <v>614</v>
      </c>
      <c r="K227" t="s">
        <v>619</v>
      </c>
      <c r="L227" t="s">
        <v>620</v>
      </c>
    </row>
    <row r="228" spans="1:12" x14ac:dyDescent="0.25">
      <c r="A228">
        <f t="shared" si="4"/>
        <v>227</v>
      </c>
      <c r="C228" t="s">
        <v>623</v>
      </c>
      <c r="D228" t="s">
        <v>553</v>
      </c>
      <c r="E228" t="s">
        <v>624</v>
      </c>
      <c r="F228" t="s">
        <v>625</v>
      </c>
      <c r="G228" t="s">
        <v>626</v>
      </c>
      <c r="H228" t="s">
        <v>627</v>
      </c>
      <c r="I228" t="s">
        <v>628</v>
      </c>
      <c r="J228" t="s">
        <v>629</v>
      </c>
    </row>
    <row r="229" spans="1:12" x14ac:dyDescent="0.25">
      <c r="A229">
        <f t="shared" si="4"/>
        <v>228</v>
      </c>
      <c r="C229" t="s">
        <v>623</v>
      </c>
      <c r="D229" t="s">
        <v>558</v>
      </c>
      <c r="E229" t="s">
        <v>624</v>
      </c>
      <c r="F229" t="s">
        <v>625</v>
      </c>
      <c r="G229" t="s">
        <v>630</v>
      </c>
      <c r="H229" t="s">
        <v>627</v>
      </c>
      <c r="I229" t="s">
        <v>631</v>
      </c>
      <c r="J229" t="s">
        <v>632</v>
      </c>
    </row>
    <row r="230" spans="1:12" x14ac:dyDescent="0.25">
      <c r="A230">
        <f t="shared" si="4"/>
        <v>229</v>
      </c>
      <c r="C230" t="s">
        <v>623</v>
      </c>
      <c r="D230" t="s">
        <v>561</v>
      </c>
      <c r="E230" t="s">
        <v>624</v>
      </c>
      <c r="F230" t="s">
        <v>625</v>
      </c>
      <c r="G230" t="s">
        <v>633</v>
      </c>
      <c r="H230" t="s">
        <v>627</v>
      </c>
      <c r="I230" t="s">
        <v>634</v>
      </c>
      <c r="J230" t="s">
        <v>635</v>
      </c>
    </row>
    <row r="231" spans="1:12" x14ac:dyDescent="0.25">
      <c r="A231">
        <f t="shared" si="4"/>
        <v>230</v>
      </c>
      <c r="C231" t="s">
        <v>623</v>
      </c>
      <c r="D231" t="s">
        <v>564</v>
      </c>
      <c r="E231" t="s">
        <v>624</v>
      </c>
      <c r="F231" t="s">
        <v>625</v>
      </c>
      <c r="G231" t="s">
        <v>636</v>
      </c>
      <c r="H231" t="s">
        <v>627</v>
      </c>
      <c r="I231" t="s">
        <v>634</v>
      </c>
      <c r="J231" t="s">
        <v>635</v>
      </c>
      <c r="K231" t="s">
        <v>637</v>
      </c>
    </row>
    <row r="232" spans="1:12" x14ac:dyDescent="0.25">
      <c r="A232">
        <f t="shared" si="4"/>
        <v>231</v>
      </c>
      <c r="C232" t="s">
        <v>623</v>
      </c>
      <c r="D232" t="s">
        <v>567</v>
      </c>
      <c r="E232" t="s">
        <v>624</v>
      </c>
      <c r="F232" t="s">
        <v>625</v>
      </c>
      <c r="G232" t="s">
        <v>638</v>
      </c>
      <c r="H232" t="s">
        <v>627</v>
      </c>
      <c r="I232" t="s">
        <v>634</v>
      </c>
      <c r="J232" t="s">
        <v>639</v>
      </c>
      <c r="K232" t="s">
        <v>640</v>
      </c>
    </row>
    <row r="233" spans="1:12" x14ac:dyDescent="0.25">
      <c r="A233">
        <f t="shared" si="4"/>
        <v>232</v>
      </c>
      <c r="C233" t="s">
        <v>623</v>
      </c>
      <c r="D233" t="s">
        <v>570</v>
      </c>
      <c r="E233" t="s">
        <v>624</v>
      </c>
      <c r="F233" t="s">
        <v>625</v>
      </c>
      <c r="G233" t="s">
        <v>641</v>
      </c>
      <c r="H233" t="s">
        <v>627</v>
      </c>
      <c r="I233" t="s">
        <v>634</v>
      </c>
      <c r="J233" t="s">
        <v>642</v>
      </c>
      <c r="K233" t="s">
        <v>643</v>
      </c>
    </row>
    <row r="234" spans="1:12" x14ac:dyDescent="0.25">
      <c r="A234">
        <f t="shared" si="4"/>
        <v>233</v>
      </c>
      <c r="C234" t="s">
        <v>623</v>
      </c>
      <c r="D234" t="s">
        <v>573</v>
      </c>
      <c r="E234" t="s">
        <v>624</v>
      </c>
      <c r="F234" t="s">
        <v>625</v>
      </c>
      <c r="G234" t="s">
        <v>644</v>
      </c>
      <c r="H234" t="s">
        <v>627</v>
      </c>
      <c r="I234" t="s">
        <v>645</v>
      </c>
      <c r="J234" t="s">
        <v>646</v>
      </c>
      <c r="K234" t="s">
        <v>647</v>
      </c>
    </row>
    <row r="235" spans="1:12" x14ac:dyDescent="0.25">
      <c r="A235">
        <f t="shared" si="4"/>
        <v>234</v>
      </c>
      <c r="C235" t="s">
        <v>623</v>
      </c>
      <c r="D235" t="s">
        <v>578</v>
      </c>
      <c r="E235" t="s">
        <v>624</v>
      </c>
      <c r="F235" t="s">
        <v>625</v>
      </c>
      <c r="G235" t="s">
        <v>648</v>
      </c>
      <c r="H235" t="s">
        <v>627</v>
      </c>
      <c r="I235" t="s">
        <v>649</v>
      </c>
      <c r="J235" t="s">
        <v>650</v>
      </c>
      <c r="K235" t="s">
        <v>651</v>
      </c>
    </row>
    <row r="236" spans="1:12" x14ac:dyDescent="0.25">
      <c r="A236">
        <f t="shared" si="4"/>
        <v>235</v>
      </c>
      <c r="C236" t="s">
        <v>623</v>
      </c>
      <c r="D236" t="s">
        <v>580</v>
      </c>
      <c r="E236" t="s">
        <v>624</v>
      </c>
      <c r="F236" t="s">
        <v>625</v>
      </c>
      <c r="G236" t="s">
        <v>652</v>
      </c>
      <c r="H236" t="s">
        <v>627</v>
      </c>
      <c r="I236" t="s">
        <v>653</v>
      </c>
      <c r="J236" t="s">
        <v>654</v>
      </c>
      <c r="K236" t="s">
        <v>655</v>
      </c>
    </row>
    <row r="237" spans="1:12" x14ac:dyDescent="0.25">
      <c r="A237">
        <f t="shared" si="4"/>
        <v>236</v>
      </c>
      <c r="C237" t="s">
        <v>623</v>
      </c>
      <c r="D237" t="s">
        <v>584</v>
      </c>
      <c r="E237" t="s">
        <v>624</v>
      </c>
      <c r="F237" t="s">
        <v>625</v>
      </c>
      <c r="G237" t="s">
        <v>656</v>
      </c>
      <c r="H237" t="s">
        <v>627</v>
      </c>
      <c r="I237" t="s">
        <v>653</v>
      </c>
      <c r="J237" t="s">
        <v>654</v>
      </c>
      <c r="K237" t="s">
        <v>657</v>
      </c>
      <c r="L237" t="s">
        <v>658</v>
      </c>
    </row>
    <row r="238" spans="1:12" x14ac:dyDescent="0.25">
      <c r="A238">
        <f t="shared" si="4"/>
        <v>237</v>
      </c>
      <c r="C238" t="s">
        <v>623</v>
      </c>
      <c r="D238" t="s">
        <v>588</v>
      </c>
      <c r="E238" t="s">
        <v>624</v>
      </c>
      <c r="F238" t="s">
        <v>625</v>
      </c>
      <c r="G238" t="s">
        <v>659</v>
      </c>
      <c r="H238" t="s">
        <v>627</v>
      </c>
      <c r="I238" t="s">
        <v>653</v>
      </c>
      <c r="J238" t="s">
        <v>654</v>
      </c>
      <c r="K238" t="s">
        <v>660</v>
      </c>
      <c r="L238" t="s">
        <v>661</v>
      </c>
    </row>
    <row r="239" spans="1:12" x14ac:dyDescent="0.25">
      <c r="A239">
        <f t="shared" si="4"/>
        <v>238</v>
      </c>
      <c r="C239" t="s">
        <v>623</v>
      </c>
      <c r="D239" t="s">
        <v>592</v>
      </c>
      <c r="E239" t="s">
        <v>624</v>
      </c>
      <c r="F239" t="s">
        <v>625</v>
      </c>
      <c r="G239" t="s">
        <v>662</v>
      </c>
      <c r="H239" t="s">
        <v>627</v>
      </c>
      <c r="I239" t="s">
        <v>663</v>
      </c>
      <c r="J239" t="s">
        <v>664</v>
      </c>
      <c r="K239" t="s">
        <v>665</v>
      </c>
      <c r="L239" t="s">
        <v>666</v>
      </c>
    </row>
    <row r="240" spans="1:12" x14ac:dyDescent="0.25">
      <c r="A240">
        <f t="shared" si="4"/>
        <v>239</v>
      </c>
      <c r="C240" t="s">
        <v>623</v>
      </c>
      <c r="D240" t="s">
        <v>596</v>
      </c>
      <c r="E240" t="s">
        <v>624</v>
      </c>
      <c r="F240" t="s">
        <v>625</v>
      </c>
      <c r="G240" t="s">
        <v>667</v>
      </c>
      <c r="H240" t="s">
        <v>627</v>
      </c>
      <c r="I240" t="s">
        <v>663</v>
      </c>
      <c r="J240" t="s">
        <v>664</v>
      </c>
      <c r="K240" t="s">
        <v>665</v>
      </c>
      <c r="L240" t="s">
        <v>668</v>
      </c>
    </row>
    <row r="241" spans="1:16" x14ac:dyDescent="0.25">
      <c r="A241">
        <f t="shared" si="4"/>
        <v>240</v>
      </c>
      <c r="C241" t="s">
        <v>623</v>
      </c>
      <c r="D241" t="s">
        <v>600</v>
      </c>
      <c r="E241" t="s">
        <v>624</v>
      </c>
      <c r="F241" t="s">
        <v>625</v>
      </c>
      <c r="G241" t="s">
        <v>669</v>
      </c>
      <c r="H241" t="s">
        <v>627</v>
      </c>
      <c r="I241" t="s">
        <v>663</v>
      </c>
      <c r="J241" t="s">
        <v>664</v>
      </c>
      <c r="K241" t="s">
        <v>665</v>
      </c>
      <c r="L241" t="s">
        <v>670</v>
      </c>
    </row>
    <row r="242" spans="1:16" x14ac:dyDescent="0.25">
      <c r="A242">
        <f t="shared" si="4"/>
        <v>241</v>
      </c>
      <c r="C242" t="s">
        <v>623</v>
      </c>
      <c r="D242" t="s">
        <v>604</v>
      </c>
      <c r="E242" t="s">
        <v>624</v>
      </c>
      <c r="F242" t="s">
        <v>625</v>
      </c>
      <c r="G242" t="s">
        <v>671</v>
      </c>
      <c r="H242" t="s">
        <v>627</v>
      </c>
      <c r="I242" t="s">
        <v>663</v>
      </c>
      <c r="J242" t="s">
        <v>672</v>
      </c>
      <c r="K242" t="s">
        <v>673</v>
      </c>
      <c r="L242" t="s">
        <v>666</v>
      </c>
      <c r="M242" t="s">
        <v>674</v>
      </c>
    </row>
    <row r="243" spans="1:16" x14ac:dyDescent="0.25">
      <c r="A243">
        <f t="shared" si="4"/>
        <v>242</v>
      </c>
      <c r="C243" t="s">
        <v>623</v>
      </c>
      <c r="D243" t="s">
        <v>608</v>
      </c>
      <c r="E243" t="s">
        <v>624</v>
      </c>
      <c r="F243" t="s">
        <v>625</v>
      </c>
      <c r="G243" t="s">
        <v>675</v>
      </c>
      <c r="H243" t="s">
        <v>627</v>
      </c>
      <c r="I243" t="s">
        <v>663</v>
      </c>
      <c r="J243" t="s">
        <v>672</v>
      </c>
      <c r="K243" t="s">
        <v>673</v>
      </c>
      <c r="L243" t="s">
        <v>668</v>
      </c>
      <c r="M243" t="s">
        <v>676</v>
      </c>
    </row>
    <row r="244" spans="1:16" x14ac:dyDescent="0.25">
      <c r="A244">
        <f t="shared" si="4"/>
        <v>243</v>
      </c>
      <c r="C244" t="s">
        <v>623</v>
      </c>
      <c r="D244" t="s">
        <v>612</v>
      </c>
      <c r="E244" t="s">
        <v>624</v>
      </c>
      <c r="F244" t="s">
        <v>625</v>
      </c>
      <c r="G244" t="s">
        <v>677</v>
      </c>
      <c r="H244" t="s">
        <v>627</v>
      </c>
      <c r="I244" t="s">
        <v>663</v>
      </c>
      <c r="J244" t="s">
        <v>672</v>
      </c>
      <c r="K244" t="s">
        <v>673</v>
      </c>
      <c r="L244" t="s">
        <v>668</v>
      </c>
      <c r="M244" t="s">
        <v>678</v>
      </c>
    </row>
    <row r="245" spans="1:16" x14ac:dyDescent="0.25">
      <c r="A245">
        <f t="shared" si="4"/>
        <v>244</v>
      </c>
      <c r="C245" t="s">
        <v>623</v>
      </c>
      <c r="D245" t="s">
        <v>616</v>
      </c>
      <c r="E245" t="s">
        <v>624</v>
      </c>
      <c r="F245" t="s">
        <v>625</v>
      </c>
      <c r="G245" t="s">
        <v>679</v>
      </c>
      <c r="H245" t="s">
        <v>627</v>
      </c>
      <c r="I245" t="s">
        <v>663</v>
      </c>
      <c r="J245" t="s">
        <v>672</v>
      </c>
      <c r="K245" t="s">
        <v>673</v>
      </c>
      <c r="L245" t="s">
        <v>668</v>
      </c>
      <c r="M245" t="s">
        <v>678</v>
      </c>
      <c r="N245" t="s">
        <v>680</v>
      </c>
    </row>
    <row r="246" spans="1:16" x14ac:dyDescent="0.25">
      <c r="A246">
        <f t="shared" si="4"/>
        <v>245</v>
      </c>
      <c r="C246" t="s">
        <v>623</v>
      </c>
      <c r="D246" t="s">
        <v>621</v>
      </c>
      <c r="E246" t="s">
        <v>624</v>
      </c>
      <c r="F246" t="s">
        <v>625</v>
      </c>
      <c r="G246" t="s">
        <v>681</v>
      </c>
      <c r="H246" t="s">
        <v>627</v>
      </c>
      <c r="I246" t="s">
        <v>663</v>
      </c>
      <c r="J246" t="s">
        <v>672</v>
      </c>
      <c r="K246" t="s">
        <v>673</v>
      </c>
      <c r="L246" t="s">
        <v>668</v>
      </c>
      <c r="M246" t="s">
        <v>678</v>
      </c>
      <c r="N246" t="s">
        <v>682</v>
      </c>
      <c r="O246" t="s">
        <v>683</v>
      </c>
    </row>
    <row r="247" spans="1:16" x14ac:dyDescent="0.25">
      <c r="A247">
        <f t="shared" si="4"/>
        <v>246</v>
      </c>
      <c r="C247" t="s">
        <v>623</v>
      </c>
      <c r="D247" t="s">
        <v>622</v>
      </c>
      <c r="E247" t="s">
        <v>624</v>
      </c>
      <c r="F247" t="s">
        <v>625</v>
      </c>
      <c r="G247" t="s">
        <v>684</v>
      </c>
      <c r="H247" t="s">
        <v>627</v>
      </c>
      <c r="I247" t="s">
        <v>663</v>
      </c>
      <c r="J247" t="s">
        <v>672</v>
      </c>
      <c r="K247" t="s">
        <v>673</v>
      </c>
      <c r="L247" t="s">
        <v>668</v>
      </c>
      <c r="M247" t="s">
        <v>678</v>
      </c>
      <c r="N247" t="s">
        <v>685</v>
      </c>
      <c r="O247" t="s">
        <v>686</v>
      </c>
      <c r="P247" t="s">
        <v>687</v>
      </c>
    </row>
    <row r="248" spans="1:16" x14ac:dyDescent="0.25">
      <c r="A248">
        <f t="shared" si="4"/>
        <v>247</v>
      </c>
      <c r="C248" t="s">
        <v>688</v>
      </c>
      <c r="D248" t="s">
        <v>689</v>
      </c>
      <c r="E248" t="s">
        <v>690</v>
      </c>
      <c r="F248" t="s">
        <v>691</v>
      </c>
    </row>
    <row r="249" spans="1:16" x14ac:dyDescent="0.25">
      <c r="A249">
        <f t="shared" si="4"/>
        <v>248</v>
      </c>
      <c r="C249" t="s">
        <v>688</v>
      </c>
      <c r="D249" t="s">
        <v>692</v>
      </c>
      <c r="E249" t="s">
        <v>693</v>
      </c>
      <c r="F249" t="s">
        <v>694</v>
      </c>
      <c r="G249">
        <v>0.1</v>
      </c>
    </row>
    <row r="250" spans="1:16" x14ac:dyDescent="0.25">
      <c r="A250">
        <f t="shared" si="4"/>
        <v>249</v>
      </c>
      <c r="C250" t="s">
        <v>688</v>
      </c>
      <c r="D250" t="s">
        <v>695</v>
      </c>
      <c r="E250" t="s">
        <v>696</v>
      </c>
      <c r="F250" t="s">
        <v>697</v>
      </c>
    </row>
    <row r="251" spans="1:16" x14ac:dyDescent="0.25">
      <c r="A251">
        <f t="shared" si="4"/>
        <v>250</v>
      </c>
      <c r="C251" t="s">
        <v>688</v>
      </c>
      <c r="D251" t="s">
        <v>698</v>
      </c>
      <c r="E251" t="s">
        <v>699</v>
      </c>
    </row>
    <row r="252" spans="1:16" x14ac:dyDescent="0.25">
      <c r="A252">
        <f t="shared" si="4"/>
        <v>251</v>
      </c>
      <c r="C252" t="s">
        <v>688</v>
      </c>
      <c r="D252" t="s">
        <v>700</v>
      </c>
      <c r="E252" t="s">
        <v>701</v>
      </c>
      <c r="F252" t="s">
        <v>702</v>
      </c>
      <c r="G252">
        <v>0.5</v>
      </c>
    </row>
    <row r="253" spans="1:16" x14ac:dyDescent="0.25">
      <c r="A253">
        <f t="shared" si="4"/>
        <v>252</v>
      </c>
      <c r="C253" t="s">
        <v>688</v>
      </c>
      <c r="D253" t="s">
        <v>703</v>
      </c>
      <c r="E253" t="s">
        <v>704</v>
      </c>
      <c r="G253">
        <v>0.4</v>
      </c>
    </row>
    <row r="254" spans="1:16" x14ac:dyDescent="0.25">
      <c r="A254">
        <f t="shared" si="4"/>
        <v>253</v>
      </c>
      <c r="C254" t="s">
        <v>688</v>
      </c>
      <c r="D254" t="s">
        <v>541</v>
      </c>
      <c r="E254" t="s">
        <v>705</v>
      </c>
      <c r="F254" t="s">
        <v>706</v>
      </c>
      <c r="G254">
        <v>20000</v>
      </c>
      <c r="H254">
        <v>20</v>
      </c>
      <c r="I254">
        <v>10</v>
      </c>
    </row>
    <row r="255" spans="1:16" x14ac:dyDescent="0.25">
      <c r="A255">
        <f t="shared" si="4"/>
        <v>254</v>
      </c>
      <c r="C255" t="s">
        <v>688</v>
      </c>
      <c r="D255" t="s">
        <v>707</v>
      </c>
      <c r="E255" t="s">
        <v>708</v>
      </c>
      <c r="F255" t="s">
        <v>709</v>
      </c>
      <c r="G255">
        <v>3</v>
      </c>
    </row>
    <row r="256" spans="1:16" x14ac:dyDescent="0.25">
      <c r="A256">
        <f t="shared" si="4"/>
        <v>255</v>
      </c>
      <c r="C256" t="s">
        <v>688</v>
      </c>
      <c r="D256" t="s">
        <v>710</v>
      </c>
      <c r="E256" t="s">
        <v>711</v>
      </c>
      <c r="F256" t="s">
        <v>712</v>
      </c>
    </row>
    <row r="257" spans="1:12" x14ac:dyDescent="0.25">
      <c r="A257">
        <f t="shared" si="4"/>
        <v>256</v>
      </c>
      <c r="C257" t="s">
        <v>688</v>
      </c>
      <c r="D257" t="s">
        <v>713</v>
      </c>
      <c r="E257" t="s">
        <v>714</v>
      </c>
      <c r="F257" t="s">
        <v>715</v>
      </c>
      <c r="G257">
        <v>30</v>
      </c>
      <c r="H257">
        <v>10</v>
      </c>
      <c r="I257">
        <v>0.8</v>
      </c>
      <c r="J257">
        <v>1.5</v>
      </c>
      <c r="K257">
        <v>0.3</v>
      </c>
    </row>
    <row r="258" spans="1:12" x14ac:dyDescent="0.25">
      <c r="A258">
        <f t="shared" si="4"/>
        <v>257</v>
      </c>
      <c r="C258" t="s">
        <v>716</v>
      </c>
      <c r="D258" t="s">
        <v>717</v>
      </c>
      <c r="E258" t="s">
        <v>718</v>
      </c>
      <c r="F258" t="s">
        <v>719</v>
      </c>
      <c r="G258">
        <v>0.75</v>
      </c>
    </row>
    <row r="259" spans="1:12" x14ac:dyDescent="0.25">
      <c r="A259">
        <f t="shared" si="4"/>
        <v>258</v>
      </c>
      <c r="C259" t="s">
        <v>716</v>
      </c>
      <c r="D259" t="s">
        <v>720</v>
      </c>
      <c r="E259" t="s">
        <v>721</v>
      </c>
      <c r="G259">
        <v>1.25</v>
      </c>
    </row>
    <row r="260" spans="1:12" x14ac:dyDescent="0.25">
      <c r="A260">
        <f t="shared" ref="A260:A323" si="5">A259+1</f>
        <v>259</v>
      </c>
      <c r="C260" t="s">
        <v>716</v>
      </c>
      <c r="D260" t="s">
        <v>722</v>
      </c>
      <c r="E260" t="s">
        <v>723</v>
      </c>
      <c r="F260" t="s">
        <v>724</v>
      </c>
      <c r="G260">
        <v>45</v>
      </c>
      <c r="H260">
        <v>3</v>
      </c>
    </row>
    <row r="261" spans="1:12" x14ac:dyDescent="0.25">
      <c r="A261">
        <f t="shared" si="5"/>
        <v>260</v>
      </c>
      <c r="C261" t="s">
        <v>716</v>
      </c>
      <c r="D261" t="s">
        <v>725</v>
      </c>
      <c r="E261" t="s">
        <v>726</v>
      </c>
    </row>
    <row r="262" spans="1:12" x14ac:dyDescent="0.25">
      <c r="A262">
        <f t="shared" si="5"/>
        <v>261</v>
      </c>
      <c r="C262" t="s">
        <v>716</v>
      </c>
      <c r="D262" t="s">
        <v>727</v>
      </c>
      <c r="E262" t="s">
        <v>728</v>
      </c>
      <c r="F262" t="s">
        <v>729</v>
      </c>
      <c r="G262">
        <v>0.1</v>
      </c>
    </row>
    <row r="263" spans="1:12" x14ac:dyDescent="0.25">
      <c r="A263">
        <f t="shared" si="5"/>
        <v>262</v>
      </c>
      <c r="C263" t="s">
        <v>730</v>
      </c>
      <c r="D263" t="s">
        <v>731</v>
      </c>
      <c r="E263" t="s">
        <v>732</v>
      </c>
      <c r="F263" t="s">
        <v>733</v>
      </c>
      <c r="G263">
        <v>8</v>
      </c>
    </row>
    <row r="264" spans="1:12" x14ac:dyDescent="0.25">
      <c r="A264">
        <f t="shared" si="5"/>
        <v>263</v>
      </c>
      <c r="C264" t="s">
        <v>730</v>
      </c>
      <c r="D264" t="s">
        <v>734</v>
      </c>
      <c r="E264" t="s">
        <v>735</v>
      </c>
    </row>
    <row r="265" spans="1:12" x14ac:dyDescent="0.25">
      <c r="A265">
        <f t="shared" si="5"/>
        <v>264</v>
      </c>
      <c r="C265" t="s">
        <v>730</v>
      </c>
      <c r="D265" t="s">
        <v>736</v>
      </c>
      <c r="E265" t="s">
        <v>737</v>
      </c>
    </row>
    <row r="266" spans="1:12" x14ac:dyDescent="0.25">
      <c r="A266">
        <f t="shared" si="5"/>
        <v>265</v>
      </c>
      <c r="C266" t="s">
        <v>730</v>
      </c>
      <c r="D266" t="s">
        <v>738</v>
      </c>
      <c r="E266" t="s">
        <v>739</v>
      </c>
      <c r="F266" t="s">
        <v>740</v>
      </c>
      <c r="G266">
        <v>0.8</v>
      </c>
    </row>
    <row r="267" spans="1:12" x14ac:dyDescent="0.25">
      <c r="A267">
        <f t="shared" si="5"/>
        <v>266</v>
      </c>
      <c r="C267" t="s">
        <v>730</v>
      </c>
      <c r="D267" t="s">
        <v>741</v>
      </c>
      <c r="E267" t="s">
        <v>742</v>
      </c>
      <c r="F267" t="s">
        <v>743</v>
      </c>
      <c r="G267">
        <v>0.5</v>
      </c>
      <c r="H267">
        <v>20000</v>
      </c>
    </row>
    <row r="268" spans="1:12" x14ac:dyDescent="0.25">
      <c r="A268">
        <f t="shared" si="5"/>
        <v>267</v>
      </c>
      <c r="C268" t="s">
        <v>730</v>
      </c>
      <c r="D268" t="s">
        <v>744</v>
      </c>
      <c r="E268" t="s">
        <v>745</v>
      </c>
      <c r="F268" t="s">
        <v>746</v>
      </c>
      <c r="G268">
        <v>30</v>
      </c>
    </row>
    <row r="269" spans="1:12" x14ac:dyDescent="0.25">
      <c r="A269">
        <f t="shared" si="5"/>
        <v>268</v>
      </c>
      <c r="C269" t="s">
        <v>747</v>
      </c>
      <c r="D269" t="s">
        <v>748</v>
      </c>
      <c r="E269" t="s">
        <v>37</v>
      </c>
      <c r="F269" t="s">
        <v>749</v>
      </c>
      <c r="G269">
        <v>1</v>
      </c>
      <c r="H269">
        <v>1</v>
      </c>
      <c r="I269">
        <v>2</v>
      </c>
      <c r="J269">
        <v>1</v>
      </c>
      <c r="K269">
        <v>1</v>
      </c>
      <c r="L269">
        <v>1</v>
      </c>
    </row>
    <row r="270" spans="1:12" x14ac:dyDescent="0.25">
      <c r="A270">
        <f t="shared" si="5"/>
        <v>269</v>
      </c>
      <c r="C270" t="s">
        <v>747</v>
      </c>
      <c r="D270" t="s">
        <v>750</v>
      </c>
      <c r="E270" t="s">
        <v>37</v>
      </c>
      <c r="F270" t="s">
        <v>749</v>
      </c>
      <c r="G270">
        <v>1.35</v>
      </c>
      <c r="H270">
        <v>1</v>
      </c>
      <c r="I270">
        <v>2</v>
      </c>
      <c r="J270">
        <v>1</v>
      </c>
      <c r="K270">
        <v>1</v>
      </c>
      <c r="L270">
        <v>1.7</v>
      </c>
    </row>
    <row r="271" spans="1:12" x14ac:dyDescent="0.25">
      <c r="A271">
        <f t="shared" si="5"/>
        <v>270</v>
      </c>
      <c r="C271" t="s">
        <v>747</v>
      </c>
      <c r="D271" t="s">
        <v>751</v>
      </c>
      <c r="E271" t="s">
        <v>37</v>
      </c>
      <c r="F271" t="s">
        <v>749</v>
      </c>
      <c r="G271">
        <v>1.75</v>
      </c>
      <c r="H271">
        <v>2</v>
      </c>
      <c r="I271">
        <v>3</v>
      </c>
      <c r="J271">
        <v>2</v>
      </c>
      <c r="K271">
        <v>1</v>
      </c>
      <c r="L271">
        <v>2.8</v>
      </c>
    </row>
    <row r="272" spans="1:12" x14ac:dyDescent="0.25">
      <c r="A272">
        <f t="shared" si="5"/>
        <v>271</v>
      </c>
      <c r="C272" t="s">
        <v>747</v>
      </c>
      <c r="D272" t="s">
        <v>752</v>
      </c>
      <c r="E272" t="s">
        <v>37</v>
      </c>
      <c r="F272" t="s">
        <v>749</v>
      </c>
      <c r="G272">
        <v>2.2999999999999998</v>
      </c>
      <c r="H272">
        <v>3</v>
      </c>
      <c r="I272">
        <v>4</v>
      </c>
      <c r="J272">
        <v>2</v>
      </c>
      <c r="K272">
        <v>2</v>
      </c>
      <c r="L272">
        <v>4.5</v>
      </c>
    </row>
    <row r="273" spans="1:12" x14ac:dyDescent="0.25">
      <c r="A273">
        <f t="shared" si="5"/>
        <v>272</v>
      </c>
      <c r="C273" t="s">
        <v>747</v>
      </c>
      <c r="D273" t="s">
        <v>753</v>
      </c>
      <c r="E273" t="s">
        <v>37</v>
      </c>
      <c r="F273" t="s">
        <v>749</v>
      </c>
      <c r="G273">
        <v>3</v>
      </c>
      <c r="H273">
        <v>4</v>
      </c>
      <c r="I273">
        <v>5</v>
      </c>
      <c r="J273">
        <v>3</v>
      </c>
      <c r="K273">
        <v>2</v>
      </c>
      <c r="L273">
        <v>7.5</v>
      </c>
    </row>
    <row r="274" spans="1:12" x14ac:dyDescent="0.25">
      <c r="A274">
        <f t="shared" si="5"/>
        <v>273</v>
      </c>
      <c r="C274" t="s">
        <v>747</v>
      </c>
      <c r="D274" t="s">
        <v>754</v>
      </c>
      <c r="E274" t="s">
        <v>37</v>
      </c>
      <c r="F274" t="s">
        <v>749</v>
      </c>
      <c r="G274">
        <v>4</v>
      </c>
      <c r="H274">
        <v>4</v>
      </c>
      <c r="I274">
        <v>5</v>
      </c>
      <c r="J274">
        <v>4</v>
      </c>
      <c r="K274">
        <v>2</v>
      </c>
      <c r="L274">
        <v>12</v>
      </c>
    </row>
    <row r="275" spans="1:12" x14ac:dyDescent="0.25">
      <c r="A275">
        <f t="shared" si="5"/>
        <v>274</v>
      </c>
      <c r="C275" t="s">
        <v>747</v>
      </c>
      <c r="D275" t="s">
        <v>755</v>
      </c>
      <c r="E275" t="s">
        <v>37</v>
      </c>
      <c r="F275" t="s">
        <v>749</v>
      </c>
      <c r="G275">
        <v>5.2</v>
      </c>
      <c r="H275">
        <v>6</v>
      </c>
      <c r="I275">
        <v>6</v>
      </c>
      <c r="J275">
        <v>5</v>
      </c>
      <c r="K275">
        <v>3</v>
      </c>
      <c r="L275">
        <v>19</v>
      </c>
    </row>
    <row r="276" spans="1:12" x14ac:dyDescent="0.25">
      <c r="A276">
        <f t="shared" si="5"/>
        <v>275</v>
      </c>
      <c r="C276" t="s">
        <v>747</v>
      </c>
      <c r="D276" t="s">
        <v>756</v>
      </c>
      <c r="E276" t="s">
        <v>37</v>
      </c>
      <c r="F276" t="s">
        <v>749</v>
      </c>
      <c r="G276">
        <v>6.8</v>
      </c>
      <c r="H276">
        <v>7</v>
      </c>
      <c r="I276">
        <v>7</v>
      </c>
      <c r="J276">
        <v>6</v>
      </c>
      <c r="K276">
        <v>3</v>
      </c>
      <c r="L276">
        <v>30</v>
      </c>
    </row>
    <row r="277" spans="1:12" x14ac:dyDescent="0.25">
      <c r="A277">
        <f t="shared" si="5"/>
        <v>276</v>
      </c>
      <c r="C277" t="s">
        <v>747</v>
      </c>
      <c r="D277" t="s">
        <v>757</v>
      </c>
      <c r="E277" t="s">
        <v>37</v>
      </c>
      <c r="F277" t="s">
        <v>749</v>
      </c>
      <c r="G277">
        <v>10.199999999999999</v>
      </c>
      <c r="H277">
        <v>7</v>
      </c>
      <c r="I277">
        <v>7</v>
      </c>
      <c r="J277">
        <v>6</v>
      </c>
      <c r="K277">
        <v>3</v>
      </c>
      <c r="L277">
        <v>45</v>
      </c>
    </row>
    <row r="278" spans="1:12" x14ac:dyDescent="0.25">
      <c r="A278">
        <f t="shared" si="5"/>
        <v>277</v>
      </c>
      <c r="C278" t="s">
        <v>758</v>
      </c>
      <c r="D278" t="s">
        <v>79</v>
      </c>
      <c r="E278" t="s">
        <v>759</v>
      </c>
      <c r="F278" t="s">
        <v>760</v>
      </c>
      <c r="G278">
        <v>4</v>
      </c>
      <c r="H278">
        <v>0.55000000000000004</v>
      </c>
      <c r="I278">
        <v>11</v>
      </c>
      <c r="J278" t="s">
        <v>271</v>
      </c>
      <c r="K278" t="s">
        <v>761</v>
      </c>
    </row>
    <row r="279" spans="1:12" x14ac:dyDescent="0.25">
      <c r="A279">
        <f t="shared" si="5"/>
        <v>278</v>
      </c>
      <c r="C279" t="s">
        <v>758</v>
      </c>
      <c r="D279" t="s">
        <v>762</v>
      </c>
      <c r="E279" t="s">
        <v>759</v>
      </c>
      <c r="F279" t="s">
        <v>760</v>
      </c>
      <c r="G279">
        <v>4</v>
      </c>
      <c r="H279">
        <v>0.02</v>
      </c>
      <c r="I279">
        <v>7</v>
      </c>
      <c r="J279" t="s">
        <v>271</v>
      </c>
      <c r="K279" t="s">
        <v>763</v>
      </c>
    </row>
    <row r="280" spans="1:12" x14ac:dyDescent="0.25">
      <c r="A280">
        <f t="shared" si="5"/>
        <v>279</v>
      </c>
      <c r="C280" t="s">
        <v>758</v>
      </c>
      <c r="D280" t="s">
        <v>82</v>
      </c>
      <c r="E280" t="s">
        <v>759</v>
      </c>
      <c r="F280" t="s">
        <v>760</v>
      </c>
      <c r="G280">
        <v>4</v>
      </c>
      <c r="H280">
        <v>0.55000000000000004</v>
      </c>
      <c r="I280">
        <v>11</v>
      </c>
      <c r="J280" t="s">
        <v>271</v>
      </c>
      <c r="K280" t="s">
        <v>761</v>
      </c>
    </row>
    <row r="281" spans="1:12" x14ac:dyDescent="0.25">
      <c r="A281">
        <f t="shared" si="5"/>
        <v>280</v>
      </c>
      <c r="C281" t="s">
        <v>758</v>
      </c>
      <c r="D281" t="s">
        <v>764</v>
      </c>
      <c r="E281" t="s">
        <v>759</v>
      </c>
      <c r="F281" t="s">
        <v>760</v>
      </c>
      <c r="G281">
        <v>4</v>
      </c>
      <c r="H281">
        <v>0.02</v>
      </c>
      <c r="I281">
        <v>7</v>
      </c>
      <c r="J281" t="s">
        <v>271</v>
      </c>
      <c r="K281" t="s">
        <v>763</v>
      </c>
    </row>
    <row r="282" spans="1:12" x14ac:dyDescent="0.25">
      <c r="A282">
        <f t="shared" si="5"/>
        <v>281</v>
      </c>
      <c r="C282" t="s">
        <v>758</v>
      </c>
      <c r="D282" t="s">
        <v>765</v>
      </c>
      <c r="E282" t="s">
        <v>759</v>
      </c>
      <c r="F282" t="s">
        <v>760</v>
      </c>
      <c r="G282">
        <v>22</v>
      </c>
      <c r="H282">
        <v>3</v>
      </c>
      <c r="I282">
        <v>11</v>
      </c>
      <c r="J282" t="s">
        <v>271</v>
      </c>
      <c r="K282" t="s">
        <v>761</v>
      </c>
    </row>
    <row r="283" spans="1:12" x14ac:dyDescent="0.25">
      <c r="A283">
        <f t="shared" si="5"/>
        <v>282</v>
      </c>
      <c r="C283" t="s">
        <v>758</v>
      </c>
      <c r="D283" t="s">
        <v>766</v>
      </c>
      <c r="E283" t="s">
        <v>759</v>
      </c>
      <c r="F283" t="s">
        <v>760</v>
      </c>
      <c r="G283">
        <v>5</v>
      </c>
      <c r="H283">
        <v>0.02</v>
      </c>
      <c r="I283">
        <v>7</v>
      </c>
      <c r="J283" t="s">
        <v>271</v>
      </c>
      <c r="K283" t="s">
        <v>763</v>
      </c>
    </row>
    <row r="284" spans="1:12" x14ac:dyDescent="0.25">
      <c r="A284">
        <f t="shared" si="5"/>
        <v>283</v>
      </c>
      <c r="C284" t="s">
        <v>758</v>
      </c>
      <c r="D284" t="s">
        <v>767</v>
      </c>
      <c r="E284" t="s">
        <v>759</v>
      </c>
      <c r="F284" t="s">
        <v>760</v>
      </c>
      <c r="G284">
        <v>2</v>
      </c>
      <c r="H284">
        <v>0.5</v>
      </c>
      <c r="I284">
        <v>5</v>
      </c>
      <c r="J284" t="s">
        <v>271</v>
      </c>
      <c r="K284" t="s">
        <v>761</v>
      </c>
    </row>
    <row r="285" spans="1:12" x14ac:dyDescent="0.25">
      <c r="A285">
        <f t="shared" si="5"/>
        <v>284</v>
      </c>
      <c r="C285" t="s">
        <v>758</v>
      </c>
      <c r="D285" t="s">
        <v>768</v>
      </c>
      <c r="E285" t="s">
        <v>759</v>
      </c>
      <c r="F285" t="s">
        <v>760</v>
      </c>
      <c r="G285">
        <v>10</v>
      </c>
      <c r="H285">
        <v>1.2</v>
      </c>
      <c r="I285">
        <v>5</v>
      </c>
      <c r="J285" t="s">
        <v>271</v>
      </c>
      <c r="K285" t="s">
        <v>761</v>
      </c>
    </row>
    <row r="286" spans="1:12" x14ac:dyDescent="0.25">
      <c r="A286">
        <f t="shared" si="5"/>
        <v>285</v>
      </c>
      <c r="C286" t="s">
        <v>758</v>
      </c>
      <c r="D286" t="s">
        <v>76</v>
      </c>
      <c r="E286" t="s">
        <v>759</v>
      </c>
      <c r="F286" t="s">
        <v>760</v>
      </c>
      <c r="G286">
        <v>0.8</v>
      </c>
      <c r="H286">
        <v>0.06</v>
      </c>
      <c r="I286">
        <v>4</v>
      </c>
      <c r="J286" t="s">
        <v>271</v>
      </c>
      <c r="K286" t="s">
        <v>761</v>
      </c>
    </row>
    <row r="287" spans="1:12" x14ac:dyDescent="0.25">
      <c r="A287">
        <f t="shared" si="5"/>
        <v>286</v>
      </c>
      <c r="C287" t="s">
        <v>758</v>
      </c>
      <c r="D287" t="s">
        <v>769</v>
      </c>
      <c r="E287" t="s">
        <v>759</v>
      </c>
      <c r="F287" t="s">
        <v>760</v>
      </c>
      <c r="G287">
        <v>3</v>
      </c>
      <c r="H287">
        <v>0.4</v>
      </c>
      <c r="I287">
        <v>8</v>
      </c>
      <c r="J287" t="s">
        <v>271</v>
      </c>
      <c r="K287" t="s">
        <v>761</v>
      </c>
    </row>
    <row r="288" spans="1:12" x14ac:dyDescent="0.25">
      <c r="A288">
        <f t="shared" si="5"/>
        <v>287</v>
      </c>
      <c r="C288" t="s">
        <v>758</v>
      </c>
      <c r="D288" t="s">
        <v>770</v>
      </c>
      <c r="E288" t="s">
        <v>759</v>
      </c>
      <c r="F288" t="s">
        <v>760</v>
      </c>
      <c r="G288">
        <v>3</v>
      </c>
      <c r="H288">
        <v>0.4</v>
      </c>
      <c r="I288">
        <v>8</v>
      </c>
      <c r="J288" t="s">
        <v>271</v>
      </c>
      <c r="K288" t="s">
        <v>761</v>
      </c>
    </row>
    <row r="289" spans="1:11" x14ac:dyDescent="0.25">
      <c r="A289">
        <f t="shared" si="5"/>
        <v>288</v>
      </c>
      <c r="C289" t="s">
        <v>758</v>
      </c>
      <c r="D289" t="s">
        <v>771</v>
      </c>
      <c r="E289" t="s">
        <v>759</v>
      </c>
      <c r="F289" t="s">
        <v>760</v>
      </c>
      <c r="G289">
        <v>3</v>
      </c>
      <c r="H289">
        <v>0.4</v>
      </c>
      <c r="I289">
        <v>8</v>
      </c>
      <c r="J289" t="s">
        <v>271</v>
      </c>
      <c r="K289" t="s">
        <v>761</v>
      </c>
    </row>
    <row r="290" spans="1:11" x14ac:dyDescent="0.25">
      <c r="A290">
        <f t="shared" si="5"/>
        <v>289</v>
      </c>
      <c r="C290" t="s">
        <v>758</v>
      </c>
      <c r="D290" t="s">
        <v>772</v>
      </c>
      <c r="E290" t="s">
        <v>759</v>
      </c>
      <c r="F290" t="s">
        <v>760</v>
      </c>
      <c r="G290">
        <v>3</v>
      </c>
      <c r="H290">
        <v>0.4</v>
      </c>
      <c r="I290">
        <v>8</v>
      </c>
      <c r="J290" t="s">
        <v>271</v>
      </c>
      <c r="K290" t="s">
        <v>761</v>
      </c>
    </row>
    <row r="291" spans="1:11" x14ac:dyDescent="0.25">
      <c r="A291">
        <f t="shared" si="5"/>
        <v>290</v>
      </c>
      <c r="C291" t="s">
        <v>758</v>
      </c>
      <c r="D291" t="s">
        <v>85</v>
      </c>
      <c r="E291" t="s">
        <v>759</v>
      </c>
      <c r="F291" t="s">
        <v>760</v>
      </c>
      <c r="G291">
        <v>3</v>
      </c>
      <c r="H291">
        <v>0.35</v>
      </c>
      <c r="I291">
        <v>9</v>
      </c>
      <c r="J291" t="s">
        <v>271</v>
      </c>
      <c r="K291" t="s">
        <v>761</v>
      </c>
    </row>
    <row r="292" spans="1:11" x14ac:dyDescent="0.25">
      <c r="A292">
        <f t="shared" si="5"/>
        <v>291</v>
      </c>
      <c r="C292" t="s">
        <v>758</v>
      </c>
      <c r="D292" t="s">
        <v>773</v>
      </c>
      <c r="E292" t="s">
        <v>759</v>
      </c>
      <c r="F292" t="s">
        <v>760</v>
      </c>
      <c r="G292">
        <v>4</v>
      </c>
      <c r="H292">
        <v>0.02</v>
      </c>
      <c r="I292">
        <v>6</v>
      </c>
      <c r="J292" t="s">
        <v>271</v>
      </c>
      <c r="K292" t="s">
        <v>763</v>
      </c>
    </row>
    <row r="293" spans="1:11" x14ac:dyDescent="0.25">
      <c r="A293">
        <f t="shared" si="5"/>
        <v>292</v>
      </c>
      <c r="C293" t="s">
        <v>758</v>
      </c>
      <c r="D293" t="s">
        <v>88</v>
      </c>
      <c r="E293" t="s">
        <v>759</v>
      </c>
      <c r="F293" t="s">
        <v>760</v>
      </c>
      <c r="G293">
        <v>3</v>
      </c>
      <c r="H293">
        <v>0.35</v>
      </c>
      <c r="I293">
        <v>9</v>
      </c>
      <c r="J293" t="s">
        <v>271</v>
      </c>
      <c r="K293" t="s">
        <v>761</v>
      </c>
    </row>
    <row r="294" spans="1:11" x14ac:dyDescent="0.25">
      <c r="A294">
        <f t="shared" si="5"/>
        <v>293</v>
      </c>
      <c r="C294" t="s">
        <v>758</v>
      </c>
      <c r="D294" t="s">
        <v>111</v>
      </c>
      <c r="E294" t="s">
        <v>759</v>
      </c>
      <c r="F294" t="s">
        <v>760</v>
      </c>
      <c r="G294">
        <v>3</v>
      </c>
      <c r="H294">
        <v>0.35</v>
      </c>
      <c r="I294">
        <v>9</v>
      </c>
      <c r="J294" t="s">
        <v>753</v>
      </c>
      <c r="K294" t="s">
        <v>761</v>
      </c>
    </row>
    <row r="295" spans="1:11" x14ac:dyDescent="0.25">
      <c r="A295">
        <f t="shared" si="5"/>
        <v>294</v>
      </c>
      <c r="C295" t="s">
        <v>758</v>
      </c>
      <c r="D295" t="s">
        <v>774</v>
      </c>
      <c r="E295" t="s">
        <v>759</v>
      </c>
      <c r="F295" t="s">
        <v>760</v>
      </c>
      <c r="G295">
        <v>3</v>
      </c>
      <c r="H295">
        <v>1.2E-2</v>
      </c>
      <c r="I295">
        <v>6</v>
      </c>
      <c r="J295" t="s">
        <v>271</v>
      </c>
      <c r="K295" t="s">
        <v>763</v>
      </c>
    </row>
    <row r="296" spans="1:11" x14ac:dyDescent="0.25">
      <c r="A296">
        <f t="shared" si="5"/>
        <v>295</v>
      </c>
      <c r="C296" t="s">
        <v>758</v>
      </c>
      <c r="D296" t="s">
        <v>775</v>
      </c>
      <c r="E296" t="s">
        <v>759</v>
      </c>
      <c r="F296" t="s">
        <v>760</v>
      </c>
      <c r="G296">
        <v>2.5</v>
      </c>
      <c r="H296">
        <v>1.2E-2</v>
      </c>
      <c r="I296">
        <v>6</v>
      </c>
      <c r="J296" t="s">
        <v>271</v>
      </c>
      <c r="K296" t="s">
        <v>763</v>
      </c>
    </row>
    <row r="297" spans="1:11" x14ac:dyDescent="0.25">
      <c r="A297">
        <f t="shared" si="5"/>
        <v>296</v>
      </c>
      <c r="C297" t="s">
        <v>758</v>
      </c>
      <c r="D297" t="s">
        <v>776</v>
      </c>
      <c r="E297" t="s">
        <v>759</v>
      </c>
      <c r="F297" t="s">
        <v>760</v>
      </c>
      <c r="G297">
        <v>8</v>
      </c>
      <c r="H297">
        <v>0.05</v>
      </c>
      <c r="I297">
        <v>5</v>
      </c>
      <c r="J297" t="s">
        <v>271</v>
      </c>
      <c r="K297" t="s">
        <v>763</v>
      </c>
    </row>
    <row r="298" spans="1:11" x14ac:dyDescent="0.25">
      <c r="A298">
        <f t="shared" si="5"/>
        <v>297</v>
      </c>
      <c r="C298" t="s">
        <v>758</v>
      </c>
      <c r="D298" t="s">
        <v>777</v>
      </c>
      <c r="E298" t="s">
        <v>759</v>
      </c>
      <c r="F298" t="s">
        <v>760</v>
      </c>
      <c r="G298">
        <v>3</v>
      </c>
      <c r="H298">
        <v>1.4999999999999999E-2</v>
      </c>
      <c r="I298">
        <v>4</v>
      </c>
      <c r="J298" t="s">
        <v>750</v>
      </c>
      <c r="K298" t="s">
        <v>763</v>
      </c>
    </row>
    <row r="299" spans="1:11" x14ac:dyDescent="0.25">
      <c r="A299">
        <f t="shared" si="5"/>
        <v>298</v>
      </c>
      <c r="C299" t="s">
        <v>758</v>
      </c>
      <c r="D299" t="s">
        <v>778</v>
      </c>
      <c r="E299" t="s">
        <v>759</v>
      </c>
      <c r="F299" t="s">
        <v>760</v>
      </c>
      <c r="G299">
        <v>3</v>
      </c>
      <c r="H299">
        <v>1.4999999999999999E-2</v>
      </c>
      <c r="I299">
        <v>4</v>
      </c>
      <c r="J299" t="s">
        <v>750</v>
      </c>
      <c r="K299" t="s">
        <v>763</v>
      </c>
    </row>
    <row r="300" spans="1:11" x14ac:dyDescent="0.25">
      <c r="A300">
        <f t="shared" si="5"/>
        <v>299</v>
      </c>
      <c r="C300" t="s">
        <v>758</v>
      </c>
      <c r="D300" t="s">
        <v>779</v>
      </c>
      <c r="E300" t="s">
        <v>759</v>
      </c>
      <c r="F300" t="s">
        <v>760</v>
      </c>
      <c r="G300">
        <v>3</v>
      </c>
      <c r="H300">
        <v>1.4999999999999999E-2</v>
      </c>
      <c r="I300">
        <v>5</v>
      </c>
      <c r="J300" t="s">
        <v>271</v>
      </c>
      <c r="K300" t="s">
        <v>763</v>
      </c>
    </row>
    <row r="301" spans="1:11" x14ac:dyDescent="0.25">
      <c r="A301">
        <f t="shared" si="5"/>
        <v>300</v>
      </c>
      <c r="C301" t="s">
        <v>758</v>
      </c>
      <c r="D301" t="s">
        <v>780</v>
      </c>
      <c r="E301" t="s">
        <v>759</v>
      </c>
      <c r="F301" t="s">
        <v>760</v>
      </c>
      <c r="G301">
        <v>2.5</v>
      </c>
      <c r="H301">
        <v>0.01</v>
      </c>
      <c r="I301">
        <v>4</v>
      </c>
      <c r="J301" t="s">
        <v>751</v>
      </c>
      <c r="K301" t="s">
        <v>763</v>
      </c>
    </row>
    <row r="302" spans="1:11" x14ac:dyDescent="0.25">
      <c r="A302">
        <f t="shared" si="5"/>
        <v>301</v>
      </c>
      <c r="C302" t="s">
        <v>758</v>
      </c>
      <c r="D302" t="s">
        <v>781</v>
      </c>
      <c r="E302" t="s">
        <v>759</v>
      </c>
      <c r="F302" t="s">
        <v>760</v>
      </c>
      <c r="G302">
        <v>3</v>
      </c>
      <c r="H302">
        <v>1.2E-2</v>
      </c>
      <c r="I302">
        <v>4</v>
      </c>
      <c r="J302" t="s">
        <v>751</v>
      </c>
      <c r="K302" t="s">
        <v>763</v>
      </c>
    </row>
    <row r="303" spans="1:11" x14ac:dyDescent="0.25">
      <c r="A303">
        <f t="shared" si="5"/>
        <v>302</v>
      </c>
      <c r="C303" t="s">
        <v>758</v>
      </c>
      <c r="D303" t="s">
        <v>782</v>
      </c>
      <c r="E303" t="s">
        <v>759</v>
      </c>
      <c r="F303" t="s">
        <v>760</v>
      </c>
      <c r="G303">
        <v>1.5</v>
      </c>
      <c r="H303">
        <v>8.0000000000000002E-3</v>
      </c>
      <c r="I303">
        <v>4</v>
      </c>
      <c r="J303" t="s">
        <v>271</v>
      </c>
      <c r="K303" t="s">
        <v>763</v>
      </c>
    </row>
    <row r="304" spans="1:11" x14ac:dyDescent="0.25">
      <c r="A304">
        <f t="shared" si="5"/>
        <v>303</v>
      </c>
      <c r="C304" t="s">
        <v>758</v>
      </c>
      <c r="D304" t="s">
        <v>783</v>
      </c>
      <c r="E304" t="s">
        <v>759</v>
      </c>
      <c r="F304" t="s">
        <v>760</v>
      </c>
      <c r="G304">
        <v>1.2</v>
      </c>
      <c r="H304">
        <v>6.0000000000000001E-3</v>
      </c>
      <c r="I304">
        <v>3</v>
      </c>
      <c r="J304" t="s">
        <v>751</v>
      </c>
      <c r="K304" t="s">
        <v>763</v>
      </c>
    </row>
    <row r="305" spans="1:11" x14ac:dyDescent="0.25">
      <c r="A305">
        <f t="shared" si="5"/>
        <v>304</v>
      </c>
      <c r="C305" t="s">
        <v>758</v>
      </c>
      <c r="D305" t="s">
        <v>784</v>
      </c>
      <c r="E305" t="s">
        <v>759</v>
      </c>
      <c r="F305" t="s">
        <v>760</v>
      </c>
      <c r="G305">
        <v>4</v>
      </c>
      <c r="H305">
        <v>0.02</v>
      </c>
      <c r="I305">
        <v>4</v>
      </c>
      <c r="J305" t="s">
        <v>751</v>
      </c>
      <c r="K305" t="s">
        <v>763</v>
      </c>
    </row>
    <row r="306" spans="1:11" x14ac:dyDescent="0.25">
      <c r="A306">
        <f t="shared" si="5"/>
        <v>305</v>
      </c>
      <c r="C306" t="s">
        <v>758</v>
      </c>
      <c r="D306" t="s">
        <v>785</v>
      </c>
      <c r="E306" t="s">
        <v>759</v>
      </c>
      <c r="F306" t="s">
        <v>760</v>
      </c>
      <c r="G306">
        <v>4</v>
      </c>
      <c r="H306">
        <v>0.02</v>
      </c>
      <c r="I306">
        <v>4</v>
      </c>
      <c r="J306" t="s">
        <v>751</v>
      </c>
      <c r="K306" t="s">
        <v>763</v>
      </c>
    </row>
    <row r="307" spans="1:11" x14ac:dyDescent="0.25">
      <c r="A307">
        <f t="shared" si="5"/>
        <v>306</v>
      </c>
      <c r="C307" t="s">
        <v>758</v>
      </c>
      <c r="D307" t="s">
        <v>786</v>
      </c>
      <c r="E307" t="s">
        <v>759</v>
      </c>
      <c r="F307" t="s">
        <v>760</v>
      </c>
      <c r="G307">
        <v>4</v>
      </c>
      <c r="H307">
        <v>0.02</v>
      </c>
      <c r="I307">
        <v>4</v>
      </c>
      <c r="J307" t="s">
        <v>751</v>
      </c>
      <c r="K307" t="s">
        <v>763</v>
      </c>
    </row>
    <row r="308" spans="1:11" x14ac:dyDescent="0.25">
      <c r="A308">
        <f t="shared" si="5"/>
        <v>307</v>
      </c>
      <c r="C308" t="s">
        <v>758</v>
      </c>
      <c r="D308" t="s">
        <v>787</v>
      </c>
      <c r="E308" t="s">
        <v>759</v>
      </c>
      <c r="F308" t="s">
        <v>760</v>
      </c>
      <c r="G308">
        <v>2.5</v>
      </c>
      <c r="H308">
        <v>1.2E-2</v>
      </c>
      <c r="I308">
        <v>4</v>
      </c>
      <c r="J308" t="s">
        <v>271</v>
      </c>
      <c r="K308" t="s">
        <v>763</v>
      </c>
    </row>
    <row r="309" spans="1:11" x14ac:dyDescent="0.25">
      <c r="A309">
        <f t="shared" si="5"/>
        <v>308</v>
      </c>
      <c r="C309" t="s">
        <v>758</v>
      </c>
      <c r="D309" t="s">
        <v>788</v>
      </c>
      <c r="E309" t="s">
        <v>759</v>
      </c>
      <c r="F309" t="s">
        <v>760</v>
      </c>
      <c r="G309">
        <v>4</v>
      </c>
      <c r="H309">
        <v>0.02</v>
      </c>
      <c r="I309">
        <v>3</v>
      </c>
      <c r="J309" t="s">
        <v>751</v>
      </c>
      <c r="K309" t="s">
        <v>763</v>
      </c>
    </row>
    <row r="310" spans="1:11" x14ac:dyDescent="0.25">
      <c r="A310">
        <f t="shared" si="5"/>
        <v>309</v>
      </c>
      <c r="C310" t="s">
        <v>758</v>
      </c>
      <c r="D310" t="s">
        <v>789</v>
      </c>
      <c r="E310" t="s">
        <v>759</v>
      </c>
      <c r="F310" t="s">
        <v>760</v>
      </c>
      <c r="G310">
        <v>2</v>
      </c>
      <c r="H310">
        <v>0.01</v>
      </c>
      <c r="I310">
        <v>4</v>
      </c>
      <c r="J310" t="s">
        <v>271</v>
      </c>
      <c r="K310" t="s">
        <v>763</v>
      </c>
    </row>
    <row r="311" spans="1:11" x14ac:dyDescent="0.25">
      <c r="A311">
        <f t="shared" si="5"/>
        <v>310</v>
      </c>
      <c r="C311" t="s">
        <v>758</v>
      </c>
      <c r="D311" t="s">
        <v>790</v>
      </c>
      <c r="E311" t="s">
        <v>759</v>
      </c>
      <c r="F311" t="s">
        <v>760</v>
      </c>
      <c r="G311">
        <v>4</v>
      </c>
      <c r="H311">
        <v>0.02</v>
      </c>
      <c r="I311">
        <v>3</v>
      </c>
      <c r="J311" t="s">
        <v>751</v>
      </c>
      <c r="K311" t="s">
        <v>763</v>
      </c>
    </row>
    <row r="312" spans="1:11" x14ac:dyDescent="0.25">
      <c r="A312">
        <f t="shared" si="5"/>
        <v>311</v>
      </c>
      <c r="C312" t="s">
        <v>758</v>
      </c>
      <c r="D312" t="s">
        <v>791</v>
      </c>
      <c r="E312" t="s">
        <v>759</v>
      </c>
      <c r="F312" t="s">
        <v>760</v>
      </c>
      <c r="G312">
        <v>5</v>
      </c>
      <c r="H312">
        <v>2.5000000000000001E-2</v>
      </c>
      <c r="I312">
        <v>3</v>
      </c>
      <c r="J312" t="s">
        <v>752</v>
      </c>
      <c r="K312" t="s">
        <v>763</v>
      </c>
    </row>
    <row r="313" spans="1:11" x14ac:dyDescent="0.25">
      <c r="A313">
        <f t="shared" si="5"/>
        <v>312</v>
      </c>
      <c r="C313" t="s">
        <v>758</v>
      </c>
      <c r="D313" t="s">
        <v>792</v>
      </c>
      <c r="E313" t="s">
        <v>759</v>
      </c>
      <c r="F313" t="s">
        <v>760</v>
      </c>
      <c r="G313">
        <v>2</v>
      </c>
      <c r="H313">
        <v>8.0000000000000002E-3</v>
      </c>
      <c r="I313">
        <v>3</v>
      </c>
      <c r="J313" t="s">
        <v>752</v>
      </c>
      <c r="K313" t="s">
        <v>763</v>
      </c>
    </row>
    <row r="314" spans="1:11" x14ac:dyDescent="0.25">
      <c r="A314">
        <f t="shared" si="5"/>
        <v>313</v>
      </c>
      <c r="C314" t="s">
        <v>758</v>
      </c>
      <c r="D314" t="s">
        <v>793</v>
      </c>
      <c r="E314" t="s">
        <v>759</v>
      </c>
      <c r="F314" t="s">
        <v>760</v>
      </c>
      <c r="G314">
        <v>2</v>
      </c>
      <c r="H314">
        <v>8.0000000000000002E-3</v>
      </c>
      <c r="I314">
        <v>3</v>
      </c>
      <c r="J314" t="s">
        <v>752</v>
      </c>
      <c r="K314" t="s">
        <v>763</v>
      </c>
    </row>
    <row r="315" spans="1:11" x14ac:dyDescent="0.25">
      <c r="A315">
        <f t="shared" si="5"/>
        <v>314</v>
      </c>
      <c r="C315" t="s">
        <v>758</v>
      </c>
      <c r="D315" t="s">
        <v>794</v>
      </c>
      <c r="E315" t="s">
        <v>759</v>
      </c>
      <c r="F315" t="s">
        <v>760</v>
      </c>
      <c r="G315">
        <v>4</v>
      </c>
      <c r="H315">
        <v>0.02</v>
      </c>
      <c r="I315">
        <v>3</v>
      </c>
      <c r="J315" t="s">
        <v>750</v>
      </c>
      <c r="K315" t="s">
        <v>763</v>
      </c>
    </row>
    <row r="316" spans="1:11" x14ac:dyDescent="0.25">
      <c r="A316">
        <f t="shared" si="5"/>
        <v>315</v>
      </c>
      <c r="C316" t="s">
        <v>758</v>
      </c>
      <c r="D316" t="s">
        <v>795</v>
      </c>
      <c r="E316" t="s">
        <v>759</v>
      </c>
      <c r="F316" t="s">
        <v>760</v>
      </c>
      <c r="G316">
        <v>4</v>
      </c>
      <c r="H316">
        <v>0.02</v>
      </c>
      <c r="I316">
        <v>3</v>
      </c>
      <c r="J316" t="s">
        <v>750</v>
      </c>
      <c r="K316" t="s">
        <v>763</v>
      </c>
    </row>
    <row r="317" spans="1:11" x14ac:dyDescent="0.25">
      <c r="A317">
        <f t="shared" si="5"/>
        <v>316</v>
      </c>
      <c r="C317" t="s">
        <v>758</v>
      </c>
      <c r="D317" t="s">
        <v>796</v>
      </c>
      <c r="E317" t="s">
        <v>759</v>
      </c>
      <c r="F317" t="s">
        <v>760</v>
      </c>
      <c r="G317">
        <v>4</v>
      </c>
      <c r="H317">
        <v>0.02</v>
      </c>
      <c r="I317">
        <v>3</v>
      </c>
      <c r="J317" t="s">
        <v>750</v>
      </c>
      <c r="K317" t="s">
        <v>763</v>
      </c>
    </row>
    <row r="318" spans="1:11" x14ac:dyDescent="0.25">
      <c r="A318">
        <f t="shared" si="5"/>
        <v>317</v>
      </c>
      <c r="C318" t="s">
        <v>758</v>
      </c>
      <c r="D318" t="s">
        <v>797</v>
      </c>
      <c r="E318" t="s">
        <v>759</v>
      </c>
      <c r="F318" t="s">
        <v>760</v>
      </c>
      <c r="G318">
        <v>4</v>
      </c>
      <c r="H318">
        <v>0.02</v>
      </c>
      <c r="I318">
        <v>3</v>
      </c>
      <c r="J318" t="s">
        <v>750</v>
      </c>
      <c r="K318" t="s">
        <v>763</v>
      </c>
    </row>
    <row r="319" spans="1:11" x14ac:dyDescent="0.25">
      <c r="A319">
        <f t="shared" si="5"/>
        <v>318</v>
      </c>
      <c r="C319" t="s">
        <v>758</v>
      </c>
      <c r="D319" t="s">
        <v>798</v>
      </c>
      <c r="E319" t="s">
        <v>759</v>
      </c>
      <c r="F319" t="s">
        <v>760</v>
      </c>
      <c r="G319">
        <v>4</v>
      </c>
      <c r="H319">
        <v>0.02</v>
      </c>
      <c r="I319">
        <v>3</v>
      </c>
      <c r="J319" t="s">
        <v>750</v>
      </c>
      <c r="K319" t="s">
        <v>763</v>
      </c>
    </row>
    <row r="320" spans="1:11" x14ac:dyDescent="0.25">
      <c r="A320">
        <f t="shared" si="5"/>
        <v>319</v>
      </c>
      <c r="C320" t="s">
        <v>758</v>
      </c>
      <c r="D320" t="s">
        <v>799</v>
      </c>
      <c r="E320" t="s">
        <v>759</v>
      </c>
      <c r="F320" t="s">
        <v>760</v>
      </c>
      <c r="G320">
        <v>4</v>
      </c>
      <c r="H320">
        <v>0.02</v>
      </c>
      <c r="I320">
        <v>3</v>
      </c>
      <c r="J320" t="s">
        <v>750</v>
      </c>
      <c r="K320" t="s">
        <v>763</v>
      </c>
    </row>
    <row r="321" spans="1:11" x14ac:dyDescent="0.25">
      <c r="A321">
        <f t="shared" si="5"/>
        <v>320</v>
      </c>
      <c r="C321" t="s">
        <v>758</v>
      </c>
      <c r="D321" t="s">
        <v>800</v>
      </c>
      <c r="E321" t="s">
        <v>759</v>
      </c>
      <c r="F321" t="s">
        <v>760</v>
      </c>
      <c r="G321">
        <v>4</v>
      </c>
      <c r="H321">
        <v>0.02</v>
      </c>
      <c r="I321">
        <v>3</v>
      </c>
      <c r="J321" t="s">
        <v>752</v>
      </c>
      <c r="K321" t="s">
        <v>763</v>
      </c>
    </row>
    <row r="322" spans="1:11" x14ac:dyDescent="0.25">
      <c r="A322">
        <f t="shared" si="5"/>
        <v>321</v>
      </c>
      <c r="C322" t="s">
        <v>758</v>
      </c>
      <c r="D322" t="s">
        <v>801</v>
      </c>
      <c r="E322" t="s">
        <v>759</v>
      </c>
      <c r="F322" t="s">
        <v>760</v>
      </c>
      <c r="G322">
        <v>3</v>
      </c>
      <c r="H322">
        <v>1.2E-2</v>
      </c>
      <c r="I322">
        <v>4</v>
      </c>
      <c r="J322" t="s">
        <v>271</v>
      </c>
      <c r="K322" t="s">
        <v>763</v>
      </c>
    </row>
    <row r="323" spans="1:11" x14ac:dyDescent="0.25">
      <c r="A323">
        <f t="shared" si="5"/>
        <v>322</v>
      </c>
      <c r="C323" t="s">
        <v>758</v>
      </c>
      <c r="D323" t="s">
        <v>802</v>
      </c>
      <c r="E323" t="s">
        <v>759</v>
      </c>
      <c r="F323" t="s">
        <v>760</v>
      </c>
      <c r="G323">
        <v>3</v>
      </c>
      <c r="H323">
        <v>1.4999999999999999E-2</v>
      </c>
      <c r="I323">
        <v>4</v>
      </c>
      <c r="J323" t="s">
        <v>271</v>
      </c>
      <c r="K323" t="s">
        <v>763</v>
      </c>
    </row>
    <row r="324" spans="1:11" x14ac:dyDescent="0.25">
      <c r="A324">
        <f t="shared" ref="A324:A387" si="6">A323+1</f>
        <v>323</v>
      </c>
      <c r="C324" t="s">
        <v>758</v>
      </c>
      <c r="D324" t="s">
        <v>803</v>
      </c>
      <c r="E324" t="s">
        <v>759</v>
      </c>
      <c r="F324" t="s">
        <v>760</v>
      </c>
      <c r="G324">
        <v>4</v>
      </c>
      <c r="H324">
        <v>0.02</v>
      </c>
      <c r="I324">
        <v>4</v>
      </c>
      <c r="J324" t="s">
        <v>271</v>
      </c>
      <c r="K324" t="s">
        <v>804</v>
      </c>
    </row>
    <row r="325" spans="1:11" x14ac:dyDescent="0.25">
      <c r="A325">
        <f t="shared" si="6"/>
        <v>324</v>
      </c>
      <c r="C325" t="s">
        <v>758</v>
      </c>
      <c r="D325" t="s">
        <v>805</v>
      </c>
      <c r="E325" t="s">
        <v>759</v>
      </c>
      <c r="F325" t="s">
        <v>760</v>
      </c>
      <c r="G325">
        <v>5</v>
      </c>
      <c r="H325">
        <v>2.5000000000000001E-2</v>
      </c>
      <c r="I325">
        <v>4</v>
      </c>
      <c r="J325" t="s">
        <v>271</v>
      </c>
      <c r="K325" t="s">
        <v>804</v>
      </c>
    </row>
    <row r="326" spans="1:11" x14ac:dyDescent="0.25">
      <c r="A326">
        <f t="shared" si="6"/>
        <v>325</v>
      </c>
      <c r="C326" t="s">
        <v>758</v>
      </c>
      <c r="D326" t="s">
        <v>806</v>
      </c>
      <c r="E326" t="s">
        <v>759</v>
      </c>
      <c r="F326" t="s">
        <v>760</v>
      </c>
      <c r="G326">
        <v>2</v>
      </c>
      <c r="H326">
        <v>0.1</v>
      </c>
      <c r="I326">
        <v>3</v>
      </c>
      <c r="J326" t="s">
        <v>752</v>
      </c>
      <c r="K326" t="s">
        <v>807</v>
      </c>
    </row>
    <row r="327" spans="1:11" x14ac:dyDescent="0.25">
      <c r="A327">
        <f t="shared" si="6"/>
        <v>326</v>
      </c>
      <c r="C327" t="s">
        <v>758</v>
      </c>
      <c r="D327" t="s">
        <v>105</v>
      </c>
      <c r="E327" t="s">
        <v>759</v>
      </c>
      <c r="F327" t="s">
        <v>760</v>
      </c>
      <c r="G327">
        <v>2</v>
      </c>
      <c r="H327">
        <v>0.3</v>
      </c>
      <c r="I327">
        <v>3</v>
      </c>
      <c r="J327" t="s">
        <v>271</v>
      </c>
      <c r="K327" t="s">
        <v>807</v>
      </c>
    </row>
    <row r="328" spans="1:11" x14ac:dyDescent="0.25">
      <c r="A328">
        <f t="shared" si="6"/>
        <v>327</v>
      </c>
      <c r="C328" t="s">
        <v>758</v>
      </c>
      <c r="D328" t="s">
        <v>808</v>
      </c>
      <c r="E328" t="s">
        <v>759</v>
      </c>
      <c r="F328" t="s">
        <v>760</v>
      </c>
      <c r="G328">
        <v>3</v>
      </c>
      <c r="H328">
        <v>1.4999999999999999E-2</v>
      </c>
      <c r="I328">
        <v>3</v>
      </c>
      <c r="J328" t="s">
        <v>752</v>
      </c>
      <c r="K328" t="s">
        <v>763</v>
      </c>
    </row>
    <row r="329" spans="1:11" x14ac:dyDescent="0.25">
      <c r="A329">
        <f t="shared" si="6"/>
        <v>328</v>
      </c>
      <c r="C329" t="s">
        <v>758</v>
      </c>
      <c r="D329" t="s">
        <v>809</v>
      </c>
      <c r="E329" t="s">
        <v>759</v>
      </c>
      <c r="F329" t="s">
        <v>760</v>
      </c>
      <c r="G329">
        <v>3</v>
      </c>
      <c r="H329">
        <v>1.4999999999999999E-2</v>
      </c>
      <c r="I329">
        <v>3</v>
      </c>
      <c r="J329" t="s">
        <v>752</v>
      </c>
      <c r="K329" t="s">
        <v>763</v>
      </c>
    </row>
    <row r="330" spans="1:11" x14ac:dyDescent="0.25">
      <c r="A330">
        <f t="shared" si="6"/>
        <v>329</v>
      </c>
      <c r="C330" t="s">
        <v>758</v>
      </c>
      <c r="D330" t="s">
        <v>810</v>
      </c>
      <c r="E330" t="s">
        <v>759</v>
      </c>
      <c r="F330" t="s">
        <v>760</v>
      </c>
      <c r="G330">
        <v>2.5</v>
      </c>
      <c r="H330">
        <v>1.2E-2</v>
      </c>
      <c r="I330">
        <v>2</v>
      </c>
      <c r="J330" t="s">
        <v>753</v>
      </c>
      <c r="K330" t="s">
        <v>763</v>
      </c>
    </row>
    <row r="331" spans="1:11" x14ac:dyDescent="0.25">
      <c r="A331">
        <f t="shared" si="6"/>
        <v>330</v>
      </c>
      <c r="C331" t="s">
        <v>758</v>
      </c>
      <c r="D331" t="s">
        <v>811</v>
      </c>
      <c r="E331" t="s">
        <v>759</v>
      </c>
      <c r="F331" t="s">
        <v>760</v>
      </c>
      <c r="G331">
        <v>2</v>
      </c>
      <c r="H331">
        <v>0.08</v>
      </c>
      <c r="I331">
        <v>2</v>
      </c>
      <c r="J331" t="s">
        <v>753</v>
      </c>
      <c r="K331" t="s">
        <v>761</v>
      </c>
    </row>
    <row r="332" spans="1:11" x14ac:dyDescent="0.25">
      <c r="A332">
        <f t="shared" si="6"/>
        <v>331</v>
      </c>
      <c r="C332" t="s">
        <v>758</v>
      </c>
      <c r="D332" t="s">
        <v>812</v>
      </c>
      <c r="E332" t="s">
        <v>759</v>
      </c>
      <c r="F332" t="s">
        <v>760</v>
      </c>
      <c r="G332">
        <v>3</v>
      </c>
      <c r="H332">
        <v>1.4999999999999999E-2</v>
      </c>
      <c r="I332">
        <v>2</v>
      </c>
      <c r="J332" t="s">
        <v>753</v>
      </c>
      <c r="K332" t="s">
        <v>804</v>
      </c>
    </row>
    <row r="333" spans="1:11" x14ac:dyDescent="0.25">
      <c r="A333">
        <f t="shared" si="6"/>
        <v>332</v>
      </c>
      <c r="C333" t="s">
        <v>758</v>
      </c>
      <c r="D333" t="s">
        <v>813</v>
      </c>
      <c r="E333" t="s">
        <v>759</v>
      </c>
      <c r="F333" t="s">
        <v>760</v>
      </c>
      <c r="G333">
        <v>5</v>
      </c>
      <c r="H333">
        <v>2.5000000000000001E-2</v>
      </c>
      <c r="I333">
        <v>2</v>
      </c>
      <c r="J333" t="s">
        <v>753</v>
      </c>
      <c r="K333" t="s">
        <v>804</v>
      </c>
    </row>
    <row r="334" spans="1:11" x14ac:dyDescent="0.25">
      <c r="A334">
        <f t="shared" si="6"/>
        <v>333</v>
      </c>
      <c r="C334" t="s">
        <v>814</v>
      </c>
      <c r="D334" t="s">
        <v>815</v>
      </c>
      <c r="E334" t="s">
        <v>816</v>
      </c>
      <c r="F334" t="s">
        <v>817</v>
      </c>
      <c r="G334">
        <v>10</v>
      </c>
      <c r="H334">
        <v>2</v>
      </c>
      <c r="I334" t="s">
        <v>209</v>
      </c>
    </row>
    <row r="335" spans="1:11" x14ac:dyDescent="0.25">
      <c r="A335">
        <f t="shared" si="6"/>
        <v>334</v>
      </c>
      <c r="C335" t="s">
        <v>814</v>
      </c>
      <c r="D335" t="s">
        <v>818</v>
      </c>
      <c r="E335" t="s">
        <v>816</v>
      </c>
      <c r="F335" t="s">
        <v>817</v>
      </c>
      <c r="G335">
        <v>5</v>
      </c>
      <c r="H335">
        <v>1</v>
      </c>
      <c r="I335" t="s">
        <v>209</v>
      </c>
    </row>
    <row r="336" spans="1:11" x14ac:dyDescent="0.25">
      <c r="A336">
        <f t="shared" si="6"/>
        <v>335</v>
      </c>
      <c r="C336" t="s">
        <v>814</v>
      </c>
      <c r="D336" t="s">
        <v>819</v>
      </c>
      <c r="E336" t="s">
        <v>816</v>
      </c>
      <c r="F336" t="s">
        <v>817</v>
      </c>
      <c r="G336">
        <v>10</v>
      </c>
      <c r="H336">
        <v>2</v>
      </c>
      <c r="I336">
        <v>45</v>
      </c>
    </row>
    <row r="337" spans="1:9" x14ac:dyDescent="0.25">
      <c r="A337">
        <f t="shared" si="6"/>
        <v>336</v>
      </c>
      <c r="C337" t="s">
        <v>814</v>
      </c>
      <c r="D337" t="s">
        <v>820</v>
      </c>
      <c r="E337" t="s">
        <v>816</v>
      </c>
      <c r="F337" t="s">
        <v>817</v>
      </c>
      <c r="G337">
        <v>6</v>
      </c>
      <c r="H337">
        <v>1.5</v>
      </c>
      <c r="I337">
        <v>30</v>
      </c>
    </row>
    <row r="338" spans="1:9" x14ac:dyDescent="0.25">
      <c r="A338">
        <f t="shared" si="6"/>
        <v>337</v>
      </c>
      <c r="C338" t="s">
        <v>814</v>
      </c>
      <c r="D338" t="s">
        <v>821</v>
      </c>
      <c r="E338" t="s">
        <v>816</v>
      </c>
      <c r="F338" t="s">
        <v>817</v>
      </c>
      <c r="G338">
        <v>12</v>
      </c>
      <c r="H338">
        <v>3</v>
      </c>
      <c r="I338" t="s">
        <v>209</v>
      </c>
    </row>
    <row r="339" spans="1:9" x14ac:dyDescent="0.25">
      <c r="A339">
        <f t="shared" si="6"/>
        <v>338</v>
      </c>
      <c r="C339" t="s">
        <v>814</v>
      </c>
      <c r="D339" t="s">
        <v>822</v>
      </c>
      <c r="E339" t="s">
        <v>816</v>
      </c>
      <c r="F339" t="s">
        <v>817</v>
      </c>
      <c r="G339">
        <v>6</v>
      </c>
      <c r="H339">
        <v>1.5</v>
      </c>
      <c r="I339" t="s">
        <v>209</v>
      </c>
    </row>
    <row r="340" spans="1:9" x14ac:dyDescent="0.25">
      <c r="A340">
        <f t="shared" si="6"/>
        <v>339</v>
      </c>
      <c r="C340" t="s">
        <v>814</v>
      </c>
      <c r="D340" t="s">
        <v>823</v>
      </c>
      <c r="E340" t="s">
        <v>816</v>
      </c>
      <c r="F340" t="s">
        <v>817</v>
      </c>
      <c r="G340">
        <v>5</v>
      </c>
      <c r="H340">
        <v>1.5</v>
      </c>
      <c r="I340" t="s">
        <v>209</v>
      </c>
    </row>
    <row r="341" spans="1:9" x14ac:dyDescent="0.25">
      <c r="A341">
        <f t="shared" si="6"/>
        <v>340</v>
      </c>
      <c r="C341" t="s">
        <v>824</v>
      </c>
      <c r="D341" t="s">
        <v>825</v>
      </c>
      <c r="E341" t="s">
        <v>826</v>
      </c>
      <c r="F341" t="s">
        <v>827</v>
      </c>
      <c r="G341">
        <v>25</v>
      </c>
    </row>
    <row r="342" spans="1:9" x14ac:dyDescent="0.25">
      <c r="A342">
        <f t="shared" si="6"/>
        <v>341</v>
      </c>
      <c r="C342" t="s">
        <v>824</v>
      </c>
      <c r="D342" t="s">
        <v>828</v>
      </c>
      <c r="E342" t="s">
        <v>826</v>
      </c>
      <c r="F342" t="s">
        <v>829</v>
      </c>
      <c r="G342">
        <v>18</v>
      </c>
    </row>
    <row r="343" spans="1:9" x14ac:dyDescent="0.25">
      <c r="A343">
        <f t="shared" si="6"/>
        <v>342</v>
      </c>
      <c r="C343" t="s">
        <v>824</v>
      </c>
      <c r="D343" t="s">
        <v>830</v>
      </c>
      <c r="E343" t="s">
        <v>826</v>
      </c>
      <c r="F343" t="s">
        <v>831</v>
      </c>
      <c r="G343">
        <v>15</v>
      </c>
    </row>
    <row r="344" spans="1:9" x14ac:dyDescent="0.25">
      <c r="A344">
        <f t="shared" si="6"/>
        <v>343</v>
      </c>
      <c r="C344" t="s">
        <v>824</v>
      </c>
      <c r="D344" t="s">
        <v>832</v>
      </c>
      <c r="E344" t="s">
        <v>826</v>
      </c>
      <c r="F344" t="s">
        <v>833</v>
      </c>
      <c r="G344">
        <v>30</v>
      </c>
    </row>
    <row r="345" spans="1:9" x14ac:dyDescent="0.25">
      <c r="A345">
        <f t="shared" si="6"/>
        <v>344</v>
      </c>
      <c r="C345" t="s">
        <v>824</v>
      </c>
      <c r="D345" t="s">
        <v>834</v>
      </c>
      <c r="E345" t="s">
        <v>826</v>
      </c>
      <c r="F345" t="s">
        <v>835</v>
      </c>
      <c r="G345">
        <v>25</v>
      </c>
    </row>
    <row r="346" spans="1:9" x14ac:dyDescent="0.25">
      <c r="A346">
        <f t="shared" si="6"/>
        <v>345</v>
      </c>
      <c r="C346" t="s">
        <v>824</v>
      </c>
      <c r="D346" t="s">
        <v>836</v>
      </c>
      <c r="E346" t="s">
        <v>826</v>
      </c>
      <c r="F346" t="s">
        <v>837</v>
      </c>
      <c r="G346">
        <v>25</v>
      </c>
    </row>
    <row r="347" spans="1:9" x14ac:dyDescent="0.25">
      <c r="A347">
        <f t="shared" si="6"/>
        <v>346</v>
      </c>
      <c r="C347" t="s">
        <v>824</v>
      </c>
      <c r="D347" t="s">
        <v>838</v>
      </c>
      <c r="E347" t="s">
        <v>826</v>
      </c>
      <c r="F347" t="s">
        <v>839</v>
      </c>
      <c r="G347">
        <v>12</v>
      </c>
    </row>
    <row r="348" spans="1:9" x14ac:dyDescent="0.25">
      <c r="A348">
        <f t="shared" si="6"/>
        <v>347</v>
      </c>
      <c r="C348" t="s">
        <v>824</v>
      </c>
      <c r="D348" t="s">
        <v>840</v>
      </c>
      <c r="E348" t="s">
        <v>826</v>
      </c>
      <c r="F348" t="s">
        <v>841</v>
      </c>
      <c r="G348">
        <v>15</v>
      </c>
    </row>
    <row r="349" spans="1:9" x14ac:dyDescent="0.25">
      <c r="A349">
        <f t="shared" si="6"/>
        <v>348</v>
      </c>
      <c r="C349" t="s">
        <v>824</v>
      </c>
      <c r="D349" t="s">
        <v>842</v>
      </c>
      <c r="E349" t="s">
        <v>826</v>
      </c>
      <c r="F349" t="s">
        <v>843</v>
      </c>
      <c r="G349">
        <v>8</v>
      </c>
    </row>
    <row r="350" spans="1:9" x14ac:dyDescent="0.25">
      <c r="A350">
        <f t="shared" si="6"/>
        <v>349</v>
      </c>
      <c r="C350" t="s">
        <v>824</v>
      </c>
      <c r="D350" t="s">
        <v>844</v>
      </c>
      <c r="E350" t="s">
        <v>826</v>
      </c>
      <c r="F350" t="s">
        <v>845</v>
      </c>
      <c r="G350">
        <v>30</v>
      </c>
    </row>
    <row r="351" spans="1:9" x14ac:dyDescent="0.25">
      <c r="A351">
        <f t="shared" si="6"/>
        <v>350</v>
      </c>
      <c r="C351" t="s">
        <v>824</v>
      </c>
      <c r="D351" t="s">
        <v>846</v>
      </c>
      <c r="E351" t="s">
        <v>826</v>
      </c>
      <c r="F351" t="s">
        <v>847</v>
      </c>
      <c r="G351">
        <v>5</v>
      </c>
    </row>
    <row r="352" spans="1:9" x14ac:dyDescent="0.25">
      <c r="A352">
        <f t="shared" si="6"/>
        <v>351</v>
      </c>
      <c r="C352" t="s">
        <v>824</v>
      </c>
      <c r="D352" t="s">
        <v>848</v>
      </c>
      <c r="E352" t="s">
        <v>826</v>
      </c>
      <c r="F352" t="s">
        <v>849</v>
      </c>
      <c r="G352">
        <v>35</v>
      </c>
    </row>
    <row r="353" spans="1:9" x14ac:dyDescent="0.25">
      <c r="A353">
        <f t="shared" si="6"/>
        <v>352</v>
      </c>
      <c r="C353" t="s">
        <v>850</v>
      </c>
      <c r="D353" t="s">
        <v>851</v>
      </c>
      <c r="E353" t="s">
        <v>852</v>
      </c>
      <c r="F353" t="s">
        <v>853</v>
      </c>
      <c r="G353">
        <v>6</v>
      </c>
      <c r="H353" t="s">
        <v>79</v>
      </c>
      <c r="I353" t="s">
        <v>761</v>
      </c>
    </row>
    <row r="354" spans="1:9" x14ac:dyDescent="0.25">
      <c r="A354">
        <f t="shared" si="6"/>
        <v>353</v>
      </c>
      <c r="C354" t="s">
        <v>850</v>
      </c>
      <c r="D354" t="s">
        <v>854</v>
      </c>
      <c r="E354" t="s">
        <v>852</v>
      </c>
      <c r="F354" t="s">
        <v>853</v>
      </c>
      <c r="G354">
        <v>6</v>
      </c>
      <c r="H354" t="s">
        <v>82</v>
      </c>
      <c r="I354" t="s">
        <v>761</v>
      </c>
    </row>
    <row r="355" spans="1:9" x14ac:dyDescent="0.25">
      <c r="A355">
        <f t="shared" si="6"/>
        <v>354</v>
      </c>
      <c r="C355" t="s">
        <v>850</v>
      </c>
      <c r="D355" t="s">
        <v>855</v>
      </c>
      <c r="E355" t="s">
        <v>852</v>
      </c>
      <c r="F355" t="s">
        <v>853</v>
      </c>
      <c r="G355">
        <v>40</v>
      </c>
      <c r="H355" t="s">
        <v>765</v>
      </c>
      <c r="I355" t="s">
        <v>761</v>
      </c>
    </row>
    <row r="356" spans="1:9" x14ac:dyDescent="0.25">
      <c r="A356">
        <f t="shared" si="6"/>
        <v>355</v>
      </c>
      <c r="C356" t="s">
        <v>850</v>
      </c>
      <c r="D356" t="s">
        <v>856</v>
      </c>
      <c r="E356" t="s">
        <v>852</v>
      </c>
      <c r="F356" t="s">
        <v>853</v>
      </c>
      <c r="G356">
        <v>3</v>
      </c>
      <c r="H356" t="s">
        <v>767</v>
      </c>
      <c r="I356" t="s">
        <v>761</v>
      </c>
    </row>
    <row r="357" spans="1:9" x14ac:dyDescent="0.25">
      <c r="A357">
        <f t="shared" si="6"/>
        <v>356</v>
      </c>
      <c r="C357" t="s">
        <v>850</v>
      </c>
      <c r="D357" t="s">
        <v>857</v>
      </c>
      <c r="E357" t="s">
        <v>852</v>
      </c>
      <c r="F357" t="s">
        <v>853</v>
      </c>
      <c r="G357">
        <v>5</v>
      </c>
      <c r="H357" t="s">
        <v>85</v>
      </c>
      <c r="I357" t="s">
        <v>761</v>
      </c>
    </row>
    <row r="358" spans="1:9" x14ac:dyDescent="0.25">
      <c r="A358">
        <f t="shared" si="6"/>
        <v>357</v>
      </c>
      <c r="C358" t="s">
        <v>850</v>
      </c>
      <c r="D358" t="s">
        <v>858</v>
      </c>
      <c r="E358" t="s">
        <v>852</v>
      </c>
      <c r="F358" t="s">
        <v>853</v>
      </c>
      <c r="G358">
        <v>5</v>
      </c>
      <c r="H358" t="s">
        <v>88</v>
      </c>
      <c r="I358" t="s">
        <v>761</v>
      </c>
    </row>
    <row r="359" spans="1:9" x14ac:dyDescent="0.25">
      <c r="A359">
        <f t="shared" si="6"/>
        <v>358</v>
      </c>
      <c r="C359" t="s">
        <v>850</v>
      </c>
      <c r="D359" t="s">
        <v>859</v>
      </c>
      <c r="E359" t="s">
        <v>852</v>
      </c>
      <c r="F359" t="s">
        <v>853</v>
      </c>
      <c r="G359">
        <v>1.5</v>
      </c>
      <c r="H359" t="s">
        <v>775</v>
      </c>
      <c r="I359" t="s">
        <v>763</v>
      </c>
    </row>
    <row r="360" spans="1:9" x14ac:dyDescent="0.25">
      <c r="A360">
        <f t="shared" si="6"/>
        <v>359</v>
      </c>
      <c r="C360" t="s">
        <v>850</v>
      </c>
      <c r="D360" t="s">
        <v>860</v>
      </c>
      <c r="E360" t="s">
        <v>852</v>
      </c>
      <c r="F360" t="s">
        <v>853</v>
      </c>
      <c r="G360">
        <v>5</v>
      </c>
      <c r="H360" t="s">
        <v>776</v>
      </c>
      <c r="I360" t="s">
        <v>763</v>
      </c>
    </row>
    <row r="361" spans="1:9" x14ac:dyDescent="0.25">
      <c r="A361">
        <f t="shared" si="6"/>
        <v>360</v>
      </c>
      <c r="C361" t="s">
        <v>850</v>
      </c>
      <c r="D361" t="s">
        <v>861</v>
      </c>
      <c r="E361" t="s">
        <v>852</v>
      </c>
      <c r="F361" t="s">
        <v>853</v>
      </c>
      <c r="G361">
        <v>1.5</v>
      </c>
      <c r="H361" t="s">
        <v>774</v>
      </c>
      <c r="I361" t="s">
        <v>763</v>
      </c>
    </row>
    <row r="362" spans="1:9" x14ac:dyDescent="0.25">
      <c r="A362">
        <f t="shared" si="6"/>
        <v>361</v>
      </c>
      <c r="C362" t="s">
        <v>850</v>
      </c>
      <c r="D362" t="s">
        <v>862</v>
      </c>
      <c r="E362" t="s">
        <v>852</v>
      </c>
      <c r="F362" t="s">
        <v>853</v>
      </c>
      <c r="G362">
        <v>1</v>
      </c>
      <c r="H362" t="s">
        <v>782</v>
      </c>
      <c r="I362" t="s">
        <v>763</v>
      </c>
    </row>
    <row r="363" spans="1:9" x14ac:dyDescent="0.25">
      <c r="A363">
        <f t="shared" si="6"/>
        <v>362</v>
      </c>
      <c r="C363" t="s">
        <v>850</v>
      </c>
      <c r="D363" t="s">
        <v>863</v>
      </c>
      <c r="E363" t="s">
        <v>852</v>
      </c>
      <c r="F363" t="s">
        <v>853</v>
      </c>
      <c r="G363">
        <v>1</v>
      </c>
      <c r="H363" t="s">
        <v>789</v>
      </c>
      <c r="I363" t="s">
        <v>763</v>
      </c>
    </row>
    <row r="364" spans="1:9" x14ac:dyDescent="0.25">
      <c r="A364">
        <f t="shared" si="6"/>
        <v>363</v>
      </c>
      <c r="C364" t="s">
        <v>850</v>
      </c>
      <c r="D364" t="s">
        <v>864</v>
      </c>
      <c r="E364" t="s">
        <v>852</v>
      </c>
      <c r="F364" t="s">
        <v>853</v>
      </c>
      <c r="G364">
        <v>1.5</v>
      </c>
      <c r="H364" t="s">
        <v>806</v>
      </c>
      <c r="I364" t="s">
        <v>761</v>
      </c>
    </row>
    <row r="365" spans="1:9" x14ac:dyDescent="0.25">
      <c r="A365">
        <f t="shared" si="6"/>
        <v>364</v>
      </c>
      <c r="C365" t="s">
        <v>850</v>
      </c>
      <c r="D365" t="s">
        <v>865</v>
      </c>
      <c r="E365" t="s">
        <v>852</v>
      </c>
      <c r="F365" t="s">
        <v>853</v>
      </c>
      <c r="G365">
        <v>1.5</v>
      </c>
      <c r="H365" t="s">
        <v>790</v>
      </c>
      <c r="I365" t="s">
        <v>763</v>
      </c>
    </row>
    <row r="366" spans="1:9" x14ac:dyDescent="0.25">
      <c r="A366">
        <f t="shared" si="6"/>
        <v>365</v>
      </c>
      <c r="C366" t="s">
        <v>850</v>
      </c>
      <c r="D366" t="s">
        <v>866</v>
      </c>
      <c r="E366" t="s">
        <v>852</v>
      </c>
      <c r="F366" t="s">
        <v>853</v>
      </c>
      <c r="G366">
        <v>1</v>
      </c>
      <c r="H366" t="s">
        <v>787</v>
      </c>
      <c r="I366" t="s">
        <v>763</v>
      </c>
    </row>
    <row r="367" spans="1:9" x14ac:dyDescent="0.25">
      <c r="A367">
        <f t="shared" si="6"/>
        <v>366</v>
      </c>
      <c r="C367" t="s">
        <v>850</v>
      </c>
      <c r="D367" t="s">
        <v>867</v>
      </c>
      <c r="E367" t="s">
        <v>852</v>
      </c>
      <c r="F367" t="s">
        <v>853</v>
      </c>
      <c r="G367">
        <v>1.5</v>
      </c>
      <c r="H367" t="s">
        <v>788</v>
      </c>
      <c r="I367" t="s">
        <v>763</v>
      </c>
    </row>
    <row r="368" spans="1:9" x14ac:dyDescent="0.25">
      <c r="A368">
        <f t="shared" si="6"/>
        <v>367</v>
      </c>
      <c r="C368" t="s">
        <v>850</v>
      </c>
      <c r="D368" t="s">
        <v>868</v>
      </c>
      <c r="E368" t="s">
        <v>852</v>
      </c>
      <c r="F368" t="s">
        <v>853</v>
      </c>
      <c r="G368">
        <v>2</v>
      </c>
      <c r="H368" t="s">
        <v>791</v>
      </c>
      <c r="I368" t="s">
        <v>763</v>
      </c>
    </row>
    <row r="369" spans="1:9" x14ac:dyDescent="0.25">
      <c r="A369">
        <f t="shared" si="6"/>
        <v>368</v>
      </c>
      <c r="C369" t="s">
        <v>850</v>
      </c>
      <c r="D369" t="s">
        <v>869</v>
      </c>
      <c r="E369" t="s">
        <v>852</v>
      </c>
      <c r="F369" t="s">
        <v>853</v>
      </c>
      <c r="G369">
        <v>0.8</v>
      </c>
      <c r="H369" t="s">
        <v>792</v>
      </c>
      <c r="I369" t="s">
        <v>763</v>
      </c>
    </row>
    <row r="370" spans="1:9" x14ac:dyDescent="0.25">
      <c r="A370">
        <f t="shared" si="6"/>
        <v>369</v>
      </c>
      <c r="C370" t="s">
        <v>850</v>
      </c>
      <c r="D370" t="s">
        <v>870</v>
      </c>
      <c r="E370" t="s">
        <v>852</v>
      </c>
      <c r="F370" t="s">
        <v>853</v>
      </c>
      <c r="G370">
        <v>0.8</v>
      </c>
      <c r="H370" t="s">
        <v>793</v>
      </c>
      <c r="I370" t="s">
        <v>763</v>
      </c>
    </row>
    <row r="371" spans="1:9" x14ac:dyDescent="0.25">
      <c r="A371">
        <f t="shared" si="6"/>
        <v>370</v>
      </c>
      <c r="C371" t="s">
        <v>871</v>
      </c>
      <c r="D371" t="s">
        <v>872</v>
      </c>
      <c r="E371" t="s">
        <v>873</v>
      </c>
      <c r="F371" t="s">
        <v>874</v>
      </c>
      <c r="G371">
        <v>25</v>
      </c>
      <c r="H371" t="s">
        <v>875</v>
      </c>
    </row>
    <row r="372" spans="1:9" x14ac:dyDescent="0.25">
      <c r="A372">
        <f t="shared" si="6"/>
        <v>371</v>
      </c>
      <c r="C372" t="s">
        <v>871</v>
      </c>
      <c r="D372" t="s">
        <v>876</v>
      </c>
      <c r="E372" t="s">
        <v>873</v>
      </c>
      <c r="F372" t="s">
        <v>877</v>
      </c>
      <c r="G372">
        <v>20</v>
      </c>
      <c r="H372" t="s">
        <v>875</v>
      </c>
    </row>
    <row r="373" spans="1:9" x14ac:dyDescent="0.25">
      <c r="A373">
        <f t="shared" si="6"/>
        <v>372</v>
      </c>
      <c r="C373" t="s">
        <v>871</v>
      </c>
      <c r="D373" t="s">
        <v>878</v>
      </c>
      <c r="E373" t="s">
        <v>873</v>
      </c>
      <c r="F373" t="s">
        <v>879</v>
      </c>
      <c r="G373">
        <v>25</v>
      </c>
      <c r="H373" t="s">
        <v>875</v>
      </c>
    </row>
    <row r="374" spans="1:9" x14ac:dyDescent="0.25">
      <c r="A374">
        <f t="shared" si="6"/>
        <v>373</v>
      </c>
      <c r="C374" t="s">
        <v>871</v>
      </c>
      <c r="D374" t="s">
        <v>880</v>
      </c>
      <c r="E374" t="s">
        <v>873</v>
      </c>
      <c r="F374" t="s">
        <v>881</v>
      </c>
      <c r="G374">
        <v>20</v>
      </c>
      <c r="H374" t="s">
        <v>875</v>
      </c>
    </row>
    <row r="375" spans="1:9" x14ac:dyDescent="0.25">
      <c r="A375">
        <f t="shared" si="6"/>
        <v>374</v>
      </c>
      <c r="C375" t="s">
        <v>871</v>
      </c>
      <c r="D375" t="s">
        <v>882</v>
      </c>
      <c r="E375" t="s">
        <v>873</v>
      </c>
      <c r="F375" t="s">
        <v>883</v>
      </c>
      <c r="G375">
        <v>0.4</v>
      </c>
      <c r="H375" t="s">
        <v>875</v>
      </c>
    </row>
    <row r="376" spans="1:9" x14ac:dyDescent="0.25">
      <c r="A376">
        <f t="shared" si="6"/>
        <v>375</v>
      </c>
      <c r="C376" t="s">
        <v>871</v>
      </c>
      <c r="D376" t="s">
        <v>884</v>
      </c>
      <c r="E376" t="s">
        <v>873</v>
      </c>
      <c r="F376" t="s">
        <v>885</v>
      </c>
      <c r="G376">
        <v>3</v>
      </c>
      <c r="H376" t="s">
        <v>875</v>
      </c>
    </row>
    <row r="377" spans="1:9" x14ac:dyDescent="0.25">
      <c r="A377">
        <f t="shared" si="6"/>
        <v>376</v>
      </c>
      <c r="C377" t="s">
        <v>871</v>
      </c>
      <c r="D377" t="s">
        <v>886</v>
      </c>
      <c r="E377" t="s">
        <v>873</v>
      </c>
      <c r="F377" t="s">
        <v>887</v>
      </c>
      <c r="G377">
        <v>1.5</v>
      </c>
      <c r="H377" t="s">
        <v>875</v>
      </c>
    </row>
    <row r="378" spans="1:9" x14ac:dyDescent="0.25">
      <c r="A378">
        <f t="shared" si="6"/>
        <v>377</v>
      </c>
      <c r="C378" t="s">
        <v>871</v>
      </c>
      <c r="D378" t="s">
        <v>888</v>
      </c>
      <c r="E378" t="s">
        <v>873</v>
      </c>
      <c r="F378" t="s">
        <v>889</v>
      </c>
      <c r="G378">
        <v>0.15</v>
      </c>
      <c r="H378" t="s">
        <v>875</v>
      </c>
    </row>
    <row r="379" spans="1:9" x14ac:dyDescent="0.25">
      <c r="A379">
        <f t="shared" si="6"/>
        <v>378</v>
      </c>
      <c r="C379" t="s">
        <v>871</v>
      </c>
      <c r="D379" t="s">
        <v>890</v>
      </c>
      <c r="E379" t="s">
        <v>873</v>
      </c>
      <c r="F379" t="s">
        <v>891</v>
      </c>
      <c r="G379">
        <v>0.5</v>
      </c>
      <c r="H379" t="s">
        <v>875</v>
      </c>
    </row>
    <row r="380" spans="1:9" x14ac:dyDescent="0.25">
      <c r="A380">
        <f t="shared" si="6"/>
        <v>379</v>
      </c>
      <c r="C380" t="s">
        <v>871</v>
      </c>
      <c r="D380" t="s">
        <v>892</v>
      </c>
      <c r="E380" t="s">
        <v>873</v>
      </c>
      <c r="F380" t="s">
        <v>893</v>
      </c>
      <c r="G380">
        <v>25</v>
      </c>
      <c r="H380" t="s">
        <v>875</v>
      </c>
    </row>
    <row r="381" spans="1:9" x14ac:dyDescent="0.25">
      <c r="A381">
        <f t="shared" si="6"/>
        <v>380</v>
      </c>
      <c r="C381" t="s">
        <v>871</v>
      </c>
      <c r="D381" t="s">
        <v>894</v>
      </c>
      <c r="E381" t="s">
        <v>873</v>
      </c>
      <c r="F381" t="s">
        <v>895</v>
      </c>
      <c r="G381">
        <v>8</v>
      </c>
      <c r="H381" t="s">
        <v>896</v>
      </c>
    </row>
    <row r="382" spans="1:9" x14ac:dyDescent="0.25">
      <c r="A382">
        <f t="shared" si="6"/>
        <v>381</v>
      </c>
      <c r="C382" t="s">
        <v>871</v>
      </c>
      <c r="D382" t="s">
        <v>897</v>
      </c>
      <c r="E382" t="s">
        <v>873</v>
      </c>
      <c r="F382" t="s">
        <v>898</v>
      </c>
      <c r="G382">
        <v>15</v>
      </c>
      <c r="H382" t="s">
        <v>896</v>
      </c>
    </row>
    <row r="383" spans="1:9" x14ac:dyDescent="0.25">
      <c r="A383">
        <f t="shared" si="6"/>
        <v>382</v>
      </c>
      <c r="C383" t="s">
        <v>899</v>
      </c>
      <c r="D383" t="s">
        <v>900</v>
      </c>
      <c r="E383" t="s">
        <v>901</v>
      </c>
      <c r="F383" t="s">
        <v>902</v>
      </c>
      <c r="G383">
        <v>0.8</v>
      </c>
    </row>
    <row r="384" spans="1:9" x14ac:dyDescent="0.25">
      <c r="A384">
        <f t="shared" si="6"/>
        <v>383</v>
      </c>
      <c r="C384" t="s">
        <v>899</v>
      </c>
      <c r="D384" t="s">
        <v>903</v>
      </c>
      <c r="E384" t="s">
        <v>904</v>
      </c>
      <c r="F384" t="s">
        <v>905</v>
      </c>
      <c r="G384">
        <v>3</v>
      </c>
    </row>
    <row r="385" spans="1:8" x14ac:dyDescent="0.25">
      <c r="A385">
        <f t="shared" si="6"/>
        <v>384</v>
      </c>
      <c r="C385" t="s">
        <v>899</v>
      </c>
      <c r="D385" t="s">
        <v>906</v>
      </c>
      <c r="E385" t="s">
        <v>907</v>
      </c>
      <c r="F385" t="s">
        <v>908</v>
      </c>
      <c r="G385">
        <v>7</v>
      </c>
    </row>
    <row r="386" spans="1:8" x14ac:dyDescent="0.25">
      <c r="A386">
        <f t="shared" si="6"/>
        <v>385</v>
      </c>
      <c r="C386" t="s">
        <v>899</v>
      </c>
      <c r="D386" t="s">
        <v>909</v>
      </c>
      <c r="E386" t="s">
        <v>910</v>
      </c>
      <c r="F386" t="s">
        <v>911</v>
      </c>
      <c r="G386">
        <v>10</v>
      </c>
    </row>
    <row r="387" spans="1:8" x14ac:dyDescent="0.25">
      <c r="A387">
        <f t="shared" si="6"/>
        <v>386</v>
      </c>
      <c r="C387" t="s">
        <v>899</v>
      </c>
      <c r="D387" t="s">
        <v>912</v>
      </c>
      <c r="E387" t="s">
        <v>913</v>
      </c>
      <c r="F387" t="s">
        <v>914</v>
      </c>
      <c r="G387">
        <v>2</v>
      </c>
    </row>
    <row r="388" spans="1:8" x14ac:dyDescent="0.25">
      <c r="A388">
        <f t="shared" ref="A388:A445" si="7">A387+1</f>
        <v>387</v>
      </c>
      <c r="C388" t="s">
        <v>899</v>
      </c>
      <c r="D388" t="s">
        <v>915</v>
      </c>
      <c r="E388" t="s">
        <v>916</v>
      </c>
      <c r="F388" t="s">
        <v>917</v>
      </c>
      <c r="G388">
        <v>5</v>
      </c>
      <c r="H388">
        <v>10</v>
      </c>
    </row>
    <row r="389" spans="1:8" x14ac:dyDescent="0.25">
      <c r="A389">
        <f t="shared" si="7"/>
        <v>388</v>
      </c>
      <c r="C389" t="s">
        <v>899</v>
      </c>
      <c r="D389" t="s">
        <v>918</v>
      </c>
      <c r="E389" t="s">
        <v>919</v>
      </c>
      <c r="F389" t="s">
        <v>920</v>
      </c>
      <c r="G389">
        <v>8</v>
      </c>
    </row>
    <row r="390" spans="1:8" x14ac:dyDescent="0.25">
      <c r="A390">
        <f t="shared" si="7"/>
        <v>389</v>
      </c>
      <c r="C390" t="s">
        <v>921</v>
      </c>
      <c r="D390" t="s">
        <v>79</v>
      </c>
      <c r="E390" t="s">
        <v>922</v>
      </c>
      <c r="F390" t="s">
        <v>923</v>
      </c>
      <c r="G390">
        <v>1</v>
      </c>
    </row>
    <row r="391" spans="1:8" x14ac:dyDescent="0.25">
      <c r="A391">
        <f t="shared" si="7"/>
        <v>390</v>
      </c>
      <c r="C391" t="s">
        <v>921</v>
      </c>
      <c r="D391" t="s">
        <v>762</v>
      </c>
      <c r="E391" t="s">
        <v>922</v>
      </c>
      <c r="F391" t="s">
        <v>923</v>
      </c>
      <c r="G391">
        <v>2.6</v>
      </c>
    </row>
    <row r="392" spans="1:8" x14ac:dyDescent="0.25">
      <c r="A392">
        <f t="shared" si="7"/>
        <v>391</v>
      </c>
      <c r="C392" t="s">
        <v>921</v>
      </c>
      <c r="D392" t="s">
        <v>82</v>
      </c>
      <c r="E392" t="s">
        <v>922</v>
      </c>
      <c r="F392" t="s">
        <v>923</v>
      </c>
      <c r="G392">
        <v>1</v>
      </c>
    </row>
    <row r="393" spans="1:8" x14ac:dyDescent="0.25">
      <c r="A393">
        <f t="shared" si="7"/>
        <v>392</v>
      </c>
      <c r="C393" t="s">
        <v>921</v>
      </c>
      <c r="D393" t="s">
        <v>764</v>
      </c>
      <c r="E393" t="s">
        <v>922</v>
      </c>
      <c r="F393" t="s">
        <v>923</v>
      </c>
      <c r="G393">
        <v>2.6</v>
      </c>
    </row>
    <row r="394" spans="1:8" x14ac:dyDescent="0.25">
      <c r="A394">
        <f t="shared" si="7"/>
        <v>393</v>
      </c>
      <c r="C394" t="s">
        <v>921</v>
      </c>
      <c r="D394" t="s">
        <v>765</v>
      </c>
      <c r="E394" t="s">
        <v>922</v>
      </c>
      <c r="F394" t="s">
        <v>923</v>
      </c>
      <c r="G394">
        <v>0.16</v>
      </c>
    </row>
    <row r="395" spans="1:8" x14ac:dyDescent="0.25">
      <c r="A395">
        <f t="shared" si="7"/>
        <v>394</v>
      </c>
      <c r="C395" t="s">
        <v>921</v>
      </c>
      <c r="D395" t="s">
        <v>766</v>
      </c>
      <c r="E395" t="s">
        <v>922</v>
      </c>
      <c r="F395" t="s">
        <v>923</v>
      </c>
      <c r="G395">
        <v>2.2000000000000002</v>
      </c>
    </row>
    <row r="396" spans="1:8" x14ac:dyDescent="0.25">
      <c r="A396">
        <f t="shared" si="7"/>
        <v>395</v>
      </c>
      <c r="C396" t="s">
        <v>921</v>
      </c>
      <c r="D396" t="s">
        <v>767</v>
      </c>
      <c r="E396" t="s">
        <v>922</v>
      </c>
      <c r="F396" t="s">
        <v>923</v>
      </c>
      <c r="G396">
        <v>0.6</v>
      </c>
    </row>
    <row r="397" spans="1:8" x14ac:dyDescent="0.25">
      <c r="A397">
        <f t="shared" si="7"/>
        <v>396</v>
      </c>
      <c r="C397" t="s">
        <v>921</v>
      </c>
      <c r="D397" t="s">
        <v>85</v>
      </c>
      <c r="E397" t="s">
        <v>922</v>
      </c>
      <c r="F397" t="s">
        <v>923</v>
      </c>
      <c r="G397">
        <v>0.9</v>
      </c>
    </row>
    <row r="398" spans="1:8" x14ac:dyDescent="0.25">
      <c r="A398">
        <f t="shared" si="7"/>
        <v>397</v>
      </c>
      <c r="C398" t="s">
        <v>921</v>
      </c>
      <c r="D398" t="s">
        <v>773</v>
      </c>
      <c r="E398" t="s">
        <v>922</v>
      </c>
      <c r="F398" t="s">
        <v>923</v>
      </c>
      <c r="G398">
        <v>1.8</v>
      </c>
    </row>
    <row r="399" spans="1:8" x14ac:dyDescent="0.25">
      <c r="A399">
        <f t="shared" si="7"/>
        <v>398</v>
      </c>
      <c r="C399" t="s">
        <v>921</v>
      </c>
      <c r="D399" t="s">
        <v>88</v>
      </c>
      <c r="E399" t="s">
        <v>922</v>
      </c>
      <c r="F399" t="s">
        <v>923</v>
      </c>
      <c r="G399">
        <v>0.9</v>
      </c>
    </row>
    <row r="400" spans="1:8" x14ac:dyDescent="0.25">
      <c r="A400">
        <f t="shared" si="7"/>
        <v>399</v>
      </c>
      <c r="C400" t="s">
        <v>921</v>
      </c>
      <c r="D400" t="s">
        <v>768</v>
      </c>
      <c r="E400" t="s">
        <v>922</v>
      </c>
      <c r="F400" t="s">
        <v>923</v>
      </c>
      <c r="G400">
        <v>0.25</v>
      </c>
    </row>
    <row r="401" spans="1:7" x14ac:dyDescent="0.25">
      <c r="A401">
        <f t="shared" si="7"/>
        <v>400</v>
      </c>
      <c r="C401" t="s">
        <v>921</v>
      </c>
      <c r="D401" t="s">
        <v>76</v>
      </c>
      <c r="E401" t="s">
        <v>922</v>
      </c>
      <c r="F401" t="s">
        <v>923</v>
      </c>
      <c r="G401">
        <v>2</v>
      </c>
    </row>
    <row r="402" spans="1:7" x14ac:dyDescent="0.25">
      <c r="A402">
        <f t="shared" si="7"/>
        <v>401</v>
      </c>
      <c r="C402" t="s">
        <v>921</v>
      </c>
      <c r="D402" t="s">
        <v>769</v>
      </c>
      <c r="E402" t="s">
        <v>922</v>
      </c>
      <c r="F402" t="s">
        <v>923</v>
      </c>
      <c r="G402">
        <v>1.8</v>
      </c>
    </row>
    <row r="403" spans="1:7" x14ac:dyDescent="0.25">
      <c r="A403">
        <f t="shared" si="7"/>
        <v>402</v>
      </c>
      <c r="C403" t="s">
        <v>921</v>
      </c>
      <c r="D403" t="s">
        <v>770</v>
      </c>
      <c r="E403" t="s">
        <v>922</v>
      </c>
      <c r="F403" t="s">
        <v>923</v>
      </c>
      <c r="G403">
        <v>1.8</v>
      </c>
    </row>
    <row r="404" spans="1:7" x14ac:dyDescent="0.25">
      <c r="A404">
        <f t="shared" si="7"/>
        <v>403</v>
      </c>
      <c r="C404" t="s">
        <v>921</v>
      </c>
      <c r="D404" t="s">
        <v>771</v>
      </c>
      <c r="E404" t="s">
        <v>922</v>
      </c>
      <c r="F404" t="s">
        <v>923</v>
      </c>
      <c r="G404">
        <v>1.8</v>
      </c>
    </row>
    <row r="405" spans="1:7" x14ac:dyDescent="0.25">
      <c r="A405">
        <f t="shared" si="7"/>
        <v>404</v>
      </c>
      <c r="C405" t="s">
        <v>921</v>
      </c>
      <c r="D405" t="s">
        <v>772</v>
      </c>
      <c r="E405" t="s">
        <v>922</v>
      </c>
      <c r="F405" t="s">
        <v>923</v>
      </c>
      <c r="G405">
        <v>1.8</v>
      </c>
    </row>
    <row r="406" spans="1:7" x14ac:dyDescent="0.25">
      <c r="A406">
        <f t="shared" si="7"/>
        <v>405</v>
      </c>
      <c r="C406" t="s">
        <v>921</v>
      </c>
      <c r="D406" t="s">
        <v>774</v>
      </c>
      <c r="E406" t="s">
        <v>922</v>
      </c>
      <c r="F406" t="s">
        <v>923</v>
      </c>
      <c r="G406">
        <v>2.8</v>
      </c>
    </row>
    <row r="407" spans="1:7" x14ac:dyDescent="0.25">
      <c r="A407">
        <f t="shared" si="7"/>
        <v>406</v>
      </c>
      <c r="C407" t="s">
        <v>921</v>
      </c>
      <c r="D407" t="s">
        <v>775</v>
      </c>
      <c r="E407" t="s">
        <v>922</v>
      </c>
      <c r="F407" t="s">
        <v>923</v>
      </c>
      <c r="G407">
        <v>2.4</v>
      </c>
    </row>
    <row r="408" spans="1:7" x14ac:dyDescent="0.25">
      <c r="A408">
        <f t="shared" si="7"/>
        <v>407</v>
      </c>
      <c r="C408" t="s">
        <v>921</v>
      </c>
      <c r="D408" t="s">
        <v>776</v>
      </c>
      <c r="E408" t="s">
        <v>922</v>
      </c>
      <c r="F408" t="s">
        <v>923</v>
      </c>
      <c r="G408">
        <v>0.9</v>
      </c>
    </row>
    <row r="409" spans="1:7" x14ac:dyDescent="0.25">
      <c r="A409">
        <f t="shared" si="7"/>
        <v>408</v>
      </c>
      <c r="C409" t="s">
        <v>921</v>
      </c>
      <c r="D409" t="s">
        <v>777</v>
      </c>
      <c r="E409" t="s">
        <v>922</v>
      </c>
      <c r="F409" t="s">
        <v>923</v>
      </c>
      <c r="G409">
        <v>2.2000000000000002</v>
      </c>
    </row>
    <row r="410" spans="1:7" x14ac:dyDescent="0.25">
      <c r="A410">
        <f t="shared" si="7"/>
        <v>409</v>
      </c>
      <c r="C410" t="s">
        <v>921</v>
      </c>
      <c r="D410" t="s">
        <v>778</v>
      </c>
      <c r="E410" t="s">
        <v>922</v>
      </c>
      <c r="F410" t="s">
        <v>923</v>
      </c>
      <c r="G410">
        <v>2.2000000000000002</v>
      </c>
    </row>
    <row r="411" spans="1:7" x14ac:dyDescent="0.25">
      <c r="A411">
        <f t="shared" si="7"/>
        <v>410</v>
      </c>
      <c r="C411" t="s">
        <v>921</v>
      </c>
      <c r="D411" t="s">
        <v>779</v>
      </c>
      <c r="E411" t="s">
        <v>922</v>
      </c>
      <c r="F411" t="s">
        <v>923</v>
      </c>
      <c r="G411">
        <v>1.2</v>
      </c>
    </row>
    <row r="412" spans="1:7" x14ac:dyDescent="0.25">
      <c r="A412">
        <f t="shared" si="7"/>
        <v>411</v>
      </c>
      <c r="C412" t="s">
        <v>921</v>
      </c>
      <c r="D412" t="s">
        <v>780</v>
      </c>
      <c r="E412" t="s">
        <v>922</v>
      </c>
      <c r="F412" t="s">
        <v>923</v>
      </c>
      <c r="G412">
        <v>2</v>
      </c>
    </row>
    <row r="413" spans="1:7" x14ac:dyDescent="0.25">
      <c r="A413">
        <f t="shared" si="7"/>
        <v>412</v>
      </c>
      <c r="C413" t="s">
        <v>921</v>
      </c>
      <c r="D413" t="s">
        <v>781</v>
      </c>
      <c r="E413" t="s">
        <v>922</v>
      </c>
      <c r="F413" t="s">
        <v>923</v>
      </c>
      <c r="G413">
        <v>1.4</v>
      </c>
    </row>
    <row r="414" spans="1:7" x14ac:dyDescent="0.25">
      <c r="A414">
        <f t="shared" si="7"/>
        <v>413</v>
      </c>
      <c r="C414" t="s">
        <v>921</v>
      </c>
      <c r="D414" t="s">
        <v>782</v>
      </c>
      <c r="E414" t="s">
        <v>922</v>
      </c>
      <c r="F414" t="s">
        <v>923</v>
      </c>
      <c r="G414">
        <v>2.2000000000000002</v>
      </c>
    </row>
    <row r="415" spans="1:7" x14ac:dyDescent="0.25">
      <c r="A415">
        <f t="shared" si="7"/>
        <v>414</v>
      </c>
      <c r="C415" t="s">
        <v>921</v>
      </c>
      <c r="D415" t="s">
        <v>783</v>
      </c>
      <c r="E415" t="s">
        <v>922</v>
      </c>
      <c r="F415" t="s">
        <v>923</v>
      </c>
      <c r="G415">
        <v>1.4</v>
      </c>
    </row>
    <row r="416" spans="1:7" x14ac:dyDescent="0.25">
      <c r="A416">
        <f t="shared" si="7"/>
        <v>415</v>
      </c>
      <c r="C416" t="s">
        <v>921</v>
      </c>
      <c r="D416" t="s">
        <v>784</v>
      </c>
      <c r="E416" t="s">
        <v>922</v>
      </c>
      <c r="F416" t="s">
        <v>923</v>
      </c>
      <c r="G416">
        <v>1.2</v>
      </c>
    </row>
    <row r="417" spans="1:7" x14ac:dyDescent="0.25">
      <c r="A417">
        <f t="shared" si="7"/>
        <v>416</v>
      </c>
      <c r="C417" t="s">
        <v>921</v>
      </c>
      <c r="D417" t="s">
        <v>785</v>
      </c>
      <c r="E417" t="s">
        <v>922</v>
      </c>
      <c r="F417" t="s">
        <v>923</v>
      </c>
      <c r="G417">
        <v>1.2</v>
      </c>
    </row>
    <row r="418" spans="1:7" x14ac:dyDescent="0.25">
      <c r="A418">
        <f t="shared" si="7"/>
        <v>417</v>
      </c>
      <c r="C418" t="s">
        <v>921</v>
      </c>
      <c r="D418" t="s">
        <v>786</v>
      </c>
      <c r="E418" t="s">
        <v>922</v>
      </c>
      <c r="F418" t="s">
        <v>923</v>
      </c>
      <c r="G418">
        <v>1.4</v>
      </c>
    </row>
    <row r="419" spans="1:7" x14ac:dyDescent="0.25">
      <c r="A419">
        <f t="shared" si="7"/>
        <v>418</v>
      </c>
      <c r="C419" t="s">
        <v>921</v>
      </c>
      <c r="D419" t="s">
        <v>111</v>
      </c>
      <c r="E419" t="s">
        <v>922</v>
      </c>
      <c r="F419" t="s">
        <v>923</v>
      </c>
      <c r="G419">
        <v>1</v>
      </c>
    </row>
    <row r="420" spans="1:7" x14ac:dyDescent="0.25">
      <c r="A420">
        <f t="shared" si="7"/>
        <v>419</v>
      </c>
      <c r="C420" t="s">
        <v>921</v>
      </c>
      <c r="D420" t="s">
        <v>787</v>
      </c>
      <c r="E420" t="s">
        <v>922</v>
      </c>
      <c r="F420" t="s">
        <v>923</v>
      </c>
      <c r="G420">
        <v>2</v>
      </c>
    </row>
    <row r="421" spans="1:7" x14ac:dyDescent="0.25">
      <c r="A421">
        <f t="shared" si="7"/>
        <v>420</v>
      </c>
      <c r="C421" t="s">
        <v>921</v>
      </c>
      <c r="D421" t="s">
        <v>788</v>
      </c>
      <c r="E421" t="s">
        <v>922</v>
      </c>
      <c r="F421" t="s">
        <v>923</v>
      </c>
      <c r="G421">
        <v>1.2</v>
      </c>
    </row>
    <row r="422" spans="1:7" x14ac:dyDescent="0.25">
      <c r="A422">
        <f t="shared" si="7"/>
        <v>421</v>
      </c>
      <c r="C422" t="s">
        <v>921</v>
      </c>
      <c r="D422" t="s">
        <v>789</v>
      </c>
      <c r="E422" t="s">
        <v>922</v>
      </c>
      <c r="F422" t="s">
        <v>923</v>
      </c>
      <c r="G422">
        <v>2.2000000000000002</v>
      </c>
    </row>
    <row r="423" spans="1:7" x14ac:dyDescent="0.25">
      <c r="A423">
        <f t="shared" si="7"/>
        <v>422</v>
      </c>
      <c r="C423" t="s">
        <v>921</v>
      </c>
      <c r="D423" t="s">
        <v>790</v>
      </c>
      <c r="E423" t="s">
        <v>922</v>
      </c>
      <c r="F423" t="s">
        <v>923</v>
      </c>
      <c r="G423">
        <v>1.2</v>
      </c>
    </row>
    <row r="424" spans="1:7" x14ac:dyDescent="0.25">
      <c r="A424">
        <f t="shared" si="7"/>
        <v>423</v>
      </c>
      <c r="C424" t="s">
        <v>921</v>
      </c>
      <c r="D424" t="s">
        <v>791</v>
      </c>
      <c r="E424" t="s">
        <v>922</v>
      </c>
      <c r="F424" t="s">
        <v>923</v>
      </c>
      <c r="G424">
        <v>1</v>
      </c>
    </row>
    <row r="425" spans="1:7" x14ac:dyDescent="0.25">
      <c r="A425">
        <f t="shared" si="7"/>
        <v>424</v>
      </c>
      <c r="C425" t="s">
        <v>921</v>
      </c>
      <c r="D425" t="s">
        <v>792</v>
      </c>
      <c r="E425" t="s">
        <v>922</v>
      </c>
      <c r="F425" t="s">
        <v>923</v>
      </c>
      <c r="G425">
        <v>2</v>
      </c>
    </row>
    <row r="426" spans="1:7" x14ac:dyDescent="0.25">
      <c r="A426">
        <f t="shared" si="7"/>
        <v>425</v>
      </c>
      <c r="C426" t="s">
        <v>921</v>
      </c>
      <c r="D426" t="s">
        <v>793</v>
      </c>
      <c r="E426" t="s">
        <v>922</v>
      </c>
      <c r="F426" t="s">
        <v>923</v>
      </c>
      <c r="G426">
        <v>2</v>
      </c>
    </row>
    <row r="427" spans="1:7" x14ac:dyDescent="0.25">
      <c r="A427">
        <f t="shared" si="7"/>
        <v>426</v>
      </c>
      <c r="C427" t="s">
        <v>921</v>
      </c>
      <c r="D427" t="s">
        <v>794</v>
      </c>
      <c r="E427" t="s">
        <v>922</v>
      </c>
      <c r="F427" t="s">
        <v>923</v>
      </c>
      <c r="G427">
        <v>0.8</v>
      </c>
    </row>
    <row r="428" spans="1:7" x14ac:dyDescent="0.25">
      <c r="A428">
        <f t="shared" si="7"/>
        <v>427</v>
      </c>
      <c r="C428" t="s">
        <v>921</v>
      </c>
      <c r="D428" t="s">
        <v>795</v>
      </c>
      <c r="E428" t="s">
        <v>922</v>
      </c>
      <c r="F428" t="s">
        <v>923</v>
      </c>
      <c r="G428">
        <v>0.8</v>
      </c>
    </row>
    <row r="429" spans="1:7" x14ac:dyDescent="0.25">
      <c r="A429">
        <f t="shared" si="7"/>
        <v>428</v>
      </c>
      <c r="C429" t="s">
        <v>921</v>
      </c>
      <c r="D429" t="s">
        <v>796</v>
      </c>
      <c r="E429" t="s">
        <v>922</v>
      </c>
      <c r="F429" t="s">
        <v>923</v>
      </c>
      <c r="G429">
        <v>0.8</v>
      </c>
    </row>
    <row r="430" spans="1:7" x14ac:dyDescent="0.25">
      <c r="A430">
        <f t="shared" si="7"/>
        <v>429</v>
      </c>
      <c r="C430" t="s">
        <v>921</v>
      </c>
      <c r="D430" t="s">
        <v>797</v>
      </c>
      <c r="E430" t="s">
        <v>922</v>
      </c>
      <c r="F430" t="s">
        <v>923</v>
      </c>
      <c r="G430">
        <v>0.8</v>
      </c>
    </row>
    <row r="431" spans="1:7" x14ac:dyDescent="0.25">
      <c r="A431">
        <f t="shared" si="7"/>
        <v>430</v>
      </c>
      <c r="C431" t="s">
        <v>921</v>
      </c>
      <c r="D431" t="s">
        <v>798</v>
      </c>
      <c r="E431" t="s">
        <v>922</v>
      </c>
      <c r="F431" t="s">
        <v>923</v>
      </c>
      <c r="G431">
        <v>0.8</v>
      </c>
    </row>
    <row r="432" spans="1:7" x14ac:dyDescent="0.25">
      <c r="A432">
        <f t="shared" si="7"/>
        <v>431</v>
      </c>
      <c r="C432" t="s">
        <v>921</v>
      </c>
      <c r="D432" t="s">
        <v>799</v>
      </c>
      <c r="E432" t="s">
        <v>922</v>
      </c>
      <c r="F432" t="s">
        <v>923</v>
      </c>
      <c r="G432">
        <v>0.8</v>
      </c>
    </row>
    <row r="433" spans="1:7" x14ac:dyDescent="0.25">
      <c r="A433">
        <f t="shared" si="7"/>
        <v>432</v>
      </c>
      <c r="C433" t="s">
        <v>921</v>
      </c>
      <c r="D433" t="s">
        <v>800</v>
      </c>
      <c r="E433" t="s">
        <v>922</v>
      </c>
      <c r="F433" t="s">
        <v>923</v>
      </c>
      <c r="G433">
        <v>1.2</v>
      </c>
    </row>
    <row r="434" spans="1:7" x14ac:dyDescent="0.25">
      <c r="A434">
        <f t="shared" si="7"/>
        <v>433</v>
      </c>
      <c r="C434" t="s">
        <v>921</v>
      </c>
      <c r="D434" t="s">
        <v>801</v>
      </c>
      <c r="E434" t="s">
        <v>922</v>
      </c>
      <c r="F434" t="s">
        <v>923</v>
      </c>
      <c r="G434">
        <v>1.5</v>
      </c>
    </row>
    <row r="435" spans="1:7" x14ac:dyDescent="0.25">
      <c r="A435">
        <f t="shared" si="7"/>
        <v>434</v>
      </c>
      <c r="C435" t="s">
        <v>921</v>
      </c>
      <c r="D435" t="s">
        <v>802</v>
      </c>
      <c r="E435" t="s">
        <v>922</v>
      </c>
      <c r="F435" t="s">
        <v>923</v>
      </c>
      <c r="G435">
        <v>0.8</v>
      </c>
    </row>
    <row r="436" spans="1:7" x14ac:dyDescent="0.25">
      <c r="A436">
        <f t="shared" si="7"/>
        <v>435</v>
      </c>
      <c r="C436" t="s">
        <v>921</v>
      </c>
      <c r="D436" t="s">
        <v>803</v>
      </c>
      <c r="E436" t="s">
        <v>922</v>
      </c>
      <c r="F436" t="s">
        <v>923</v>
      </c>
      <c r="G436">
        <v>0.8</v>
      </c>
    </row>
    <row r="437" spans="1:7" x14ac:dyDescent="0.25">
      <c r="A437">
        <f t="shared" si="7"/>
        <v>436</v>
      </c>
      <c r="C437" t="s">
        <v>921</v>
      </c>
      <c r="D437" t="s">
        <v>805</v>
      </c>
      <c r="E437" t="s">
        <v>922</v>
      </c>
      <c r="F437" t="s">
        <v>923</v>
      </c>
      <c r="G437">
        <v>0.8</v>
      </c>
    </row>
    <row r="438" spans="1:7" x14ac:dyDescent="0.25">
      <c r="A438">
        <f t="shared" si="7"/>
        <v>437</v>
      </c>
      <c r="C438" t="s">
        <v>921</v>
      </c>
      <c r="D438" t="s">
        <v>806</v>
      </c>
      <c r="E438" t="s">
        <v>922</v>
      </c>
      <c r="F438" t="s">
        <v>923</v>
      </c>
      <c r="G438">
        <v>1.5</v>
      </c>
    </row>
    <row r="439" spans="1:7" x14ac:dyDescent="0.25">
      <c r="A439">
        <f t="shared" si="7"/>
        <v>438</v>
      </c>
      <c r="C439" t="s">
        <v>921</v>
      </c>
      <c r="D439" t="s">
        <v>105</v>
      </c>
      <c r="E439" t="s">
        <v>922</v>
      </c>
      <c r="F439" t="s">
        <v>923</v>
      </c>
      <c r="G439">
        <v>0.8</v>
      </c>
    </row>
    <row r="440" spans="1:7" x14ac:dyDescent="0.25">
      <c r="A440">
        <f t="shared" si="7"/>
        <v>439</v>
      </c>
      <c r="C440" t="s">
        <v>921</v>
      </c>
      <c r="D440" t="s">
        <v>808</v>
      </c>
      <c r="E440" t="s">
        <v>922</v>
      </c>
      <c r="F440" t="s">
        <v>923</v>
      </c>
      <c r="G440">
        <v>0.8</v>
      </c>
    </row>
    <row r="441" spans="1:7" x14ac:dyDescent="0.25">
      <c r="A441">
        <f t="shared" si="7"/>
        <v>440</v>
      </c>
      <c r="C441" t="s">
        <v>921</v>
      </c>
      <c r="D441" t="s">
        <v>809</v>
      </c>
      <c r="E441" t="s">
        <v>922</v>
      </c>
      <c r="F441" t="s">
        <v>923</v>
      </c>
      <c r="G441">
        <v>0.8</v>
      </c>
    </row>
    <row r="442" spans="1:7" x14ac:dyDescent="0.25">
      <c r="A442">
        <f t="shared" si="7"/>
        <v>441</v>
      </c>
      <c r="C442" t="s">
        <v>921</v>
      </c>
      <c r="D442" t="s">
        <v>810</v>
      </c>
      <c r="E442" t="s">
        <v>922</v>
      </c>
      <c r="F442" t="s">
        <v>923</v>
      </c>
      <c r="G442">
        <v>1.2</v>
      </c>
    </row>
    <row r="443" spans="1:7" x14ac:dyDescent="0.25">
      <c r="A443">
        <f t="shared" si="7"/>
        <v>442</v>
      </c>
      <c r="C443" t="s">
        <v>921</v>
      </c>
      <c r="D443" t="s">
        <v>811</v>
      </c>
      <c r="E443" t="s">
        <v>922</v>
      </c>
      <c r="F443" t="s">
        <v>923</v>
      </c>
      <c r="G443">
        <v>1</v>
      </c>
    </row>
    <row r="444" spans="1:7" x14ac:dyDescent="0.25">
      <c r="A444">
        <f t="shared" si="7"/>
        <v>443</v>
      </c>
      <c r="C444" t="s">
        <v>921</v>
      </c>
      <c r="D444" t="s">
        <v>812</v>
      </c>
      <c r="E444" t="s">
        <v>922</v>
      </c>
      <c r="F444" t="s">
        <v>923</v>
      </c>
      <c r="G444">
        <v>1.2</v>
      </c>
    </row>
    <row r="445" spans="1:7" x14ac:dyDescent="0.25">
      <c r="A445">
        <f t="shared" si="7"/>
        <v>444</v>
      </c>
      <c r="C445" t="s">
        <v>921</v>
      </c>
      <c r="D445" t="s">
        <v>813</v>
      </c>
      <c r="E445" t="s">
        <v>922</v>
      </c>
      <c r="F445" t="s">
        <v>923</v>
      </c>
      <c r="G445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KOF</dc:creator>
  <cp:lastModifiedBy>心情好 王任</cp:lastModifiedBy>
  <dcterms:created xsi:type="dcterms:W3CDTF">2015-06-05T18:19:34Z</dcterms:created>
  <dcterms:modified xsi:type="dcterms:W3CDTF">2026-07-14T12:40:59Z</dcterms:modified>
</cp:coreProperties>
</file>
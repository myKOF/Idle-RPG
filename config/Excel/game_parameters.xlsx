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89938B76-0144-4163-9663-1C77FAF80B61}" xr6:coauthVersionLast="47" xr6:coauthVersionMax="47" xr10:uidLastSave="{00000000-0000-0000-0000-000000000000}"/>
  <bookViews>
    <workbookView xWindow="3090" yWindow="231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1" i="1" l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A357" i="2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A356" i="2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A355" i="2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A354" i="2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A352" i="2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A351" i="2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A350" i="2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A349" i="2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A348" i="2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A347" i="2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A346" i="2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A345" i="2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A344" i="2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A343" i="2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A342" i="2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A341" i="2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A340" i="2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A339" i="2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A338" i="2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A337" i="2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A336" i="2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A335" i="2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A334" i="2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A333" i="2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G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G63" i="1"/>
  <c r="H63" i="1"/>
  <c r="I63" i="1"/>
  <c r="L63" i="1"/>
  <c r="M63" i="1"/>
  <c r="N63" i="1"/>
  <c r="O63" i="1"/>
  <c r="P63" i="1"/>
  <c r="Q63" i="1"/>
  <c r="R63" i="1"/>
  <c r="B64" i="1"/>
  <c r="C64" i="1"/>
  <c r="D64" i="1"/>
  <c r="G64" i="1"/>
  <c r="H64" i="1"/>
  <c r="I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K66" i="1"/>
  <c r="L66" i="1"/>
  <c r="M66" i="1"/>
  <c r="N66" i="1"/>
  <c r="O66" i="1"/>
  <c r="P66" i="1"/>
  <c r="Q66" i="1"/>
  <c r="R66" i="1"/>
  <c r="B67" i="1"/>
  <c r="C67" i="1"/>
  <c r="D67" i="1"/>
  <c r="G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4" i="2" l="1"/>
  <c r="A4" i="1" s="1"/>
  <c r="U232" i="2"/>
  <c r="A5" i="2" l="1"/>
  <c r="A5" i="1" s="1"/>
  <c r="A6" i="2"/>
  <c r="A6" i="1" s="1"/>
  <c r="A7" i="2" l="1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6" i="1" s="1"/>
  <c r="A315" i="1"/>
</calcChain>
</file>

<file path=xl/sharedStrings.xml><?xml version="1.0" encoding="utf-8"?>
<sst xmlns="http://schemas.openxmlformats.org/spreadsheetml/2006/main" count="2008" uniqueCount="1198">
  <si>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</si>
  <si>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</si>
  <si>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</si>
  <si>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</si>
  <si>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</si>
  <si>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</si>
  <si>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</si>
  <si>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</si>
  <si>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</si>
  <si>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</si>
  <si>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</si>
  <si>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</si>
  <si>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</si>
  <si>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</si>
  <si>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</si>
  <si>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</si>
  <si>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</si>
  <si>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</si>
  <si>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</si>
  <si>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</si>
  <si>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</si>
  <si>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</si>
  <si>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</si>
  <si>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</si>
  <si>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</si>
  <si>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</si>
  <si>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</si>
  <si>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</si>
  <si>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</si>
  <si>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</si>
  <si>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</si>
  <si>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</si>
  <si>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</si>
  <si>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</si>
  <si>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</si>
  <si>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</si>
  <si>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</si>
  <si>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</si>
  <si>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</si>
  <si>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</si>
  <si>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</si>
  <si>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</si>
  <si>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</si>
  <si>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</si>
  <si>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</si>
  <si>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</si>
  <si>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</si>
  <si>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</si>
  <si>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</si>
  <si>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</si>
  <si>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</si>
  <si>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</si>
  <si>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</si>
  <si>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</si>
  <si>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</si>
  <si>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</si>
  <si>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</si>
  <si>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</si>
  <si>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</si>
  <si>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</si>
  <si>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</si>
  <si>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</si>
  <si>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</si>
  <si>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</si>
  <si>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</si>
  <si>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</si>
  <si>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</si>
  <si>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</si>
  <si>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</si>
  <si>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</si>
  <si>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</si>
  <si>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</si>
  <si>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</si>
  <si>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</si>
  <si>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</si>
  <si>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</si>
  <si>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</si>
  <si>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</si>
  <si>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</si>
  <si>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</si>
  <si>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</si>
  <si>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</si>
  <si>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</si>
  <si>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</si>
  <si>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</si>
  <si>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</si>
  <si>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</si>
  <si>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</si>
  <si>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</si>
  <si>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</si>
  <si>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</si>
  <si>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</si>
  <si>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</si>
  <si>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</si>
  <si>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</si>
  <si>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</si>
  <si>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</si>
  <si>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</si>
  <si>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</si>
  <si>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</si>
  <si>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</si>
  <si>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</si>
  <si>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</si>
  <si>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</si>
  <si>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</si>
  <si>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</si>
  <si>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</si>
  <si>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</si>
  <si>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</si>
  <si>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</si>
  <si>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</si>
  <si>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</si>
  <si>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</si>
  <si>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</si>
  <si>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</si>
  <si>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</si>
  <si>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</si>
  <si>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</si>
  <si>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</si>
  <si>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</si>
  <si>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</si>
  <si>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</si>
  <si>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</si>
  <si>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</si>
  <si>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</si>
  <si>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</si>
  <si>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</si>
  <si>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</si>
  <si>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</si>
  <si>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</si>
  <si>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</si>
  <si>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</si>
  <si>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</si>
  <si>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</si>
  <si>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</si>
  <si>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</si>
  <si>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</si>
  <si>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</si>
  <si>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</si>
  <si>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</si>
  <si>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</si>
  <si>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</si>
  <si>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</si>
  <si>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</si>
  <si>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</si>
  <si>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</si>
  <si>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</si>
  <si>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</si>
  <si>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</si>
  <si>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</si>
  <si>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</si>
  <si>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</si>
  <si>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</si>
  <si>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</si>
  <si>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</si>
  <si>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</si>
  <si>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</si>
  <si>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</si>
  <si>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</si>
  <si>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</si>
  <si>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</si>
  <si>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</si>
  <si>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</si>
  <si>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</si>
  <si>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</si>
  <si>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</si>
  <si>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</si>
  <si>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</si>
  <si>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</si>
  <si>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</si>
  <si>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</si>
  <si>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</si>
  <si>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</si>
  <si>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</si>
  <si>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</si>
  <si>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</si>
  <si>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</si>
  <si>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</si>
  <si>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</si>
  <si>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</si>
  <si>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</si>
  <si>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</si>
  <si>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</si>
  <si>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</si>
  <si>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</si>
  <si>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</si>
  <si>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</si>
  <si>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</si>
  <si>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</si>
  <si>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</si>
  <si>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</si>
  <si>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</si>
  <si>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</si>
  <si>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</si>
  <si>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</si>
  <si>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</si>
  <si>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</si>
  <si>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</si>
  <si>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</si>
  <si>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</si>
  <si>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</si>
  <si>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</si>
  <si>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</si>
  <si>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</si>
  <si>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</si>
  <si>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</si>
  <si>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</si>
  <si>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</si>
  <si>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</si>
  <si>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</si>
  <si>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</si>
  <si>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</si>
  <si>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</si>
  <si>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</si>
  <si>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</si>
  <si>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</si>
  <si>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</si>
  <si>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</si>
  <si>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</si>
  <si>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</si>
  <si>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</si>
  <si>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</si>
  <si>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</si>
  <si>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</si>
  <si>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</si>
  <si>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</si>
  <si>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</si>
  <si>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</si>
  <si>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</si>
  <si>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</si>
  <si>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</si>
  <si>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</si>
  <si>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</si>
  <si>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</si>
  <si>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</si>
  <si>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</si>
  <si>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</si>
  <si>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</si>
  <si>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</si>
  <si>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</si>
  <si>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</si>
  <si>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</si>
  <si>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</si>
  <si>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</si>
  <si>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</si>
  <si>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</si>
  <si>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</si>
  <si>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</si>
  <si>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</si>
  <si>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</si>
  <si>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</si>
  <si>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</si>
  <si>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</si>
  <si>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</si>
  <si>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</si>
  <si>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</si>
  <si>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</si>
  <si>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</si>
  <si>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</si>
  <si>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</si>
  <si>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</si>
  <si>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</si>
  <si>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</si>
  <si>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</si>
  <si>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</si>
  <si>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</si>
  <si>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</si>
  <si>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</si>
  <si>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</si>
  <si>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</si>
  <si>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</si>
  <si>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</si>
  <si>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</si>
  <si>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</si>
  <si>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</si>
  <si>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</si>
  <si>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</si>
  <si>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</si>
  <si>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</si>
  <si>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</si>
  <si>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</si>
  <si>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</si>
  <si>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</si>
  <si>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</si>
  <si>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</si>
  <si>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</si>
  <si>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</si>
  <si>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</si>
  <si>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</si>
  <si>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</si>
  <si>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</si>
  <si>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</si>
  <si>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</si>
  <si>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</si>
  <si>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</si>
  <si>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</si>
  <si>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</si>
  <si>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</si>
  <si>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</si>
  <si>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</si>
  <si>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</si>
  <si>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</si>
  <si>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</si>
  <si>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</si>
  <si>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</si>
  <si>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</si>
  <si>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</si>
  <si>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</si>
  <si>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</si>
  <si>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</si>
  <si>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</si>
  <si>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</si>
  <si>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</si>
  <si>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</si>
  <si>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</si>
  <si>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</si>
  <si>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</si>
  <si>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</si>
  <si>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</si>
  <si>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</si>
  <si>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</si>
  <si>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</si>
  <si>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</si>
  <si>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</si>
  <si>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</si>
  <si>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</si>
  <si>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</si>
  <si>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</si>
  <si>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</si>
  <si>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</si>
  <si>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</si>
  <si>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</si>
  <si>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</si>
  <si>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</si>
  <si>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</si>
  <si>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</si>
  <si>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</si>
  <si>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</si>
  <si>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</si>
  <si>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</si>
  <si>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</si>
  <si>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</si>
  <si>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</si>
  <si>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</si>
  <si>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</si>
  <si>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</si>
  <si>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</si>
  <si>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</si>
  <si>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</si>
  <si>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</si>
  <si>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</si>
  <si>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</si>
  <si>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</si>
  <si>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</si>
  <si>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</si>
  <si>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</si>
  <si>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</si>
  <si>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</si>
  <si>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</si>
  <si>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</si>
  <si>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</si>
  <si>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</si>
  <si>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</si>
  <si>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</si>
  <si>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</si>
  <si>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</si>
  <si>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</si>
  <si>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</si>
  <si>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</si>
  <si>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</si>
  <si>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</si>
  <si>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</si>
  <si>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</si>
  <si>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</si>
  <si>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</si>
  <si>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</si>
  <si>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</si>
  <si>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</si>
  <si>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</si>
  <si>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</si>
  <si>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</si>
  <si>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</si>
  <si>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</si>
  <si>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</si>
  <si>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</si>
  <si>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</si>
  <si>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</si>
  <si>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</si>
  <si>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</si>
  <si>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</si>
  <si>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</si>
  <si>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</si>
  <si>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</si>
  <si>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</si>
  <si>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</si>
  <si>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</si>
  <si>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</si>
  <si>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</si>
  <si>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</si>
  <si>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</si>
  <si>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</si>
  <si>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</si>
  <si>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</si>
  <si>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</si>
  <si>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</si>
  <si>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</si>
  <si>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</si>
  <si>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</si>
  <si>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</si>
  <si>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</si>
  <si>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</si>
  <si>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</si>
  <si>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</si>
  <si>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</si>
  <si>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</si>
  <si>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</si>
  <si>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</si>
  <si>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</si>
  <si>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</si>
  <si>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</si>
  <si>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</si>
  <si>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</si>
  <si>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</si>
  <si>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</si>
  <si>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</si>
  <si>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</si>
  <si>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</si>
  <si>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</si>
  <si>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</si>
  <si>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</si>
  <si>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</si>
  <si>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</si>
  <si>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</si>
  <si>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</si>
  <si>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</si>
  <si>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</si>
  <si>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</si>
  <si>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</si>
  <si>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</si>
  <si>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</si>
  <si>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</si>
  <si>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</si>
  <si>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</si>
  <si>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</si>
  <si>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</si>
  <si>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</si>
  <si>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</si>
  <si>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</si>
  <si>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</si>
  <si>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</si>
  <si>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</si>
  <si>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</si>
  <si>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</si>
  <si>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</si>
  <si>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</si>
  <si>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</si>
  <si>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</si>
  <si>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</si>
  <si>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</si>
  <si>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</si>
  <si>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</si>
  <si>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</si>
  <si>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</si>
  <si>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</si>
  <si>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</si>
  <si>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</si>
  <si>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</si>
  <si>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</si>
  <si>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</si>
  <si>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</si>
  <si>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</si>
  <si>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</si>
  <si>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</si>
  <si>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</si>
  <si>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</si>
  <si>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</si>
  <si>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</si>
  <si>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</si>
  <si>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</si>
  <si>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</si>
  <si>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</si>
  <si>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</si>
  <si>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</si>
  <si>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</si>
  <si>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</si>
  <si>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</si>
  <si>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</si>
  <si>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</si>
  <si>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</si>
  <si>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</si>
  <si>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</si>
  <si>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</si>
  <si>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</si>
  <si>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</si>
  <si>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</si>
  <si>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</si>
  <si>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</si>
  <si>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</si>
  <si>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</si>
  <si>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</si>
  <si>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</si>
  <si>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</si>
  <si>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</si>
  <si>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</si>
  <si>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</si>
  <si>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</si>
  <si>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</si>
  <si>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</si>
  <si>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</si>
  <si>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</si>
  <si>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</si>
  <si>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</si>
  <si>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</si>
  <si>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</si>
  <si>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</si>
  <si>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</si>
  <si>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</si>
  <si>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</si>
  <si>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</si>
  <si>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</si>
  <si>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</si>
  <si>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</si>
  <si>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</si>
  <si>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</si>
  <si>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</si>
  <si>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</si>
  <si>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</si>
  <si>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</si>
  <si>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</si>
  <si>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</si>
  <si>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</si>
  <si>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</si>
  <si>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</si>
  <si>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</si>
  <si>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</si>
  <si>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</si>
  <si>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</si>
  <si>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</si>
  <si>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</si>
  <si>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</si>
  <si>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</si>
  <si>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</si>
  <si>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</si>
  <si>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</si>
  <si>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</si>
  <si>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</si>
  <si>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</si>
  <si>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</si>
  <si>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</si>
  <si>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</si>
  <si>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</si>
  <si>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</si>
  <si>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</si>
  <si>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</si>
  <si>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</si>
  <si>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</si>
  <si>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</si>
  <si>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</si>
  <si>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</si>
  <si>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</si>
  <si>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</si>
  <si>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</si>
  <si>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</si>
  <si>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</si>
  <si>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</si>
  <si>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</si>
  <si>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</si>
  <si>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</si>
  <si>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</si>
  <si>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</si>
  <si>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</si>
  <si>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</si>
  <si>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</si>
  <si>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</si>
  <si>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</si>
  <si>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</si>
  <si>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</si>
  <si>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</si>
  <si>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</si>
  <si>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</si>
  <si>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</si>
  <si>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</si>
  <si>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</si>
  <si>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</si>
  <si>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</si>
  <si>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</si>
  <si>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</si>
  <si>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</si>
  <si>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</si>
  <si>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</si>
  <si>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</si>
  <si>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</si>
  <si>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</si>
  <si>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</si>
  <si>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</si>
  <si>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</si>
  <si>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</si>
  <si>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</si>
  <si>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</si>
  <si>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</si>
  <si>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</si>
  <si>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</si>
  <si>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</si>
  <si>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</si>
  <si>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</si>
  <si>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</si>
  <si>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</si>
  <si>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</si>
  <si>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</si>
  <si>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</si>
  <si>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</si>
  <si>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</si>
  <si>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</si>
  <si>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</si>
  <si>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</si>
  <si>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</si>
  <si>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</si>
  <si>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</si>
  <si>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</si>
  <si>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</si>
  <si>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</si>
  <si>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</si>
  <si>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</si>
  <si>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</si>
  <si>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</si>
  <si>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</si>
  <si>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</si>
  <si>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</si>
  <si>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</si>
  <si>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</si>
  <si>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</si>
  <si>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</si>
  <si>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</si>
  <si>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</si>
  <si>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</si>
  <si>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</si>
  <si>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</si>
  <si>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</si>
  <si>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</si>
  <si>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</si>
  <si>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</si>
  <si>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</si>
  <si>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</si>
  <si>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</si>
  <si>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</si>
  <si>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</si>
  <si>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</si>
  <si>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</si>
  <si>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</si>
  <si>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</si>
  <si>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</si>
  <si>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</si>
  <si>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</si>
  <si>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</si>
  <si>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</si>
  <si>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</si>
  <si>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</si>
  <si>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</si>
  <si>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</si>
  <si>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</si>
  <si>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</si>
  <si>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</si>
  <si>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</si>
  <si>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</si>
  <si>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</si>
  <si>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</si>
  <si>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</si>
  <si>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</si>
  <si>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</si>
  <si>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</si>
  <si>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</si>
  <si>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</si>
  <si>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</si>
  <si>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</si>
  <si>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</si>
  <si>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</si>
  <si>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</si>
  <si>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</si>
  <si>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</si>
  <si>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</si>
  <si>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</si>
  <si>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</si>
  <si>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</si>
  <si>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</si>
  <si>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</si>
  <si>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</si>
  <si>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</si>
  <si>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</si>
  <si>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</si>
  <si>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</si>
  <si>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</si>
  <si>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</si>
  <si>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</si>
  <si>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</si>
  <si>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</si>
  <si>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</si>
  <si>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</si>
  <si>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</si>
  <si>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</si>
  <si>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</si>
  <si>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</si>
  <si>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</si>
  <si>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</si>
  <si>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</si>
  <si>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</si>
  <si>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</si>
  <si>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</si>
  <si>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</si>
  <si>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</si>
  <si>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</si>
  <si>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</si>
  <si>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</si>
  <si>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</si>
  <si>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</si>
  <si>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</si>
  <si>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</si>
  <si>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</si>
  <si>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</si>
  <si>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</si>
  <si>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</si>
  <si>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</si>
  <si>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</si>
  <si>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</si>
  <si>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</si>
  <si>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</si>
  <si>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</si>
  <si>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</si>
  <si>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</si>
  <si>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</si>
  <si>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</si>
  <si>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</si>
  <si>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</si>
  <si>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</si>
  <si>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</si>
  <si>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</si>
  <si>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</si>
  <si>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</si>
  <si>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</si>
  <si>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</si>
  <si>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</si>
  <si>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</si>
  <si>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</si>
  <si>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</si>
  <si>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</si>
  <si>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</si>
  <si>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</si>
  <si>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</si>
  <si>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</si>
  <si>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</si>
  <si>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</si>
  <si>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</si>
  <si>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</si>
  <si>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</si>
  <si>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</si>
  <si>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</si>
  <si>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</si>
  <si>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</si>
  <si>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</si>
  <si>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</si>
  <si>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</si>
  <si>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</si>
  <si>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</si>
  <si>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</si>
  <si>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</si>
  <si>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</si>
  <si>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</si>
  <si>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</si>
  <si>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</si>
  <si>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</si>
  <si>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</si>
  <si>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</si>
  <si>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</si>
  <si>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</si>
  <si>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</si>
  <si>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</si>
  <si>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</si>
  <si>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</si>
  <si>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</si>
  <si>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</si>
  <si>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</si>
  <si>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</si>
  <si>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</si>
  <si>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</si>
  <si>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</si>
  <si>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</si>
  <si>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</si>
  <si>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</si>
  <si>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</si>
  <si>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</si>
  <si>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</si>
  <si>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</si>
  <si>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</si>
  <si>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</si>
  <si>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</si>
  <si>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</si>
  <si>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</si>
  <si>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</si>
  <si>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</si>
  <si>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</si>
  <si>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</si>
  <si>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</si>
  <si>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</si>
  <si>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</si>
  <si>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</si>
  <si>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</si>
  <si>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</si>
  <si>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</si>
  <si>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</si>
  <si>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</si>
  <si>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</si>
  <si>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</si>
  <si>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</si>
  <si>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</si>
  <si>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</si>
  <si>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</si>
  <si>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</si>
  <si>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</si>
  <si>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</si>
  <si>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</si>
  <si>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</si>
  <si>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</si>
  <si>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</si>
  <si>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</si>
  <si>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</si>
  <si>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</si>
  <si>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</si>
  <si>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</si>
  <si>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</si>
  <si>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</si>
  <si>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</si>
  <si>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</si>
  <si>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</si>
  <si>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</si>
  <si>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</si>
  <si>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</si>
  <si>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</si>
  <si>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</si>
  <si>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</si>
  <si>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</si>
  <si>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</si>
  <si>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</si>
  <si>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</si>
  <si>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</si>
  <si>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</si>
  <si>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</si>
  <si>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</si>
  <si>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</si>
  <si>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</si>
  <si>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</si>
  <si>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</si>
  <si>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</si>
  <si>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</si>
  <si>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</si>
  <si>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</si>
  <si>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</si>
  <si>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</si>
  <si>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</si>
  <si>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</si>
  <si>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</si>
  <si>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</si>
  <si>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</si>
  <si>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</si>
  <si>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</si>
  <si>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</si>
  <si>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</si>
  <si>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</si>
  <si>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</si>
  <si>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</si>
  <si>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</si>
  <si>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</si>
  <si>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</si>
  <si>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</si>
  <si>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</si>
  <si>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</si>
  <si>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</si>
  <si>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</si>
  <si>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</si>
  <si>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</si>
  <si>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</si>
  <si>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</si>
  <si>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</si>
  <si>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</si>
  <si>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</si>
  <si>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</si>
  <si>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</si>
  <si>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</si>
  <si>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</si>
  <si>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</si>
  <si>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</si>
  <si>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</si>
  <si>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</si>
  <si>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</si>
  <si>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</si>
  <si>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</si>
  <si>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</si>
  <si>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</si>
  <si>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</si>
  <si>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</si>
  <si>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</si>
  <si>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</si>
  <si>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</si>
  <si>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</si>
  <si>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</si>
  <si>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</si>
  <si>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</si>
  <si>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</si>
  <si>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</si>
  <si>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</si>
  <si>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</si>
  <si>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</si>
  <si>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</si>
  <si>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</si>
  <si>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</si>
  <si>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</si>
  <si>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</si>
  <si>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</si>
  <si>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</si>
  <si>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</si>
  <si>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</si>
  <si>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</si>
  <si>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</si>
  <si>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</si>
  <si>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</si>
  <si>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</si>
  <si>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</si>
  <si>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</si>
  <si>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</si>
  <si>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</si>
  <si>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</si>
  <si>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</si>
  <si>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</si>
  <si>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</si>
  <si>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</si>
  <si>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</si>
  <si>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</si>
  <si>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</si>
  <si>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</si>
  <si>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</si>
  <si>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</si>
  <si>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</si>
  <si>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</si>
  <si>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</si>
  <si>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</si>
  <si>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</si>
  <si>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</si>
  <si>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</si>
  <si>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</si>
  <si>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</si>
  <si>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</si>
  <si>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</si>
  <si>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</si>
  <si>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</si>
  <si>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</si>
  <si>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</si>
  <si>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</si>
  <si>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</si>
  <si>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</si>
  <si>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</si>
  <si>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</si>
  <si>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</si>
  <si>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</si>
  <si>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</si>
  <si>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</si>
  <si>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</si>
  <si>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</si>
  <si>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</si>
  <si>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</si>
  <si>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</si>
  <si>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</si>
  <si>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</si>
  <si>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</si>
  <si>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</si>
  <si>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</si>
  <si>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</si>
  <si>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</si>
  <si>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</si>
  <si>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</si>
  <si>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</si>
  <si>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</si>
  <si>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</si>
  <si>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</si>
  <si>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</si>
  <si>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</si>
  <si>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</si>
  <si>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</si>
  <si>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</si>
  <si>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</si>
  <si>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</si>
  <si>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</si>
  <si>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</si>
  <si>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</si>
  <si>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</si>
  <si>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</si>
  <si>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</si>
  <si>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</si>
  <si>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</si>
  <si>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</si>
  <si>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</si>
  <si>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</si>
  <si>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</si>
  <si>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</si>
  <si>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</si>
  <si>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</si>
  <si>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</si>
  <si>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</si>
  <si>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</si>
  <si>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</si>
  <si>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</si>
  <si>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</si>
  <si>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</si>
  <si>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</si>
  <si>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</si>
  <si>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</si>
  <si>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</si>
  <si>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</si>
  <si>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</si>
  <si>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</si>
  <si>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</si>
  <si>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</si>
  <si>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</si>
  <si>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</si>
  <si>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</si>
  <si>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</si>
  <si>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</si>
  <si>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</si>
  <si>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</si>
  <si>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</si>
  <si>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</si>
  <si>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</si>
  <si>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</si>
  <si>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</si>
  <si>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</si>
  <si>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</si>
  <si>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</si>
  <si>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</si>
  <si>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</si>
  <si>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</si>
  <si>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</si>
  <si>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</si>
  <si>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</si>
  <si>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</si>
  <si>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</si>
  <si>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</si>
  <si>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</si>
  <si>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</si>
  <si>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</si>
  <si>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</si>
  <si>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</si>
  <si>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</si>
  <si>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</si>
  <si>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</si>
  <si>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</si>
  <si>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</si>
  <si>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</si>
  <si>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</si>
  <si>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</si>
  <si>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</si>
  <si>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</si>
  <si>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</si>
  <si>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</si>
  <si>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</si>
  <si>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</si>
  <si>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</si>
  <si>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</si>
  <si>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</si>
  <si>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</si>
  <si>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</si>
  <si>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</si>
  <si>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</si>
  <si>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</si>
  <si>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</si>
  <si>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</si>
  <si>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</si>
  <si>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</si>
  <si>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</si>
  <si>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</si>
  <si>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</si>
  <si>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</si>
  <si>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</si>
  <si>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</si>
  <si>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</si>
  <si>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</si>
  <si>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</si>
  <si>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</si>
  <si>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</si>
  <si>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</si>
  <si>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</si>
  <si>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</si>
  <si>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</si>
  <si>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</si>
  <si>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</si>
  <si>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</si>
  <si>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</si>
  <si>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</si>
  <si>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</si>
  <si>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</si>
  <si>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</si>
  <si>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</si>
  <si>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</si>
  <si>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</si>
  <si>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</si>
  <si>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</si>
  <si>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</si>
  <si>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</si>
  <si>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</si>
  <si>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</si>
  <si>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</si>
  <si>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</si>
  <si>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</si>
  <si>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</si>
  <si>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</si>
  <si>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</si>
  <si>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</si>
  <si>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</si>
  <si>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</si>
  <si>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</si>
  <si>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</si>
  <si>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</si>
  <si>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</si>
  <si>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</si>
  <si>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</si>
  <si>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</si>
  <si>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</si>
  <si>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</si>
  <si>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</si>
  <si>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</si>
  <si>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</si>
  <si>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</si>
  <si>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</si>
  <si>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</si>
  <si>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</si>
  <si>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</si>
  <si>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</si>
  <si>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</si>
  <si>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</si>
  <si>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</si>
  <si>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</si>
  <si>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</si>
  <si>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</si>
  <si>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</si>
  <si>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</si>
  <si>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</si>
  <si>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</si>
  <si>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</si>
  <si>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</si>
  <si>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</si>
  <si>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</si>
  <si>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</si>
  <si>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</si>
  <si>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</si>
  <si>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</si>
  <si>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</si>
  <si>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</si>
  <si>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</si>
  <si>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</si>
  <si>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</si>
  <si>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</si>
  <si>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</si>
  <si>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</si>
  <si>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</si>
  <si>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</si>
  <si>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</si>
  <si>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</si>
  <si>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</si>
  <si>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</si>
  <si>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</si>
  <si>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</si>
  <si>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個別技能（火鏈、瘟疫、秘法加持…）有自己的跑位節奏，寫在 Skills2 敵人技能的效果參數裡。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</si>
  <si>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</si>
  <si>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</si>
  <si>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</si>
  <si>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</si>
  <si>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</si>
  <si>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</si>
  <si>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</si>
  <si>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</si>
  <si>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</si>
  <si>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</si>
  <si>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</si>
  <si>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</si>
  <si>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</si>
  <si>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</si>
  <si>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</si>
  <si>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</si>
  <si>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</si>
  <si>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</si>
  <si>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</si>
  <si>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</si>
  <si>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</si>
  <si>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</si>
  <si>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</si>
  <si>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</si>
  <si>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每次攻擊命中有 a% 機率追加「連擊數」次攻擊；連擊數 = b×LN(暴擊率÷100) + c×LN(攻速÷5) + d×LN(冷卻縮減÷60)</t>
  </si>
  <si>
    <t>a=命中時觸發連擊的機率% b=暴擊率溢出的自然對數乘數（暴擊率超過 100% 才有） c=攻速溢出的乘數（原始攻速超過 5 次/秒才有） d=冷卻縮減溢出的乘數（原始冷卻縮減超過 60% 才有）。各項低於門檻時為 0。</t>
  </si>
  <si>
    <t>25</t>
  </si>
  <si>
    <t>0.5</t>
    <phoneticPr fontId="1" type="noConversion"/>
  </si>
  <si>
    <t>0.65</t>
  </si>
  <si>
    <t>0.8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</si>
</sst>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1"/>
  <sheetViews>
    <sheetView topLeftCell="A319" workbookViewId="0">
      <selection activeCell="A341" sqref="A341:XFD341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1014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1015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1015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1015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1015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1015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1015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1015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1015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1015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1015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1015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1015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1015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1015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1015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1015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1015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1015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1015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1015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1015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s="7" t="s">
        <v>1170</v>
      </c>
      <c r="F58" s="7" t="s">
        <v>1171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s="7" t="s">
        <v>1172</v>
      </c>
      <c r="F60" s="7" t="s">
        <v>1173</v>
      </c>
      <c r="G60">
        <f>計算表!G60</f>
        <v>1</v>
      </c>
      <c r="H60" s="7" t="s">
        <v>1174</v>
      </c>
      <c r="I60" s="7" t="s">
        <v>1175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s="7" t="s">
        <v>1176</v>
      </c>
      <c r="F63" s="7" t="s">
        <v>1177</v>
      </c>
      <c r="G63">
        <f>計算表!G63</f>
        <v>3</v>
      </c>
      <c r="H63">
        <f>計算表!H63</f>
        <v>0.75</v>
      </c>
      <c r="I63">
        <f>計算表!I63</f>
        <v>2.4</v>
      </c>
      <c r="J63" s="7" t="s">
        <v>1178</v>
      </c>
      <c r="K63" s="7" t="s">
        <v>1179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s="7" t="s">
        <v>1180</v>
      </c>
      <c r="F64" s="7" t="s">
        <v>1181</v>
      </c>
      <c r="G64">
        <f>計算表!G64</f>
        <v>2</v>
      </c>
      <c r="H64">
        <f>計算表!H64</f>
        <v>0.75</v>
      </c>
      <c r="I64">
        <f>計算表!I64</f>
        <v>2.4</v>
      </c>
      <c r="J64" s="7" t="s">
        <v>1182</v>
      </c>
      <c r="K64" s="7" t="s">
        <v>1179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1183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s="7" t="s">
        <v>1192</v>
      </c>
      <c r="F66" s="7" t="s">
        <v>1193</v>
      </c>
      <c r="G66" s="7" t="s">
        <v>1194</v>
      </c>
      <c r="H66" s="7" t="s">
        <v>1195</v>
      </c>
      <c r="I66" s="7" t="s">
        <v>1196</v>
      </c>
      <c r="J66" s="7" t="s">
        <v>1197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s="7" t="s">
        <v>126</v>
      </c>
      <c r="F67" s="7" t="s">
        <v>1184</v>
      </c>
      <c r="G67">
        <f>計算表!G67</f>
        <v>150</v>
      </c>
      <c r="H67" s="7" t="s">
        <v>1179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 s="7" t="s">
        <v>1182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 s="7" t="s">
        <v>1175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1185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s="7" t="s">
        <v>1186</v>
      </c>
      <c r="E71" s="7" t="s">
        <v>1187</v>
      </c>
      <c r="F71" s="7" t="s">
        <v>1188</v>
      </c>
      <c r="G71" s="7" t="s">
        <v>1189</v>
      </c>
      <c r="H71" s="7" t="s">
        <v>1190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 × max(0, 1 − 該類已被控次數 × 每次遞減%)</v>
      </c>
      <c r="F87" t="str">
        <f>計算表!F87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7">
        <f>計算表!G87</f>
        <v>10</v>
      </c>
      <c r="H87">
        <f>計算表!H87</f>
        <v>10</v>
      </c>
      <c r="I87">
        <f>計算表!I87</f>
        <v>10</v>
      </c>
      <c r="J87">
        <f>計算表!J87</f>
        <v>0.5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1016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1017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的倍數，敵人數量與普通怪一致。〔菁英現在成群出現（可能帶小兵），普通關也會遇到；群的設定見「4-菁英群組」。小兵不吃這一列的倍率。〕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1018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1019</v>
      </c>
      <c r="H147" s="7" t="s">
        <v>1020</v>
      </c>
      <c r="I147" s="7" t="s">
        <v>1021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1022</v>
      </c>
      <c r="H148" s="7" t="s">
        <v>1023</v>
      </c>
      <c r="I148">
        <f>計算表!I148</f>
        <v>9.11754</v>
      </c>
      <c r="J148" s="7" t="s">
        <v>1024</v>
      </c>
      <c r="K148" s="7" t="s">
        <v>1025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1026</v>
      </c>
      <c r="H149" s="7" t="s">
        <v>1027</v>
      </c>
      <c r="I149" s="7" t="s">
        <v>1028</v>
      </c>
      <c r="J149" s="7" t="s">
        <v>1029</v>
      </c>
      <c r="K149" s="7" t="s">
        <v>1030</v>
      </c>
      <c r="L149" s="7" t="s">
        <v>1031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1032</v>
      </c>
      <c r="H150" s="7" t="s">
        <v>1033</v>
      </c>
      <c r="I150" s="7" t="s">
        <v>1034</v>
      </c>
      <c r="J150" s="7" t="s">
        <v>1035</v>
      </c>
      <c r="K150" s="7" t="s">
        <v>1036</v>
      </c>
      <c r="L150" s="7" t="s">
        <v>1037</v>
      </c>
      <c r="M150" s="7" t="s">
        <v>1038</v>
      </c>
      <c r="N150" s="7" t="s">
        <v>1039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1040</v>
      </c>
      <c r="H151" s="7" t="s">
        <v>1041</v>
      </c>
      <c r="I151" s="7" t="s">
        <v>1042</v>
      </c>
      <c r="J151" s="7" t="s">
        <v>1043</v>
      </c>
      <c r="K151" s="7" t="s">
        <v>1044</v>
      </c>
      <c r="L151" s="7" t="s">
        <v>1045</v>
      </c>
      <c r="M151" s="7" t="s">
        <v>1046</v>
      </c>
      <c r="N151" s="7" t="s">
        <v>1047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1048</v>
      </c>
      <c r="H152" s="7" t="s">
        <v>1049</v>
      </c>
      <c r="I152" s="7" t="s">
        <v>1050</v>
      </c>
      <c r="J152" s="7" t="s">
        <v>1051</v>
      </c>
      <c r="K152" s="7" t="s">
        <v>1052</v>
      </c>
      <c r="L152" s="7" t="s">
        <v>1053</v>
      </c>
      <c r="M152" s="7" t="s">
        <v>1054</v>
      </c>
      <c r="N152" s="7" t="s">
        <v>1055</v>
      </c>
      <c r="O152" s="7" t="s">
        <v>1056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1057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1058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1059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1060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s="7" t="s">
        <v>611</v>
      </c>
      <c r="F221" s="7" t="s">
        <v>1191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1061</v>
      </c>
      <c r="F287" s="7" t="s">
        <v>1062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 g=符文孔數（0＝沒有符文孔；上限與雙手武器加成見 Runes 表）。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0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 g=符文孔數（0＝沒有符文孔；上限與雙手武器加成見 Runes 表）。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1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 g=符文孔數（0＝沒有符文孔；上限與雙手武器加成見 Runes 表）。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1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 g=符文孔數（0＝沒有符文孔；上限與雙手武器加成見 Runes 表）。</v>
      </c>
      <c r="G309" s="7" t="s">
        <v>1063</v>
      </c>
      <c r="H309">
        <f>計算表!H325</f>
        <v>3</v>
      </c>
      <c r="I309">
        <f>計算表!I325</f>
        <v>3</v>
      </c>
      <c r="J309">
        <f>計算表!J325</f>
        <v>1</v>
      </c>
      <c r="K309">
        <f>計算表!K325</f>
        <v>1</v>
      </c>
      <c r="L309">
        <f>計算表!L325</f>
        <v>4.5</v>
      </c>
      <c r="M309">
        <f>計算表!M325</f>
        <v>1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 g=符文孔數（0＝沒有符文孔；上限與雙手武器加成見 Runes 表）。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2</v>
      </c>
      <c r="K310">
        <f>計算表!K326</f>
        <v>2</v>
      </c>
      <c r="L310">
        <f>計算表!L326</f>
        <v>7.5</v>
      </c>
      <c r="M310">
        <f>計算表!M326</f>
        <v>2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 g=符文孔數（0＝沒有符文孔；上限與雙手武器加成見 Runes 表）。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2</v>
      </c>
      <c r="K311">
        <f>計算表!K327</f>
        <v>2</v>
      </c>
      <c r="L311">
        <f>計算表!L327</f>
        <v>12</v>
      </c>
      <c r="M311">
        <f>計算表!M327</f>
        <v>2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 g=符文孔數（0＝沒有符文孔；上限與雙手武器加成見 Runes 表）。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2</v>
      </c>
      <c r="K312">
        <f>計算表!K328</f>
        <v>2</v>
      </c>
      <c r="L312">
        <f>計算表!L328</f>
        <v>19</v>
      </c>
      <c r="M312">
        <f>計算表!M328</f>
        <v>2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 g=符文孔數（0＝沒有符文孔；上限與雙手武器加成見 Runes 表）。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3</v>
      </c>
      <c r="K313">
        <f>計算表!K329</f>
        <v>3</v>
      </c>
      <c r="L313">
        <f>計算表!L329</f>
        <v>30</v>
      </c>
      <c r="M313">
        <f>計算表!M329</f>
        <v>3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 g=符文孔數（0＝沒有符文孔；上限與雙手武器加成見 Runes 表）。</v>
      </c>
      <c r="G314" s="7" t="s">
        <v>1064</v>
      </c>
      <c r="H314">
        <f>計算表!H330</f>
        <v>8</v>
      </c>
      <c r="I314">
        <f>計算表!I330</f>
        <v>8</v>
      </c>
      <c r="J314">
        <f>計算表!J330</f>
        <v>3</v>
      </c>
      <c r="K314">
        <f>計算表!K330</f>
        <v>3</v>
      </c>
      <c r="L314">
        <f>計算表!L330</f>
        <v>45</v>
      </c>
      <c r="M314">
        <f>計算表!M330</f>
        <v>3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4</v>
      </c>
      <c r="K315">
        <f>計算表!K331</f>
        <v>3</v>
      </c>
      <c r="L315">
        <f>計算表!L331</f>
        <v>67.5</v>
      </c>
      <c r="M315">
        <f>計算表!M331</f>
        <v>4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4</v>
      </c>
      <c r="K316">
        <f>計算表!K332</f>
        <v>3</v>
      </c>
      <c r="L316">
        <f>計算表!L332</f>
        <v>101.25</v>
      </c>
      <c r="M316">
        <f>計算表!M332</f>
        <v>4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  <row r="318" spans="1:18" x14ac:dyDescent="0.25">
      <c r="A318">
        <f>計算表!A334</f>
        <v>333</v>
      </c>
      <c r="B318">
        <f>計算表!B334</f>
        <v>0</v>
      </c>
      <c r="C318" t="str">
        <f>計算表!C334</f>
        <v>4-菁英群組</v>
      </c>
      <c r="D318" t="str">
        <f>計算表!D334</f>
        <v>普通關菁英機率(荒漠)</v>
      </c>
      <c r="E318" t="str">
        <f>計算表!E334</f>
        <v>每波有 x% 機率改出菁英群</v>
      </c>
      <c r="F318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計算表!G334</f>
        <v>{1~10,1}</v>
      </c>
      <c r="H318" s="7" t="str">
        <f>計算表!H334</f>
        <v>{11~50,3}</v>
      </c>
      <c r="I318" s="7" t="str">
        <f>計算表!I334</f>
        <v>{51~100,5}</v>
      </c>
      <c r="J318" s="7" t="str">
        <f>計算表!J334</f>
        <v>{101~9999,7}</v>
      </c>
      <c r="K318">
        <f>計算表!K334</f>
        <v>0</v>
      </c>
      <c r="L318">
        <f>計算表!L334</f>
        <v>0</v>
      </c>
      <c r="M318">
        <f>計算表!M334</f>
        <v>0</v>
      </c>
      <c r="N318">
        <f>計算表!N334</f>
        <v>0</v>
      </c>
      <c r="O318">
        <f>計算表!O334</f>
        <v>0</v>
      </c>
      <c r="P318">
        <f>計算表!P334</f>
        <v>0</v>
      </c>
      <c r="Q318">
        <f>計算表!Q334</f>
        <v>0</v>
      </c>
      <c r="R318">
        <f>計算表!R334</f>
        <v>0</v>
      </c>
    </row>
    <row r="319" spans="1:18" x14ac:dyDescent="0.25">
      <c r="A319">
        <f>計算表!A335</f>
        <v>334</v>
      </c>
      <c r="B319">
        <f>計算表!B335</f>
        <v>0</v>
      </c>
      <c r="C319" t="str">
        <f>計算表!C335</f>
        <v>4-菁英群組</v>
      </c>
      <c r="D319" t="str">
        <f>計算表!D335</f>
        <v>普通關菁英機率(冰原)</v>
      </c>
      <c r="E319" t="str">
        <f>計算表!E335</f>
        <v>每波有 x% 機率改出菁英群</v>
      </c>
      <c r="F319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9" s="7" t="str">
        <f>計算表!G335</f>
        <v>{1~100,6}</v>
      </c>
      <c r="H319" s="7" t="str">
        <f>計算表!H335</f>
        <v>{101~9999,9}</v>
      </c>
      <c r="I319">
        <f>計算表!I335</f>
        <v>0</v>
      </c>
      <c r="J319">
        <f>計算表!J335</f>
        <v>0</v>
      </c>
      <c r="K319">
        <f>計算表!K335</f>
        <v>0</v>
      </c>
      <c r="L319">
        <f>計算表!L335</f>
        <v>0</v>
      </c>
      <c r="M319">
        <f>計算表!M335</f>
        <v>0</v>
      </c>
      <c r="N319">
        <f>計算表!N335</f>
        <v>0</v>
      </c>
      <c r="O319">
        <f>計算表!O335</f>
        <v>0</v>
      </c>
      <c r="P319">
        <f>計算表!P335</f>
        <v>0</v>
      </c>
      <c r="Q319">
        <f>計算表!Q335</f>
        <v>0</v>
      </c>
      <c r="R319">
        <f>計算表!R335</f>
        <v>0</v>
      </c>
    </row>
    <row r="320" spans="1:18" x14ac:dyDescent="0.25">
      <c r="A320">
        <f>計算表!A336</f>
        <v>335</v>
      </c>
      <c r="B320">
        <f>計算表!B336</f>
        <v>0</v>
      </c>
      <c r="C320" t="str">
        <f>計算表!C336</f>
        <v>4-菁英群組</v>
      </c>
      <c r="D320" t="str">
        <f>計算表!D336</f>
        <v>普通關菁英機率(沼澤)</v>
      </c>
      <c r="E320" t="str">
        <f>計算表!E336</f>
        <v>每波有 x% 機率改出菁英群</v>
      </c>
      <c r="F320" t="str">
        <f>計算表!F336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0" s="7" t="str">
        <f>計算表!G336</f>
        <v>{1~100,8}</v>
      </c>
      <c r="H320" s="7" t="str">
        <f>計算表!H336</f>
        <v>{101~9999,11}</v>
      </c>
      <c r="I320">
        <f>計算表!I336</f>
        <v>0</v>
      </c>
      <c r="J320">
        <f>計算表!J336</f>
        <v>0</v>
      </c>
      <c r="K320">
        <f>計算表!K336</f>
        <v>0</v>
      </c>
      <c r="L320">
        <f>計算表!L336</f>
        <v>0</v>
      </c>
      <c r="M320">
        <f>計算表!M336</f>
        <v>0</v>
      </c>
      <c r="N320">
        <f>計算表!N336</f>
        <v>0</v>
      </c>
      <c r="O320">
        <f>計算表!O336</f>
        <v>0</v>
      </c>
      <c r="P320">
        <f>計算表!P336</f>
        <v>0</v>
      </c>
      <c r="Q320">
        <f>計算表!Q336</f>
        <v>0</v>
      </c>
      <c r="R320">
        <f>計算表!R336</f>
        <v>0</v>
      </c>
    </row>
    <row r="321" spans="1:18" x14ac:dyDescent="0.25">
      <c r="A321">
        <f>計算表!A337</f>
        <v>336</v>
      </c>
      <c r="B321">
        <f>計算表!B337</f>
        <v>0</v>
      </c>
      <c r="C321" t="str">
        <f>計算表!C337</f>
        <v>4-菁英群組</v>
      </c>
      <c r="D321" t="str">
        <f>計算表!D337</f>
        <v>普通關菁英機率(亡靈山脈)</v>
      </c>
      <c r="E321" t="str">
        <f>計算表!E337</f>
        <v>每波有 x% 機率改出菁英群</v>
      </c>
      <c r="F321" t="str">
        <f>計算表!F337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1" s="7" t="str">
        <f>計算表!G337</f>
        <v>{1~200,10}</v>
      </c>
      <c r="H321" s="7" t="str">
        <f>計算表!H337</f>
        <v>{201~9999,13}</v>
      </c>
      <c r="I321">
        <f>計算表!I337</f>
        <v>0</v>
      </c>
      <c r="J321">
        <f>計算表!J337</f>
        <v>0</v>
      </c>
      <c r="K321">
        <f>計算表!K337</f>
        <v>0</v>
      </c>
      <c r="L321">
        <f>計算表!L337</f>
        <v>0</v>
      </c>
      <c r="M321">
        <f>計算表!M337</f>
        <v>0</v>
      </c>
      <c r="N321">
        <f>計算表!N337</f>
        <v>0</v>
      </c>
      <c r="O321">
        <f>計算表!O337</f>
        <v>0</v>
      </c>
      <c r="P321">
        <f>計算表!P337</f>
        <v>0</v>
      </c>
      <c r="Q321">
        <f>計算表!Q337</f>
        <v>0</v>
      </c>
      <c r="R321">
        <f>計算表!R337</f>
        <v>0</v>
      </c>
    </row>
    <row r="322" spans="1:18" x14ac:dyDescent="0.25">
      <c r="A322">
        <f>計算表!A338</f>
        <v>337</v>
      </c>
      <c r="B322">
        <f>計算表!B338</f>
        <v>0</v>
      </c>
      <c r="C322" t="str">
        <f>計算表!C338</f>
        <v>4-菁英群組</v>
      </c>
      <c r="D322" t="str">
        <f>計算表!D338</f>
        <v>普通關菁英機率(其他地圖)</v>
      </c>
      <c r="E322" t="str">
        <f>計算表!E338</f>
        <v>每波有 x% 機率改出菁英群</v>
      </c>
      <c r="F322" t="str">
        <f>計算表!F338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2" s="7" t="str">
        <f>計算表!G338</f>
        <v>{1~9999,12}</v>
      </c>
      <c r="H322">
        <f>計算表!H338</f>
        <v>0</v>
      </c>
      <c r="I322">
        <f>計算表!I338</f>
        <v>0</v>
      </c>
      <c r="J322">
        <f>計算表!J338</f>
        <v>0</v>
      </c>
      <c r="K322">
        <f>計算表!K338</f>
        <v>0</v>
      </c>
      <c r="L322">
        <f>計算表!L338</f>
        <v>0</v>
      </c>
      <c r="M322">
        <f>計算表!M338</f>
        <v>0</v>
      </c>
      <c r="N322">
        <f>計算表!N338</f>
        <v>0</v>
      </c>
      <c r="O322">
        <f>計算表!O338</f>
        <v>0</v>
      </c>
      <c r="P322">
        <f>計算表!P338</f>
        <v>0</v>
      </c>
      <c r="Q322">
        <f>計算表!Q338</f>
        <v>0</v>
      </c>
      <c r="R322">
        <f>計算表!R338</f>
        <v>0</v>
      </c>
    </row>
    <row r="323" spans="1:18" x14ac:dyDescent="0.25">
      <c r="A323">
        <f>計算表!A339</f>
        <v>338</v>
      </c>
      <c r="B323">
        <f>計算表!B339</f>
        <v>0</v>
      </c>
      <c r="C323" t="str">
        <f>計算表!C339</f>
        <v>4-菁英群組</v>
      </c>
      <c r="D323" t="str">
        <f>計算表!D339</f>
        <v>群組成員數權重(荒漠)</v>
      </c>
      <c r="E323" t="str">
        <f>計算表!E339</f>
        <v>權重表：{關卡下限~上限,隻數,權重}</v>
      </c>
      <c r="F323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計算表!G339</f>
        <v>{1~100,2,60}</v>
      </c>
      <c r="H323" s="7" t="str">
        <f>計算表!H339</f>
        <v>{1~100,3,30}</v>
      </c>
      <c r="I323" s="7" t="str">
        <f>計算表!I339</f>
        <v>{1~100,4,10}</v>
      </c>
      <c r="J323" s="7" t="str">
        <f>計算表!J339</f>
        <v>{101~9999,2,40}</v>
      </c>
      <c r="K323" s="7" t="str">
        <f>計算表!K339</f>
        <v>{101~9999,3,40}</v>
      </c>
      <c r="L323" s="7" t="str">
        <f>計算表!L339</f>
        <v>{101~9999,4,20}</v>
      </c>
      <c r="M323">
        <f>計算表!M339</f>
        <v>0</v>
      </c>
      <c r="N323">
        <f>計算表!N339</f>
        <v>0</v>
      </c>
      <c r="O323">
        <f>計算表!O339</f>
        <v>0</v>
      </c>
      <c r="P323">
        <f>計算表!P339</f>
        <v>0</v>
      </c>
      <c r="Q323">
        <f>計算表!Q339</f>
        <v>0</v>
      </c>
      <c r="R323">
        <f>計算表!R339</f>
        <v>0</v>
      </c>
    </row>
    <row r="324" spans="1:18" x14ac:dyDescent="0.25">
      <c r="A324">
        <f>計算表!A340</f>
        <v>339</v>
      </c>
      <c r="B324">
        <f>計算表!B340</f>
        <v>0</v>
      </c>
      <c r="C324" t="str">
        <f>計算表!C340</f>
        <v>4-菁英群組</v>
      </c>
      <c r="D324" t="str">
        <f>計算表!D340</f>
        <v>群組成員數權重(冰原)</v>
      </c>
      <c r="E324" t="str">
        <f>計算表!E340</f>
        <v>權重表：{關卡下限~上限,隻數,權重}</v>
      </c>
      <c r="F324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計算表!G340</f>
        <v>{1~9999,2,50}</v>
      </c>
      <c r="H324" s="7" t="str">
        <f>計算表!H340</f>
        <v>{1~9999,3,35}</v>
      </c>
      <c r="I324" s="7" t="str">
        <f>計算表!I340</f>
        <v>{1~9999,4,15}</v>
      </c>
      <c r="J324">
        <f>計算表!J340</f>
        <v>0</v>
      </c>
      <c r="K324">
        <f>計算表!K340</f>
        <v>0</v>
      </c>
      <c r="L324">
        <f>計算表!L340</f>
        <v>0</v>
      </c>
      <c r="M324">
        <f>計算表!M340</f>
        <v>0</v>
      </c>
      <c r="N324">
        <f>計算表!N340</f>
        <v>0</v>
      </c>
      <c r="O324">
        <f>計算表!O340</f>
        <v>0</v>
      </c>
      <c r="P324">
        <f>計算表!P340</f>
        <v>0</v>
      </c>
      <c r="Q324">
        <f>計算表!Q340</f>
        <v>0</v>
      </c>
      <c r="R324">
        <f>計算表!R340</f>
        <v>0</v>
      </c>
    </row>
    <row r="325" spans="1:18" x14ac:dyDescent="0.25">
      <c r="A325">
        <f>計算表!A341</f>
        <v>340</v>
      </c>
      <c r="B325">
        <f>計算表!B341</f>
        <v>0</v>
      </c>
      <c r="C325" t="str">
        <f>計算表!C341</f>
        <v>4-菁英群組</v>
      </c>
      <c r="D325" t="str">
        <f>計算表!D341</f>
        <v>群組成員數權重(沼澤)</v>
      </c>
      <c r="E325" t="str">
        <f>計算表!E341</f>
        <v>權重表：{關卡下限~上限,隻數,權重}</v>
      </c>
      <c r="F325" t="str">
        <f>計算表!F341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計算表!G341</f>
        <v>{1~9999,2,40}</v>
      </c>
      <c r="H325" s="7" t="str">
        <f>計算表!H341</f>
        <v>{1~9999,3,40}</v>
      </c>
      <c r="I325" s="7" t="str">
        <f>計算表!I341</f>
        <v>{1~9999,4,20}</v>
      </c>
      <c r="J325">
        <f>計算表!J341</f>
        <v>0</v>
      </c>
      <c r="K325">
        <f>計算表!K341</f>
        <v>0</v>
      </c>
      <c r="L325">
        <f>計算表!L341</f>
        <v>0</v>
      </c>
      <c r="M325">
        <f>計算表!M341</f>
        <v>0</v>
      </c>
      <c r="N325">
        <f>計算表!N341</f>
        <v>0</v>
      </c>
      <c r="O325">
        <f>計算表!O341</f>
        <v>0</v>
      </c>
      <c r="P325">
        <f>計算表!P341</f>
        <v>0</v>
      </c>
      <c r="Q325">
        <f>計算表!Q341</f>
        <v>0</v>
      </c>
      <c r="R325">
        <f>計算表!R341</f>
        <v>0</v>
      </c>
    </row>
    <row r="326" spans="1:18" x14ac:dyDescent="0.25">
      <c r="A326">
        <f>計算表!A342</f>
        <v>341</v>
      </c>
      <c r="B326">
        <f>計算表!B342</f>
        <v>0</v>
      </c>
      <c r="C326" t="str">
        <f>計算表!C342</f>
        <v>4-菁英群組</v>
      </c>
      <c r="D326" t="str">
        <f>計算表!D342</f>
        <v>群組成員數權重(亡靈山脈)</v>
      </c>
      <c r="E326" t="str">
        <f>計算表!E342</f>
        <v>權重表：{關卡下限~上限,隻數,權重}</v>
      </c>
      <c r="F326" t="str">
        <f>計算表!F342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計算表!G342</f>
        <v>{1~9999,2,30}</v>
      </c>
      <c r="H326" s="7" t="str">
        <f>計算表!H342</f>
        <v>{1~9999,3,40}</v>
      </c>
      <c r="I326" s="7" t="str">
        <f>計算表!I342</f>
        <v>{1~9999,4,30}</v>
      </c>
      <c r="J326">
        <f>計算表!J342</f>
        <v>0</v>
      </c>
      <c r="K326">
        <f>計算表!K342</f>
        <v>0</v>
      </c>
      <c r="L326">
        <f>計算表!L342</f>
        <v>0</v>
      </c>
      <c r="M326">
        <f>計算表!M342</f>
        <v>0</v>
      </c>
      <c r="N326">
        <f>計算表!N342</f>
        <v>0</v>
      </c>
      <c r="O326">
        <f>計算表!O342</f>
        <v>0</v>
      </c>
      <c r="P326">
        <f>計算表!P342</f>
        <v>0</v>
      </c>
      <c r="Q326">
        <f>計算表!Q342</f>
        <v>0</v>
      </c>
      <c r="R326">
        <f>計算表!R342</f>
        <v>0</v>
      </c>
    </row>
    <row r="327" spans="1:18" x14ac:dyDescent="0.25">
      <c r="A327">
        <f>計算表!A343</f>
        <v>342</v>
      </c>
      <c r="B327">
        <f>計算表!B343</f>
        <v>0</v>
      </c>
      <c r="C327" t="str">
        <f>計算表!C343</f>
        <v>4-菁英群組</v>
      </c>
      <c r="D327" t="str">
        <f>計算表!D343</f>
        <v>群組成員數權重(其他地圖)</v>
      </c>
      <c r="E327" t="str">
        <f>計算表!E343</f>
        <v>權重表：{關卡下限~上限,隻數,權重}</v>
      </c>
      <c r="F327" t="str">
        <f>計算表!F343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計算表!G343</f>
        <v>{1~9999,2,25}</v>
      </c>
      <c r="H327" s="7" t="str">
        <f>計算表!H343</f>
        <v>{1~9999,3,40}</v>
      </c>
      <c r="I327" s="7" t="str">
        <f>計算表!I343</f>
        <v>{1~9999,4,35}</v>
      </c>
      <c r="J327">
        <f>計算表!J343</f>
        <v>0</v>
      </c>
      <c r="K327">
        <f>計算表!K343</f>
        <v>0</v>
      </c>
      <c r="L327">
        <f>計算表!L343</f>
        <v>0</v>
      </c>
      <c r="M327">
        <f>計算表!M343</f>
        <v>0</v>
      </c>
      <c r="N327">
        <f>計算表!N343</f>
        <v>0</v>
      </c>
      <c r="O327">
        <f>計算表!O343</f>
        <v>0</v>
      </c>
      <c r="P327">
        <f>計算表!P343</f>
        <v>0</v>
      </c>
      <c r="Q327">
        <f>計算表!Q343</f>
        <v>0</v>
      </c>
      <c r="R327">
        <f>計算表!R343</f>
        <v>0</v>
      </c>
    </row>
    <row r="328" spans="1:18" x14ac:dyDescent="0.25">
      <c r="A328">
        <f>計算表!A344</f>
        <v>343</v>
      </c>
      <c r="B328">
        <f>計算表!B344</f>
        <v>0</v>
      </c>
      <c r="C328" t="str">
        <f>計算表!C344</f>
        <v>4-菁英群組</v>
      </c>
      <c r="D328" t="str">
        <f>計算表!D344</f>
        <v>純菁英群機率(荒漠)</v>
      </c>
      <c r="E328" t="str">
        <f>計算表!E344</f>
        <v>全員菁英的機率 x%，其餘為菁英帶小兵</v>
      </c>
      <c r="F328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計算表!G344</f>
        <v>{1~100,15}</v>
      </c>
      <c r="H328" s="7" t="str">
        <f>計算表!H344</f>
        <v>{101~9999,30}</v>
      </c>
      <c r="I328">
        <f>計算表!I344</f>
        <v>0</v>
      </c>
      <c r="J328">
        <f>計算表!J344</f>
        <v>0</v>
      </c>
      <c r="K328">
        <f>計算表!K344</f>
        <v>0</v>
      </c>
      <c r="L328">
        <f>計算表!L344</f>
        <v>0</v>
      </c>
      <c r="M328">
        <f>計算表!M344</f>
        <v>0</v>
      </c>
      <c r="N328">
        <f>計算表!N344</f>
        <v>0</v>
      </c>
      <c r="O328">
        <f>計算表!O344</f>
        <v>0</v>
      </c>
      <c r="P328">
        <f>計算表!P344</f>
        <v>0</v>
      </c>
      <c r="Q328">
        <f>計算表!Q344</f>
        <v>0</v>
      </c>
      <c r="R328">
        <f>計算表!R344</f>
        <v>0</v>
      </c>
    </row>
    <row r="329" spans="1:18" x14ac:dyDescent="0.25">
      <c r="A329">
        <f>計算表!A345</f>
        <v>344</v>
      </c>
      <c r="B329">
        <f>計算表!B345</f>
        <v>0</v>
      </c>
      <c r="C329" t="str">
        <f>計算表!C345</f>
        <v>4-菁英群組</v>
      </c>
      <c r="D329" t="str">
        <f>計算表!D345</f>
        <v>純菁英群機率(冰原)</v>
      </c>
      <c r="E329" t="str">
        <f>計算表!E345</f>
        <v>全員菁英的機率 x%，其餘為菁英帶小兵</v>
      </c>
      <c r="F329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9" s="7" t="str">
        <f>計算表!G345</f>
        <v>{1~100,25}</v>
      </c>
      <c r="H329" s="7" t="str">
        <f>計算表!H345</f>
        <v>{101~9999,35}</v>
      </c>
      <c r="I329">
        <f>計算表!I345</f>
        <v>0</v>
      </c>
      <c r="J329">
        <f>計算表!J345</f>
        <v>0</v>
      </c>
      <c r="K329">
        <f>計算表!K345</f>
        <v>0</v>
      </c>
      <c r="L329">
        <f>計算表!L345</f>
        <v>0</v>
      </c>
      <c r="M329">
        <f>計算表!M345</f>
        <v>0</v>
      </c>
      <c r="N329">
        <f>計算表!N345</f>
        <v>0</v>
      </c>
      <c r="O329">
        <f>計算表!O345</f>
        <v>0</v>
      </c>
      <c r="P329">
        <f>計算表!P345</f>
        <v>0</v>
      </c>
      <c r="Q329">
        <f>計算表!Q345</f>
        <v>0</v>
      </c>
      <c r="R329">
        <f>計算表!R345</f>
        <v>0</v>
      </c>
    </row>
    <row r="330" spans="1:18" x14ac:dyDescent="0.25">
      <c r="A330">
        <f>計算表!A346</f>
        <v>345</v>
      </c>
      <c r="B330">
        <f>計算表!B346</f>
        <v>0</v>
      </c>
      <c r="C330" t="str">
        <f>計算表!C346</f>
        <v>4-菁英群組</v>
      </c>
      <c r="D330" t="str">
        <f>計算表!D346</f>
        <v>純菁英群機率(沼澤)</v>
      </c>
      <c r="E330" t="str">
        <f>計算表!E346</f>
        <v>全員菁英的機率 x%，其餘為菁英帶小兵</v>
      </c>
      <c r="F330" t="str">
        <f>計算表!F346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0" s="7" t="str">
        <f>計算表!G346</f>
        <v>{1~9999,35}</v>
      </c>
      <c r="H330">
        <f>計算表!H346</f>
        <v>0</v>
      </c>
      <c r="I330">
        <f>計算表!I346</f>
        <v>0</v>
      </c>
      <c r="J330">
        <f>計算表!J346</f>
        <v>0</v>
      </c>
      <c r="K330">
        <f>計算表!K346</f>
        <v>0</v>
      </c>
      <c r="L330">
        <f>計算表!L346</f>
        <v>0</v>
      </c>
      <c r="M330">
        <f>計算表!M346</f>
        <v>0</v>
      </c>
      <c r="N330">
        <f>計算表!N346</f>
        <v>0</v>
      </c>
      <c r="O330">
        <f>計算表!O346</f>
        <v>0</v>
      </c>
      <c r="P330">
        <f>計算表!P346</f>
        <v>0</v>
      </c>
      <c r="Q330">
        <f>計算表!Q346</f>
        <v>0</v>
      </c>
      <c r="R330">
        <f>計算表!R346</f>
        <v>0</v>
      </c>
    </row>
    <row r="331" spans="1:18" x14ac:dyDescent="0.25">
      <c r="A331">
        <f>計算表!A347</f>
        <v>346</v>
      </c>
      <c r="B331">
        <f>計算表!B347</f>
        <v>0</v>
      </c>
      <c r="C331" t="str">
        <f>計算表!C347</f>
        <v>4-菁英群組</v>
      </c>
      <c r="D331" t="str">
        <f>計算表!D347</f>
        <v>純菁英群機率(亡靈山脈)</v>
      </c>
      <c r="E331" t="str">
        <f>計算表!E347</f>
        <v>全員菁英的機率 x%，其餘為菁英帶小兵</v>
      </c>
      <c r="F331" t="str">
        <f>計算表!F347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1" s="7" t="str">
        <f>計算表!G347</f>
        <v>{1~9999,45}</v>
      </c>
      <c r="H331">
        <f>計算表!H347</f>
        <v>0</v>
      </c>
      <c r="I331">
        <f>計算表!I347</f>
        <v>0</v>
      </c>
      <c r="J331">
        <f>計算表!J347</f>
        <v>0</v>
      </c>
      <c r="K331">
        <f>計算表!K347</f>
        <v>0</v>
      </c>
      <c r="L331">
        <f>計算表!L347</f>
        <v>0</v>
      </c>
      <c r="M331">
        <f>計算表!M347</f>
        <v>0</v>
      </c>
      <c r="N331">
        <f>計算表!N347</f>
        <v>0</v>
      </c>
      <c r="O331">
        <f>計算表!O347</f>
        <v>0</v>
      </c>
      <c r="P331">
        <f>計算表!P347</f>
        <v>0</v>
      </c>
      <c r="Q331">
        <f>計算表!Q347</f>
        <v>0</v>
      </c>
      <c r="R331">
        <f>計算表!R347</f>
        <v>0</v>
      </c>
    </row>
    <row r="332" spans="1:18" x14ac:dyDescent="0.25">
      <c r="A332">
        <f>計算表!A348</f>
        <v>347</v>
      </c>
      <c r="B332">
        <f>計算表!B348</f>
        <v>0</v>
      </c>
      <c r="C332" t="str">
        <f>計算表!C348</f>
        <v>4-菁英群組</v>
      </c>
      <c r="D332" t="str">
        <f>計算表!D348</f>
        <v>純菁英群機率(其他地圖)</v>
      </c>
      <c r="E332" t="str">
        <f>計算表!E348</f>
        <v>全員菁英的機率 x%，其餘為菁英帶小兵</v>
      </c>
      <c r="F332" t="str">
        <f>計算表!F348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2" s="7" t="str">
        <f>計算表!G348</f>
        <v>{1~9999,55}</v>
      </c>
      <c r="H332">
        <f>計算表!H348</f>
        <v>0</v>
      </c>
      <c r="I332">
        <f>計算表!I348</f>
        <v>0</v>
      </c>
      <c r="J332">
        <f>計算表!J348</f>
        <v>0</v>
      </c>
      <c r="K332">
        <f>計算表!K348</f>
        <v>0</v>
      </c>
      <c r="L332">
        <f>計算表!L348</f>
        <v>0</v>
      </c>
      <c r="M332">
        <f>計算表!M348</f>
        <v>0</v>
      </c>
      <c r="N332">
        <f>計算表!N348</f>
        <v>0</v>
      </c>
      <c r="O332">
        <f>計算表!O348</f>
        <v>0</v>
      </c>
      <c r="P332">
        <f>計算表!P348</f>
        <v>0</v>
      </c>
      <c r="Q332">
        <f>計算表!Q348</f>
        <v>0</v>
      </c>
      <c r="R332">
        <f>計算表!R348</f>
        <v>0</v>
      </c>
    </row>
    <row r="333" spans="1:18" x14ac:dyDescent="0.25">
      <c r="A333">
        <f>計算表!A349</f>
        <v>348</v>
      </c>
      <c r="B333">
        <f>計算表!B349</f>
        <v>0</v>
      </c>
      <c r="C333" t="str">
        <f>計算表!C349</f>
        <v>4-菁英群組</v>
      </c>
      <c r="D333" t="str">
        <f>計算表!D349</f>
        <v>普通關菁英群數量權重</v>
      </c>
      <c r="E333" t="str">
        <f>計算表!E349</f>
        <v>權重表：{群數,權重}</v>
      </c>
      <c r="F333" t="str">
        <f>計算表!F349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33" s="7" t="str">
        <f>計算表!G349</f>
        <v>{1,75}</v>
      </c>
      <c r="H333" s="7" t="str">
        <f>計算表!H349</f>
        <v>{2,22}</v>
      </c>
      <c r="I333" s="7" t="str">
        <f>計算表!I349</f>
        <v>{3,3}</v>
      </c>
      <c r="J333">
        <f>計算表!J349</f>
        <v>0</v>
      </c>
      <c r="K333">
        <f>計算表!K349</f>
        <v>0</v>
      </c>
      <c r="L333">
        <f>計算表!L349</f>
        <v>0</v>
      </c>
      <c r="M333">
        <f>計算表!M349</f>
        <v>0</v>
      </c>
      <c r="N333">
        <f>計算表!N349</f>
        <v>0</v>
      </c>
      <c r="O333">
        <f>計算表!O349</f>
        <v>0</v>
      </c>
      <c r="P333">
        <f>計算表!P349</f>
        <v>0</v>
      </c>
      <c r="Q333">
        <f>計算表!Q349</f>
        <v>0</v>
      </c>
      <c r="R333">
        <f>計算表!R349</f>
        <v>0</v>
      </c>
    </row>
    <row r="334" spans="1:18" x14ac:dyDescent="0.25">
      <c r="A334">
        <f>計算表!A350</f>
        <v>349</v>
      </c>
      <c r="B334">
        <f>計算表!B350</f>
        <v>0</v>
      </c>
      <c r="C334" t="str">
        <f>計算表!C350</f>
        <v>4-菁英群組</v>
      </c>
      <c r="D334" t="str">
        <f>計算表!D350</f>
        <v>菁英技能數量權重</v>
      </c>
      <c r="E334" t="str">
        <f>計算表!E350</f>
        <v>權重表：{關卡下限~上限,1個,2個,3個}</v>
      </c>
      <c r="F334" t="str">
        <f>計算表!F350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34" s="7" t="str">
        <f>計算表!G350</f>
        <v>{1~100,70,28,2}</v>
      </c>
      <c r="H334" s="7" t="str">
        <f>計算表!H350</f>
        <v>{101~300,45,45,10}</v>
      </c>
      <c r="I334" s="7" t="str">
        <f>計算表!I350</f>
        <v>{301~9999,25,50,25}</v>
      </c>
      <c r="J334">
        <f>計算表!J350</f>
        <v>0</v>
      </c>
      <c r="K334">
        <f>計算表!K350</f>
        <v>0</v>
      </c>
      <c r="L334">
        <f>計算表!L350</f>
        <v>0</v>
      </c>
      <c r="M334">
        <f>計算表!M350</f>
        <v>0</v>
      </c>
      <c r="N334">
        <f>計算表!N350</f>
        <v>0</v>
      </c>
      <c r="O334">
        <f>計算表!O350</f>
        <v>0</v>
      </c>
      <c r="P334">
        <f>計算表!P350</f>
        <v>0</v>
      </c>
      <c r="Q334">
        <f>計算表!Q350</f>
        <v>0</v>
      </c>
      <c r="R334">
        <f>計算表!R350</f>
        <v>0</v>
      </c>
    </row>
    <row r="335" spans="1:18" x14ac:dyDescent="0.25">
      <c r="A335">
        <f>計算表!A351</f>
        <v>350</v>
      </c>
      <c r="B335">
        <f>計算表!B351</f>
        <v>0</v>
      </c>
      <c r="C335" t="str">
        <f>計算表!C351</f>
        <v>4-菁英群組</v>
      </c>
      <c r="D335" t="str">
        <f>計算表!D351</f>
        <v>混合群與小兵</v>
      </c>
      <c r="E335" t="str">
        <f>計算表!E351</f>
        <v>帶隊菁英 a 隻；小兵生命×b 攻擊×c 金幣經驗×d</v>
      </c>
      <c r="F335" t="str">
        <f>計算表!F351</f>
        <v>「菁英帶小兵」的群：a＝帶隊的菁英隻數（群內其餘都是小兵，數量不夠時全員菁英）；小兵是普通怪，b／c＝生命與攻擊相對普通怪的倍率，d＝金幣與經驗倍率。</v>
      </c>
      <c r="G335">
        <f>計算表!G351</f>
        <v>1</v>
      </c>
      <c r="H335">
        <f>計算表!H351</f>
        <v>1</v>
      </c>
      <c r="I335">
        <f>計算表!I351</f>
        <v>1</v>
      </c>
      <c r="J335">
        <f>計算表!J351</f>
        <v>1</v>
      </c>
      <c r="K335">
        <f>計算表!K351</f>
        <v>0</v>
      </c>
      <c r="L335">
        <f>計算表!L351</f>
        <v>0</v>
      </c>
      <c r="M335">
        <f>計算表!M351</f>
        <v>0</v>
      </c>
      <c r="N335">
        <f>計算表!N351</f>
        <v>0</v>
      </c>
      <c r="O335">
        <f>計算表!O351</f>
        <v>0</v>
      </c>
      <c r="P335">
        <f>計算表!P351</f>
        <v>0</v>
      </c>
      <c r="Q335">
        <f>計算表!Q351</f>
        <v>0</v>
      </c>
      <c r="R335">
        <f>計算表!R351</f>
        <v>0</v>
      </c>
    </row>
    <row r="336" spans="1:18" x14ac:dyDescent="0.25">
      <c r="A336">
        <f>計算表!A352</f>
        <v>351</v>
      </c>
      <c r="B336">
        <f>計算表!B352</f>
        <v>0</v>
      </c>
      <c r="C336" t="str">
        <f>計算表!C352</f>
        <v>4-菁英群組</v>
      </c>
      <c r="D336" t="str">
        <f>計算表!D352</f>
        <v>菁英技能全域設定</v>
      </c>
      <c r="E336" t="str">
        <f>計算表!E352</f>
        <v>傷害×a% 冷卻×b%；首次施放≤c 秒；場域上限 d；召喚上限 e；鏈結連線 f</v>
      </c>
      <c r="F336" t="str">
        <f>計算表!F352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36">
        <f>計算表!G352</f>
        <v>100</v>
      </c>
      <c r="H336">
        <f>計算表!H352</f>
        <v>100</v>
      </c>
      <c r="I336">
        <f>計算表!I352</f>
        <v>3.5</v>
      </c>
      <c r="J336">
        <f>計算表!J352</f>
        <v>48</v>
      </c>
      <c r="K336">
        <f>計算表!K352</f>
        <v>10</v>
      </c>
      <c r="L336">
        <f>計算表!L352</f>
        <v>1</v>
      </c>
      <c r="M336">
        <f>計算表!M352</f>
        <v>0</v>
      </c>
      <c r="N336">
        <f>計算表!N352</f>
        <v>0</v>
      </c>
      <c r="O336">
        <f>計算表!O352</f>
        <v>0</v>
      </c>
      <c r="P336">
        <f>計算表!P352</f>
        <v>0</v>
      </c>
      <c r="Q336">
        <f>計算表!Q352</f>
        <v>0</v>
      </c>
      <c r="R336">
        <f>計算表!R352</f>
        <v>0</v>
      </c>
    </row>
    <row r="337" spans="1:18" x14ac:dyDescent="0.25">
      <c r="A337">
        <f>計算表!A353</f>
        <v>352</v>
      </c>
      <c r="B337">
        <f>計算表!B353</f>
        <v>0</v>
      </c>
      <c r="C337" t="str">
        <f>計算表!C353</f>
        <v>8-戰鬥畫面</v>
      </c>
      <c r="D337" t="str">
        <f>計算表!D353</f>
        <v>戰鬥鏡頭距離</v>
      </c>
      <c r="E337" t="str">
        <f>計算表!E353</f>
        <v>鏡頭距離=a%；畫面縮放=100÷a</v>
      </c>
      <c r="F337" t="str">
        <f>計算表!F353</f>
        <v>a＝相對原鏡頭距離（%）。100＝原距離；125＝拉遠25%；數值越大視野越廣。套用後重載遊戲，影響野外與BOSS畫面。</v>
      </c>
      <c r="G337">
        <f>計算表!G353</f>
        <v>125</v>
      </c>
      <c r="H337">
        <f>計算表!H353</f>
        <v>0</v>
      </c>
      <c r="I337">
        <f>計算表!I353</f>
        <v>0</v>
      </c>
      <c r="J337">
        <f>計算表!J353</f>
        <v>0</v>
      </c>
      <c r="K337">
        <f>計算表!K353</f>
        <v>0</v>
      </c>
      <c r="L337">
        <f>計算表!L353</f>
        <v>0</v>
      </c>
      <c r="M337">
        <f>計算表!M353</f>
        <v>0</v>
      </c>
      <c r="N337">
        <f>計算表!N353</f>
        <v>0</v>
      </c>
      <c r="O337">
        <f>計算表!O353</f>
        <v>0</v>
      </c>
      <c r="P337">
        <f>計算表!P353</f>
        <v>0</v>
      </c>
      <c r="Q337">
        <f>計算表!Q353</f>
        <v>0</v>
      </c>
      <c r="R337">
        <f>計算表!R353</f>
        <v>0</v>
      </c>
    </row>
    <row r="338" spans="1:18" x14ac:dyDescent="0.25">
      <c r="A338">
        <f>計算表!A354</f>
        <v>353</v>
      </c>
      <c r="B338">
        <f>計算表!B354</f>
        <v>0</v>
      </c>
      <c r="C338" t="str">
        <f>計算表!C354</f>
        <v>4-菁英群組</v>
      </c>
      <c r="D338" t="str">
        <f>計算表!D354</f>
        <v>高級菁英機率</v>
      </c>
      <c r="E338" t="str">
        <f>計算表!E354</f>
        <v>每隻菁英有 a% 機率升級成高級菁英（普通關）；菁英關 b%</v>
      </c>
      <c r="F338" t="str">
        <f>計算表!F354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38">
        <f>計算表!G354</f>
        <v>6</v>
      </c>
      <c r="H338">
        <f>計算表!H354</f>
        <v>20</v>
      </c>
      <c r="I338">
        <f>計算表!I354</f>
        <v>0</v>
      </c>
      <c r="J338">
        <f>計算表!J354</f>
        <v>0</v>
      </c>
      <c r="K338">
        <f>計算表!K354</f>
        <v>0</v>
      </c>
      <c r="L338">
        <f>計算表!L354</f>
        <v>0</v>
      </c>
      <c r="M338">
        <f>計算表!M354</f>
        <v>0</v>
      </c>
      <c r="N338">
        <f>計算表!N354</f>
        <v>0</v>
      </c>
      <c r="O338">
        <f>計算表!O354</f>
        <v>0</v>
      </c>
      <c r="P338">
        <f>計算表!P354</f>
        <v>0</v>
      </c>
      <c r="Q338">
        <f>計算表!Q354</f>
        <v>0</v>
      </c>
      <c r="R338">
        <f>計算表!R354</f>
        <v>0</v>
      </c>
    </row>
    <row r="339" spans="1:18" x14ac:dyDescent="0.25">
      <c r="A339">
        <f>計算表!A355</f>
        <v>354</v>
      </c>
      <c r="B339">
        <f>計算表!B355</f>
        <v>0</v>
      </c>
      <c r="C339" t="str">
        <f>計算表!C355</f>
        <v>4-菁英群組</v>
      </c>
      <c r="D339" t="str">
        <f>計算表!D355</f>
        <v>高級菁英倍率</v>
      </c>
      <c r="E339" t="str">
        <f>計算表!E355</f>
        <v>生命×a 攻擊×b 金幣經驗×c（相對同階段普通怪）</v>
      </c>
      <c r="F339" t="str">
        <f>計算表!F355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39">
        <f>計算表!G355</f>
        <v>8</v>
      </c>
      <c r="H339">
        <f>計算表!H355</f>
        <v>3</v>
      </c>
      <c r="I339">
        <f>計算表!I355</f>
        <v>4</v>
      </c>
      <c r="J339">
        <f>計算表!J355</f>
        <v>0</v>
      </c>
      <c r="K339">
        <f>計算表!K355</f>
        <v>0</v>
      </c>
      <c r="L339">
        <f>計算表!L355</f>
        <v>0</v>
      </c>
      <c r="M339">
        <f>計算表!M355</f>
        <v>0</v>
      </c>
      <c r="N339">
        <f>計算表!N355</f>
        <v>0</v>
      </c>
      <c r="O339">
        <f>計算表!O355</f>
        <v>0</v>
      </c>
      <c r="P339">
        <f>計算表!P355</f>
        <v>0</v>
      </c>
      <c r="Q339">
        <f>計算表!Q355</f>
        <v>0</v>
      </c>
      <c r="R339">
        <f>計算表!R355</f>
        <v>0</v>
      </c>
    </row>
    <row r="340" spans="1:18" x14ac:dyDescent="0.25">
      <c r="A340">
        <f>計算表!A356</f>
        <v>355</v>
      </c>
      <c r="B340">
        <f>計算表!B356</f>
        <v>0</v>
      </c>
      <c r="C340" t="str">
        <f>計算表!C356</f>
        <v>4-菁英群組</v>
      </c>
      <c r="D340" t="str">
        <f>計算表!D356</f>
        <v>敵人體型倍率</v>
      </c>
      <c r="E340" t="str">
        <f>計算表!E356</f>
        <v>菁英×a 高級菁英×b 野外BOSS×c 封魔塔BOSS d~e（相對普通敵人）</v>
      </c>
      <c r="F340" t="str">
        <f>計算表!F356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40">
        <f>計算表!G356</f>
        <v>1.6</v>
      </c>
      <c r="H340">
        <f>計算表!H356</f>
        <v>2.2000000000000002</v>
      </c>
      <c r="I340">
        <f>計算表!I356</f>
        <v>3.4</v>
      </c>
      <c r="J340">
        <f>計算表!J356</f>
        <v>5</v>
      </c>
      <c r="K340">
        <f>計算表!K356</f>
        <v>7</v>
      </c>
      <c r="L340">
        <f>計算表!L356</f>
        <v>0</v>
      </c>
      <c r="M340">
        <f>計算表!M356</f>
        <v>0</v>
      </c>
      <c r="N340">
        <f>計算表!N356</f>
        <v>0</v>
      </c>
      <c r="O340">
        <f>計算表!O356</f>
        <v>0</v>
      </c>
      <c r="P340">
        <f>計算表!P356</f>
        <v>0</v>
      </c>
      <c r="Q340">
        <f>計算表!Q356</f>
        <v>0</v>
      </c>
      <c r="R340">
        <f>計算表!R356</f>
        <v>0</v>
      </c>
    </row>
    <row r="341" spans="1:18" x14ac:dyDescent="0.25">
      <c r="A341">
        <f>計算表!A357</f>
        <v>356</v>
      </c>
      <c r="B341">
        <f>計算表!B357</f>
        <v>0</v>
      </c>
      <c r="C341" t="str">
        <f>計算表!C357</f>
        <v>4-菁英群組</v>
      </c>
      <c r="D341" t="str">
        <f>計算表!D357</f>
        <v>跑位設定</v>
      </c>
      <c r="E341" t="str">
        <f>計算表!E357</f>
        <v>菁英、高級菁英、野外 BOSS、封魔塔 BOSS 每 a~b 秒換一次位置</v>
      </c>
      <c r="F341" t="str">
        <f>計算表!F357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個別技能（火鏈、瘟疫、秘法加持…）有自己的跑位節奏，寫在 Skills2 敵人技能的效果參數裡。</v>
      </c>
      <c r="G341">
        <f>計算表!G357</f>
        <v>4</v>
      </c>
      <c r="H341">
        <f>計算表!H357</f>
        <v>8</v>
      </c>
      <c r="I341">
        <f>計算表!I357</f>
        <v>0</v>
      </c>
      <c r="J341">
        <f>計算表!J357</f>
        <v>0</v>
      </c>
      <c r="K341">
        <f>計算表!K357</f>
        <v>0</v>
      </c>
      <c r="L341">
        <f>計算表!L357</f>
        <v>0</v>
      </c>
      <c r="M341">
        <f>計算表!M357</f>
        <v>0</v>
      </c>
      <c r="N341">
        <f>計算表!N357</f>
        <v>0</v>
      </c>
      <c r="O341">
        <f>計算表!O357</f>
        <v>0</v>
      </c>
      <c r="P341">
        <f>計算表!P357</f>
        <v>0</v>
      </c>
      <c r="Q341">
        <f>計算表!Q357</f>
        <v>0</v>
      </c>
      <c r="R341">
        <f>計算表!R357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7"/>
  <sheetViews>
    <sheetView tabSelected="1" topLeftCell="A333" workbookViewId="0">
      <selection activeCell="A357" sqref="A357:XFD35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946</v>
      </c>
      <c r="D2" t="s">
        <v>947</v>
      </c>
      <c r="E2" t="s">
        <v>948</v>
      </c>
      <c r="F2" t="s">
        <v>949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946</v>
      </c>
      <c r="D3" t="s">
        <v>950</v>
      </c>
      <c r="E3" t="s">
        <v>948</v>
      </c>
      <c r="F3" t="s">
        <v>951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946</v>
      </c>
      <c r="D4" t="s">
        <v>952</v>
      </c>
      <c r="E4" t="s">
        <v>948</v>
      </c>
      <c r="F4" t="s">
        <v>953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841</v>
      </c>
      <c r="D5" t="s">
        <v>842</v>
      </c>
      <c r="E5" t="s">
        <v>843</v>
      </c>
      <c r="F5" t="s">
        <v>844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841</v>
      </c>
      <c r="D6" t="s">
        <v>845</v>
      </c>
      <c r="E6" t="s">
        <v>846</v>
      </c>
      <c r="F6" t="s">
        <v>847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841</v>
      </c>
      <c r="D7" t="s">
        <v>848</v>
      </c>
      <c r="E7" t="s">
        <v>849</v>
      </c>
      <c r="F7" t="s">
        <v>850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841</v>
      </c>
      <c r="D8" t="s">
        <v>851</v>
      </c>
      <c r="E8" t="s">
        <v>852</v>
      </c>
      <c r="F8" t="s">
        <v>853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920</v>
      </c>
      <c r="E15" t="s">
        <v>921</v>
      </c>
      <c r="F15" t="s">
        <v>922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923</v>
      </c>
      <c r="E16" t="s">
        <v>924</v>
      </c>
      <c r="F16" t="s">
        <v>925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1065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1012</v>
      </c>
      <c r="F68" s="3" t="s">
        <v>1013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1067</v>
      </c>
      <c r="F72" t="s">
        <v>1068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233</v>
      </c>
      <c r="D74" t="s">
        <v>234</v>
      </c>
      <c r="E74" t="s">
        <v>235</v>
      </c>
      <c r="F74" t="s">
        <v>236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233</v>
      </c>
      <c r="D75" t="s">
        <v>237</v>
      </c>
      <c r="E75" t="s">
        <v>235</v>
      </c>
      <c r="F75" t="s">
        <v>238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233</v>
      </c>
      <c r="D76" t="s">
        <v>239</v>
      </c>
      <c r="E76" t="s">
        <v>235</v>
      </c>
      <c r="F76" t="s">
        <v>240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233</v>
      </c>
      <c r="D77" t="s">
        <v>241</v>
      </c>
      <c r="E77" t="s">
        <v>235</v>
      </c>
      <c r="F77" t="s">
        <v>242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233</v>
      </c>
      <c r="D78" t="s">
        <v>243</v>
      </c>
      <c r="E78" t="s">
        <v>235</v>
      </c>
      <c r="F78" t="s">
        <v>244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s="7" t="s">
        <v>1073</v>
      </c>
      <c r="F87" s="7" t="s">
        <v>1074</v>
      </c>
      <c r="G87">
        <v>10</v>
      </c>
      <c r="H87">
        <v>10</v>
      </c>
      <c r="I87">
        <v>10</v>
      </c>
      <c r="J87">
        <v>0.5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210</v>
      </c>
      <c r="E88" t="s">
        <v>211</v>
      </c>
      <c r="F88" t="s">
        <v>212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213</v>
      </c>
      <c r="E89" t="s">
        <v>214</v>
      </c>
      <c r="F89" t="s">
        <v>215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216</v>
      </c>
      <c r="E90" t="s">
        <v>217</v>
      </c>
      <c r="F90" t="s">
        <v>218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219</v>
      </c>
      <c r="E91" t="s">
        <v>211</v>
      </c>
      <c r="F91" t="s">
        <v>220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221</v>
      </c>
      <c r="E92" t="s">
        <v>222</v>
      </c>
      <c r="F92" t="s">
        <v>223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224</v>
      </c>
      <c r="E93" t="s">
        <v>225</v>
      </c>
      <c r="F93" t="s">
        <v>226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227</v>
      </c>
      <c r="E94" t="s">
        <v>228</v>
      </c>
      <c r="F94" t="s">
        <v>229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230</v>
      </c>
      <c r="E95" t="s">
        <v>231</v>
      </c>
      <c r="F95" t="s">
        <v>232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954</v>
      </c>
      <c r="E96" s="2" t="s">
        <v>955</v>
      </c>
      <c r="F96" s="2" t="s">
        <v>956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312</v>
      </c>
      <c r="D97" t="s">
        <v>313</v>
      </c>
      <c r="E97" t="s">
        <v>314</v>
      </c>
      <c r="F97" t="s">
        <v>315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312</v>
      </c>
      <c r="D98" t="s">
        <v>316</v>
      </c>
      <c r="E98" t="s">
        <v>317</v>
      </c>
      <c r="F98" t="s">
        <v>318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312</v>
      </c>
      <c r="D99" t="s">
        <v>135</v>
      </c>
      <c r="E99" t="s">
        <v>319</v>
      </c>
      <c r="F99" t="s">
        <v>320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312</v>
      </c>
      <c r="D100" t="s">
        <v>321</v>
      </c>
      <c r="E100" t="s">
        <v>322</v>
      </c>
      <c r="F100" t="s">
        <v>323</v>
      </c>
      <c r="G100" t="s">
        <v>324</v>
      </c>
      <c r="H100" t="s">
        <v>325</v>
      </c>
      <c r="I100" t="s">
        <v>326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312</v>
      </c>
      <c r="D101" t="s">
        <v>246</v>
      </c>
      <c r="E101" t="s">
        <v>327</v>
      </c>
      <c r="F101" t="s">
        <v>328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312</v>
      </c>
      <c r="D102" t="s">
        <v>249</v>
      </c>
      <c r="E102" t="s">
        <v>329</v>
      </c>
      <c r="F102" t="s">
        <v>330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312</v>
      </c>
      <c r="D103" t="s">
        <v>331</v>
      </c>
      <c r="E103" t="s">
        <v>332</v>
      </c>
      <c r="F103" t="s">
        <v>333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312</v>
      </c>
      <c r="D104" t="s">
        <v>334</v>
      </c>
      <c r="E104" t="s">
        <v>335</v>
      </c>
      <c r="F104" t="s">
        <v>336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312</v>
      </c>
      <c r="D105" t="s">
        <v>138</v>
      </c>
      <c r="E105" t="s">
        <v>337</v>
      </c>
      <c r="F105" t="s">
        <v>338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312</v>
      </c>
      <c r="D106" t="s">
        <v>339</v>
      </c>
      <c r="E106" t="s">
        <v>340</v>
      </c>
      <c r="F106" t="s">
        <v>341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312</v>
      </c>
      <c r="D107" t="s">
        <v>252</v>
      </c>
      <c r="E107" t="s">
        <v>342</v>
      </c>
      <c r="F107" t="s">
        <v>343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312</v>
      </c>
      <c r="D108" t="s">
        <v>344</v>
      </c>
      <c r="E108" t="s">
        <v>345</v>
      </c>
      <c r="F108" t="s">
        <v>346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312</v>
      </c>
      <c r="D109" t="s">
        <v>347</v>
      </c>
      <c r="E109" t="s">
        <v>348</v>
      </c>
      <c r="F109" t="s">
        <v>349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312</v>
      </c>
      <c r="D110" t="s">
        <v>350</v>
      </c>
      <c r="E110" t="s">
        <v>348</v>
      </c>
      <c r="F110" t="s">
        <v>351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312</v>
      </c>
      <c r="D111" t="s">
        <v>352</v>
      </c>
      <c r="E111" t="s">
        <v>353</v>
      </c>
      <c r="F111" t="s">
        <v>354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312</v>
      </c>
      <c r="D112" t="s">
        <v>355</v>
      </c>
      <c r="E112" t="s">
        <v>356</v>
      </c>
      <c r="F112" t="s">
        <v>357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312</v>
      </c>
      <c r="D113" t="s">
        <v>358</v>
      </c>
      <c r="E113" t="s">
        <v>359</v>
      </c>
      <c r="F113" t="s">
        <v>360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312</v>
      </c>
      <c r="D114" t="s">
        <v>361</v>
      </c>
      <c r="E114" t="s">
        <v>362</v>
      </c>
      <c r="F114" t="s">
        <v>351</v>
      </c>
      <c r="G114" t="s">
        <v>363</v>
      </c>
      <c r="H114" t="s">
        <v>364</v>
      </c>
      <c r="I114" t="s">
        <v>365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302</v>
      </c>
      <c r="D115" t="s">
        <v>303</v>
      </c>
      <c r="E115" t="s">
        <v>304</v>
      </c>
      <c r="F115" t="s">
        <v>305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302</v>
      </c>
      <c r="D116" t="s">
        <v>306</v>
      </c>
      <c r="E116" t="s">
        <v>307</v>
      </c>
      <c r="F116" t="s">
        <v>308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302</v>
      </c>
      <c r="D117" t="s">
        <v>309</v>
      </c>
      <c r="E117" t="s">
        <v>271</v>
      </c>
      <c r="F117" t="s">
        <v>310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245</v>
      </c>
      <c r="D118" t="s">
        <v>246</v>
      </c>
      <c r="E118" t="s">
        <v>247</v>
      </c>
      <c r="F118" t="s">
        <v>248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245</v>
      </c>
      <c r="D119" t="s">
        <v>249</v>
      </c>
      <c r="E119" t="s">
        <v>247</v>
      </c>
      <c r="F119" t="s">
        <v>248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245</v>
      </c>
      <c r="D120" t="s">
        <v>119</v>
      </c>
      <c r="E120" t="s">
        <v>247</v>
      </c>
      <c r="F120" t="s">
        <v>250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245</v>
      </c>
      <c r="D121" t="s">
        <v>251</v>
      </c>
      <c r="E121" t="s">
        <v>247</v>
      </c>
      <c r="F121" t="s">
        <v>248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245</v>
      </c>
      <c r="D122" t="s">
        <v>252</v>
      </c>
      <c r="E122" t="s">
        <v>247</v>
      </c>
      <c r="F122" t="s">
        <v>248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245</v>
      </c>
      <c r="D123" t="s">
        <v>134</v>
      </c>
      <c r="E123" t="s">
        <v>253</v>
      </c>
      <c r="F123" t="s">
        <v>254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245</v>
      </c>
      <c r="D124" t="s">
        <v>135</v>
      </c>
      <c r="E124" t="s">
        <v>255</v>
      </c>
      <c r="F124" t="s">
        <v>256</v>
      </c>
      <c r="G124">
        <v>100</v>
      </c>
      <c r="H124" t="s">
        <v>257</v>
      </c>
      <c r="I124" t="s">
        <v>258</v>
      </c>
      <c r="J124" t="s">
        <v>259</v>
      </c>
      <c r="K124" t="s">
        <v>260</v>
      </c>
      <c r="L124" t="s">
        <v>261</v>
      </c>
      <c r="M124" t="s">
        <v>262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245</v>
      </c>
      <c r="D125" t="s">
        <v>138</v>
      </c>
      <c r="E125" t="s">
        <v>255</v>
      </c>
      <c r="F125" t="s">
        <v>263</v>
      </c>
      <c r="G125">
        <v>5</v>
      </c>
      <c r="H125" t="s">
        <v>257</v>
      </c>
      <c r="I125" t="s">
        <v>264</v>
      </c>
      <c r="J125" t="s">
        <v>265</v>
      </c>
      <c r="K125" t="s">
        <v>266</v>
      </c>
      <c r="L125" t="s">
        <v>267</v>
      </c>
      <c r="M125" t="s">
        <v>268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245</v>
      </c>
      <c r="D126" t="s">
        <v>269</v>
      </c>
      <c r="E126" t="s">
        <v>270</v>
      </c>
      <c r="F126" t="s">
        <v>1151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245</v>
      </c>
      <c r="D127" s="1" t="s">
        <v>975</v>
      </c>
      <c r="E127" t="s">
        <v>271</v>
      </c>
      <c r="F127" t="s">
        <v>272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273</v>
      </c>
      <c r="D128" s="2" t="s">
        <v>961</v>
      </c>
      <c r="E128" t="s">
        <v>274</v>
      </c>
      <c r="F128" t="s">
        <v>275</v>
      </c>
      <c r="G128" t="s">
        <v>276</v>
      </c>
      <c r="H128" t="s">
        <v>277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273</v>
      </c>
      <c r="D129" t="s">
        <v>957</v>
      </c>
      <c r="E129" t="s">
        <v>274</v>
      </c>
      <c r="F129" t="s">
        <v>275</v>
      </c>
      <c r="G129" t="s">
        <v>278</v>
      </c>
      <c r="H129" t="s">
        <v>279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273</v>
      </c>
      <c r="D130" t="s">
        <v>958</v>
      </c>
      <c r="E130" t="s">
        <v>274</v>
      </c>
      <c r="F130" t="s">
        <v>275</v>
      </c>
      <c r="G130" t="s">
        <v>280</v>
      </c>
      <c r="H130" t="s">
        <v>281</v>
      </c>
      <c r="I130" t="s">
        <v>282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273</v>
      </c>
      <c r="D131" t="s">
        <v>959</v>
      </c>
      <c r="E131" t="s">
        <v>274</v>
      </c>
      <c r="F131" t="s">
        <v>275</v>
      </c>
      <c r="G131" t="s">
        <v>283</v>
      </c>
      <c r="H131" t="s">
        <v>284</v>
      </c>
      <c r="I131" t="s">
        <v>285</v>
      </c>
      <c r="J131" t="s">
        <v>286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273</v>
      </c>
      <c r="D132" t="s">
        <v>960</v>
      </c>
      <c r="E132" t="s">
        <v>274</v>
      </c>
      <c r="F132" t="s">
        <v>275</v>
      </c>
      <c r="G132" s="3" t="s">
        <v>1006</v>
      </c>
      <c r="H132" t="s">
        <v>287</v>
      </c>
      <c r="I132" t="s">
        <v>288</v>
      </c>
      <c r="J132" s="3" t="s">
        <v>1000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273</v>
      </c>
      <c r="D133" s="2" t="s">
        <v>999</v>
      </c>
      <c r="E133" t="s">
        <v>274</v>
      </c>
      <c r="F133" t="s">
        <v>275</v>
      </c>
      <c r="G133" s="3" t="s">
        <v>1002</v>
      </c>
      <c r="H133" s="3" t="s">
        <v>1003</v>
      </c>
      <c r="I133" s="3" t="s">
        <v>1001</v>
      </c>
      <c r="J133" s="3" t="s">
        <v>1004</v>
      </c>
      <c r="K133" s="3" t="s">
        <v>1005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273</v>
      </c>
      <c r="D134" s="2" t="s">
        <v>1007</v>
      </c>
      <c r="E134" t="s">
        <v>274</v>
      </c>
      <c r="F134" t="s">
        <v>275</v>
      </c>
      <c r="G134" s="3" t="s">
        <v>998</v>
      </c>
      <c r="H134" s="3" t="s">
        <v>971</v>
      </c>
      <c r="I134" s="3" t="s">
        <v>1008</v>
      </c>
      <c r="J134" s="3" t="s">
        <v>1009</v>
      </c>
      <c r="K134" s="3" t="s">
        <v>996</v>
      </c>
      <c r="L134" s="3" t="s">
        <v>997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273</v>
      </c>
      <c r="D135" s="2" t="s">
        <v>962</v>
      </c>
      <c r="E135" t="s">
        <v>274</v>
      </c>
      <c r="F135" t="s">
        <v>1150</v>
      </c>
      <c r="G135" t="s">
        <v>276</v>
      </c>
      <c r="H135" t="s">
        <v>277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273</v>
      </c>
      <c r="D136" s="2" t="s">
        <v>963</v>
      </c>
      <c r="E136" t="s">
        <v>274</v>
      </c>
      <c r="F136" t="s">
        <v>1150</v>
      </c>
      <c r="G136" s="3" t="s">
        <v>968</v>
      </c>
      <c r="H136" s="3" t="s">
        <v>966</v>
      </c>
      <c r="I136" s="3" t="s">
        <v>967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273</v>
      </c>
      <c r="D137" s="2" t="s">
        <v>964</v>
      </c>
      <c r="E137" t="s">
        <v>274</v>
      </c>
      <c r="F137" t="s">
        <v>1150</v>
      </c>
      <c r="G137" s="3" t="s">
        <v>969</v>
      </c>
      <c r="H137" s="3" t="s">
        <v>970</v>
      </c>
      <c r="I137" s="3" t="s">
        <v>971</v>
      </c>
      <c r="J137" s="3" t="s">
        <v>973</v>
      </c>
      <c r="K137" s="3" t="s">
        <v>972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273</v>
      </c>
      <c r="D138" s="2" t="s">
        <v>965</v>
      </c>
      <c r="E138" t="s">
        <v>274</v>
      </c>
      <c r="F138" t="s">
        <v>1150</v>
      </c>
      <c r="G138" s="3" t="s">
        <v>984</v>
      </c>
      <c r="H138" s="3" t="s">
        <v>985</v>
      </c>
      <c r="I138" s="3" t="s">
        <v>986</v>
      </c>
      <c r="J138" s="3" t="s">
        <v>987</v>
      </c>
      <c r="K138" s="3" t="s">
        <v>988</v>
      </c>
      <c r="L138" s="3" t="s">
        <v>989</v>
      </c>
      <c r="M138" s="3" t="s">
        <v>990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273</v>
      </c>
      <c r="D139" s="2" t="s">
        <v>974</v>
      </c>
      <c r="E139" t="s">
        <v>274</v>
      </c>
      <c r="F139" t="s">
        <v>1150</v>
      </c>
      <c r="G139" s="3" t="s">
        <v>977</v>
      </c>
      <c r="H139" s="3" t="s">
        <v>978</v>
      </c>
      <c r="I139" s="3" t="s">
        <v>976</v>
      </c>
      <c r="J139" s="3" t="s">
        <v>979</v>
      </c>
      <c r="K139" s="3" t="s">
        <v>980</v>
      </c>
      <c r="L139" s="3" t="s">
        <v>981</v>
      </c>
      <c r="M139" s="3" t="s">
        <v>982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273</v>
      </c>
      <c r="D140" t="s">
        <v>289</v>
      </c>
      <c r="E140" t="s">
        <v>274</v>
      </c>
      <c r="F140" t="s">
        <v>290</v>
      </c>
      <c r="G140" t="s">
        <v>291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292</v>
      </c>
      <c r="D141" t="s">
        <v>293</v>
      </c>
      <c r="E141" t="s">
        <v>294</v>
      </c>
      <c r="F141" t="s">
        <v>295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292</v>
      </c>
      <c r="D142" t="s">
        <v>296</v>
      </c>
      <c r="E142" t="s">
        <v>297</v>
      </c>
      <c r="F142" t="s">
        <v>298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292</v>
      </c>
      <c r="D143" t="s">
        <v>299</v>
      </c>
      <c r="E143" t="s">
        <v>300</v>
      </c>
      <c r="F143" t="s">
        <v>301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396</v>
      </c>
      <c r="D144" t="s">
        <v>397</v>
      </c>
      <c r="E144" t="s">
        <v>398</v>
      </c>
      <c r="F144" t="s">
        <v>399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396</v>
      </c>
      <c r="D145" t="s">
        <v>400</v>
      </c>
      <c r="E145" t="s">
        <v>401</v>
      </c>
      <c r="F145" t="s">
        <v>402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396</v>
      </c>
      <c r="D146" t="s">
        <v>403</v>
      </c>
      <c r="E146" t="s">
        <v>404</v>
      </c>
      <c r="F146" t="s">
        <v>405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396</v>
      </c>
      <c r="D147" t="s">
        <v>406</v>
      </c>
      <c r="E147" t="s">
        <v>407</v>
      </c>
      <c r="F147" t="s">
        <v>408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396</v>
      </c>
      <c r="D148" t="s">
        <v>409</v>
      </c>
      <c r="E148" t="s">
        <v>410</v>
      </c>
      <c r="F148" t="s">
        <v>411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396</v>
      </c>
      <c r="D149" t="s">
        <v>412</v>
      </c>
      <c r="E149" t="s">
        <v>413</v>
      </c>
      <c r="F149" t="s">
        <v>414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396</v>
      </c>
      <c r="D150" t="s">
        <v>415</v>
      </c>
      <c r="E150" t="s">
        <v>416</v>
      </c>
      <c r="F150" t="s">
        <v>417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396</v>
      </c>
      <c r="D151" t="s">
        <v>418</v>
      </c>
      <c r="E151" t="s">
        <v>419</v>
      </c>
      <c r="F151" t="s">
        <v>420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396</v>
      </c>
      <c r="D152" t="s">
        <v>421</v>
      </c>
      <c r="E152" t="s">
        <v>422</v>
      </c>
      <c r="F152" t="s">
        <v>423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396</v>
      </c>
      <c r="D153" t="s">
        <v>424</v>
      </c>
      <c r="E153" t="s">
        <v>425</v>
      </c>
      <c r="F153" t="s">
        <v>426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396</v>
      </c>
      <c r="D154" t="s">
        <v>427</v>
      </c>
      <c r="E154" t="s">
        <v>428</v>
      </c>
      <c r="F154" t="s">
        <v>429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396</v>
      </c>
      <c r="D155" t="s">
        <v>430</v>
      </c>
      <c r="E155" t="s">
        <v>431</v>
      </c>
      <c r="F155" t="s">
        <v>432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396</v>
      </c>
      <c r="D156" t="s">
        <v>433</v>
      </c>
      <c r="E156" t="s">
        <v>434</v>
      </c>
      <c r="F156" t="s">
        <v>435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451</v>
      </c>
      <c r="D157" t="s">
        <v>452</v>
      </c>
      <c r="E157" t="s">
        <v>453</v>
      </c>
      <c r="F157" t="s">
        <v>454</v>
      </c>
      <c r="G157" t="s">
        <v>455</v>
      </c>
      <c r="H157" t="s">
        <v>456</v>
      </c>
      <c r="I157" t="s">
        <v>457</v>
      </c>
      <c r="J157" t="s">
        <v>458</v>
      </c>
      <c r="K157" t="s">
        <v>459</v>
      </c>
      <c r="L157" t="s">
        <v>460</v>
      </c>
      <c r="M157" t="s">
        <v>461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451</v>
      </c>
      <c r="D158" t="s">
        <v>462</v>
      </c>
      <c r="E158" t="s">
        <v>453</v>
      </c>
      <c r="F158" t="s">
        <v>454</v>
      </c>
      <c r="G158" t="s">
        <v>455</v>
      </c>
      <c r="H158" t="s">
        <v>456</v>
      </c>
      <c r="I158" t="s">
        <v>457</v>
      </c>
      <c r="J158" t="s">
        <v>458</v>
      </c>
      <c r="K158" t="s">
        <v>459</v>
      </c>
      <c r="L158" t="s">
        <v>460</v>
      </c>
      <c r="M158" t="s">
        <v>461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451</v>
      </c>
      <c r="D159" t="s">
        <v>463</v>
      </c>
      <c r="E159" t="s">
        <v>453</v>
      </c>
      <c r="F159" t="s">
        <v>454</v>
      </c>
      <c r="G159" t="s">
        <v>464</v>
      </c>
      <c r="H159" t="s">
        <v>465</v>
      </c>
      <c r="I159" t="s">
        <v>457</v>
      </c>
      <c r="J159" t="s">
        <v>458</v>
      </c>
      <c r="K159" t="s">
        <v>459</v>
      </c>
      <c r="L159" t="s">
        <v>460</v>
      </c>
      <c r="M159" t="s">
        <v>461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451</v>
      </c>
      <c r="D160" t="s">
        <v>466</v>
      </c>
      <c r="E160" t="s">
        <v>453</v>
      </c>
      <c r="F160" t="s">
        <v>454</v>
      </c>
      <c r="G160" t="s">
        <v>467</v>
      </c>
      <c r="H160" t="s">
        <v>465</v>
      </c>
      <c r="I160" t="s">
        <v>468</v>
      </c>
      <c r="J160" t="s">
        <v>469</v>
      </c>
      <c r="K160" t="s">
        <v>459</v>
      </c>
      <c r="L160" t="s">
        <v>460</v>
      </c>
      <c r="M160" t="s">
        <v>461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451</v>
      </c>
      <c r="D161" t="s">
        <v>470</v>
      </c>
      <c r="E161" t="s">
        <v>453</v>
      </c>
      <c r="F161" t="s">
        <v>454</v>
      </c>
      <c r="G161" t="s">
        <v>471</v>
      </c>
      <c r="H161" t="s">
        <v>472</v>
      </c>
      <c r="I161" t="s">
        <v>468</v>
      </c>
      <c r="J161" t="s">
        <v>469</v>
      </c>
      <c r="K161" t="s">
        <v>473</v>
      </c>
      <c r="L161" t="s">
        <v>474</v>
      </c>
      <c r="M161" t="s">
        <v>475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451</v>
      </c>
      <c r="D162" t="s">
        <v>476</v>
      </c>
      <c r="E162" t="s">
        <v>453</v>
      </c>
      <c r="F162" t="s">
        <v>454</v>
      </c>
      <c r="G162" t="s">
        <v>477</v>
      </c>
      <c r="H162" t="s">
        <v>478</v>
      </c>
      <c r="I162" t="s">
        <v>479</v>
      </c>
      <c r="J162" t="s">
        <v>480</v>
      </c>
      <c r="K162" t="s">
        <v>481</v>
      </c>
      <c r="L162" t="s">
        <v>482</v>
      </c>
      <c r="M162" t="s">
        <v>483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451</v>
      </c>
      <c r="D163" t="s">
        <v>484</v>
      </c>
      <c r="E163" t="s">
        <v>453</v>
      </c>
      <c r="F163" t="s">
        <v>454</v>
      </c>
      <c r="G163" t="s">
        <v>485</v>
      </c>
      <c r="H163" t="s">
        <v>486</v>
      </c>
      <c r="I163" t="s">
        <v>487</v>
      </c>
      <c r="J163" t="s">
        <v>488</v>
      </c>
      <c r="K163" t="s">
        <v>489</v>
      </c>
      <c r="L163" t="s">
        <v>490</v>
      </c>
      <c r="M163" t="s">
        <v>491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451</v>
      </c>
      <c r="D164" t="s">
        <v>492</v>
      </c>
      <c r="E164" t="s">
        <v>453</v>
      </c>
      <c r="F164" t="s">
        <v>454</v>
      </c>
      <c r="G164" t="s">
        <v>485</v>
      </c>
      <c r="H164" t="s">
        <v>456</v>
      </c>
      <c r="I164" t="s">
        <v>457</v>
      </c>
      <c r="J164" t="s">
        <v>458</v>
      </c>
      <c r="K164" t="s">
        <v>493</v>
      </c>
      <c r="L164" t="s">
        <v>494</v>
      </c>
      <c r="M164" t="s">
        <v>495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436</v>
      </c>
      <c r="D165" t="s">
        <v>437</v>
      </c>
      <c r="E165" t="s">
        <v>438</v>
      </c>
      <c r="F165" t="s">
        <v>439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436</v>
      </c>
      <c r="D166" t="s">
        <v>251</v>
      </c>
      <c r="E166" t="s">
        <v>440</v>
      </c>
      <c r="F166" t="s">
        <v>441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436</v>
      </c>
      <c r="D167" t="s">
        <v>442</v>
      </c>
      <c r="E167" t="s">
        <v>443</v>
      </c>
      <c r="F167" t="s">
        <v>444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436</v>
      </c>
      <c r="D168" t="s">
        <v>445</v>
      </c>
      <c r="E168" t="s">
        <v>446</v>
      </c>
      <c r="F168" t="s">
        <v>447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436</v>
      </c>
      <c r="D169" t="s">
        <v>448</v>
      </c>
      <c r="E169" t="s">
        <v>449</v>
      </c>
      <c r="F169" t="s">
        <v>450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366</v>
      </c>
      <c r="D170" t="s">
        <v>367</v>
      </c>
      <c r="E170" t="s">
        <v>368</v>
      </c>
      <c r="F170" t="s">
        <v>369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366</v>
      </c>
      <c r="D171" t="s">
        <v>370</v>
      </c>
      <c r="E171" t="s">
        <v>371</v>
      </c>
      <c r="F171" t="s">
        <v>372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366</v>
      </c>
      <c r="D172" t="s">
        <v>373</v>
      </c>
      <c r="E172" t="s">
        <v>374</v>
      </c>
      <c r="F172" t="s">
        <v>375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376</v>
      </c>
      <c r="D173" t="s">
        <v>377</v>
      </c>
      <c r="E173" t="s">
        <v>378</v>
      </c>
      <c r="F173" t="s">
        <v>379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376</v>
      </c>
      <c r="D174" t="s">
        <v>380</v>
      </c>
      <c r="E174" t="s">
        <v>381</v>
      </c>
      <c r="F174" t="s">
        <v>382</v>
      </c>
      <c r="G174">
        <v>55</v>
      </c>
      <c r="H174" t="s">
        <v>383</v>
      </c>
      <c r="I174" t="s">
        <v>384</v>
      </c>
      <c r="J174" t="s">
        <v>311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376</v>
      </c>
      <c r="D175" t="s">
        <v>385</v>
      </c>
      <c r="E175" t="s">
        <v>381</v>
      </c>
      <c r="F175" t="s">
        <v>382</v>
      </c>
      <c r="G175">
        <v>25</v>
      </c>
      <c r="H175" t="s">
        <v>383</v>
      </c>
      <c r="I175">
        <v>2</v>
      </c>
      <c r="J175" t="s">
        <v>311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376</v>
      </c>
      <c r="D176" t="s">
        <v>386</v>
      </c>
      <c r="E176" t="s">
        <v>381</v>
      </c>
      <c r="F176" t="s">
        <v>382</v>
      </c>
      <c r="G176">
        <v>12</v>
      </c>
      <c r="H176" t="s">
        <v>383</v>
      </c>
      <c r="I176">
        <v>2.5</v>
      </c>
      <c r="J176" t="s">
        <v>311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376</v>
      </c>
      <c r="D177" t="s">
        <v>387</v>
      </c>
      <c r="E177" t="s">
        <v>381</v>
      </c>
      <c r="F177" t="s">
        <v>382</v>
      </c>
      <c r="G177">
        <v>5.5</v>
      </c>
      <c r="H177" t="s">
        <v>383</v>
      </c>
      <c r="I177">
        <v>3</v>
      </c>
      <c r="J177" t="s">
        <v>311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376</v>
      </c>
      <c r="D178" t="s">
        <v>388</v>
      </c>
      <c r="E178" t="s">
        <v>381</v>
      </c>
      <c r="F178" t="s">
        <v>382</v>
      </c>
      <c r="G178">
        <v>1.8</v>
      </c>
      <c r="H178" t="s">
        <v>383</v>
      </c>
      <c r="I178">
        <v>3.5</v>
      </c>
      <c r="J178" t="s">
        <v>389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376</v>
      </c>
      <c r="D179" t="s">
        <v>390</v>
      </c>
      <c r="E179" t="s">
        <v>381</v>
      </c>
      <c r="F179" t="s">
        <v>382</v>
      </c>
      <c r="G179">
        <v>0.35</v>
      </c>
      <c r="H179" t="s">
        <v>383</v>
      </c>
      <c r="I179">
        <v>4</v>
      </c>
      <c r="J179" t="s">
        <v>391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376</v>
      </c>
      <c r="D180" t="s">
        <v>392</v>
      </c>
      <c r="E180" t="s">
        <v>381</v>
      </c>
      <c r="F180" t="s">
        <v>382</v>
      </c>
      <c r="G180">
        <v>0.08</v>
      </c>
      <c r="H180" t="s">
        <v>383</v>
      </c>
      <c r="I180">
        <v>4.5</v>
      </c>
      <c r="J180" t="s">
        <v>393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376</v>
      </c>
      <c r="D181" t="s">
        <v>394</v>
      </c>
      <c r="E181" t="s">
        <v>381</v>
      </c>
      <c r="F181" t="s">
        <v>382</v>
      </c>
      <c r="G181">
        <v>1.4999999999999999E-2</v>
      </c>
      <c r="H181" t="s">
        <v>383</v>
      </c>
      <c r="I181">
        <v>5</v>
      </c>
      <c r="J181" t="s">
        <v>395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530</v>
      </c>
      <c r="D182" t="s">
        <v>531</v>
      </c>
      <c r="E182" t="s">
        <v>532</v>
      </c>
      <c r="F182" t="s">
        <v>533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530</v>
      </c>
      <c r="D183" t="s">
        <v>534</v>
      </c>
      <c r="E183" t="s">
        <v>535</v>
      </c>
      <c r="F183" t="s">
        <v>536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530</v>
      </c>
      <c r="D184" t="s">
        <v>943</v>
      </c>
      <c r="E184" t="s">
        <v>944</v>
      </c>
      <c r="F184" t="s">
        <v>945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537</v>
      </c>
      <c r="D185" t="s">
        <v>538</v>
      </c>
      <c r="E185" t="s">
        <v>539</v>
      </c>
      <c r="F185" t="s">
        <v>540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537</v>
      </c>
      <c r="D186" t="s">
        <v>541</v>
      </c>
      <c r="E186" t="s">
        <v>542</v>
      </c>
      <c r="F186" t="s">
        <v>543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537</v>
      </c>
      <c r="D187" t="s">
        <v>544</v>
      </c>
      <c r="E187" t="s">
        <v>545</v>
      </c>
      <c r="F187" t="s">
        <v>546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537</v>
      </c>
      <c r="D188" t="s">
        <v>547</v>
      </c>
      <c r="E188" t="s">
        <v>545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537</v>
      </c>
      <c r="D189" t="s">
        <v>548</v>
      </c>
      <c r="E189" t="s">
        <v>549</v>
      </c>
      <c r="F189" t="s">
        <v>550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537</v>
      </c>
      <c r="D190" t="s">
        <v>557</v>
      </c>
      <c r="E190" t="s">
        <v>539</v>
      </c>
      <c r="F190" t="s">
        <v>558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537</v>
      </c>
      <c r="D191" t="s">
        <v>559</v>
      </c>
      <c r="E191" t="s">
        <v>560</v>
      </c>
      <c r="F191" t="s">
        <v>561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537</v>
      </c>
      <c r="D192" t="s">
        <v>562</v>
      </c>
      <c r="E192" t="s">
        <v>563</v>
      </c>
      <c r="F192" t="s">
        <v>564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537</v>
      </c>
      <c r="D193" t="s">
        <v>565</v>
      </c>
      <c r="E193" t="s">
        <v>566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537</v>
      </c>
      <c r="D194" t="s">
        <v>567</v>
      </c>
      <c r="E194" t="s">
        <v>568</v>
      </c>
      <c r="F194" t="s">
        <v>569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537</v>
      </c>
      <c r="D195" t="s">
        <v>570</v>
      </c>
      <c r="E195" t="s">
        <v>571</v>
      </c>
      <c r="F195" t="s">
        <v>572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537</v>
      </c>
      <c r="D196" t="s">
        <v>911</v>
      </c>
      <c r="E196" t="s">
        <v>912</v>
      </c>
      <c r="F196" t="s">
        <v>913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537</v>
      </c>
      <c r="D197" t="s">
        <v>914</v>
      </c>
      <c r="E197" t="s">
        <v>915</v>
      </c>
      <c r="F197" t="s">
        <v>916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537</v>
      </c>
      <c r="D198" t="s">
        <v>917</v>
      </c>
      <c r="E198" t="s">
        <v>918</v>
      </c>
      <c r="F198" t="s">
        <v>919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496</v>
      </c>
      <c r="D199" t="s">
        <v>497</v>
      </c>
      <c r="E199" t="s">
        <v>498</v>
      </c>
      <c r="F199" t="s">
        <v>499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496</v>
      </c>
      <c r="D200" t="s">
        <v>500</v>
      </c>
      <c r="E200" t="s">
        <v>501</v>
      </c>
      <c r="F200" t="s">
        <v>502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496</v>
      </c>
      <c r="D201" t="s">
        <v>503</v>
      </c>
      <c r="E201" t="s">
        <v>504</v>
      </c>
      <c r="F201" t="s">
        <v>505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496</v>
      </c>
      <c r="D202" t="s">
        <v>506</v>
      </c>
      <c r="E202" t="s">
        <v>507</v>
      </c>
      <c r="F202" t="s">
        <v>508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496</v>
      </c>
      <c r="D203" t="s">
        <v>509</v>
      </c>
      <c r="E203" t="s">
        <v>510</v>
      </c>
      <c r="F203" t="s">
        <v>511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496</v>
      </c>
      <c r="D204" t="s">
        <v>512</v>
      </c>
      <c r="E204" t="s">
        <v>513</v>
      </c>
      <c r="F204" t="s">
        <v>514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496</v>
      </c>
      <c r="D205" t="s">
        <v>515</v>
      </c>
      <c r="E205" t="s">
        <v>516</v>
      </c>
      <c r="F205" t="s">
        <v>517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496</v>
      </c>
      <c r="D206" t="s">
        <v>518</v>
      </c>
      <c r="E206" t="s">
        <v>519</v>
      </c>
      <c r="F206" t="s">
        <v>520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496</v>
      </c>
      <c r="D207" t="s">
        <v>521</v>
      </c>
      <c r="E207" t="s">
        <v>522</v>
      </c>
      <c r="F207" t="s">
        <v>523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496</v>
      </c>
      <c r="D208" t="s">
        <v>524</v>
      </c>
      <c r="E208" t="s">
        <v>525</v>
      </c>
      <c r="F208" t="s">
        <v>526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496</v>
      </c>
      <c r="D209" t="s">
        <v>527</v>
      </c>
      <c r="E209" t="s">
        <v>528</v>
      </c>
      <c r="F209" t="s">
        <v>529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602</v>
      </c>
      <c r="D210" t="s">
        <v>603</v>
      </c>
      <c r="E210" t="s">
        <v>604</v>
      </c>
      <c r="F210" t="s">
        <v>605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606</v>
      </c>
      <c r="D211" t="s">
        <v>607</v>
      </c>
      <c r="E211" s="3" t="s">
        <v>983</v>
      </c>
      <c r="F211" t="s">
        <v>608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590</v>
      </c>
      <c r="D212" t="s">
        <v>591</v>
      </c>
      <c r="E212" t="s">
        <v>592</v>
      </c>
      <c r="F212" t="s">
        <v>593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590</v>
      </c>
      <c r="D213" t="s">
        <v>594</v>
      </c>
      <c r="E213" t="s">
        <v>595</v>
      </c>
      <c r="F213" t="s">
        <v>596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590</v>
      </c>
      <c r="D214" t="s">
        <v>597</v>
      </c>
      <c r="E214" t="s">
        <v>598</v>
      </c>
      <c r="F214" t="s">
        <v>599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590</v>
      </c>
      <c r="D215" t="s">
        <v>600</v>
      </c>
      <c r="E215" t="s">
        <v>601</v>
      </c>
      <c r="F215" t="s">
        <v>599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551</v>
      </c>
      <c r="D216" t="s">
        <v>552</v>
      </c>
      <c r="E216" t="s">
        <v>553</v>
      </c>
      <c r="F216" t="s">
        <v>554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551</v>
      </c>
      <c r="D217" t="s">
        <v>555</v>
      </c>
      <c r="E217" t="s">
        <v>556</v>
      </c>
      <c r="F217" t="s">
        <v>554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551</v>
      </c>
      <c r="D218" t="s">
        <v>577</v>
      </c>
      <c r="E218" t="s">
        <v>583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551</v>
      </c>
      <c r="D219" t="s">
        <v>584</v>
      </c>
      <c r="E219" t="s">
        <v>585</v>
      </c>
      <c r="F219" t="s">
        <v>586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551</v>
      </c>
      <c r="D220" t="s">
        <v>587</v>
      </c>
      <c r="E220" t="s">
        <v>588</v>
      </c>
      <c r="F220" t="s">
        <v>589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609</v>
      </c>
      <c r="D221" t="s">
        <v>610</v>
      </c>
      <c r="E221" t="s">
        <v>611</v>
      </c>
      <c r="F221" t="s">
        <v>612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609</v>
      </c>
      <c r="D222" t="s">
        <v>613</v>
      </c>
      <c r="E222" t="s">
        <v>614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609</v>
      </c>
      <c r="D223" t="s">
        <v>615</v>
      </c>
      <c r="E223" t="s">
        <v>616</v>
      </c>
      <c r="F223" t="s">
        <v>617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609</v>
      </c>
      <c r="D224" t="s">
        <v>618</v>
      </c>
      <c r="E224" t="s">
        <v>619</v>
      </c>
      <c r="F224" t="s">
        <v>620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609</v>
      </c>
      <c r="D225" t="s">
        <v>621</v>
      </c>
      <c r="E225" t="s">
        <v>622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573</v>
      </c>
      <c r="D226" t="s">
        <v>574</v>
      </c>
      <c r="E226" t="s">
        <v>575</v>
      </c>
      <c r="F226" t="s">
        <v>576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573</v>
      </c>
      <c r="D227" t="s">
        <v>577</v>
      </c>
      <c r="E227" t="s">
        <v>578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573</v>
      </c>
      <c r="D228" t="s">
        <v>579</v>
      </c>
      <c r="E228" t="s">
        <v>578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573</v>
      </c>
      <c r="D229" t="s">
        <v>580</v>
      </c>
      <c r="E229" t="s">
        <v>581</v>
      </c>
      <c r="F229" t="s">
        <v>582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623</v>
      </c>
      <c r="D230" t="s">
        <v>624</v>
      </c>
      <c r="E230" t="s">
        <v>625</v>
      </c>
      <c r="F230" t="s">
        <v>626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623</v>
      </c>
      <c r="D231" t="s">
        <v>627</v>
      </c>
      <c r="E231" t="s">
        <v>628</v>
      </c>
      <c r="F231" t="s">
        <v>629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623</v>
      </c>
      <c r="D232" t="s">
        <v>630</v>
      </c>
      <c r="E232" t="s">
        <v>631</v>
      </c>
      <c r="F232" t="s">
        <v>632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623</v>
      </c>
      <c r="D233" t="s">
        <v>633</v>
      </c>
      <c r="E233" t="s">
        <v>634</v>
      </c>
      <c r="F233" t="s">
        <v>635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623</v>
      </c>
      <c r="D234" t="s">
        <v>636</v>
      </c>
      <c r="E234" t="s">
        <v>637</v>
      </c>
      <c r="F234" t="s">
        <v>638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623</v>
      </c>
      <c r="D235" t="s">
        <v>639</v>
      </c>
      <c r="E235" t="s">
        <v>640</v>
      </c>
      <c r="F235" t="s">
        <v>641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623</v>
      </c>
      <c r="D236" t="s">
        <v>642</v>
      </c>
      <c r="E236" t="s">
        <v>643</v>
      </c>
      <c r="F236" t="s">
        <v>644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623</v>
      </c>
      <c r="D237" t="s">
        <v>645</v>
      </c>
      <c r="E237" t="s">
        <v>646</v>
      </c>
      <c r="F237" t="s">
        <v>647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623</v>
      </c>
      <c r="D238" t="s">
        <v>648</v>
      </c>
      <c r="E238" t="s">
        <v>649</v>
      </c>
      <c r="F238" t="s">
        <v>650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623</v>
      </c>
      <c r="D239" t="s">
        <v>651</v>
      </c>
      <c r="E239" t="s">
        <v>652</v>
      </c>
      <c r="F239" t="s">
        <v>653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654</v>
      </c>
      <c r="D240" t="s">
        <v>655</v>
      </c>
      <c r="E240" t="s">
        <v>656</v>
      </c>
      <c r="F240" t="s">
        <v>657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654</v>
      </c>
      <c r="D241" t="s">
        <v>658</v>
      </c>
      <c r="E241" t="s">
        <v>659</v>
      </c>
      <c r="F241" t="s">
        <v>660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654</v>
      </c>
      <c r="D242" t="s">
        <v>661</v>
      </c>
      <c r="E242" t="s">
        <v>662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654</v>
      </c>
      <c r="D243" t="s">
        <v>663</v>
      </c>
      <c r="E243" t="s">
        <v>664</v>
      </c>
      <c r="F243" t="s">
        <v>665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737</v>
      </c>
      <c r="D244" t="s">
        <v>667</v>
      </c>
      <c r="E244" t="s">
        <v>738</v>
      </c>
      <c r="F244" t="s">
        <v>739</v>
      </c>
      <c r="G244" t="s">
        <v>740</v>
      </c>
      <c r="H244" t="s">
        <v>741</v>
      </c>
      <c r="I244" t="s">
        <v>742</v>
      </c>
      <c r="J244" t="s">
        <v>743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737</v>
      </c>
      <c r="D245" t="s">
        <v>672</v>
      </c>
      <c r="E245" t="s">
        <v>738</v>
      </c>
      <c r="F245" t="s">
        <v>739</v>
      </c>
      <c r="G245" t="s">
        <v>744</v>
      </c>
      <c r="H245" t="s">
        <v>741</v>
      </c>
      <c r="I245" t="s">
        <v>745</v>
      </c>
      <c r="J245" t="s">
        <v>746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737</v>
      </c>
      <c r="D246" t="s">
        <v>675</v>
      </c>
      <c r="E246" t="s">
        <v>738</v>
      </c>
      <c r="F246" t="s">
        <v>739</v>
      </c>
      <c r="G246" t="s">
        <v>747</v>
      </c>
      <c r="H246" t="s">
        <v>741</v>
      </c>
      <c r="I246" t="s">
        <v>748</v>
      </c>
      <c r="J246" t="s">
        <v>749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737</v>
      </c>
      <c r="D247" t="s">
        <v>678</v>
      </c>
      <c r="E247" t="s">
        <v>738</v>
      </c>
      <c r="F247" t="s">
        <v>739</v>
      </c>
      <c r="G247" t="s">
        <v>750</v>
      </c>
      <c r="H247" t="s">
        <v>741</v>
      </c>
      <c r="I247" t="s">
        <v>748</v>
      </c>
      <c r="J247" t="s">
        <v>749</v>
      </c>
      <c r="K247" t="s">
        <v>751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737</v>
      </c>
      <c r="D248" t="s">
        <v>681</v>
      </c>
      <c r="E248" t="s">
        <v>738</v>
      </c>
      <c r="F248" t="s">
        <v>739</v>
      </c>
      <c r="G248" t="s">
        <v>752</v>
      </c>
      <c r="H248" t="s">
        <v>741</v>
      </c>
      <c r="I248" t="s">
        <v>748</v>
      </c>
      <c r="J248" t="s">
        <v>753</v>
      </c>
      <c r="K248" t="s">
        <v>754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737</v>
      </c>
      <c r="D249" t="s">
        <v>684</v>
      </c>
      <c r="E249" t="s">
        <v>738</v>
      </c>
      <c r="F249" t="s">
        <v>739</v>
      </c>
      <c r="G249" t="s">
        <v>755</v>
      </c>
      <c r="H249" t="s">
        <v>741</v>
      </c>
      <c r="I249" t="s">
        <v>748</v>
      </c>
      <c r="J249" t="s">
        <v>756</v>
      </c>
      <c r="K249" t="s">
        <v>757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737</v>
      </c>
      <c r="D250" t="s">
        <v>687</v>
      </c>
      <c r="E250" t="s">
        <v>738</v>
      </c>
      <c r="F250" t="s">
        <v>739</v>
      </c>
      <c r="G250" t="s">
        <v>758</v>
      </c>
      <c r="H250" t="s">
        <v>741</v>
      </c>
      <c r="I250" t="s">
        <v>759</v>
      </c>
      <c r="J250" t="s">
        <v>760</v>
      </c>
      <c r="K250" t="s">
        <v>761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737</v>
      </c>
      <c r="D251" t="s">
        <v>692</v>
      </c>
      <c r="E251" t="s">
        <v>738</v>
      </c>
      <c r="F251" t="s">
        <v>739</v>
      </c>
      <c r="G251" t="s">
        <v>762</v>
      </c>
      <c r="H251" t="s">
        <v>741</v>
      </c>
      <c r="I251" t="s">
        <v>763</v>
      </c>
      <c r="J251" t="s">
        <v>764</v>
      </c>
      <c r="K251" t="s">
        <v>765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737</v>
      </c>
      <c r="D252" t="s">
        <v>694</v>
      </c>
      <c r="E252" t="s">
        <v>738</v>
      </c>
      <c r="F252" t="s">
        <v>739</v>
      </c>
      <c r="G252" t="s">
        <v>766</v>
      </c>
      <c r="H252" t="s">
        <v>741</v>
      </c>
      <c r="I252" t="s">
        <v>767</v>
      </c>
      <c r="J252" t="s">
        <v>768</v>
      </c>
      <c r="K252" t="s">
        <v>769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737</v>
      </c>
      <c r="D253" t="s">
        <v>698</v>
      </c>
      <c r="E253" t="s">
        <v>738</v>
      </c>
      <c r="F253" t="s">
        <v>739</v>
      </c>
      <c r="G253" t="s">
        <v>770</v>
      </c>
      <c r="H253" t="s">
        <v>741</v>
      </c>
      <c r="I253" t="s">
        <v>767</v>
      </c>
      <c r="J253" t="s">
        <v>768</v>
      </c>
      <c r="K253" t="s">
        <v>771</v>
      </c>
      <c r="L253" t="s">
        <v>772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737</v>
      </c>
      <c r="D254" t="s">
        <v>702</v>
      </c>
      <c r="E254" t="s">
        <v>738</v>
      </c>
      <c r="F254" t="s">
        <v>739</v>
      </c>
      <c r="G254" t="s">
        <v>773</v>
      </c>
      <c r="H254" t="s">
        <v>741</v>
      </c>
      <c r="I254" t="s">
        <v>767</v>
      </c>
      <c r="J254" t="s">
        <v>768</v>
      </c>
      <c r="K254" t="s">
        <v>774</v>
      </c>
      <c r="L254" t="s">
        <v>775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737</v>
      </c>
      <c r="D255" t="s">
        <v>706</v>
      </c>
      <c r="E255" t="s">
        <v>738</v>
      </c>
      <c r="F255" t="s">
        <v>739</v>
      </c>
      <c r="G255" t="s">
        <v>776</v>
      </c>
      <c r="H255" t="s">
        <v>741</v>
      </c>
      <c r="I255" t="s">
        <v>777</v>
      </c>
      <c r="J255" t="s">
        <v>778</v>
      </c>
      <c r="K255" t="s">
        <v>779</v>
      </c>
      <c r="L255" t="s">
        <v>780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737</v>
      </c>
      <c r="D256" t="s">
        <v>710</v>
      </c>
      <c r="E256" t="s">
        <v>738</v>
      </c>
      <c r="F256" t="s">
        <v>739</v>
      </c>
      <c r="G256" t="s">
        <v>781</v>
      </c>
      <c r="H256" t="s">
        <v>741</v>
      </c>
      <c r="I256" t="s">
        <v>777</v>
      </c>
      <c r="J256" t="s">
        <v>778</v>
      </c>
      <c r="K256" t="s">
        <v>779</v>
      </c>
      <c r="L256" t="s">
        <v>782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737</v>
      </c>
      <c r="D257" t="s">
        <v>714</v>
      </c>
      <c r="E257" t="s">
        <v>738</v>
      </c>
      <c r="F257" t="s">
        <v>739</v>
      </c>
      <c r="G257" t="s">
        <v>783</v>
      </c>
      <c r="H257" t="s">
        <v>741</v>
      </c>
      <c r="I257" t="s">
        <v>777</v>
      </c>
      <c r="J257" t="s">
        <v>778</v>
      </c>
      <c r="K257" t="s">
        <v>779</v>
      </c>
      <c r="L257" t="s">
        <v>784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737</v>
      </c>
      <c r="D258" t="s">
        <v>718</v>
      </c>
      <c r="E258" t="s">
        <v>738</v>
      </c>
      <c r="F258" t="s">
        <v>739</v>
      </c>
      <c r="G258" t="s">
        <v>785</v>
      </c>
      <c r="H258" t="s">
        <v>741</v>
      </c>
      <c r="I258" t="s">
        <v>777</v>
      </c>
      <c r="J258" t="s">
        <v>786</v>
      </c>
      <c r="K258" t="s">
        <v>787</v>
      </c>
      <c r="L258" t="s">
        <v>780</v>
      </c>
      <c r="M258" t="s">
        <v>788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737</v>
      </c>
      <c r="D259" t="s">
        <v>722</v>
      </c>
      <c r="E259" t="s">
        <v>738</v>
      </c>
      <c r="F259" t="s">
        <v>739</v>
      </c>
      <c r="G259" t="s">
        <v>789</v>
      </c>
      <c r="H259" t="s">
        <v>741</v>
      </c>
      <c r="I259" t="s">
        <v>777</v>
      </c>
      <c r="J259" t="s">
        <v>786</v>
      </c>
      <c r="K259" t="s">
        <v>787</v>
      </c>
      <c r="L259" t="s">
        <v>782</v>
      </c>
      <c r="M259" t="s">
        <v>790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737</v>
      </c>
      <c r="D260" t="s">
        <v>726</v>
      </c>
      <c r="E260" t="s">
        <v>738</v>
      </c>
      <c r="F260" t="s">
        <v>739</v>
      </c>
      <c r="G260" t="s">
        <v>791</v>
      </c>
      <c r="H260" t="s">
        <v>741</v>
      </c>
      <c r="I260" t="s">
        <v>777</v>
      </c>
      <c r="J260" t="s">
        <v>786</v>
      </c>
      <c r="K260" t="s">
        <v>787</v>
      </c>
      <c r="L260" t="s">
        <v>782</v>
      </c>
      <c r="M260" t="s">
        <v>792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737</v>
      </c>
      <c r="D261" t="s">
        <v>730</v>
      </c>
      <c r="E261" t="s">
        <v>738</v>
      </c>
      <c r="F261" t="s">
        <v>739</v>
      </c>
      <c r="G261" t="s">
        <v>793</v>
      </c>
      <c r="H261" t="s">
        <v>741</v>
      </c>
      <c r="I261" t="s">
        <v>777</v>
      </c>
      <c r="J261" t="s">
        <v>786</v>
      </c>
      <c r="K261" t="s">
        <v>787</v>
      </c>
      <c r="L261" t="s">
        <v>782</v>
      </c>
      <c r="M261" t="s">
        <v>792</v>
      </c>
      <c r="N261" t="s">
        <v>794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737</v>
      </c>
      <c r="D262" t="s">
        <v>735</v>
      </c>
      <c r="E262" t="s">
        <v>738</v>
      </c>
      <c r="F262" t="s">
        <v>739</v>
      </c>
      <c r="G262" t="s">
        <v>795</v>
      </c>
      <c r="H262" t="s">
        <v>741</v>
      </c>
      <c r="I262" t="s">
        <v>777</v>
      </c>
      <c r="J262" t="s">
        <v>786</v>
      </c>
      <c r="K262" t="s">
        <v>787</v>
      </c>
      <c r="L262" t="s">
        <v>782</v>
      </c>
      <c r="M262" t="s">
        <v>792</v>
      </c>
      <c r="N262" t="s">
        <v>796</v>
      </c>
      <c r="O262" t="s">
        <v>797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737</v>
      </c>
      <c r="D263" t="s">
        <v>736</v>
      </c>
      <c r="E263" t="s">
        <v>738</v>
      </c>
      <c r="F263" t="s">
        <v>739</v>
      </c>
      <c r="G263" t="s">
        <v>798</v>
      </c>
      <c r="H263" t="s">
        <v>741</v>
      </c>
      <c r="I263" t="s">
        <v>777</v>
      </c>
      <c r="J263" t="s">
        <v>786</v>
      </c>
      <c r="K263" t="s">
        <v>787</v>
      </c>
      <c r="L263" t="s">
        <v>782</v>
      </c>
      <c r="M263" t="s">
        <v>792</v>
      </c>
      <c r="N263" t="s">
        <v>799</v>
      </c>
      <c r="O263" t="s">
        <v>800</v>
      </c>
      <c r="P263" t="s">
        <v>801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666</v>
      </c>
      <c r="D264" t="s">
        <v>667</v>
      </c>
      <c r="E264" t="s">
        <v>668</v>
      </c>
      <c r="F264" t="s">
        <v>669</v>
      </c>
      <c r="G264" t="s">
        <v>670</v>
      </c>
      <c r="H264" t="s">
        <v>671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666</v>
      </c>
      <c r="D265" t="s">
        <v>672</v>
      </c>
      <c r="E265" t="s">
        <v>668</v>
      </c>
      <c r="F265" t="s">
        <v>669</v>
      </c>
      <c r="G265" t="s">
        <v>670</v>
      </c>
      <c r="H265" t="s">
        <v>673</v>
      </c>
      <c r="I265" t="s">
        <v>674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666</v>
      </c>
      <c r="D266" t="s">
        <v>675</v>
      </c>
      <c r="E266" t="s">
        <v>668</v>
      </c>
      <c r="F266" t="s">
        <v>669</v>
      </c>
      <c r="G266" t="s">
        <v>670</v>
      </c>
      <c r="H266" t="s">
        <v>676</v>
      </c>
      <c r="I266" t="s">
        <v>674</v>
      </c>
      <c r="J266" t="s">
        <v>677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666</v>
      </c>
      <c r="D267" t="s">
        <v>678</v>
      </c>
      <c r="E267" t="s">
        <v>668</v>
      </c>
      <c r="F267" t="s">
        <v>669</v>
      </c>
      <c r="G267" t="s">
        <v>679</v>
      </c>
      <c r="H267" t="s">
        <v>676</v>
      </c>
      <c r="I267" t="s">
        <v>680</v>
      </c>
      <c r="J267" t="s">
        <v>677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666</v>
      </c>
      <c r="D268" t="s">
        <v>681</v>
      </c>
      <c r="E268" t="s">
        <v>668</v>
      </c>
      <c r="F268" t="s">
        <v>669</v>
      </c>
      <c r="G268" t="s">
        <v>682</v>
      </c>
      <c r="H268" t="s">
        <v>676</v>
      </c>
      <c r="I268" t="s">
        <v>680</v>
      </c>
      <c r="J268" t="s">
        <v>683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666</v>
      </c>
      <c r="D269" t="s">
        <v>684</v>
      </c>
      <c r="E269" t="s">
        <v>668</v>
      </c>
      <c r="F269" t="s">
        <v>669</v>
      </c>
      <c r="G269" t="s">
        <v>685</v>
      </c>
      <c r="H269" t="s">
        <v>676</v>
      </c>
      <c r="I269" t="s">
        <v>680</v>
      </c>
      <c r="J269" t="s">
        <v>683</v>
      </c>
      <c r="K269" t="s">
        <v>686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666</v>
      </c>
      <c r="D270" t="s">
        <v>687</v>
      </c>
      <c r="E270" t="s">
        <v>668</v>
      </c>
      <c r="F270" t="s">
        <v>669</v>
      </c>
      <c r="G270" t="s">
        <v>688</v>
      </c>
      <c r="H270" t="s">
        <v>689</v>
      </c>
      <c r="I270" t="s">
        <v>683</v>
      </c>
      <c r="J270" t="s">
        <v>690</v>
      </c>
      <c r="K270" t="s">
        <v>691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666</v>
      </c>
      <c r="D271" t="s">
        <v>692</v>
      </c>
      <c r="E271" t="s">
        <v>668</v>
      </c>
      <c r="F271" t="s">
        <v>669</v>
      </c>
      <c r="G271" t="s">
        <v>676</v>
      </c>
      <c r="H271" t="s">
        <v>689</v>
      </c>
      <c r="I271" t="s">
        <v>683</v>
      </c>
      <c r="J271" t="s">
        <v>690</v>
      </c>
      <c r="K271" t="s">
        <v>693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666</v>
      </c>
      <c r="D272" t="s">
        <v>694</v>
      </c>
      <c r="E272" t="s">
        <v>668</v>
      </c>
      <c r="F272" t="s">
        <v>669</v>
      </c>
      <c r="G272" t="s">
        <v>689</v>
      </c>
      <c r="H272" t="s">
        <v>695</v>
      </c>
      <c r="I272" t="s">
        <v>690</v>
      </c>
      <c r="J272" t="s">
        <v>696</v>
      </c>
      <c r="K272" t="s">
        <v>697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666</v>
      </c>
      <c r="D273" t="s">
        <v>698</v>
      </c>
      <c r="E273" t="s">
        <v>668</v>
      </c>
      <c r="F273" t="s">
        <v>669</v>
      </c>
      <c r="G273" t="s">
        <v>695</v>
      </c>
      <c r="H273" t="s">
        <v>699</v>
      </c>
      <c r="I273" t="s">
        <v>696</v>
      </c>
      <c r="J273" t="s">
        <v>700</v>
      </c>
      <c r="K273" t="s">
        <v>701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666</v>
      </c>
      <c r="D274" t="s">
        <v>702</v>
      </c>
      <c r="E274" t="s">
        <v>668</v>
      </c>
      <c r="F274" t="s">
        <v>669</v>
      </c>
      <c r="G274" t="s">
        <v>699</v>
      </c>
      <c r="H274" t="s">
        <v>703</v>
      </c>
      <c r="I274" t="s">
        <v>700</v>
      </c>
      <c r="J274" t="s">
        <v>704</v>
      </c>
      <c r="K274" t="s">
        <v>705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666</v>
      </c>
      <c r="D275" t="s">
        <v>706</v>
      </c>
      <c r="E275" t="s">
        <v>668</v>
      </c>
      <c r="F275" t="s">
        <v>669</v>
      </c>
      <c r="G275" t="s">
        <v>703</v>
      </c>
      <c r="H275" t="s">
        <v>707</v>
      </c>
      <c r="I275" t="s">
        <v>704</v>
      </c>
      <c r="J275" t="s">
        <v>708</v>
      </c>
      <c r="K275" t="s">
        <v>709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666</v>
      </c>
      <c r="D276" t="s">
        <v>710</v>
      </c>
      <c r="E276" t="s">
        <v>668</v>
      </c>
      <c r="F276" t="s">
        <v>669</v>
      </c>
      <c r="G276" t="s">
        <v>707</v>
      </c>
      <c r="H276" t="s">
        <v>711</v>
      </c>
      <c r="I276" t="s">
        <v>708</v>
      </c>
      <c r="J276" t="s">
        <v>712</v>
      </c>
      <c r="K276" t="s">
        <v>713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666</v>
      </c>
      <c r="D277" t="s">
        <v>714</v>
      </c>
      <c r="E277" t="s">
        <v>668</v>
      </c>
      <c r="F277" t="s">
        <v>669</v>
      </c>
      <c r="G277" t="s">
        <v>711</v>
      </c>
      <c r="H277" t="s">
        <v>715</v>
      </c>
      <c r="I277" t="s">
        <v>712</v>
      </c>
      <c r="J277" t="s">
        <v>716</v>
      </c>
      <c r="K277" t="s">
        <v>717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666</v>
      </c>
      <c r="D278" t="s">
        <v>718</v>
      </c>
      <c r="E278" t="s">
        <v>668</v>
      </c>
      <c r="F278" t="s">
        <v>669</v>
      </c>
      <c r="G278" t="s">
        <v>715</v>
      </c>
      <c r="H278" t="s">
        <v>719</v>
      </c>
      <c r="I278" t="s">
        <v>716</v>
      </c>
      <c r="J278" t="s">
        <v>720</v>
      </c>
      <c r="K278" t="s">
        <v>721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666</v>
      </c>
      <c r="D279" t="s">
        <v>722</v>
      </c>
      <c r="E279" t="s">
        <v>668</v>
      </c>
      <c r="F279" t="s">
        <v>669</v>
      </c>
      <c r="G279" t="s">
        <v>719</v>
      </c>
      <c r="H279" t="s">
        <v>723</v>
      </c>
      <c r="I279" t="s">
        <v>720</v>
      </c>
      <c r="J279" t="s">
        <v>724</v>
      </c>
      <c r="K279" t="s">
        <v>725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666</v>
      </c>
      <c r="D280" t="s">
        <v>726</v>
      </c>
      <c r="E280" t="s">
        <v>668</v>
      </c>
      <c r="F280" t="s">
        <v>669</v>
      </c>
      <c r="G280" t="s">
        <v>723</v>
      </c>
      <c r="H280" t="s">
        <v>727</v>
      </c>
      <c r="I280" t="s">
        <v>724</v>
      </c>
      <c r="J280" t="s">
        <v>728</v>
      </c>
      <c r="K280" t="s">
        <v>729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666</v>
      </c>
      <c r="D281" t="s">
        <v>730</v>
      </c>
      <c r="E281" t="s">
        <v>668</v>
      </c>
      <c r="F281" t="s">
        <v>669</v>
      </c>
      <c r="G281" t="s">
        <v>713</v>
      </c>
      <c r="H281" t="s">
        <v>731</v>
      </c>
      <c r="I281" t="s">
        <v>732</v>
      </c>
      <c r="J281" t="s">
        <v>728</v>
      </c>
      <c r="K281" t="s">
        <v>733</v>
      </c>
      <c r="L281" t="s">
        <v>734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666</v>
      </c>
      <c r="D282" t="s">
        <v>735</v>
      </c>
      <c r="E282" t="s">
        <v>668</v>
      </c>
      <c r="F282" t="s">
        <v>669</v>
      </c>
      <c r="G282" t="s">
        <v>713</v>
      </c>
      <c r="H282" t="s">
        <v>731</v>
      </c>
      <c r="I282" t="s">
        <v>732</v>
      </c>
      <c r="J282" t="s">
        <v>728</v>
      </c>
      <c r="K282" t="s">
        <v>733</v>
      </c>
      <c r="L282" t="s">
        <v>734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666</v>
      </c>
      <c r="D283" t="s">
        <v>736</v>
      </c>
      <c r="E283" t="s">
        <v>668</v>
      </c>
      <c r="F283" t="s">
        <v>669</v>
      </c>
      <c r="G283" t="s">
        <v>713</v>
      </c>
      <c r="H283" t="s">
        <v>731</v>
      </c>
      <c r="I283" t="s">
        <v>732</v>
      </c>
      <c r="J283" t="s">
        <v>728</v>
      </c>
      <c r="K283" t="s">
        <v>733</v>
      </c>
      <c r="L283" t="s">
        <v>734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802</v>
      </c>
      <c r="D284" t="s">
        <v>803</v>
      </c>
      <c r="E284" t="s">
        <v>804</v>
      </c>
      <c r="F284" t="s">
        <v>805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802</v>
      </c>
      <c r="D285" t="s">
        <v>806</v>
      </c>
      <c r="E285" t="s">
        <v>807</v>
      </c>
      <c r="F285" t="s">
        <v>808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802</v>
      </c>
      <c r="D286" t="s">
        <v>809</v>
      </c>
      <c r="E286" t="s">
        <v>810</v>
      </c>
      <c r="F286" t="s">
        <v>811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802</v>
      </c>
      <c r="D287" t="s">
        <v>812</v>
      </c>
      <c r="E287" t="s">
        <v>813</v>
      </c>
      <c r="F287" t="s">
        <v>814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802</v>
      </c>
      <c r="D288" t="s">
        <v>815</v>
      </c>
      <c r="E288" t="s">
        <v>816</v>
      </c>
      <c r="F288" t="s">
        <v>817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802</v>
      </c>
      <c r="D289" s="1" t="s">
        <v>1010</v>
      </c>
      <c r="E289" s="3" t="s">
        <v>1011</v>
      </c>
      <c r="F289" t="s">
        <v>818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802</v>
      </c>
      <c r="D290" t="s">
        <v>655</v>
      </c>
      <c r="E290" t="s">
        <v>819</v>
      </c>
      <c r="F290" t="s">
        <v>820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802</v>
      </c>
      <c r="D291" t="s">
        <v>821</v>
      </c>
      <c r="E291" t="s">
        <v>822</v>
      </c>
      <c r="F291" t="s">
        <v>823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802</v>
      </c>
      <c r="D292" t="s">
        <v>824</v>
      </c>
      <c r="E292" t="s">
        <v>825</v>
      </c>
      <c r="F292" t="s">
        <v>826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827</v>
      </c>
      <c r="D293" t="s">
        <v>828</v>
      </c>
      <c r="E293" t="s">
        <v>829</v>
      </c>
      <c r="F293" t="s">
        <v>830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827</v>
      </c>
      <c r="D294" t="s">
        <v>831</v>
      </c>
      <c r="E294" t="s">
        <v>832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827</v>
      </c>
      <c r="D295" t="s">
        <v>833</v>
      </c>
      <c r="E295" t="s">
        <v>592</v>
      </c>
      <c r="F295" t="s">
        <v>834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827</v>
      </c>
      <c r="D296" t="s">
        <v>835</v>
      </c>
      <c r="E296" t="s">
        <v>836</v>
      </c>
      <c r="F296" t="s">
        <v>837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827</v>
      </c>
      <c r="D297" t="s">
        <v>838</v>
      </c>
      <c r="E297" t="s">
        <v>839</v>
      </c>
      <c r="F297" t="s">
        <v>840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827</v>
      </c>
      <c r="D298" t="s">
        <v>926</v>
      </c>
      <c r="E298" t="s">
        <v>927</v>
      </c>
      <c r="F298" t="s">
        <v>928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827</v>
      </c>
      <c r="D299" t="s">
        <v>929</v>
      </c>
      <c r="E299" t="s">
        <v>930</v>
      </c>
      <c r="F299" t="s">
        <v>931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827</v>
      </c>
      <c r="D300" t="s">
        <v>932</v>
      </c>
      <c r="E300" t="s">
        <v>933</v>
      </c>
      <c r="F300" t="s">
        <v>934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827</v>
      </c>
      <c r="D301" t="s">
        <v>935</v>
      </c>
      <c r="E301" t="s">
        <v>936</v>
      </c>
      <c r="F301" t="s">
        <v>937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827</v>
      </c>
      <c r="D302" t="s">
        <v>938</v>
      </c>
      <c r="E302" t="s">
        <v>592</v>
      </c>
      <c r="F302" t="s">
        <v>939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827</v>
      </c>
      <c r="D303" t="s">
        <v>940</v>
      </c>
      <c r="E303" t="s">
        <v>941</v>
      </c>
      <c r="F303" t="s">
        <v>942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864</v>
      </c>
      <c r="D304" t="s">
        <v>865</v>
      </c>
      <c r="E304" t="s">
        <v>866</v>
      </c>
      <c r="F304" t="s">
        <v>867</v>
      </c>
      <c r="G304">
        <v>25</v>
      </c>
      <c r="H304">
        <v>25</v>
      </c>
      <c r="I304" t="s">
        <v>868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864</v>
      </c>
      <c r="D305" t="s">
        <v>869</v>
      </c>
      <c r="E305" t="s">
        <v>866</v>
      </c>
      <c r="F305" t="s">
        <v>870</v>
      </c>
      <c r="G305">
        <v>20</v>
      </c>
      <c r="H305">
        <v>20</v>
      </c>
      <c r="I305" t="s">
        <v>868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864</v>
      </c>
      <c r="D306" t="s">
        <v>871</v>
      </c>
      <c r="E306" t="s">
        <v>866</v>
      </c>
      <c r="F306" t="s">
        <v>872</v>
      </c>
      <c r="G306">
        <v>3</v>
      </c>
      <c r="H306">
        <v>1.5</v>
      </c>
      <c r="I306" t="s">
        <v>868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864</v>
      </c>
      <c r="D307" t="s">
        <v>873</v>
      </c>
      <c r="E307" t="s">
        <v>866</v>
      </c>
      <c r="F307" t="s">
        <v>874</v>
      </c>
      <c r="G307">
        <v>20</v>
      </c>
      <c r="H307">
        <v>20</v>
      </c>
      <c r="I307" t="s">
        <v>868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864</v>
      </c>
      <c r="D308" t="s">
        <v>875</v>
      </c>
      <c r="E308" t="s">
        <v>866</v>
      </c>
      <c r="F308" t="s">
        <v>876</v>
      </c>
      <c r="G308">
        <v>3</v>
      </c>
      <c r="H308">
        <v>1.5</v>
      </c>
      <c r="I308" t="s">
        <v>868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864</v>
      </c>
      <c r="D309" t="s">
        <v>877</v>
      </c>
      <c r="E309" t="s">
        <v>866</v>
      </c>
      <c r="F309" t="s">
        <v>878</v>
      </c>
      <c r="G309">
        <v>3</v>
      </c>
      <c r="H309">
        <v>1.5</v>
      </c>
      <c r="I309" t="s">
        <v>868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864</v>
      </c>
      <c r="D310" t="s">
        <v>879</v>
      </c>
      <c r="E310" t="s">
        <v>866</v>
      </c>
      <c r="F310" t="s">
        <v>880</v>
      </c>
      <c r="G310">
        <v>3</v>
      </c>
      <c r="H310">
        <v>1.5</v>
      </c>
      <c r="I310" t="s">
        <v>868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864</v>
      </c>
      <c r="D311" t="s">
        <v>881</v>
      </c>
      <c r="E311" t="s">
        <v>866</v>
      </c>
      <c r="F311" t="s">
        <v>882</v>
      </c>
      <c r="G311">
        <v>25</v>
      </c>
      <c r="H311">
        <v>25</v>
      </c>
      <c r="I311" t="s">
        <v>868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864</v>
      </c>
      <c r="D312" t="s">
        <v>883</v>
      </c>
      <c r="E312" t="s">
        <v>866</v>
      </c>
      <c r="F312" t="s">
        <v>884</v>
      </c>
      <c r="G312">
        <v>5</v>
      </c>
      <c r="H312">
        <v>2.5</v>
      </c>
      <c r="I312" t="s">
        <v>868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885</v>
      </c>
      <c r="D313" t="s">
        <v>886</v>
      </c>
      <c r="E313" s="3" t="s">
        <v>991</v>
      </c>
      <c r="F313" t="s">
        <v>887</v>
      </c>
      <c r="G313" s="3" t="s">
        <v>995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885</v>
      </c>
      <c r="D314" t="s">
        <v>888</v>
      </c>
      <c r="E314" t="s">
        <v>889</v>
      </c>
      <c r="F314" t="s">
        <v>890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885</v>
      </c>
      <c r="D315" t="s">
        <v>891</v>
      </c>
      <c r="E315" t="s">
        <v>892</v>
      </c>
      <c r="F315" t="s">
        <v>893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885</v>
      </c>
      <c r="D316" t="s">
        <v>894</v>
      </c>
      <c r="E316" t="s">
        <v>895</v>
      </c>
      <c r="F316" t="s">
        <v>896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885</v>
      </c>
      <c r="D317" t="s">
        <v>897</v>
      </c>
      <c r="E317" t="s">
        <v>898</v>
      </c>
      <c r="F317" t="s">
        <v>899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885</v>
      </c>
      <c r="D318" t="s">
        <v>900</v>
      </c>
      <c r="E318" t="s">
        <v>901</v>
      </c>
      <c r="F318" t="s">
        <v>902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885</v>
      </c>
      <c r="D319" t="s">
        <v>903</v>
      </c>
      <c r="E319" t="s">
        <v>904</v>
      </c>
      <c r="F319" t="s">
        <v>905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885</v>
      </c>
      <c r="D320" t="s">
        <v>906</v>
      </c>
      <c r="E320" t="s">
        <v>907</v>
      </c>
      <c r="F320" t="s">
        <v>908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885</v>
      </c>
      <c r="D321" t="s">
        <v>992</v>
      </c>
      <c r="E321" t="s">
        <v>993</v>
      </c>
      <c r="F321" s="5" t="s">
        <v>994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854</v>
      </c>
      <c r="D322" t="s">
        <v>855</v>
      </c>
      <c r="E322" t="s">
        <v>39</v>
      </c>
      <c r="F322" s="7" t="s">
        <v>1076</v>
      </c>
      <c r="G322">
        <v>1</v>
      </c>
      <c r="H322">
        <v>1</v>
      </c>
      <c r="I322">
        <v>1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854</v>
      </c>
      <c r="D323" t="s">
        <v>856</v>
      </c>
      <c r="E323" t="s">
        <v>39</v>
      </c>
      <c r="F323" s="7" t="s">
        <v>1076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1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854</v>
      </c>
      <c r="D324" t="s">
        <v>857</v>
      </c>
      <c r="E324" t="s">
        <v>39</v>
      </c>
      <c r="F324" s="7" t="s">
        <v>1076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1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854</v>
      </c>
      <c r="D325" t="s">
        <v>858</v>
      </c>
      <c r="E325" t="s">
        <v>39</v>
      </c>
      <c r="F325" s="7" t="s">
        <v>1076</v>
      </c>
      <c r="G325">
        <v>2.2999999999999998</v>
      </c>
      <c r="H325">
        <v>3</v>
      </c>
      <c r="I325">
        <v>3</v>
      </c>
      <c r="J325">
        <v>1</v>
      </c>
      <c r="K325">
        <v>1</v>
      </c>
      <c r="L325">
        <v>4.5</v>
      </c>
      <c r="M325">
        <v>1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854</v>
      </c>
      <c r="D326" t="s">
        <v>859</v>
      </c>
      <c r="E326" t="s">
        <v>39</v>
      </c>
      <c r="F326" s="7" t="s">
        <v>1076</v>
      </c>
      <c r="G326">
        <v>3</v>
      </c>
      <c r="H326">
        <v>4</v>
      </c>
      <c r="I326">
        <v>4</v>
      </c>
      <c r="J326">
        <v>2</v>
      </c>
      <c r="K326">
        <v>2</v>
      </c>
      <c r="L326">
        <v>7.5</v>
      </c>
      <c r="M326">
        <v>2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854</v>
      </c>
      <c r="D327" t="s">
        <v>860</v>
      </c>
      <c r="E327" t="s">
        <v>39</v>
      </c>
      <c r="F327" s="7" t="s">
        <v>1076</v>
      </c>
      <c r="G327">
        <v>4</v>
      </c>
      <c r="H327">
        <v>5</v>
      </c>
      <c r="I327">
        <v>5</v>
      </c>
      <c r="J327">
        <v>2</v>
      </c>
      <c r="K327">
        <v>2</v>
      </c>
      <c r="L327">
        <v>12</v>
      </c>
      <c r="M327">
        <v>2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854</v>
      </c>
      <c r="D328" t="s">
        <v>861</v>
      </c>
      <c r="E328" t="s">
        <v>39</v>
      </c>
      <c r="F328" s="7" t="s">
        <v>1076</v>
      </c>
      <c r="G328">
        <v>5.2</v>
      </c>
      <c r="H328">
        <v>6</v>
      </c>
      <c r="I328">
        <v>6</v>
      </c>
      <c r="J328">
        <v>2</v>
      </c>
      <c r="K328">
        <v>2</v>
      </c>
      <c r="L328">
        <v>19</v>
      </c>
      <c r="M328">
        <v>2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854</v>
      </c>
      <c r="D329" t="s">
        <v>862</v>
      </c>
      <c r="E329" t="s">
        <v>39</v>
      </c>
      <c r="F329" s="7" t="s">
        <v>1076</v>
      </c>
      <c r="G329">
        <v>6.8</v>
      </c>
      <c r="H329">
        <v>7</v>
      </c>
      <c r="I329">
        <v>7</v>
      </c>
      <c r="J329">
        <v>3</v>
      </c>
      <c r="K329">
        <v>3</v>
      </c>
      <c r="L329">
        <v>30</v>
      </c>
      <c r="M329">
        <v>3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854</v>
      </c>
      <c r="D330" t="s">
        <v>863</v>
      </c>
      <c r="E330" t="s">
        <v>39</v>
      </c>
      <c r="F330" s="7" t="s">
        <v>1076</v>
      </c>
      <c r="G330">
        <v>10.199999999999999</v>
      </c>
      <c r="H330">
        <v>8</v>
      </c>
      <c r="I330">
        <v>8</v>
      </c>
      <c r="J330">
        <v>3</v>
      </c>
      <c r="K330">
        <v>3</v>
      </c>
      <c r="L330">
        <v>45</v>
      </c>
      <c r="M330">
        <v>3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854</v>
      </c>
      <c r="D331" t="s">
        <v>909</v>
      </c>
      <c r="E331" t="s">
        <v>39</v>
      </c>
      <c r="F331" s="7" t="s">
        <v>1077</v>
      </c>
      <c r="G331">
        <v>15.3</v>
      </c>
      <c r="H331">
        <v>9</v>
      </c>
      <c r="I331">
        <v>9</v>
      </c>
      <c r="J331">
        <v>4</v>
      </c>
      <c r="K331">
        <v>3</v>
      </c>
      <c r="L331">
        <v>67.5</v>
      </c>
      <c r="M331">
        <v>4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854</v>
      </c>
      <c r="D332" t="s">
        <v>910</v>
      </c>
      <c r="E332" t="s">
        <v>39</v>
      </c>
      <c r="F332" s="7" t="s">
        <v>1077</v>
      </c>
      <c r="G332">
        <v>22.95</v>
      </c>
      <c r="H332">
        <v>10</v>
      </c>
      <c r="I332">
        <v>10</v>
      </c>
      <c r="J332">
        <v>4</v>
      </c>
      <c r="K332">
        <v>3</v>
      </c>
      <c r="L332">
        <v>101.25</v>
      </c>
      <c r="M332">
        <v>4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1069</v>
      </c>
      <c r="D333" t="s">
        <v>1070</v>
      </c>
      <c r="E333" t="s">
        <v>1071</v>
      </c>
      <c r="F333" t="s">
        <v>1072</v>
      </c>
      <c r="G333">
        <v>200</v>
      </c>
      <c r="H333" s="3" t="s">
        <v>1075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ref="A334:A352" si="10">A333+1</f>
        <v>333</v>
      </c>
      <c r="B334">
        <v>0</v>
      </c>
      <c r="C334" t="s">
        <v>1078</v>
      </c>
      <c r="D334" s="2" t="s">
        <v>1079</v>
      </c>
      <c r="E334" t="s">
        <v>1080</v>
      </c>
      <c r="F334" t="s">
        <v>1081</v>
      </c>
      <c r="G334" s="7" t="s">
        <v>1082</v>
      </c>
      <c r="H334" s="7" t="s">
        <v>1083</v>
      </c>
      <c r="I334" s="7" t="s">
        <v>1084</v>
      </c>
      <c r="J334" s="7" t="s">
        <v>1085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334</v>
      </c>
      <c r="B335">
        <v>0</v>
      </c>
      <c r="C335" t="s">
        <v>1078</v>
      </c>
      <c r="D335" s="2" t="s">
        <v>1086</v>
      </c>
      <c r="E335" t="s">
        <v>1080</v>
      </c>
      <c r="F335" t="s">
        <v>1081</v>
      </c>
      <c r="G335" s="7" t="s">
        <v>1087</v>
      </c>
      <c r="H335" s="7" t="s">
        <v>1088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335</v>
      </c>
      <c r="B336">
        <v>0</v>
      </c>
      <c r="C336" t="s">
        <v>1078</v>
      </c>
      <c r="D336" s="2" t="s">
        <v>1089</v>
      </c>
      <c r="E336" t="s">
        <v>1080</v>
      </c>
      <c r="F336" t="s">
        <v>1081</v>
      </c>
      <c r="G336" s="7" t="s">
        <v>1090</v>
      </c>
      <c r="H336" s="7" t="s">
        <v>1091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336</v>
      </c>
      <c r="B337">
        <v>0</v>
      </c>
      <c r="C337" t="s">
        <v>1078</v>
      </c>
      <c r="D337" s="2" t="s">
        <v>1092</v>
      </c>
      <c r="E337" t="s">
        <v>1080</v>
      </c>
      <c r="F337" t="s">
        <v>1081</v>
      </c>
      <c r="G337" s="7" t="s">
        <v>1093</v>
      </c>
      <c r="H337" s="7" t="s">
        <v>1094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337</v>
      </c>
      <c r="B338">
        <v>0</v>
      </c>
      <c r="C338" t="s">
        <v>1078</v>
      </c>
      <c r="D338" s="2" t="s">
        <v>1095</v>
      </c>
      <c r="E338" t="s">
        <v>1080</v>
      </c>
      <c r="F338" t="s">
        <v>1081</v>
      </c>
      <c r="G338" s="7" t="s">
        <v>1096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338</v>
      </c>
      <c r="B339">
        <v>0</v>
      </c>
      <c r="C339" t="s">
        <v>1078</v>
      </c>
      <c r="D339" s="2" t="s">
        <v>1097</v>
      </c>
      <c r="E339" t="s">
        <v>1098</v>
      </c>
      <c r="F339" t="s">
        <v>1099</v>
      </c>
      <c r="G339" s="7" t="s">
        <v>1100</v>
      </c>
      <c r="H339" s="7" t="s">
        <v>1101</v>
      </c>
      <c r="I339" s="7" t="s">
        <v>1102</v>
      </c>
      <c r="J339" s="7" t="s">
        <v>1103</v>
      </c>
      <c r="K339" s="7" t="s">
        <v>1104</v>
      </c>
      <c r="L339" s="7" t="s">
        <v>1105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339</v>
      </c>
      <c r="B340">
        <v>0</v>
      </c>
      <c r="C340" t="s">
        <v>1078</v>
      </c>
      <c r="D340" s="2" t="s">
        <v>1106</v>
      </c>
      <c r="E340" t="s">
        <v>1098</v>
      </c>
      <c r="F340" t="s">
        <v>1099</v>
      </c>
      <c r="G340" s="7" t="s">
        <v>1107</v>
      </c>
      <c r="H340" s="7" t="s">
        <v>1108</v>
      </c>
      <c r="I340" s="7" t="s">
        <v>1109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340</v>
      </c>
      <c r="B341">
        <v>0</v>
      </c>
      <c r="C341" t="s">
        <v>1078</v>
      </c>
      <c r="D341" s="2" t="s">
        <v>1110</v>
      </c>
      <c r="E341" t="s">
        <v>1098</v>
      </c>
      <c r="F341" t="s">
        <v>1099</v>
      </c>
      <c r="G341" s="7" t="s">
        <v>1111</v>
      </c>
      <c r="H341" s="7" t="s">
        <v>1112</v>
      </c>
      <c r="I341" s="7" t="s">
        <v>1113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341</v>
      </c>
      <c r="B342">
        <v>0</v>
      </c>
      <c r="C342" t="s">
        <v>1078</v>
      </c>
      <c r="D342" s="2" t="s">
        <v>1114</v>
      </c>
      <c r="E342" t="s">
        <v>1098</v>
      </c>
      <c r="F342" t="s">
        <v>1099</v>
      </c>
      <c r="G342" s="7" t="s">
        <v>1115</v>
      </c>
      <c r="H342" s="7" t="s">
        <v>1112</v>
      </c>
      <c r="I342" s="7" t="s">
        <v>1116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342</v>
      </c>
      <c r="B343">
        <v>0</v>
      </c>
      <c r="C343" t="s">
        <v>1078</v>
      </c>
      <c r="D343" s="2" t="s">
        <v>1117</v>
      </c>
      <c r="E343" t="s">
        <v>1098</v>
      </c>
      <c r="F343" t="s">
        <v>1099</v>
      </c>
      <c r="G343" s="7" t="s">
        <v>1118</v>
      </c>
      <c r="H343" s="7" t="s">
        <v>1112</v>
      </c>
      <c r="I343" s="7" t="s">
        <v>1119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343</v>
      </c>
      <c r="B344">
        <v>0</v>
      </c>
      <c r="C344" t="s">
        <v>1078</v>
      </c>
      <c r="D344" s="2" t="s">
        <v>1120</v>
      </c>
      <c r="E344" t="s">
        <v>1121</v>
      </c>
      <c r="F344" t="s">
        <v>1122</v>
      </c>
      <c r="G344" s="7" t="s">
        <v>1123</v>
      </c>
      <c r="H344" s="7" t="s">
        <v>1124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344</v>
      </c>
      <c r="B345">
        <v>0</v>
      </c>
      <c r="C345" t="s">
        <v>1078</v>
      </c>
      <c r="D345" s="2" t="s">
        <v>1125</v>
      </c>
      <c r="E345" t="s">
        <v>1121</v>
      </c>
      <c r="F345" t="s">
        <v>1122</v>
      </c>
      <c r="G345" s="7" t="s">
        <v>1126</v>
      </c>
      <c r="H345" s="7" t="s">
        <v>1127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345</v>
      </c>
      <c r="B346">
        <v>0</v>
      </c>
      <c r="C346" t="s">
        <v>1078</v>
      </c>
      <c r="D346" s="2" t="s">
        <v>1128</v>
      </c>
      <c r="E346" t="s">
        <v>1121</v>
      </c>
      <c r="F346" t="s">
        <v>1122</v>
      </c>
      <c r="G346" s="7" t="s">
        <v>1129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346</v>
      </c>
      <c r="B347">
        <v>0</v>
      </c>
      <c r="C347" t="s">
        <v>1078</v>
      </c>
      <c r="D347" s="2" t="s">
        <v>1130</v>
      </c>
      <c r="E347" t="s">
        <v>1121</v>
      </c>
      <c r="F347" t="s">
        <v>1122</v>
      </c>
      <c r="G347" s="7" t="s">
        <v>1131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347</v>
      </c>
      <c r="B348">
        <v>0</v>
      </c>
      <c r="C348" t="s">
        <v>1078</v>
      </c>
      <c r="D348" s="2" t="s">
        <v>1132</v>
      </c>
      <c r="E348" t="s">
        <v>1121</v>
      </c>
      <c r="F348" t="s">
        <v>1122</v>
      </c>
      <c r="G348" s="7" t="s">
        <v>1133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10"/>
        <v>348</v>
      </c>
      <c r="B349">
        <v>0</v>
      </c>
      <c r="C349" t="s">
        <v>1078</v>
      </c>
      <c r="D349" s="2" t="s">
        <v>1134</v>
      </c>
      <c r="E349" t="s">
        <v>1135</v>
      </c>
      <c r="F349" t="s">
        <v>1136</v>
      </c>
      <c r="G349" s="7" t="s">
        <v>1137</v>
      </c>
      <c r="H349" s="7" t="s">
        <v>1138</v>
      </c>
      <c r="I349" s="7" t="s">
        <v>1139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10"/>
        <v>349</v>
      </c>
      <c r="B350">
        <v>0</v>
      </c>
      <c r="C350" t="s">
        <v>1078</v>
      </c>
      <c r="D350" s="2" t="s">
        <v>1140</v>
      </c>
      <c r="E350" t="s">
        <v>1141</v>
      </c>
      <c r="F350" t="s">
        <v>1169</v>
      </c>
      <c r="G350" s="7" t="s">
        <v>1142</v>
      </c>
      <c r="H350" s="7" t="s">
        <v>1143</v>
      </c>
      <c r="I350" s="7" t="s">
        <v>1144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10"/>
        <v>350</v>
      </c>
      <c r="B351">
        <v>0</v>
      </c>
      <c r="C351" t="s">
        <v>1078</v>
      </c>
      <c r="D351" s="2" t="s">
        <v>1145</v>
      </c>
      <c r="E351" t="s">
        <v>1146</v>
      </c>
      <c r="F351" t="s">
        <v>1147</v>
      </c>
      <c r="G351">
        <v>1</v>
      </c>
      <c r="H351">
        <v>1</v>
      </c>
      <c r="I351">
        <v>1</v>
      </c>
      <c r="J351">
        <v>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10"/>
        <v>351</v>
      </c>
      <c r="B352">
        <v>0</v>
      </c>
      <c r="C352" t="s">
        <v>1078</v>
      </c>
      <c r="D352" s="2" t="s">
        <v>1148</v>
      </c>
      <c r="E352" t="s">
        <v>1149</v>
      </c>
      <c r="F352" t="s">
        <v>1168</v>
      </c>
      <c r="G352">
        <v>100</v>
      </c>
      <c r="H352">
        <v>100</v>
      </c>
      <c r="I352">
        <v>3.5</v>
      </c>
      <c r="J352">
        <v>48</v>
      </c>
      <c r="K352">
        <v>10</v>
      </c>
      <c r="L352">
        <v>1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v>352</v>
      </c>
      <c r="B353">
        <v>0</v>
      </c>
      <c r="C353" t="s">
        <v>1152</v>
      </c>
      <c r="D353" s="2" t="s">
        <v>1153</v>
      </c>
      <c r="E353" t="s">
        <v>1154</v>
      </c>
      <c r="F353" t="s">
        <v>1155</v>
      </c>
      <c r="G353">
        <v>125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>A353+1</f>
        <v>353</v>
      </c>
      <c r="B354">
        <v>0</v>
      </c>
      <c r="C354" t="s">
        <v>1078</v>
      </c>
      <c r="D354" s="2" t="s">
        <v>1156</v>
      </c>
      <c r="E354" t="s">
        <v>1157</v>
      </c>
      <c r="F354" t="s">
        <v>1158</v>
      </c>
      <c r="G354">
        <v>6</v>
      </c>
      <c r="H354">
        <v>20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>A354+1</f>
        <v>354</v>
      </c>
      <c r="B355">
        <v>0</v>
      </c>
      <c r="C355" t="s">
        <v>1078</v>
      </c>
      <c r="D355" s="2" t="s">
        <v>1159</v>
      </c>
      <c r="E355" t="s">
        <v>1160</v>
      </c>
      <c r="F355" t="s">
        <v>1161</v>
      </c>
      <c r="G355">
        <v>8</v>
      </c>
      <c r="H355">
        <v>3</v>
      </c>
      <c r="I355">
        <v>4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>A355+1</f>
        <v>355</v>
      </c>
      <c r="B356">
        <v>0</v>
      </c>
      <c r="C356" t="s">
        <v>1078</v>
      </c>
      <c r="D356" s="2" t="s">
        <v>1162</v>
      </c>
      <c r="E356" t="s">
        <v>1163</v>
      </c>
      <c r="F356" t="s">
        <v>1164</v>
      </c>
      <c r="G356">
        <v>1.6</v>
      </c>
      <c r="H356">
        <v>2.2000000000000002</v>
      </c>
      <c r="I356">
        <v>3.4</v>
      </c>
      <c r="J356">
        <v>5</v>
      </c>
      <c r="K356">
        <v>7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</row>
    <row r="357" spans="1:18" x14ac:dyDescent="0.25">
      <c r="A357">
        <f>A356+1</f>
        <v>356</v>
      </c>
      <c r="B357">
        <v>0</v>
      </c>
      <c r="C357" t="s">
        <v>1078</v>
      </c>
      <c r="D357" s="2" t="s">
        <v>1165</v>
      </c>
      <c r="E357" t="s">
        <v>1166</v>
      </c>
      <c r="F357" t="s">
        <v>1167</v>
      </c>
      <c r="G357">
        <v>4</v>
      </c>
      <c r="H357">
        <v>8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2026-10-14T12:04:19Z</dcterms:modified>
</cp:coreProperties>
</file>
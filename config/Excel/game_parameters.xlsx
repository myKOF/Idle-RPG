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E3DAABF8-E1EA-4E4E-8CA7-69DC9BCBAC8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4" i="2" s="1"/>
  <c r="A5" i="2" l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</calcChain>
</file>

<file path=xl/sharedStrings.xml><?xml version="1.0" encoding="utf-8"?>
<sst xmlns="http://schemas.openxmlformats.org/spreadsheetml/2006/main" count="1892" uniqueCount="1086">
  <si>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</si>
  <si>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</si>
  <si>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</si>
  <si>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</si>
  <si>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</si>
  <si>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</si>
  <si>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</si>
  <si>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</si>
  <si>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</si>
  <si>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</si>
  <si>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</si>
  <si>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</si>
  <si>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</si>
  <si>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</si>
  <si>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</si>
  <si>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</si>
  <si>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</si>
  <si>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</si>
  <si>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</si>
  <si>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</si>
  <si>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</si>
  <si>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</si>
  <si>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</si>
  <si>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</si>
  <si>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</si>
  <si>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</si>
  <si>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</si>
  <si>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</si>
  <si>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</si>
  <si>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</si>
  <si>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</si>
  <si>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</si>
  <si>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</si>
  <si>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</si>
  <si>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</si>
  <si>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</si>
  <si>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</si>
  <si>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</si>
  <si>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</si>
  <si>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</si>
  <si>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</si>
  <si>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</si>
  <si>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</si>
  <si>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</si>
  <si>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</si>
  <si>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</si>
  <si>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</si>
  <si>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</si>
  <si>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</si>
  <si>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</si>
  <si>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</si>
  <si>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</si>
  <si>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</si>
  <si>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</si>
  <si>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</si>
  <si>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</si>
  <si>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</si>
  <si>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</si>
  <si>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</si>
  <si>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</si>
  <si>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</si>
  <si>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</si>
  <si>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</si>
  <si>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</si>
  <si>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</si>
  <si>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</si>
  <si>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</si>
  <si>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</si>
  <si>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</si>
  <si>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</si>
  <si>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</si>
  <si>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</si>
  <si>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</si>
  <si>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</si>
  <si>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</si>
  <si>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</si>
  <si>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</si>
  <si>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</si>
  <si>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</si>
  <si>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</si>
  <si>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</si>
  <si>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</si>
  <si>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</si>
  <si>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</si>
  <si>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</si>
  <si>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</si>
  <si>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</si>
  <si>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</si>
  <si>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</si>
  <si>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</si>
  <si>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</si>
  <si>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</si>
  <si>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</si>
  <si>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</si>
  <si>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</si>
  <si>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</si>
  <si>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</si>
  <si>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</si>
  <si>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</si>
  <si>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</si>
  <si>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</si>
  <si>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</si>
  <si>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</si>
  <si>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</si>
  <si>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</si>
  <si>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</si>
  <si>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</si>
  <si>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</si>
  <si>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</si>
  <si>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</si>
  <si>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</si>
  <si>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</si>
  <si>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</si>
  <si>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</si>
  <si>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</si>
  <si>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</si>
  <si>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</si>
  <si>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</si>
  <si>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</si>
  <si>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</si>
  <si>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</si>
  <si>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</si>
  <si>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</si>
  <si>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</si>
  <si>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</si>
  <si>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</si>
  <si>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</si>
  <si>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</si>
  <si>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</si>
  <si>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</si>
  <si>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</si>
  <si>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</si>
  <si>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</si>
  <si>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</si>
  <si>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</si>
  <si>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</si>
  <si>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</si>
  <si>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</si>
  <si>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</si>
  <si>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</si>
  <si>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</si>
  <si>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</si>
  <si>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</si>
  <si>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</si>
  <si>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</si>
  <si>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</si>
  <si>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</si>
  <si>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</si>
  <si>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</si>
  <si>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</si>
  <si>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</si>
  <si>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</si>
  <si>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</si>
  <si>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</si>
  <si>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</si>
  <si>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</si>
  <si>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</si>
  <si>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</si>
  <si>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</si>
  <si>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</si>
  <si>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</si>
  <si>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</si>
  <si>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</si>
  <si>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</si>
  <si>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</si>
  <si>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</si>
  <si>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</si>
  <si>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</si>
  <si>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</si>
  <si>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</si>
  <si>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</si>
  <si>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</si>
  <si>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</si>
  <si>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</si>
  <si>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</si>
  <si>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</si>
  <si>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</si>
  <si>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</si>
  <si>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</si>
  <si>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</si>
  <si>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</si>
  <si>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</si>
  <si>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</si>
  <si>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</si>
  <si>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</si>
  <si>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</si>
  <si>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</si>
  <si>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</si>
  <si>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</si>
  <si>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</si>
  <si>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</si>
  <si>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</si>
  <si>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</si>
  <si>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</si>
  <si>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</si>
  <si>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</si>
  <si>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</si>
  <si>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</si>
  <si>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</si>
  <si>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</si>
  <si>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</si>
  <si>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</si>
  <si>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</si>
  <si>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</si>
  <si>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</si>
  <si>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</si>
  <si>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</si>
  <si>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</si>
  <si>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</si>
  <si>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</si>
  <si>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</si>
  <si>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</si>
  <si>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</si>
  <si>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</si>
  <si>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</si>
  <si>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</si>
  <si>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最大生命×a%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</si>
  <si>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</si>
  <si>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</si>
  <si>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</si>
  <si>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</si>
  <si>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</si>
  <si>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</si>
  <si>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</si>
  <si>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</si>
  <si>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</si>
  <si>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</si>
  <si>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</si>
  <si>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</si>
  <si>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</si>
  <si>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</si>
  <si>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</si>
  <si>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</si>
  <si>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</si>
  <si>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</si>
  <si>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</si>
  <si>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</si>
  <si>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穿透忽略防禦</t>
  </si>
  <si>
    <t>忽略敵人防禦% = a×(總穿透加成%÷100×b)^c</t>
  </si>
  <si>
    <t>物理穿透與魔法穿透各自換算（不設上限）。a=係數 b=百分點換算 c=次方。曲線：穿透100%→22.9%、250%→42.7%、500%→68.4%、873%→100%、1000%→109.7%；超過100%的部分轉為增傷（150%＝完全忽略防禦後再×1.5）。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</si>
  <si>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</si>
  <si>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</si>
  <si>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</si>
  <si>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</si>
  <si>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</si>
  <si>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</si>
  <si>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</si>
  <si>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</si>
  <si>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</si>
  <si>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</si>
  <si>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</si>
  <si>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</si>
  <si>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</si>
  <si>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</si>
  <si>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</si>
  <si>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</si>
  <si>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</si>
  <si>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</si>
  <si>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</si>
  <si>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</si>
  <si>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</si>
  <si>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</si>
  <si>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</si>
  <si>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</si>
  <si>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</si>
  <si>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</si>
  <si>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</si>
  <si>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</si>
  <si>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</si>
  <si>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</si>
  <si>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</si>
  <si>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</si>
  <si>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</si>
  <si>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</si>
  <si>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</si>
  <si>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</si>
  <si>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</si>
  <si>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</si>
  <si>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</si>
  <si>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</si>
  <si>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</si>
  <si>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</si>
  <si>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</si>
  <si>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</si>
  <si>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</si>
  <si>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</si>
  <si>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</si>
  <si>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</si>
  <si>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</si>
  <si>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</si>
  <si>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</si>
  <si>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</si>
  <si>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</si>
  <si>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</si>
  <si>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</si>
  <si>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{1~3,5}</t>
  </si>
  <si>
    <t>{4,8}</t>
  </si>
  <si>
    <t>{5,10}</t>
  </si>
  <si>
    <t>{6,20}</t>
  </si>
  <si>
    <t>{7~9,10}</t>
  </si>
  <si>
    <t>{10~11,5}</t>
  </si>
  <si>
    <t>{12,4}</t>
  </si>
  <si>
    <t>{13,3}</t>
  </si>
  <si>
    <t>{14,2}</t>
  </si>
  <si>
    <t>{15,1}</t>
  </si>
  <si>
    <t>{16,0.5}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</si>
  <si>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</si>
  <si>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</si>
  <si>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</si>
  <si>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</si>
  <si>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{3,10}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</si>
  <si>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</si>
  <si>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</si>
  <si>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</si>
  <si>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</si>
  <si>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</si>
  <si>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</si>
  <si>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</si>
  <si>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</si>
  <si>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</si>
  <si>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</si>
  <si>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</si>
  <si>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</si>
  <si>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</si>
  <si>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</si>
  <si>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</si>
  <si>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</si>
  <si>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</si>
  <si>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</si>
  <si>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</si>
  <si>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</si>
  <si>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</si>
  <si>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的裝備/材料/寶石/零件掉落率統一乘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</si>
  <si>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</si>
  <si>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</si>
  <si>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</si>
  <si>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</si>
  <si>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</si>
  <si>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</si>
  <si>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</si>
  <si>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</si>
  <si>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</si>
  <si>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</si>
  <si>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</si>
  <si>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</si>
  <si>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</si>
  <si>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</si>
  <si>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</si>
  <si>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</si>
  <si>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</si>
  <si>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</si>
  <si>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</si>
  <si>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</si>
  <si>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</si>
  <si>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</si>
  <si>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</si>
  <si>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</si>
  <si>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</si>
  <si>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</si>
  <si>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</si>
  <si>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</si>
  <si>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</si>
  <si>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</si>
  <si>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</si>
  <si>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</si>
  <si>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</si>
  <si>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</si>
  <si>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</si>
  <si>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</si>
  <si>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</si>
  <si>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</si>
  <si>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</si>
  <si>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</si>
  <si>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</si>
  <si>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</si>
  <si>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</si>
  <si>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</si>
  <si>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</si>
  <si>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</si>
  <si>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</si>
  <si>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</si>
  <si>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</si>
  <si>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</si>
  <si>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</si>
  <si>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</si>
  <si>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</si>
  <si>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</si>
  <si>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</si>
  <si>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</si>
  <si>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</si>
  <si>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</si>
  <si>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</si>
  <si>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</si>
  <si>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</si>
  <si>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</si>
  <si>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</si>
  <si>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</si>
  <si>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</si>
  <si>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</si>
  <si>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</si>
  <si>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</si>
  <si>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</si>
  <si>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</si>
  <si>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</si>
  <si>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</si>
  <si>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</si>
  <si>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</si>
  <si>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</si>
  <si>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</si>
  <si>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</si>
  <si>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</si>
  <si>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</si>
  <si>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</si>
  <si>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</si>
  <si>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</si>
  <si>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</si>
  <si>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</si>
  <si>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</si>
  <si>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</si>
  <si>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</si>
  <si>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</si>
  <si>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</si>
  <si>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</si>
  <si>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</si>
  <si>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</si>
  <si>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{100~149=40}</t>
  </si>
  <si>
    <t>{150~199=50}</t>
  </si>
  <si>
    <t>{200~249=50}</t>
  </si>
  <si>
    <t>{250~299=50}</t>
  </si>
  <si>
    <t>{300+=50}</t>
  </si>
  <si>
    <t>精良裝備</t>
  </si>
  <si>
    <t>{100~149=30}</t>
  </si>
  <si>
    <t>{150~199=40}</t>
  </si>
  <si>
    <t>{200~249=40}</t>
  </si>
  <si>
    <t>{250~299=40}</t>
  </si>
  <si>
    <t>{300+=40}</t>
  </si>
  <si>
    <t>稀有裝備</t>
  </si>
  <si>
    <t>{150~199=30}</t>
  </si>
  <si>
    <t>{200~249=30}</t>
  </si>
  <si>
    <t>{250~299=30}</t>
  </si>
  <si>
    <t>{300+=30}</t>
  </si>
  <si>
    <t>獨特裝備</t>
  </si>
  <si>
    <t>{1~49=0}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</si>
  <si>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</si>
  <si>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</si>
  <si>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</si>
  <si>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</si>
  <si>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</si>
  <si>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</si>
  <si>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</si>
  <si>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</si>
  <si>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</si>
  <si>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</si>
  <si>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</si>
  <si>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</si>
  <si>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{150~199=2}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</si>
  <si>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</si>
  <si>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</si>
  <si>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</si>
  <si>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</si>
  <si>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</si>
  <si>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</si>
  <si>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</si>
  <si>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</si>
  <si>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</si>
  <si>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</si>
  <si>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</si>
  <si>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</si>
  <si>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</si>
  <si>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</si>
  <si>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混沌裝備</t>
  </si>
  <si>
    <t>掉落門檻／機率／場景開關</t>
  </si>
  <si>
    <t>551 級起於太古戰場／混沌界／永恒神域掉落，機率 a%，場景開關 b/c/d。a=1、b/c/d=1 表示三場景皆開啟。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</si>
  <si>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</si>
  <si>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</si>
  <si>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</si>
  <si>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</si>
  <si>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</si>
  <si>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</si>
  <si>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</si>
  <si>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</si>
  <si>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</si>
  <si>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</si>
  <si>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</si>
  <si>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</si>
  <si>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</si>
  <si>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</si>
  <si>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</si>
  <si>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</si>
  <si>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</si>
  <si>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</si>
  <si>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</si>
  <si>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</si>
  <si>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</si>
  <si>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</si>
  <si>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</si>
  <si>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</si>
  <si>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</si>
  <si>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</si>
  <si>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</si>
  <si>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</si>
  <si>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</si>
  <si>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</si>
  <si>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</si>
  <si>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</si>
  <si>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</si>
  <si>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</si>
  <si>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</si>
  <si>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</si>
  <si>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</si>
  <si>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</si>
  <si>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</si>
  <si>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</si>
  <si>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</si>
  <si>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</si>
  <si>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</si>
  <si>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</si>
  <si>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</si>
  <si>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</si>
  <si>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</si>
  <si>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</si>
  <si>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</si>
  <si>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</si>
  <si>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</si>
  <si>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</si>
  <si>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</si>
  <si>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</si>
  <si>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</si>
  <si>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</si>
  <si>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</si>
  <si>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</si>
  <si>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</si>
  <si>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</si>
  <si>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</si>
  <si>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</si>
  <si>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</si>
  <si>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</si>
  <si>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</si>
  <si>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</si>
  <si>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</si>
  <si>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</si>
  <si>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</si>
  <si>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</si>
  <si>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</si>
  <si>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</si>
  <si>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</si>
  <si>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</si>
  <si>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</si>
  <si>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</si>
  <si>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</si>
  <si>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</si>
  <si>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</si>
  <si>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</si>
  <si>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</si>
  <si>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</si>
  <si>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</si>
  <si>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</si>
  <si>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</si>
  <si>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</si>
  <si>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</si>
  <si>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</si>
  <si>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</si>
  <si>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</si>
  <si>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</si>
  <si>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</si>
  <si>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</si>
  <si>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</si>
  <si>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</si>
  <si>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</si>
  <si>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</si>
  <si>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</si>
  <si>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</si>
  <si>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</si>
  <si>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</si>
  <si>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</si>
  <si>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</si>
  <si>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</si>
  <si>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</si>
  <si>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</si>
  <si>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</si>
  <si>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</si>
  <si>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</si>
  <si>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</si>
  <si>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</si>
  <si>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</si>
  <si>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</si>
  <si>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</si>
  <si>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</si>
  <si>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</si>
  <si>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</si>
  <si>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</si>
  <si>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</si>
  <si>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</si>
  <si>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</si>
  <si>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</si>
  <si>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</si>
  <si>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</si>
  <si>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</si>
  <si>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</si>
  <si>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</si>
  <si>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</si>
  <si>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</si>
  <si>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</si>
  <si>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</si>
  <si>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</si>
  <si>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</si>
  <si>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</si>
  <si>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</si>
  <si>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</si>
  <si>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</si>
  <si>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</si>
  <si>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</si>
  <si>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</si>
  <si>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</si>
  <si>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</si>
  <si>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</si>
  <si>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</si>
  <si>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</si>
  <si>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</si>
  <si>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</si>
  <si>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</si>
  <si>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</si>
  <si>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</si>
  <si>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</si>
  <si>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</si>
  <si>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</si>
  <si>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</si>
  <si>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</si>
  <si>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</si>
  <si>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</si>
  <si>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</si>
  <si>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</si>
  <si>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</si>
  <si>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</si>
  <si>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</si>
  <si>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</si>
  <si>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</si>
  <si>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</si>
  <si>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</si>
  <si>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</si>
  <si>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</si>
  <si>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</si>
  <si>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</si>
  <si>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</si>
  <si>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</si>
  <si>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</si>
  <si>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</si>
  <si>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</si>
  <si>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</si>
  <si>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</si>
  <si>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</si>
  <si>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</si>
  <si>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</si>
  <si>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</si>
  <si>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</si>
  <si>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</si>
  <si>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</si>
  <si>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</si>
  <si>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</si>
  <si>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</si>
  <si>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</si>
  <si>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</si>
  <si>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</si>
  <si>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</si>
  <si>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</si>
  <si>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</si>
  <si>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</si>
  <si>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</si>
  <si>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</si>
  <si>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</si>
  <si>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</si>
  <si>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</si>
  <si>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</si>
  <si>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</si>
  <si>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</si>
  <si>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</si>
  <si>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</si>
  <si>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</si>
  <si>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</si>
  <si>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</si>
  <si>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</si>
  <si>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</si>
  <si>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</si>
  <si>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</si>
  <si>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</si>
  <si>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</si>
  <si>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</si>
  <si>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</si>
  <si>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</si>
  <si>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</si>
  <si>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</si>
  <si>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</si>
  <si>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</si>
  <si>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</si>
  <si>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</si>
  <si>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</si>
  <si>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</si>
  <si>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</si>
  <si>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</si>
  <si>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</si>
  <si>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</si>
  <si>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</si>
  <si>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</si>
  <si>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</si>
  <si>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</si>
  <si>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</si>
  <si>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</si>
  <si>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</si>
  <si>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</si>
  <si>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</si>
  <si>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</si>
  <si>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</si>
  <si>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</si>
  <si>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</si>
  <si>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</si>
  <si>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</si>
  <si>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</si>
  <si>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</si>
  <si>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</si>
  <si>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</si>
  <si>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</si>
  <si>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</si>
  <si>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</si>
  <si>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</si>
  <si>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</si>
  <si>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</si>
  <si>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</si>
  <si>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</si>
  <si>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</si>
  <si>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</si>
  <si>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</si>
  <si>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</si>
  <si>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</si>
  <si>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</si>
  <si>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</si>
  <si>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</si>
  <si>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</si>
  <si>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</si>
  <si>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</si>
  <si>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</si>
  <si>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</si>
  <si>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</si>
  <si>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</si>
  <si>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</si>
  <si>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</si>
  <si>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</si>
  <si>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</si>
  <si>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</si>
  <si>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</si>
  <si>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</si>
  <si>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</si>
  <si>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</si>
  <si>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</si>
  <si>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</si>
  <si>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</si>
  <si>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</si>
  <si>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</si>
  <si>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</si>
  <si>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</si>
  <si>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</si>
  <si>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</si>
  <si>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</si>
  <si>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</si>
  <si>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</si>
  <si>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</si>
  <si>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</si>
  <si>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</si>
  <si>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</si>
  <si>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</si>
  <si>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</si>
  <si>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</si>
  <si>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</si>
  <si>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</si>
  <si>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</si>
  <si>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</si>
  <si>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</si>
  <si>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</si>
  <si>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</si>
  <si>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</si>
  <si>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</si>
  <si>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</si>
  <si>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</si>
  <si>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</si>
  <si>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</si>
  <si>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</si>
  <si>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</si>
  <si>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</si>
  <si>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</si>
  <si>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</si>
  <si>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</si>
  <si>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</si>
  <si>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</si>
  <si>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</si>
  <si>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</si>
  <si>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</si>
  <si>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</si>
  <si>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</si>
  <si>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</si>
  <si>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</si>
  <si>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</si>
  <si>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</si>
  <si>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</si>
  <si>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</si>
  <si>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</si>
  <si>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</si>
  <si>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</si>
  <si>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</si>
  <si>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</si>
  <si>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</si>
  <si>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</si>
  <si>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</si>
  <si>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</si>
  <si>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</si>
  <si>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</si>
  <si>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</si>
  <si>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</si>
  <si>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</si>
  <si>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</si>
  <si>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</si>
  <si>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</si>
  <si>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</si>
  <si>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</si>
  <si>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</si>
  <si>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</si>
  <si>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</si>
  <si>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</si>
  <si>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</si>
  <si>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</si>
  <si>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</si>
  <si>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</si>
  <si>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</si>
  <si>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</si>
  <si>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</si>
  <si>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</si>
  <si>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</si>
  <si>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</si>
  <si>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</si>
  <si>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</si>
  <si>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</si>
  <si>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</si>
  <si>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</si>
  <si>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</si>
  <si>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</si>
  <si>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</si>
  <si>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</si>
  <si>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</si>
  <si>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</si>
  <si>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</si>
  <si>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</si>
  <si>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</si>
  <si>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</si>
  <si>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</si>
  <si>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</si>
  <si>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</si>
  <si>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</si>
  <si>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</si>
  <si>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</si>
  <si>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</si>
  <si>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</si>
  <si>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</si>
  <si>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</si>
  <si>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</si>
  <si>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</si>
  <si>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</si>
  <si>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</si>
  <si>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</si>
  <si>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</si>
  <si>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</si>
  <si>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</si>
  <si>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</si>
  <si>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</si>
  <si>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</si>
  <si>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</si>
  <si>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</si>
  <si>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</si>
  <si>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</si>
  <si>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</si>
  <si>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</si>
  <si>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</si>
  <si>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</si>
  <si>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</si>
  <si>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</si>
  <si>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</si>
  <si>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</si>
  <si>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</si>
  <si>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</si>
  <si>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</si>
  <si>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</si>
  <si>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</si>
  <si>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</si>
  <si>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</si>
  <si>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</si>
  <si>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</si>
  <si>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</si>
  <si>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</si>
  <si>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</si>
  <si>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</si>
  <si>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</si>
  <si>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</si>
  <si>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</si>
  <si>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</si>
  <si>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</si>
  <si>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</si>
  <si>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</si>
  <si>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</si>
  <si>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</si>
  <si>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</si>
  <si>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</si>
  <si>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</si>
  <si>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</si>
  <si>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</si>
  <si>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</si>
  <si>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</si>
  <si>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</si>
  <si>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</si>
  <si>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</si>
  <si>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</si>
  <si>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</si>
  <si>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</si>
  <si>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</si>
  <si>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</si>
  <si>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</si>
  <si>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</si>
  <si>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</si>
  <si>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</si>
  <si>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</si>
  <si>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</si>
  <si>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</si>
  <si>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</si>
  <si>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</si>
  <si>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</si>
  <si>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</si>
  <si>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</si>
  <si>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</si>
  <si>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</si>
  <si>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</si>
  <si>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</si>
  <si>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</si>
  <si>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</si>
  <si>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</si>
  <si>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</si>
  <si>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</si>
  <si>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</si>
  <si>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</si>
  <si>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</si>
  <si>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</si>
  <si>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</si>
  <si>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</si>
  <si>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</si>
  <si>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</si>
  <si>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</si>
  <si>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</si>
  <si>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</si>
  <si>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</si>
  <si>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</si>
  <si>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</si>
  <si>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</si>
  <si>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</si>
  <si>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</si>
  <si>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</si>
  <si>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</si>
  <si>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</si>
  <si>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</si>
  <si>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</si>
  <si>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</si>
  <si>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</si>
  <si>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</si>
  <si>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</si>
  <si>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</si>
  <si>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</si>
  <si>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</si>
  <si>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</si>
  <si>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</si>
  <si>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</si>
  <si>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</si>
  <si>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</si>
  <si>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</si>
  <si>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</si>
  <si>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</si>
  <si>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</si>
  <si>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</si>
  <si>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</si>
  <si>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</si>
  <si>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</si>
  <si>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</si>
  <si>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</si>
  <si>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</si>
  <si>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</si>
  <si>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</si>
  <si>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</si>
  <si>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</si>
  <si>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</si>
  <si>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</si>
  <si>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</si>
  <si>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</si>
  <si>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</si>
  <si>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</si>
  <si>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</si>
  <si>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</si>
  <si>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</si>
  <si>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</si>
  <si>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</si>
  <si>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</si>
  <si>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</si>
  <si>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</si>
  <si>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</si>
  <si>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</si>
  <si>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</si>
  <si>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</si>
  <si>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</si>
  <si>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</si>
  <si>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</si>
  <si>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</si>
  <si>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</si>
  <si>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</si>
  <si>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</si>
  <si>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</si>
  <si>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</si>
  <si>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</si>
  <si>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</si>
  <si>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</si>
  <si>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</si>
  <si>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</si>
  <si>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</si>
  <si>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</si>
  <si>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</si>
  <si>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</si>
  <si>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</si>
  <si>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</si>
  <si>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</si>
  <si>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</si>
  <si>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</si>
  <si>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</si>
  <si>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</si>
  <si>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</si>
  <si>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</si>
  <si>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</si>
  <si>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</si>
  <si>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</si>
  <si>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</si>
  <si>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</si>
  <si>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</si>
  <si>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</si>
  <si>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</si>
  <si>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</si>
  <si>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</si>
  <si>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</si>
  <si>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</si>
  <si>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2"/>
        <charset val="136"/>
      </rPr>
      <t>草原</t>
    </r>
    <r>
      <rPr>
        <sz val="11"/>
        <rFont val="Calibri"/>
        <family val="2"/>
      </rPr>
      <t>1~20</t>
    </r>
    <r>
      <rPr>
        <sz val="11"/>
        <rFont val="細明體"/>
        <family val="2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</si>
  <si>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21~40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</si>
  <si>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41~60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</si>
  <si>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61~80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</si>
  <si>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細明體"/>
        <family val="3"/>
        <charset val="136"/>
      </rPr>
      <t>草原</t>
    </r>
    <r>
      <rPr>
        <sz val="11"/>
        <rFont val="Calibri"/>
        <family val="2"/>
      </rPr>
      <t>81~100</t>
    </r>
    <r>
      <rPr>
        <sz val="11"/>
        <rFont val="細明體"/>
        <family val="3"/>
        <charset val="136"/>
      </rPr>
      <t>關</t>
    </r>
    <r>
      <rPr>
        <sz val="11"/>
        <rFont val="Calibri"/>
        <family val="2"/>
      </rPr>
      <t>)</t>
    </r>
    <phoneticPr fontId="2" type="noConversion"/>
  </si>
  <si>
    <t>新增</t>
    <phoneticPr fontId="2" type="noConversion"/>
  </si>
  <si>
    <r>
      <rPr>
        <sz val="11"/>
        <rFont val="Calibri"/>
        <family val="2"/>
      </rPr>
      <t>a×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 xml:space="preserve"> + b^(1 + </t>
    </r>
    <r>
      <rPr>
        <sz val="11"/>
        <rFont val="微軟正黑體"/>
        <family val="2"/>
        <charset val="136"/>
      </rPr>
      <t>當前等級</t>
    </r>
    <r>
      <rPr>
        <sz val="11"/>
        <rFont val="Calibri"/>
        <family val="2"/>
      </rPr>
      <t>/c)</t>
    </r>
    <phoneticPr fontId="2" type="noConversion"/>
  </si>
  <si>
    <r>
      <rPr>
        <sz val="11"/>
        <rFont val="微軟正黑體"/>
        <family val="2"/>
        <charset val="136"/>
      </rPr>
      <t>(最大生命</t>
    </r>
    <r>
      <rPr>
        <sz val="11"/>
        <rFont val="細明體"/>
        <family val="2"/>
        <charset val="136"/>
      </rPr>
      <t>×</t>
    </r>
    <r>
      <rPr>
        <sz val="11"/>
        <rFont val="Calibri"/>
        <family val="2"/>
      </rPr>
      <t>a% + b )/</t>
    </r>
    <r>
      <rPr>
        <sz val="11"/>
        <rFont val="微軟正黑體"/>
        <family val="2"/>
        <charset val="136"/>
      </rPr>
      <t>秒</t>
    </r>
    <phoneticPr fontId="2" type="noConversion"/>
  </si>
  <si>
    <r>
      <t>a=</t>
    </r>
    <r>
      <rPr>
        <sz val="11"/>
        <rFont val="細明體"/>
        <family val="3"/>
        <charset val="136"/>
      </rPr>
      <t xml:space="preserve">生命加成比例 </t>
    </r>
    <r>
      <rPr>
        <sz val="11"/>
        <rFont val="Calibri"/>
        <family val="3"/>
      </rPr>
      <t>b=</t>
    </r>
    <r>
      <rPr>
        <sz val="11"/>
        <rFont val="細明體"/>
        <family val="3"/>
        <charset val="136"/>
      </rPr>
      <t>基礎值</t>
    </r>
    <r>
      <rPr>
        <sz val="11"/>
        <rFont val="微軟正黑體"/>
        <family val="2"/>
        <charset val="136"/>
      </rPr>
      <t>。</t>
    </r>
    <phoneticPr fontId="2" type="noConversion"/>
  </si>
  <si>
    <t>{100~149=20}</t>
    <phoneticPr fontId="2" type="noConversion"/>
  </si>
  <si>
    <t>{1~19=25}</t>
    <phoneticPr fontId="2" type="noConversion"/>
  </si>
  <si>
    <t>{20~99=35}</t>
    <phoneticPr fontId="2" type="noConversion"/>
  </si>
  <si>
    <t>{20~99=20}</t>
    <phoneticPr fontId="2" type="noConversion"/>
  </si>
  <si>
    <t>{1~19=15}</t>
    <phoneticPr fontId="2" type="noConversion"/>
  </si>
  <si>
    <t>{1~19=10}</t>
    <phoneticPr fontId="2" type="noConversion"/>
  </si>
  <si>
    <t>{20~99=15}</t>
    <phoneticPr fontId="2" type="noConversion"/>
  </si>
  <si>
    <r>
      <t>a×</t>
    </r>
    <r>
      <rPr>
        <sz val="11"/>
        <rFont val="細明體"/>
        <family val="2"/>
        <charset val="136"/>
      </rPr>
      <t>熟練度等級</t>
    </r>
    <r>
      <rPr>
        <sz val="11"/>
        <rFont val="Calibri"/>
        <family val="2"/>
      </rPr>
      <t>^b + c</t>
    </r>
    <phoneticPr fontId="2" type="noConversion"/>
  </si>
  <si>
    <t>{1~2,90}</t>
  </si>
  <si>
    <t>{1~2,88}</t>
  </si>
  <si>
    <t>{4,2}</t>
  </si>
  <si>
    <t>{1~3,85}</t>
  </si>
  <si>
    <t>{4,10}</t>
  </si>
  <si>
    <t>{5,4}</t>
  </si>
  <si>
    <t>{6,1}</t>
  </si>
  <si>
    <t>{1~3,80}</t>
  </si>
  <si>
    <t>{4,12}</t>
  </si>
  <si>
    <t>{5,6}</t>
  </si>
  <si>
    <t>{6,2}</t>
  </si>
  <si>
    <t>{1~3,64}</t>
  </si>
  <si>
    <t>{4,20}</t>
  </si>
  <si>
    <t>{6,5}</t>
  </si>
  <si>
    <t>{7~9,1}</t>
  </si>
  <si>
    <t>過關回復</t>
    <phoneticPr fontId="2" type="noConversion"/>
  </si>
  <si>
    <t>野外整波敵人清空時回復一次（吸魂被動仍為擊殺時觸發）。高塔沒有此回復。</t>
    <phoneticPr fontId="2" type="noConversion"/>
  </si>
  <si>
    <t>{20~99=10}</t>
    <phoneticPr fontId="2" type="noConversion"/>
  </si>
  <si>
    <t>{150~199=15}</t>
    <phoneticPr fontId="2" type="noConversion"/>
  </si>
  <si>
    <t>{100~149=10}</t>
    <phoneticPr fontId="2" type="noConversion"/>
  </si>
  <si>
    <t>{1~19=7}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</si>
</sst>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name val="Calibri"/>
      <family val="2"/>
    </font>
    <font>
      <sz val="9"/>
      <name val="細明體"/>
      <family val="3"/>
      <charset val="136"/>
    </font>
    <font>
      <sz val="11"/>
      <name val="微軟正黑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細明體"/>
      <family val="2"/>
      <charset val="136"/>
    </font>
    <font>
      <sz val="11"/>
      <name val="Calibr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3"/>
  <sheetViews>
    <sheetView topLeftCell="A319" workbookViewId="0">
      <selection activeCell="C347" sqref="C347"/>
    </sheetView>
  </sheetViews>
  <sheetFormatPr defaultRowHeight="15" x14ac:dyDescent="0.25"/>
  <cols>
    <col min="3" max="6" width="23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30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40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100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</v>
      </c>
      <c r="F62" t="str">
        <f>計算表!F62</f>
        <v>a=詞條上限率上限（%）。影響裝備洗煉時更高數值的出現機率。</v>
      </c>
      <c r="G62">
        <f>計算表!G62</f>
        <v>100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60</v>
      </c>
      <c r="H65">
        <f>計算表!H65</f>
        <v>8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抗性值總合/(抗性值總合+a+b×攻擊者等級)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100</v>
      </c>
      <c r="H66">
        <f>計算表!H66</f>
        <v>0.25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抗性總合^a/(抗性總合^a+b+c×敵人等級)</v>
      </c>
      <c r="F67" t="str">
        <f>計算表!F67</f>
        <v>a=抗性次方 b=分母常數 c=敵人等級係數。抗性≤0 時不減傷。</v>
      </c>
      <c r="G67">
        <f>計算表!G67</f>
        <v>1.8</v>
      </c>
      <c r="H67">
        <f>計算表!H67</f>
        <v>10</v>
      </c>
      <c r="I67">
        <f>計算表!I67</f>
        <v>0.1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抗性總合^a/(抗性總合^a+b+c×敵人等級)</v>
      </c>
      <c r="F68" t="str">
        <f>計算表!F68</f>
        <v>a=抗性次方 b=分母常數 c=敵人等級係數。抗性≤0 時不減傷。</v>
      </c>
      <c r="G68">
        <f>計算表!G68</f>
        <v>1.8</v>
      </c>
      <c r="H68">
        <f>計算表!H68</f>
        <v>10</v>
      </c>
      <c r="I68">
        <f>計算表!I68</f>
        <v>0.1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抗性總合^a/(抗性總合^a+b+c×敵人等級)</v>
      </c>
      <c r="F69" t="str">
        <f>計算表!F69</f>
        <v>a=抗性次方 b=分母常數 c=敵人等級係數。六系元素共用此曲線；抗性≤0 時不減傷。</v>
      </c>
      <c r="G69">
        <f>計算表!G69</f>
        <v>1.8</v>
      </c>
      <c r="H69">
        <f>計算表!H69</f>
        <v>10</v>
      </c>
      <c r="I69">
        <f>計算表!I69</f>
        <v>0.1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0.9</v>
      </c>
      <c r="H70">
        <f>計算表!H70</f>
        <v>1.1000000000000001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a×(總穿透加成%÷100×b)^c</v>
      </c>
      <c r="F82" t="str">
        <f>計算表!F82</f>
        <v>物理穿透與魔法穿透各自換算（不設上限）。a=係數 b=百分點換算 c=次方。曲線：穿透100%→22.9%、250%→42.7%、500%→68.4%、873%→100%、1000%→109.7%；超過100%的部分轉為增傷（150%＝完全忽略防禦後再×1.5）。</v>
      </c>
      <c r="G82">
        <f>計算表!G82</f>
        <v>0.01</v>
      </c>
      <c r="H82">
        <f>計算表!H82</f>
        <v>100</v>
      </c>
      <c r="I82">
        <f>計算表!I82</f>
        <v>0.68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18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3</v>
      </c>
      <c r="H89">
        <f>計算表!H89</f>
        <v>4</v>
      </c>
      <c r="I89">
        <f>計算表!I89</f>
        <v>1.0549999999999999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1.06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60</v>
      </c>
      <c r="H92">
        <f>計算表!H92</f>
        <v>1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菁英敵人裝備/材料/寶石/零件掉落率統一乘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1</v>
      </c>
      <c r="H98">
        <f>計算表!H98</f>
        <v>1</v>
      </c>
      <c r="I98">
        <f>計算表!I98</f>
        <v>1</v>
      </c>
      <c r="J98">
        <f>計算表!J98</f>
        <v>1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2.2000000000000002</v>
      </c>
      <c r="H99">
        <f>計算表!H99</f>
        <v>1.8</v>
      </c>
      <c r="I99">
        <f>計算表!I99</f>
        <v>1.5</v>
      </c>
      <c r="J99">
        <f>計算表!J99</f>
        <v>1.25</v>
      </c>
      <c r="K99">
        <f>計算表!K99</f>
        <v>1.2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2.2000000000000002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5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12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25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t="str">
        <f>計算表!B104</f>
        <v>新增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{1~2,90}</v>
      </c>
      <c r="H104" t="str">
        <f>計算表!H104</f>
        <v>{3,10}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t="str">
        <f>計算表!B105</f>
        <v>新增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{1~2,88}</v>
      </c>
      <c r="H105" t="str">
        <f>計算表!H105</f>
        <v>{3,10}</v>
      </c>
      <c r="I105" t="str">
        <f>計算表!I105</f>
        <v>{4,2}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t="str">
        <f>計算表!B106</f>
        <v>新增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{1~3,85}</v>
      </c>
      <c r="H106" t="str">
        <f>計算表!H106</f>
        <v>{4,10}</v>
      </c>
      <c r="I106" t="str">
        <f>計算表!I106</f>
        <v>{5,4}</v>
      </c>
      <c r="J106" t="str">
        <f>計算表!J106</f>
        <v>{6,1}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t="str">
        <f>計算表!B107</f>
        <v>新增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t="str">
        <f>計算表!B108</f>
        <v>新增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{7~9,1}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{5,10}</v>
      </c>
      <c r="J109" t="str">
        <f>計算表!J109</f>
        <v>{6,20}</v>
      </c>
      <c r="K109" t="str">
        <f>計算表!K109</f>
        <v>{7~9,10}</v>
      </c>
      <c r="L109" t="str">
        <f>計算表!L109</f>
        <v>{10~11,5}</v>
      </c>
      <c r="M109" t="str">
        <f>計算表!M109</f>
        <v>{12,4}</v>
      </c>
      <c r="N109" t="str">
        <f>計算表!N109</f>
        <v>{13,3}</v>
      </c>
      <c r="O109" t="str">
        <f>計算表!O109</f>
        <v>{14,2}</v>
      </c>
      <c r="P109" t="str">
        <f>計算表!P109</f>
        <v>{15,1}</v>
      </c>
      <c r="Q109" t="str">
        <f>計算表!Q109</f>
        <v>{16,0.5}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20</v>
      </c>
      <c r="H116">
        <f>計算表!H116</f>
        <v>6</v>
      </c>
      <c r="I116">
        <f>計算表!I116</f>
        <v>4</v>
      </c>
      <c r="J116">
        <f>計算表!J116</f>
        <v>12</v>
      </c>
      <c r="K116">
        <f>計算表!K116</f>
        <v>5</v>
      </c>
      <c r="L116">
        <f>計算表!L116</f>
        <v>1.2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的裝備/材料/寶石/零件掉落率統一乘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20</v>
      </c>
      <c r="H129">
        <f>計算表!H129</f>
        <v>10000000</v>
      </c>
      <c r="I129">
        <f>計算表!I129</f>
        <v>40</v>
      </c>
      <c r="J129">
        <f>計算表!J129</f>
        <v>20</v>
      </c>
      <c r="K129">
        <f>計算表!K129</f>
        <v>10000000</v>
      </c>
      <c r="L129">
        <f>計算表!L129</f>
        <v>40</v>
      </c>
      <c r="M129">
        <f>計算表!M129</f>
        <v>20</v>
      </c>
      <c r="N129">
        <f>計算表!N129</f>
        <v>10000000</v>
      </c>
      <c r="O129">
        <f>計算表!O129</f>
        <v>40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5-野外裝備掉落</v>
      </c>
      <c r="D151" t="str">
        <f>計算表!D151</f>
        <v>普通裝備</v>
      </c>
      <c r="E151" t="str">
        <f>計算表!E151</f>
        <v>各怪物等級區間掉落率%（{等級下限~上限=機率}）</v>
      </c>
      <c r="F151" t="str">
        <f>計算表!F151</f>
        <v>每品質獨立擲骰。實際機率 = 表值×(1+有效掉寶率%)，菁英再×1.5；場景倍率不作用於裝備。</v>
      </c>
      <c r="G151" t="str">
        <f>計算表!G151</f>
        <v>{1~19=25}</v>
      </c>
      <c r="H151" t="str">
        <f>計算表!H151</f>
        <v>{20~99=35}</v>
      </c>
      <c r="I151" t="str">
        <f>計算表!I151</f>
        <v>{100~149=40}</v>
      </c>
      <c r="J151" t="str">
        <f>計算表!J151</f>
        <v>{150~199=50}</v>
      </c>
      <c r="K151" t="str">
        <f>計算表!K151</f>
        <v>{200~249=50}</v>
      </c>
      <c r="L151" t="str">
        <f>計算表!L151</f>
        <v>{250~299=50}</v>
      </c>
      <c r="M151" t="str">
        <f>計算表!M151</f>
        <v>{300+=50}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5-野外裝備掉落</v>
      </c>
      <c r="D152" t="str">
        <f>計算表!D152</f>
        <v>精良裝備</v>
      </c>
      <c r="E152" t="str">
        <f>計算表!E152</f>
        <v>各怪物等級區間掉落率%（{等級下限~上限=機率}）</v>
      </c>
      <c r="F152" t="str">
        <f>計算表!F152</f>
        <v>每品質獨立擲骰。實際機率 = 表值×(1+有效掉寶率%)，菁英再×1.5；場景倍率不作用於裝備。</v>
      </c>
      <c r="G152" t="str">
        <f>計算表!G152</f>
        <v>{1~19=15}</v>
      </c>
      <c r="H152" t="str">
        <f>計算表!H152</f>
        <v>{20~99=20}</v>
      </c>
      <c r="I152" t="str">
        <f>計算表!I152</f>
        <v>{100~149=30}</v>
      </c>
      <c r="J152" t="str">
        <f>計算表!J152</f>
        <v>{150~199=40}</v>
      </c>
      <c r="K152" t="str">
        <f>計算表!K152</f>
        <v>{200~249=40}</v>
      </c>
      <c r="L152" t="str">
        <f>計算表!L152</f>
        <v>{250~299=40}</v>
      </c>
      <c r="M152" t="str">
        <f>計算表!M152</f>
        <v>{300+=40}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5-野外裝備掉落</v>
      </c>
      <c r="D153" t="str">
        <f>計算表!D153</f>
        <v>稀有裝備</v>
      </c>
      <c r="E153" t="str">
        <f>計算表!E153</f>
        <v>各怪物等級區間掉落率%（{等級下限~上限=機率}）</v>
      </c>
      <c r="F153" t="str">
        <f>計算表!F153</f>
        <v>每品質獨立擲骰。實際機率 = 表值×(1+有效掉寶率%)，菁英再×1.5；場景倍率不作用於裝備。</v>
      </c>
      <c r="G153" t="str">
        <f>計算表!G153</f>
        <v>{1~19=10}</v>
      </c>
      <c r="H153" t="str">
        <f>計算表!H153</f>
        <v>{20~99=15}</v>
      </c>
      <c r="I153" t="str">
        <f>計算表!I153</f>
        <v>{100~149=20}</v>
      </c>
      <c r="J153" t="str">
        <f>計算表!J153</f>
        <v>{150~199=30}</v>
      </c>
      <c r="K153" t="str">
        <f>計算表!K153</f>
        <v>{200~249=30}</v>
      </c>
      <c r="L153" t="str">
        <f>計算表!L153</f>
        <v>{250~299=30}</v>
      </c>
      <c r="M153" t="str">
        <f>計算表!M153</f>
        <v>{300+=30}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5-野外裝備掉落</v>
      </c>
      <c r="D154" t="str">
        <f>計算表!D154</f>
        <v>獨特裝備</v>
      </c>
      <c r="E154" t="str">
        <f>計算表!E154</f>
        <v>各怪物等級區間掉落率%（{等級下限~上限=機率}）</v>
      </c>
      <c r="F154" t="str">
        <f>計算表!F154</f>
        <v>每品質獨立擲骰。實際機率 = 表值×(1+有效掉寶率%)，菁英再×1.5；場景倍率不作用於裝備。</v>
      </c>
      <c r="G154" t="str">
        <f>計算表!G154</f>
        <v>{1~19=7}</v>
      </c>
      <c r="H154" t="str">
        <f>計算表!H154</f>
        <v>{20~99=10}</v>
      </c>
      <c r="I154" t="str">
        <f>計算表!I154</f>
        <v>{100~149=10}</v>
      </c>
      <c r="J154" t="str">
        <f>計算表!J154</f>
        <v>{150~199=15}</v>
      </c>
      <c r="K154" t="str">
        <f>計算表!K154</f>
        <v>{200~249=15}</v>
      </c>
      <c r="L154" t="str">
        <f>計算表!L154</f>
        <v>{250~299=15}</v>
      </c>
      <c r="M154" t="str">
        <f>計算表!M154</f>
        <v>{300+=20}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5-野外裝備掉落</v>
      </c>
      <c r="D155" t="str">
        <f>計算表!D155</f>
        <v>史詩裝備</v>
      </c>
      <c r="E155" t="str">
        <f>計算表!E155</f>
        <v>各怪物等級區間掉落率%（{等級下限~上限=機率}）</v>
      </c>
      <c r="F155" t="str">
        <f>計算表!F155</f>
        <v>每品質獨立擲骰。實際機率 = 表值×(1+有效掉寶率%)，菁英再×1.5；場景倍率不作用於裝備。</v>
      </c>
      <c r="G155" t="str">
        <f>計算表!G155</f>
        <v>{1~49=0}</v>
      </c>
      <c r="H155" t="str">
        <f>計算表!H155</f>
        <v>{50~99=0.5}</v>
      </c>
      <c r="I155" t="str">
        <f>計算表!I155</f>
        <v>{100~149=2.5}</v>
      </c>
      <c r="J155" t="str">
        <f>計算表!J155</f>
        <v>{150~199=5}</v>
      </c>
      <c r="K155" t="str">
        <f>計算表!K155</f>
        <v>{200~249=6}</v>
      </c>
      <c r="L155" t="str">
        <f>計算表!L155</f>
        <v>{250~299=7}</v>
      </c>
      <c r="M155" t="str">
        <f>計算表!M155</f>
        <v>{300+=8}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5-野外裝備掉落</v>
      </c>
      <c r="D156" t="str">
        <f>計算表!D156</f>
        <v>傳說裝備</v>
      </c>
      <c r="E156" t="str">
        <f>計算表!E156</f>
        <v>各怪物等級區間掉落率%（{等級下限~上限=機率}）</v>
      </c>
      <c r="F156" t="str">
        <f>計算表!F156</f>
        <v>每品質獨立擲骰。實際機率 = 表值×(1+有效掉寶率%)，菁英再×1.5；場景倍率不作用於裝備。</v>
      </c>
      <c r="G156" t="str">
        <f>計算表!G156</f>
        <v>{1~49=0}</v>
      </c>
      <c r="H156" t="str">
        <f>計算表!H156</f>
        <v>{50~99=0}</v>
      </c>
      <c r="I156" t="str">
        <f>計算表!I156</f>
        <v>{100~149=1}</v>
      </c>
      <c r="J156" t="str">
        <f>計算表!J156</f>
        <v>{150~199=2}</v>
      </c>
      <c r="K156" t="str">
        <f>計算表!K156</f>
        <v>{200~249=3}</v>
      </c>
      <c r="L156" t="str">
        <f>計算表!L156</f>
        <v>{250~299=3.5}</v>
      </c>
      <c r="M156" t="str">
        <f>計算表!M156</f>
        <v>{300+=4}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5-野外裝備掉落</v>
      </c>
      <c r="D157" t="str">
        <f>計算表!D157</f>
        <v>神話裝備</v>
      </c>
      <c r="E157" t="str">
        <f>計算表!E157</f>
        <v>各怪物等級區間掉落率%（{等級下限~上限=機率}）</v>
      </c>
      <c r="F157" t="str">
        <f>計算表!F157</f>
        <v>每品質獨立擲骰。實際機率 = 表值×(1+有效掉寶率%)，菁英再×1.5；場景倍率不作用於裝備。</v>
      </c>
      <c r="G157" t="str">
        <f>計算表!G157</f>
        <v>{1~49=0}</v>
      </c>
      <c r="H157" t="str">
        <f>計算表!H157</f>
        <v>{50~99=0}</v>
      </c>
      <c r="I157" t="str">
        <f>計算表!I157</f>
        <v>{100~149=0}</v>
      </c>
      <c r="J157" t="str">
        <f>計算表!J157</f>
        <v>{150~199=0.05}</v>
      </c>
      <c r="K157" t="str">
        <f>計算表!K157</f>
        <v>{200~249=0.1}</v>
      </c>
      <c r="L157" t="str">
        <f>計算表!L157</f>
        <v>{250~299=0.15}</v>
      </c>
      <c r="M157" t="str">
        <f>計算表!M157</f>
        <v>{300+=0.2}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5-野外裝備掉落</v>
      </c>
      <c r="D158" t="str">
        <f>計算表!D158</f>
        <v>創世裝備</v>
      </c>
      <c r="E158" t="str">
        <f>計算表!E158</f>
        <v>各怪物等級區間掉落率%（{等級下限~上限=機率}）</v>
      </c>
      <c r="F158" t="str">
        <f>計算表!F158</f>
        <v>每品質獨立擲骰。實際機率 = 表值×(1+有效掉寶率%)，菁英再×1.5；場景倍率不作用於裝備。</v>
      </c>
      <c r="G158" t="str">
        <f>計算表!G158</f>
        <v>{1~49=0}</v>
      </c>
      <c r="H158" t="str">
        <f>計算表!H158</f>
        <v>{50~99=0}</v>
      </c>
      <c r="I158" t="str">
        <f>計算表!I158</f>
        <v>{100~149=0}</v>
      </c>
      <c r="J158" t="str">
        <f>計算表!J158</f>
        <v>{150~199=0}</v>
      </c>
      <c r="K158" t="str">
        <f>計算表!K158</f>
        <v>{200~249=0}</v>
      </c>
      <c r="L158" t="str">
        <f>計算表!L158</f>
        <v>{250~299=0}</v>
      </c>
      <c r="M158" t="str">
        <f>計算表!M158</f>
        <v>{300+=0}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5-野外裝備掉落</v>
      </c>
      <c r="D159" t="str">
        <f>計算表!D159</f>
        <v>混沌裝備</v>
      </c>
      <c r="E159" t="str">
        <f>計算表!E159</f>
        <v>掉落門檻／機率／場景開關</v>
      </c>
      <c r="F159" t="str">
        <f>計算表!F159</f>
        <v>551 級起於太古戰場／混沌界／永恒神域掉落，機率 a%，場景開關 b/c/d。a=1、b/c/d=1 表示三場景皆開啟。</v>
      </c>
      <c r="G159">
        <f>計算表!G159</f>
        <v>551</v>
      </c>
      <c r="H159">
        <f>計算表!H159</f>
        <v>1</v>
      </c>
      <c r="I159">
        <f>計算表!I159</f>
        <v>1</v>
      </c>
      <c r="J159">
        <f>計算表!J159</f>
        <v>1</v>
      </c>
      <c r="K159">
        <f>計算表!K159</f>
        <v>1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5-野外寶石掉落</v>
      </c>
      <c r="D160" t="str">
        <f>計算表!D160</f>
        <v>怪物等級 1~50</v>
      </c>
      <c r="E160" t="str">
        <f>計算表!E160</f>
        <v>各階級獨立判定機率%</v>
      </c>
      <c r="F160" t="str">
        <f>計算表!F160</f>
        <v>a=1級 b=2級 c=3級 d=4級 e=5級。實際機率 ×(1+掉寶率%)×場景倍率。</v>
      </c>
      <c r="G160">
        <f>計算表!G160</f>
        <v>2</v>
      </c>
      <c r="H160">
        <f>計算表!H160</f>
        <v>0.5</v>
      </c>
      <c r="I160">
        <f>計算表!I160</f>
        <v>0.2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5-野外寶石掉落</v>
      </c>
      <c r="D161" t="str">
        <f>計算表!D161</f>
        <v>怪物等級 51~100</v>
      </c>
      <c r="E161" t="str">
        <f>計算表!E161</f>
        <v>各階級獨立判定機率%</v>
      </c>
      <c r="F161" t="str">
        <f>計算表!F161</f>
        <v>a=1級 b=2級 c=3級 d=4級 e=5級。實際機率 ×(1+掉寶率%)×場景倍率。</v>
      </c>
      <c r="G161">
        <f>計算表!G161</f>
        <v>4</v>
      </c>
      <c r="H161">
        <f>計算表!H161</f>
        <v>0.8</v>
      </c>
      <c r="I161">
        <f>計算表!I161</f>
        <v>0.3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5-野外寶石掉落</v>
      </c>
      <c r="D162" t="str">
        <f>計算表!D162</f>
        <v>怪物等級 101~150</v>
      </c>
      <c r="E162" t="str">
        <f>計算表!E162</f>
        <v>各階級獨立判定機率%</v>
      </c>
      <c r="F162" t="str">
        <f>計算表!F162</f>
        <v>a=1級 b=2級 c=3級 d=4級 e=5級。實際機率 ×(1+掉寶率%)×場景倍率。</v>
      </c>
      <c r="G162">
        <f>計算表!G162</f>
        <v>6</v>
      </c>
      <c r="H162">
        <f>計算表!H162</f>
        <v>1.1000000000000001</v>
      </c>
      <c r="I162">
        <f>計算表!I162</f>
        <v>0.4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5-野外寶石掉落</v>
      </c>
      <c r="D163" t="str">
        <f>計算表!D163</f>
        <v>怪物等級 151~200</v>
      </c>
      <c r="E163" t="str">
        <f>計算表!E163</f>
        <v>各階級獨立判定機率%</v>
      </c>
      <c r="F163" t="str">
        <f>計算表!F163</f>
        <v>a=1級 b=2級 c=3級 d=4級 e=5級。實際機率 ×(1+掉寶率%)×場景倍率。</v>
      </c>
      <c r="G163">
        <f>計算表!G163</f>
        <v>8</v>
      </c>
      <c r="H163">
        <f>計算表!H163</f>
        <v>1.4</v>
      </c>
      <c r="I163">
        <f>計算表!I163</f>
        <v>0.5</v>
      </c>
      <c r="J163">
        <f>計算表!J163</f>
        <v>0.1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5-野外寶石掉落</v>
      </c>
      <c r="D164" t="str">
        <f>計算表!D164</f>
        <v>怪物等級 201~250</v>
      </c>
      <c r="E164" t="str">
        <f>計算表!E164</f>
        <v>各階級獨立判定機率%</v>
      </c>
      <c r="F164" t="str">
        <f>計算表!F164</f>
        <v>a=1級 b=2級 c=3級 d=4級 e=5級。實際機率 ×(1+掉寶率%)×場景倍率。</v>
      </c>
      <c r="G164">
        <f>計算表!G164</f>
        <v>10</v>
      </c>
      <c r="H164">
        <f>計算表!H164</f>
        <v>1.7</v>
      </c>
      <c r="I164">
        <f>計算表!I164</f>
        <v>0.6</v>
      </c>
      <c r="J164">
        <f>計算表!J164</f>
        <v>0.2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5-野外寶石掉落</v>
      </c>
      <c r="D165" t="str">
        <f>計算表!D165</f>
        <v>怪物等級 251~300</v>
      </c>
      <c r="E165" t="str">
        <f>計算表!E165</f>
        <v>各階級獨立判定機率%</v>
      </c>
      <c r="F165" t="str">
        <f>計算表!F165</f>
        <v>a=1級 b=2級 c=3級 d=4級 e=5級。實際機率 ×(1+掉寶率%)×場景倍率。</v>
      </c>
      <c r="G165">
        <f>計算表!G165</f>
        <v>12</v>
      </c>
      <c r="H165">
        <f>計算表!H165</f>
        <v>2</v>
      </c>
      <c r="I165">
        <f>計算表!I165</f>
        <v>0.7</v>
      </c>
      <c r="J165">
        <f>計算表!J165</f>
        <v>0.3</v>
      </c>
      <c r="K165">
        <f>計算表!K165</f>
        <v>0.2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5-野外寶石掉落</v>
      </c>
      <c r="D166" t="str">
        <f>計算表!D166</f>
        <v>怪物等級 301+</v>
      </c>
      <c r="E166" t="str">
        <f>計算表!E166</f>
        <v>各階級獨立判定機率%</v>
      </c>
      <c r="F166" t="str">
        <f>計算表!F166</f>
        <v>a=1級 b=2級 c=3級 d=4級 e=5級。實際機率 ×(1+掉寶率%)×場景倍率。</v>
      </c>
      <c r="G166">
        <f>計算表!G166</f>
        <v>14</v>
      </c>
      <c r="H166">
        <f>計算表!H166</f>
        <v>2.2999999999999998</v>
      </c>
      <c r="I166">
        <f>計算表!I166</f>
        <v>0.8</v>
      </c>
      <c r="J166">
        <f>計算表!J166</f>
        <v>0.4</v>
      </c>
      <c r="K166">
        <f>計算表!K166</f>
        <v>0.3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5-野外材料</v>
      </c>
      <c r="D167" t="str">
        <f>計算表!D167</f>
        <v>附魔書</v>
      </c>
      <c r="E167" t="str">
        <f>計算表!E167</f>
        <v>a% × (1+掉寶率%) × 場景倍率</v>
      </c>
      <c r="F167" t="str">
        <f>計算表!F167</f>
        <v>階段 8+，隨機一種。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5-野外材料</v>
      </c>
      <c r="D168" t="str">
        <f>計算表!D168</f>
        <v>魔塵</v>
      </c>
      <c r="E168" t="str">
        <f>計算表!E168</f>
        <v>min(a%, b% + (敵人等級-c)×d%)</v>
      </c>
      <c r="F168" t="str">
        <f>計算表!F168</f>
        <v>敵人等級 150+，每次成功固定 1 顆；不受掉寶率與場景倍率影響。</v>
      </c>
      <c r="G168">
        <f>計算表!G168</f>
        <v>5</v>
      </c>
      <c r="H168">
        <f>計算表!H168</f>
        <v>1</v>
      </c>
      <c r="I168">
        <f>計算表!I168</f>
        <v>49</v>
      </c>
      <c r="J168">
        <f>計算表!J168</f>
        <v>0.1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5-野外材料</v>
      </c>
      <c r="D169" t="str">
        <f>計算表!D169</f>
        <v>太古精華</v>
      </c>
      <c r="E169" t="str">
        <f>計算表!E169</f>
        <v>min(a%, b% + (敵人等級-c)×d%)</v>
      </c>
      <c r="F169" t="str">
        <f>計算表!F169</f>
        <v>敵人等級達 c 級以上才會掉落，每隻獨立判定 1 顆；不受掉寶率與場景倍率影響。</v>
      </c>
      <c r="G169">
        <f>計算表!G169</f>
        <v>10</v>
      </c>
      <c r="H169">
        <f>計算表!H169</f>
        <v>1</v>
      </c>
      <c r="I169">
        <f>計算表!I169</f>
        <v>49</v>
      </c>
      <c r="J169">
        <f>計算表!J169</f>
        <v>0.1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5-野外材料</v>
      </c>
      <c r="D170" t="str">
        <f>計算表!D170</f>
        <v>自動機組零件</v>
      </c>
      <c r="E170" t="str">
        <f>計算表!E170</f>
        <v>機率a%（菁英×1.5）</v>
      </c>
      <c r="F170" t="str">
        <f>計算表!F170</f>
        <v>階段 5+。階級 = clamp(1+⌊階段/12⌋+(菁英?1:0), 1, 7)。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5-太古詞條</v>
      </c>
      <c r="D171" t="str">
        <f>計算表!D171</f>
        <v>高塔太古精華機率</v>
      </c>
      <c r="E171" t="str">
        <f>計算表!E171</f>
        <v>min(a%, b% + (樓層-c)×d%)</v>
      </c>
      <c r="F171" t="str">
        <f>計算表!F171</f>
        <v>以樓層計算；每場獨立判定 1 顆。</v>
      </c>
      <c r="G171">
        <f>計算表!G171</f>
        <v>100</v>
      </c>
      <c r="H171">
        <f>計算表!H171</f>
        <v>10</v>
      </c>
      <c r="I171">
        <f>計算表!I171</f>
        <v>40</v>
      </c>
      <c r="J171">
        <f>計算表!J171</f>
        <v>2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5-太古詞條</v>
      </c>
      <c r="D172" t="str">
        <f>計算表!D172</f>
        <v>太古詞條產生率(2詞條)</v>
      </c>
      <c r="E172" t="str">
        <f>計算表!E172</f>
        <v>權重擲骰：a~c = 0~2條太古的權重%</v>
      </c>
      <c r="F172" t="str">
        <f>計算表!F172</f>
        <v>裝備產出時依詞條數量決定太古條數與隨機位置（位置永久固定，洗煉不變）。a=0條 b=1條 c=2條。</v>
      </c>
      <c r="G172">
        <f>計算表!G172</f>
        <v>92</v>
      </c>
      <c r="H172">
        <f>計算表!H172</f>
        <v>7.5</v>
      </c>
      <c r="I172">
        <f>計算表!I172</f>
        <v>0.5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5-太古詞條</v>
      </c>
      <c r="D173" t="str">
        <f>計算表!D173</f>
        <v>太古詞條產生率(3詞條)</v>
      </c>
      <c r="E173" t="str">
        <f>計算表!E173</f>
        <v>權重擲骰：a~d = 0~3條太古的權重%</v>
      </c>
      <c r="F173" t="str">
        <f>計算表!F173</f>
        <v>裝備產出時依詞條數量決定太古條數與隨機位置（位置永久固定，洗煉不變）。a=0條 b=1條 c=2條 d=3條。</v>
      </c>
      <c r="G173">
        <f>計算表!G173</f>
        <v>78.099999999999994</v>
      </c>
      <c r="H173">
        <f>計算表!H173</f>
        <v>19.2</v>
      </c>
      <c r="I173">
        <f>計算表!I173</f>
        <v>2.4</v>
      </c>
      <c r="J173">
        <f>計算表!J173</f>
        <v>0.3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5-太古詞條</v>
      </c>
      <c r="D174" t="str">
        <f>計算表!D174</f>
        <v>太古詞條產生率(4詞條)</v>
      </c>
      <c r="E174" t="str">
        <f>計算表!E174</f>
        <v>權重擲骰：a~e = 0~4條太古的權重%</v>
      </c>
      <c r="F174" t="str">
        <f>計算表!F174</f>
        <v>裝備產出時依詞條數量決定太古條數與隨機位置（位置永久固定，洗煉不變）。a=0條 b=1條 c=2條 d=3條 e=4條。</v>
      </c>
      <c r="G174">
        <f>計算表!G174</f>
        <v>72.11</v>
      </c>
      <c r="H174">
        <f>計算表!H174</f>
        <v>22.12</v>
      </c>
      <c r="I174">
        <f>計算表!I174</f>
        <v>4.6100000000000003</v>
      </c>
      <c r="J174">
        <f>計算表!J174</f>
        <v>0.96</v>
      </c>
      <c r="K174">
        <f>計算表!K174</f>
        <v>0.2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5-太古詞條</v>
      </c>
      <c r="D175" t="str">
        <f>計算表!D175</f>
        <v>太古詞條產生率(5詞條)</v>
      </c>
      <c r="E175" t="str">
        <f>計算表!E175</f>
        <v>權重擲骰：a~f = 0~5條太古的權重%</v>
      </c>
      <c r="F175" t="str">
        <f>計算表!F175</f>
        <v>裝備產出時依詞條數量決定太古條數與隨機位置（位置永久固定，洗煉不變）。a=0條 b=1條 c=2條 d=3條 e=4條 f=5條。</v>
      </c>
      <c r="G175">
        <f>計算表!G175</f>
        <v>74.349999999999994</v>
      </c>
      <c r="H175">
        <f>計算表!H175</f>
        <v>18.739999999999998</v>
      </c>
      <c r="I175">
        <f>計算表!I175</f>
        <v>5.07</v>
      </c>
      <c r="J175">
        <f>計算表!J175</f>
        <v>1.37</v>
      </c>
      <c r="K175">
        <f>計算表!K175</f>
        <v>0.37</v>
      </c>
      <c r="L175">
        <f>計算表!L175</f>
        <v>0.1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5-太古詞條</v>
      </c>
      <c r="D176" t="str">
        <f>計算表!D176</f>
        <v>太古詞條產生率(6詞條)</v>
      </c>
      <c r="E176" t="str">
        <f>計算表!E176</f>
        <v>權重擲骰：a~g = 0~6條太古的權重%</v>
      </c>
      <c r="F176" t="str">
        <f>計算表!F176</f>
        <v>裝備產出時依詞條數量決定太古條數與隨機位置（位置永久固定，洗煉不變）。a=0條 b=1條 c=2條 d=3條 e=4條 f=5條 g=6條。</v>
      </c>
      <c r="G176">
        <f>計算表!G176</f>
        <v>76.87</v>
      </c>
      <c r="H176">
        <f>計算表!H176</f>
        <v>15.04</v>
      </c>
      <c r="I176">
        <f>計算表!I176</f>
        <v>5.28</v>
      </c>
      <c r="J176">
        <f>計算表!J176</f>
        <v>1.85</v>
      </c>
      <c r="K176">
        <f>計算表!K176</f>
        <v>0.65</v>
      </c>
      <c r="L176">
        <f>計算表!L176</f>
        <v>0.23</v>
      </c>
      <c r="M176">
        <f>計算表!M176</f>
        <v>0.08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5-太古詞條</v>
      </c>
      <c r="D177" t="str">
        <f>計算表!D177</f>
        <v>太古詞條產生率(7詞條)</v>
      </c>
      <c r="E177" t="str">
        <f>計算表!E177</f>
        <v>權重擲骰：a~h = 0~7條太古的權重%</v>
      </c>
      <c r="F177" t="str">
        <f>計算表!F177</f>
        <v>裝備產出時依詞條數量決定太古條數與隨機位置（位置永久固定，洗煉不變）。a=0條 b=1條 c=2條 d=3條 e=4條 f=5條 g=6條 h=7條。</v>
      </c>
      <c r="G177">
        <f>計算表!G177</f>
        <v>69.92</v>
      </c>
      <c r="H177">
        <f>計算表!H177</f>
        <v>18.53</v>
      </c>
      <c r="I177">
        <f>計算表!I177</f>
        <v>7.13</v>
      </c>
      <c r="J177">
        <f>計算表!J177</f>
        <v>2.74</v>
      </c>
      <c r="K177">
        <f>計算表!K177</f>
        <v>1.05</v>
      </c>
      <c r="L177">
        <f>計算表!L177</f>
        <v>0.41</v>
      </c>
      <c r="M177">
        <f>計算表!M177</f>
        <v>0.16</v>
      </c>
      <c r="N177">
        <f>計算表!N177</f>
        <v>0.06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5-太古詞條</v>
      </c>
      <c r="D178" t="str">
        <f>計算表!D178</f>
        <v>太古詞條產生率(8詞條)</v>
      </c>
      <c r="E178" t="str">
        <f>計算表!E178</f>
        <v>權重擲骰：a~i = 0~8條太古的權重%</v>
      </c>
      <c r="F178" t="str">
        <f>計算表!F178</f>
        <v>裝備產出時依詞條數量決定太古條數與隨機位置（位置永久固定，洗煉不變）。a=0條 b=1條 c=2條 d=3條 e=4條 f=5條 g=6條 h=7條 i=8條。</v>
      </c>
      <c r="G178">
        <f>計算表!G178</f>
        <v>64.22</v>
      </c>
      <c r="H178">
        <f>計算表!H178</f>
        <v>21.19</v>
      </c>
      <c r="I178">
        <f>計算表!I178</f>
        <v>8.65</v>
      </c>
      <c r="J178">
        <f>計算表!J178</f>
        <v>3.53</v>
      </c>
      <c r="K178">
        <f>計算表!K178</f>
        <v>1.44</v>
      </c>
      <c r="L178">
        <f>計算表!L178</f>
        <v>0.59</v>
      </c>
      <c r="M178">
        <f>計算表!M178</f>
        <v>0.24</v>
      </c>
      <c r="N178">
        <f>計算表!N178</f>
        <v>0.1</v>
      </c>
      <c r="O178">
        <f>計算表!O178</f>
        <v>0.04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5-太古詞條</v>
      </c>
      <c r="D179" t="str">
        <f>計算表!D179</f>
        <v>太古詞條產生率(9詞條)</v>
      </c>
      <c r="E179" t="str">
        <f>計算表!E179</f>
        <v>權重擲骰：a~j = 0~9條太古的權重%</v>
      </c>
      <c r="F179" t="str">
        <f>計算表!F179</f>
        <v>裝備產出時依詞條數量決定太古條數與隨機位置（位置永久固定，洗煉不變）。a=0條 b=1條 c=2條 d=3條 e=4條 f=5條 g=6條 h=7條 i=8條 j=9條。</v>
      </c>
      <c r="G179">
        <f>計算表!G179</f>
        <v>59.92</v>
      </c>
      <c r="H179">
        <f>計算表!H179</f>
        <v>23.53</v>
      </c>
      <c r="I179">
        <f>計算表!I179</f>
        <v>9.7200000000000006</v>
      </c>
      <c r="J179">
        <f>計算表!J179</f>
        <v>4.0199999999999996</v>
      </c>
      <c r="K179">
        <f>計算表!K179</f>
        <v>1.66</v>
      </c>
      <c r="L179">
        <f>計算表!L179</f>
        <v>0.69</v>
      </c>
      <c r="M179">
        <f>計算表!M179</f>
        <v>0.28000000000000003</v>
      </c>
      <c r="N179">
        <f>計算表!N179</f>
        <v>0.12</v>
      </c>
      <c r="O179">
        <f>計算表!O179</f>
        <v>0.05</v>
      </c>
      <c r="P179">
        <f>計算表!P179</f>
        <v>0.02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5-太古詞條</v>
      </c>
      <c r="D180" t="str">
        <f>計算表!D180</f>
        <v>太古詞條產生率(10詞條)</v>
      </c>
      <c r="E180" t="str">
        <f>計算表!E180</f>
        <v>權重擲骰：a~k = 0~10條太古的權重%</v>
      </c>
      <c r="F180" t="str">
        <f>計算表!F180</f>
        <v>裝備產出時依詞條數量決定太古條數與隨機位置（位置永久固定，洗煉不變）。a=0條 b=1條 c=2條 d=3條 e=4條 f=5條 g=6條 h=7條 i=8條 j=9條 k=10條。</v>
      </c>
      <c r="G180">
        <f>計算表!G180</f>
        <v>54.72</v>
      </c>
      <c r="H180">
        <f>計算表!H180</f>
        <v>26.42</v>
      </c>
      <c r="I180">
        <f>計算表!I180</f>
        <v>11.01</v>
      </c>
      <c r="J180">
        <f>計算表!J180</f>
        <v>4.59</v>
      </c>
      <c r="K180">
        <f>計算表!K180</f>
        <v>1.91</v>
      </c>
      <c r="L180">
        <f>計算表!L180</f>
        <v>0.8</v>
      </c>
      <c r="M180">
        <f>計算表!M180</f>
        <v>0.33</v>
      </c>
      <c r="N180">
        <f>計算表!N180</f>
        <v>0.14000000000000001</v>
      </c>
      <c r="O180">
        <f>計算表!O180</f>
        <v>0.06</v>
      </c>
      <c r="P180">
        <f>計算表!P180</f>
        <v>0.02</v>
      </c>
      <c r="Q180">
        <f>計算表!Q180</f>
        <v>0.01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5-太古詞條</v>
      </c>
      <c r="D181" t="str">
        <f>計算表!D181</f>
        <v>太古詞條數值倍率</v>
      </c>
      <c r="E181" t="str">
        <f>計算表!E181</f>
        <v>原詞條上限 × a</v>
      </c>
      <c r="F181" t="str">
        <f>計算表!F181</f>
        <v>a=太古詞條強度倍率（上限已含×1.2，再×a）。</v>
      </c>
      <c r="G181">
        <f>計算表!G181</f>
        <v>1.35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5-太古詞條</v>
      </c>
      <c r="D182" t="str">
        <f>計算表!D182</f>
        <v>太古幸運權重倍率</v>
      </c>
      <c r="E182" t="str">
        <f>計算表!E182</f>
        <v>m = a × 幸運值總合 / (幸運值總合 + 太古幸運權重分母)</v>
      </c>
      <c r="F182" t="str">
        <f>計算表!F182</f>
        <v>a=幸運值影響倍率；m 用於提高太古詞條數的高條數權重。</v>
      </c>
      <c r="G182">
        <f>計算表!G182</f>
        <v>0.5</v>
      </c>
      <c r="H182">
        <f>計算表!H182</f>
        <v>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5-太古詞條</v>
      </c>
      <c r="D183" t="str">
        <f>計算表!D183</f>
        <v>太古幸運權重分母</v>
      </c>
      <c r="E183" t="str">
        <f>計算表!E183</f>
        <v>m = 太古幸運權重倍率 × 幸運值總合 / (幸運值總合 + a)</v>
      </c>
      <c r="F183" t="str">
        <f>計算表!F183</f>
        <v>a=幸運值飽和分母；幸運值越高，m 越接近太古幸運權重倍率。</v>
      </c>
      <c r="G183">
        <f>計算表!G183</f>
        <v>4000</v>
      </c>
      <c r="H183">
        <f>計算表!H183</f>
        <v>0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5-高塔獎勵</v>
      </c>
      <c r="D184" t="str">
        <f>計算表!D184</f>
        <v>零件階級</v>
      </c>
      <c r="E184" t="str">
        <f>計算表!E184</f>
        <v>clamp(1+⌊(樓層-1)/a⌋, 1, 7)</v>
      </c>
      <c r="F184" t="str">
        <f>計算表!F184</f>
        <v>首通必得、重複通關 30%。</v>
      </c>
      <c r="G184">
        <f>計算表!G184</f>
        <v>4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5-高塔獎勵</v>
      </c>
      <c r="D185" t="str">
        <f>計算表!D185</f>
        <v>金幣</v>
      </c>
      <c r="E185" t="str">
        <f>計算表!E185</f>
        <v>a×樓層（首通×2）</v>
      </c>
      <c r="F185" t="str">
        <f>計算表!F185</f>
        <v>a=每層金幣。</v>
      </c>
      <c r="G185">
        <f>計算表!G185</f>
        <v>200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5-高塔獎勵</v>
      </c>
      <c r="D186" t="str">
        <f>計算表!D186</f>
        <v>寶石</v>
      </c>
      <c r="E186" t="str">
        <f>計算表!E186</f>
        <v>clamp(1+⌊樓層/a⌋, 1, 5)，隨機種類×2 顆</v>
      </c>
      <c r="F186" t="str">
        <f>計算表!F186</f>
        <v>a=樓層除數。</v>
      </c>
      <c r="G186">
        <f>計算表!G186</f>
        <v>4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5-高塔獎勵</v>
      </c>
      <c r="D187" t="str">
        <f>計算表!D187</f>
        <v>附魔精華</v>
      </c>
      <c r="E187" t="str">
        <f>計算表!E187</f>
        <v>a+樓層</v>
      </c>
      <c r="F187" t="str">
        <f>計算表!F187</f>
        <v>a=常數（另附魔書×2）。</v>
      </c>
      <c r="G187">
        <f>計算表!G187</f>
        <v>3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5-高塔獎勵</v>
      </c>
      <c r="D188" t="str">
        <f>計算表!D188</f>
        <v>裝備戰利品等級</v>
      </c>
      <c r="E188" t="str">
        <f>計算表!E188</f>
        <v>a+樓層×b</v>
      </c>
      <c r="F188" t="str">
        <f>計算表!F188</f>
        <v>依 BOSS 掉落表擲骰。</v>
      </c>
      <c r="G188">
        <f>計算表!G188</f>
        <v>4</v>
      </c>
      <c r="H188">
        <f>計算表!H188</f>
        <v>5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5-高塔裝備掉落</v>
      </c>
      <c r="D189" t="str">
        <f>計算表!D189</f>
        <v>普通裝備</v>
      </c>
      <c r="E189" t="str">
        <f>計算表!E189</f>
        <v>各樓層區間掉落率%（{樓層下限~上限=機率}）</v>
      </c>
      <c r="F189" t="str">
        <f>計算表!F189</f>
        <v>每品質獨立擲骰，&gt;100% 依必掉+餘數規則；實際機率 ×(1+有效掉寶率%)。</v>
      </c>
      <c r="G189" t="str">
        <f>計算表!G189</f>
        <v>{1~5=0}</v>
      </c>
      <c r="H189" t="str">
        <f>計算表!H189</f>
        <v>{6~10=0}</v>
      </c>
      <c r="I189" t="str">
        <f>計算表!I189</f>
        <v>{11~15=0}</v>
      </c>
      <c r="J189" t="str">
        <f>計算表!J189</f>
        <v>{16~20=0}</v>
      </c>
      <c r="K189" t="str">
        <f>計算表!K189</f>
        <v>{21~25=0}</v>
      </c>
      <c r="L189" t="str">
        <f>計算表!L189</f>
        <v>{26~30=0}</v>
      </c>
      <c r="M189" t="str">
        <f>計算表!M189</f>
        <v>{31+=0}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5-高塔裝備掉落</v>
      </c>
      <c r="D190" t="str">
        <f>計算表!D190</f>
        <v>精良裝備</v>
      </c>
      <c r="E190" t="str">
        <f>計算表!E190</f>
        <v>各樓層區間掉落率%（{樓層下限~上限=機率}）</v>
      </c>
      <c r="F190" t="str">
        <f>計算表!F190</f>
        <v>每品質獨立擲骰，&gt;100% 依必掉+餘數規則；實際機率 ×(1+有效掉寶率%)。</v>
      </c>
      <c r="G190" t="str">
        <f>計算表!G190</f>
        <v>{1~5=0}</v>
      </c>
      <c r="H190" t="str">
        <f>計算表!H190</f>
        <v>{6~10=0}</v>
      </c>
      <c r="I190" t="str">
        <f>計算表!I190</f>
        <v>{11~15=0}</v>
      </c>
      <c r="J190" t="str">
        <f>計算表!J190</f>
        <v>{16~20=0}</v>
      </c>
      <c r="K190" t="str">
        <f>計算表!K190</f>
        <v>{21~25=0}</v>
      </c>
      <c r="L190" t="str">
        <f>計算表!L190</f>
        <v>{26~30=0}</v>
      </c>
      <c r="M190" t="str">
        <f>計算表!M190</f>
        <v>{31+=0}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5-高塔裝備掉落</v>
      </c>
      <c r="D191" t="str">
        <f>計算表!D191</f>
        <v>稀有裝備</v>
      </c>
      <c r="E191" t="str">
        <f>計算表!E191</f>
        <v>各樓層區間掉落率%（{樓層下限~上限=機率}）</v>
      </c>
      <c r="F191" t="str">
        <f>計算表!F191</f>
        <v>每品質獨立擲骰，&gt;100% 依必掉+餘數規則；實際機率 ×(1+有效掉寶率%)。</v>
      </c>
      <c r="G191" t="str">
        <f>計算表!G191</f>
        <v>{1~5=100}</v>
      </c>
      <c r="H191" t="str">
        <f>計算表!H191</f>
        <v>{6~10=100}</v>
      </c>
      <c r="I191" t="str">
        <f>計算表!I191</f>
        <v>{11~15=0}</v>
      </c>
      <c r="J191" t="str">
        <f>計算表!J191</f>
        <v>{16~20=0}</v>
      </c>
      <c r="K191" t="str">
        <f>計算表!K191</f>
        <v>{21~25=0}</v>
      </c>
      <c r="L191" t="str">
        <f>計算表!L191</f>
        <v>{26~30=0}</v>
      </c>
      <c r="M191" t="str">
        <f>計算表!M191</f>
        <v>{31+=0}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5-高塔裝備掉落</v>
      </c>
      <c r="D192" t="str">
        <f>計算表!D192</f>
        <v>獨特裝備</v>
      </c>
      <c r="E192" t="str">
        <f>計算表!E192</f>
        <v>各樓層區間掉落率%（{樓層下限~上限=機率}）</v>
      </c>
      <c r="F192" t="str">
        <f>計算表!F192</f>
        <v>每品質獨立擲骰，&gt;100% 依必掉+餘數規則；實際機率 ×(1+有效掉寶率%)。</v>
      </c>
      <c r="G192" t="str">
        <f>計算表!G192</f>
        <v>{1~5=50}</v>
      </c>
      <c r="H192" t="str">
        <f>計算表!H192</f>
        <v>{6~10=100}</v>
      </c>
      <c r="I192" t="str">
        <f>計算表!I192</f>
        <v>{11~15=100}</v>
      </c>
      <c r="J192" t="str">
        <f>計算表!J192</f>
        <v>{16~20=150}</v>
      </c>
      <c r="K192" t="str">
        <f>計算表!K192</f>
        <v>{21~25=250}</v>
      </c>
      <c r="L192" t="str">
        <f>計算表!L192</f>
        <v>{26~30=300}</v>
      </c>
      <c r="M192" t="str">
        <f>計算表!M192</f>
        <v>{31+=300}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5-高塔裝備掉落</v>
      </c>
      <c r="D193" t="str">
        <f>計算表!D193</f>
        <v>史詩裝備</v>
      </c>
      <c r="E193" t="str">
        <f>計算表!E193</f>
        <v>各樓層區間掉落率%（{樓層下限~上限=機率}）</v>
      </c>
      <c r="F193" t="str">
        <f>計算表!F193</f>
        <v>每品質獨立擲骰，&gt;100% 依必掉+餘數規則；實際機率 ×(1+有效掉寶率%)。</v>
      </c>
      <c r="G193" t="str">
        <f>計算表!G193</f>
        <v>{1~5=10}</v>
      </c>
      <c r="H193" t="str">
        <f>計算表!H193</f>
        <v>{6~10=20}</v>
      </c>
      <c r="I193" t="str">
        <f>計算表!I193</f>
        <v>{11~15=100}</v>
      </c>
      <c r="J193" t="str">
        <f>計算表!J193</f>
        <v>{16~20=100}</v>
      </c>
      <c r="K193" t="str">
        <f>計算表!K193</f>
        <v>{21~25=150}</v>
      </c>
      <c r="L193" t="str">
        <f>計算表!L193</f>
        <v>{26~30=200}</v>
      </c>
      <c r="M193" t="str">
        <f>計算表!M193</f>
        <v>{31+=200}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5-高塔裝備掉落</v>
      </c>
      <c r="D194" t="str">
        <f>計算表!D194</f>
        <v>傳說裝備</v>
      </c>
      <c r="E194" t="str">
        <f>計算表!E194</f>
        <v>各樓層區間掉落率%（{樓層下限~上限=機率}）</v>
      </c>
      <c r="F194" t="str">
        <f>計算表!F194</f>
        <v>每品質獨立擲骰，&gt;100% 依必掉+餘數規則；實際機率 ×(1+有效掉寶率%)。</v>
      </c>
      <c r="G194" t="str">
        <f>計算表!G194</f>
        <v>{1~5=5}</v>
      </c>
      <c r="H194" t="str">
        <f>計算表!H194</f>
        <v>{6~10=10}</v>
      </c>
      <c r="I194" t="str">
        <f>計算表!I194</f>
        <v>{11~15=50}</v>
      </c>
      <c r="J194" t="str">
        <f>計算表!J194</f>
        <v>{16~20=50}</v>
      </c>
      <c r="K194" t="str">
        <f>計算表!K194</f>
        <v>{21~25=100}</v>
      </c>
      <c r="L194" t="str">
        <f>計算表!L194</f>
        <v>{26~30=150}</v>
      </c>
      <c r="M194" t="str">
        <f>計算表!M194</f>
        <v>{31+=150}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5-高塔裝備掉落</v>
      </c>
      <c r="D195" t="str">
        <f>計算表!D195</f>
        <v>神話裝備</v>
      </c>
      <c r="E195" t="str">
        <f>計算表!E195</f>
        <v>各樓層區間掉落率%（{樓層下限~上限=機率}）</v>
      </c>
      <c r="F195" t="str">
        <f>計算表!F195</f>
        <v>每品質獨立擲骰，&gt;100% 依必掉+餘數規則；實際機率 ×(1+有效掉寶率%)。</v>
      </c>
      <c r="G195" t="str">
        <f>計算表!G195</f>
        <v>{1~5=0}</v>
      </c>
      <c r="H195" t="str">
        <f>計算表!H195</f>
        <v>{6~10=2}</v>
      </c>
      <c r="I195" t="str">
        <f>計算表!I195</f>
        <v>{11~15=5}</v>
      </c>
      <c r="J195" t="str">
        <f>計算表!J195</f>
        <v>{16~20=20}</v>
      </c>
      <c r="K195" t="str">
        <f>計算表!K195</f>
        <v>{21~25=33}</v>
      </c>
      <c r="L195" t="str">
        <f>計算表!L195</f>
        <v>{26~30=40}</v>
      </c>
      <c r="M195" t="str">
        <f>計算表!M195</f>
        <v>{31+=50}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5-高塔裝備掉落</v>
      </c>
      <c r="D196" t="str">
        <f>計算表!D196</f>
        <v>創世裝備</v>
      </c>
      <c r="E196" t="str">
        <f>計算表!E196</f>
        <v>各樓層區間掉落率%（{樓層下限~上限=機率}）</v>
      </c>
      <c r="F196" t="str">
        <f>計算表!F196</f>
        <v>每品質獨立擲骰，&gt;100% 依必掉+餘數規則；實際機率 ×(1+有效掉寶率%)。</v>
      </c>
      <c r="G196" t="str">
        <f>計算表!G196</f>
        <v>{1~5=0}</v>
      </c>
      <c r="H196" t="str">
        <f>計算表!H196</f>
        <v>{6~10=0}</v>
      </c>
      <c r="I196" t="str">
        <f>計算表!I196</f>
        <v>{11~15=1}</v>
      </c>
      <c r="J196" t="str">
        <f>計算表!J196</f>
        <v>{16~20=2.5}</v>
      </c>
      <c r="K196" t="str">
        <f>計算表!K196</f>
        <v>{21~25=5}</v>
      </c>
      <c r="L196" t="str">
        <f>計算表!L196</f>
        <v>{26~30=10}</v>
      </c>
      <c r="M196" t="str">
        <f>計算表!M196</f>
        <v>{31+=15}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6-裝備</v>
      </c>
      <c r="D197" t="str">
        <f>計算表!D197</f>
        <v>詞條數值</v>
      </c>
      <c r="E197" t="str">
        <f>計算表!E197</f>
        <v>(base+base×lv係數×(裝備等級-1))×稀有度倍率×rnd(0.8,1.2)</v>
      </c>
      <c r="F197" t="str">
        <f>計算表!F197</f>
        <v>base/lv係數見「詞條池」；稀有度倍率見「稀有度表」。　※指標列：base/lv 見「表-詞條池」，稀有度倍率見「表-稀有度」。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6-裝備</v>
      </c>
      <c r="D198" t="str">
        <f>計算表!D198</f>
        <v>太古詞條數值</v>
      </c>
      <c r="E198" t="str">
        <f>計算表!E198</f>
        <v>基準值×1.2×a</v>
      </c>
      <c r="F198" t="str">
        <f>計算表!F198</f>
        <v>a=太古倍率（=原上限的 135%）。　※實際由「5-太古詞條/太古詞條數值倍率」控制，本列不生效。</v>
      </c>
      <c r="G198">
        <f>計算表!G198</f>
        <v>1.35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強化倍率</v>
      </c>
      <c r="E199" t="str">
        <f>計算表!E199</f>
        <v>1 + a×強化等級</v>
      </c>
      <c r="F199" t="str">
        <f>計算表!F199</f>
        <v>裝備每 +1，全詞條數值 +5%。</v>
      </c>
      <c r="G199">
        <f>計算表!G199</f>
        <v>0.05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特殊被動數值</v>
      </c>
      <c r="E200" t="str">
        <f>計算表!E200</f>
        <v>base + perR×(稀有度-a)</v>
      </c>
      <c r="F200" t="str">
        <f>計算表!F200</f>
        <v>a=稀有級索引（稀有=基準）。base/perR 見「特殊被動表」。　※指標列：base/perR 見「表-特殊被動」。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神鑄特效數值</v>
      </c>
      <c r="E201" t="str">
        <f>計算表!E201</f>
        <v>base × rnd(0.8, 1.2)</v>
      </c>
      <c r="F201" t="str">
        <f>計算表!F201</f>
        <v>base 見「神鑄特效表」。神力為額外乘區、彼此相乘。　※指標列：base 見「表-神鑄特效」。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附魔-攻擊類</v>
      </c>
      <c r="E202" t="str">
        <f>計算表!E202</f>
        <v>(a+裝備等級×b)×稀有度倍率×(1+c×寶石等級)</v>
      </c>
      <c r="F202" t="str">
        <f>計算表!F202</f>
        <v>火焰附魔再×1.25。寶石等級只在混合合成帶入。</v>
      </c>
      <c r="G202">
        <f>計算表!G202</f>
        <v>5</v>
      </c>
      <c r="H202">
        <f>計算表!H202</f>
        <v>1.2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附魔-防禦/功能類</v>
      </c>
      <c r="E203" t="str">
        <f>計算表!E203</f>
        <v>min(a + 稀有度×b + 寶石等級×c, d)</v>
      </c>
      <c r="F203" t="str">
        <f>計算表!F203</f>
        <v>a=基礎 b=每階 c=每寶石等級 d=上限%。</v>
      </c>
      <c r="G203">
        <f>計算表!G203</f>
        <v>8</v>
      </c>
      <c r="H203">
        <f>計算表!H203</f>
        <v>4</v>
      </c>
      <c r="I203">
        <f>計算表!I203</f>
        <v>3</v>
      </c>
      <c r="J203">
        <f>計算表!J203</f>
        <v>60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手動附魔費用</v>
      </c>
      <c r="E204" t="str">
        <f>計算表!E204</f>
        <v>a 本附魔書 + b 附魔精華</v>
      </c>
      <c r="F204" t="str">
        <f>計算表!F204</f>
        <v>取下返還書、不退精華。</v>
      </c>
      <c r="G204">
        <f>計算表!G204</f>
        <v>1</v>
      </c>
      <c r="H204">
        <f>計算表!H204</f>
        <v>1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戰力評分</v>
      </c>
      <c r="E205" t="str">
        <f>計算表!E205</f>
        <v>Σ(詞條×權重×強化)+Σ(寶石×權重) →被動×1.15 →神鑄特效×(1+a×件數) →+Σ(附魔×1.2攻/×2防) →×(1+稀有度×b)</v>
      </c>
      <c r="F205" t="str">
        <f>計算表!F205</f>
        <v>詞條/寶石權重見 Equipment_Affix 表各詞條列的「戰力權重」欄。a=每條神鑄特效加成 b=稀有度加成。自動換裝門檻：新評分&gt;舊×1.02。</v>
      </c>
      <c r="G205">
        <f>計算表!G205</f>
        <v>0.15</v>
      </c>
      <c r="H205">
        <f>計算表!H205</f>
        <v>0.06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分解-碎片</v>
      </c>
      <c r="E206" t="str">
        <f>計算表!E206</f>
        <v>max(1, (a+裝備等級×b)×分解係數×rnd(0.85,1.15))</v>
      </c>
      <c r="F206" t="str">
        <f>計算表!F206</f>
        <v>分解係數見「稀有度表」salv 欄。</v>
      </c>
      <c r="G206">
        <f>計算表!G206</f>
        <v>2</v>
      </c>
      <c r="H206">
        <f>計算表!H206</f>
        <v>0.6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分解-金幣</v>
      </c>
      <c r="E207" t="str">
        <f>計算表!E207</f>
        <v>(a+裝備等級)×分解係數×b</v>
      </c>
      <c r="F207" t="str">
        <f>計算表!F207</f>
        <v>a=常數 b=金幣係數。</v>
      </c>
      <c r="G207">
        <f>計算表!G207</f>
        <v>3</v>
      </c>
      <c r="H207">
        <f>計算表!H207</f>
        <v>0.5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6-分解精華機率</v>
      </c>
      <c r="D208" t="str">
        <f>計算表!D208</f>
        <v>附魔精華拆解機率</v>
      </c>
      <c r="E208" t="str">
        <f>計算表!E208</f>
        <v>稀有度基礎機率 × (1+精粹透鏡加成/100)</v>
      </c>
      <c r="F208" t="str">
        <f>計算表!F208</f>
        <v>一列列出各稀有度基礎機率%。&gt;100% 採必得+餘數。</v>
      </c>
      <c r="G208">
        <f>計算表!G208</f>
        <v>5</v>
      </c>
      <c r="H208">
        <f>計算表!H208</f>
        <v>7.5</v>
      </c>
      <c r="I208">
        <f>計算表!I208</f>
        <v>10</v>
      </c>
      <c r="J208">
        <f>計算表!J208</f>
        <v>15</v>
      </c>
      <c r="K208">
        <f>計算表!K208</f>
        <v>20</v>
      </c>
      <c r="L208">
        <f>計算表!L208</f>
        <v>25</v>
      </c>
      <c r="M208">
        <f>計算表!M208</f>
        <v>30</v>
      </c>
      <c r="N208">
        <f>計算表!N208</f>
        <v>100</v>
      </c>
      <c r="O208">
        <f>計算表!O208</f>
        <v>100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6-分解精華機率</v>
      </c>
      <c r="D209" t="str">
        <f>計算表!D209</f>
        <v>太古精華拆解機率(依稀有度)</v>
      </c>
      <c r="E209" t="str">
        <f>計算表!E209</f>
        <v>基礎機率×太古萃取器倍率；另每條太古詞條 50% 判定</v>
      </c>
      <c r="F209" t="str">
        <f>計算表!F209</f>
        <v>史詩0.5 傳說1 神話10 創世100 神鑄100（普通~獨特不掉）。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0.1</v>
      </c>
      <c r="K209">
        <f>計算表!K209</f>
        <v>0.5</v>
      </c>
      <c r="L209">
        <f>計算表!L209</f>
        <v>1</v>
      </c>
      <c r="M209">
        <f>計算表!M209</f>
        <v>10</v>
      </c>
      <c r="N209">
        <f>計算表!N209</f>
        <v>100</v>
      </c>
      <c r="O209">
        <f>計算表!O209</f>
        <v>100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6-神鑄</v>
      </c>
      <c r="D210" t="str">
        <f>計算表!D210</f>
        <v>裝備神鑄成功率</v>
      </c>
      <c r="E210" t="str">
        <f>計算表!E210</f>
        <v>clamp(基礎 + 魔塵數×a, 0, 100)</v>
      </c>
      <c r="F210" t="str">
        <f>計算表!F210</f>
        <v>傳統品質每魔塵 a%；混沌品質另由「裝備神鑄混沌魔塵加成」控制。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6-神鑄</v>
      </c>
      <c r="D211" t="str">
        <f>計算表!D211</f>
        <v>裝備神鑄基礎成功率</v>
      </c>
      <c r="E211" t="str">
        <f>計算表!E211</f>
        <v>傳說a 神話b 創世c 混沌d（%）</v>
      </c>
      <c r="F211" t="str">
        <f>計算表!F211</f>
        <v>依素材品質。</v>
      </c>
      <c r="G211">
        <f>計算表!G211</f>
        <v>55</v>
      </c>
      <c r="H211">
        <f>計算表!H211</f>
        <v>40</v>
      </c>
      <c r="I211">
        <f>計算表!I211</f>
        <v>25</v>
      </c>
      <c r="J211">
        <f>計算表!J211</f>
        <v>20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6-神鑄</v>
      </c>
      <c r="D212" t="str">
        <f>計算表!D212</f>
        <v>裝備神鑄金幣</v>
      </c>
      <c r="E212" t="str">
        <f>計算表!E212</f>
        <v>傳說a 神話b 創世c 混沌d</v>
      </c>
      <c r="F212" t="str">
        <f>計算表!F212</f>
        <v>單次金幣消耗；混沌暫定 5 億。</v>
      </c>
      <c r="G212">
        <f>計算表!G212</f>
        <v>5000000</v>
      </c>
      <c r="H212">
        <f>計算表!H212</f>
        <v>20000000</v>
      </c>
      <c r="I212">
        <f>計算表!I212</f>
        <v>100000000</v>
      </c>
      <c r="J212">
        <f>計算表!J212</f>
        <v>500000000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6-神鑄</v>
      </c>
      <c r="D213" t="str">
        <f>計算表!D213</f>
        <v>裝備神鑄時間(秒)</v>
      </c>
      <c r="E213" t="str">
        <f>計算表!E213</f>
        <v>傳說a 神話b 創世c 混沌d</v>
      </c>
      <c r="F213">
        <f>計算表!F213</f>
        <v>0</v>
      </c>
      <c r="G213">
        <f>計算表!G213</f>
        <v>3</v>
      </c>
      <c r="H213">
        <f>計算表!H213</f>
        <v>5</v>
      </c>
      <c r="I213">
        <f>計算表!I213</f>
        <v>8</v>
      </c>
      <c r="J213">
        <f>計算表!J213</f>
        <v>13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6-神鑄</v>
      </c>
      <c r="D214" t="str">
        <f>計算表!D214</f>
        <v>裝備神鑄混沌魔塵加成</v>
      </c>
      <c r="E214" t="str">
        <f>計算表!E214</f>
        <v>混沌品質每個魔塵增加 a% 成功率</v>
      </c>
      <c r="F214" t="str">
        <f>計算表!F214</f>
        <v>僅適用 6 件混沌裝備神鑄為神鑄混沌。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7-洗煉</v>
      </c>
      <c r="D215" t="str">
        <f>計算表!D215</f>
        <v>混沌精華費用</v>
      </c>
      <c r="E215" t="str">
        <f>計算表!E215</f>
        <v>混沌品質洗煉精華消耗 a</v>
      </c>
      <c r="F215" t="str">
        <f>計算表!F215</f>
        <v>可自行調整。</v>
      </c>
      <c r="G215">
        <f>計算表!G215</f>
        <v>27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神鑄混沌精華費用</v>
      </c>
      <c r="E216" t="str">
        <f>計算表!E216</f>
        <v>神鑄混沌品質洗煉精華消耗 a</v>
      </c>
      <c r="F216" t="str">
        <f>計算表!F216</f>
        <v>可自行調整。</v>
      </c>
      <c r="G216">
        <f>計算表!G216</f>
        <v>36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6-神鑄</v>
      </c>
      <c r="D217" t="str">
        <f>計算表!D217</f>
        <v>寶石神鑄成功率</v>
      </c>
      <c r="E217" t="str">
        <f>計算表!E217</f>
        <v>clamp(基礎 + 魔塵數×a, 0, 100)</v>
      </c>
      <c r="F217" t="str">
        <f>計算表!F217</f>
        <v>基礎：5階45 6階35 7階25 8階15 9階5。a=每魔塵加成%。</v>
      </c>
      <c r="G217">
        <f>計算表!G217</f>
        <v>3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6-神鑄</v>
      </c>
      <c r="D218" t="str">
        <f>計算表!D218</f>
        <v>寶石神鑄基礎成功率</v>
      </c>
      <c r="E218" t="str">
        <f>計算表!E218</f>
        <v>5階a 6階b 7階c 8階d 9階e（%）</v>
      </c>
      <c r="F218" t="str">
        <f>計算表!F218</f>
        <v>依素材階級。</v>
      </c>
      <c r="G218">
        <f>計算表!G218</f>
        <v>50</v>
      </c>
      <c r="H218">
        <f>計算表!H218</f>
        <v>40</v>
      </c>
      <c r="I218">
        <f>計算表!I218</f>
        <v>35</v>
      </c>
      <c r="J218">
        <f>計算表!J218</f>
        <v>25</v>
      </c>
      <c r="K218">
        <f>計算表!K218</f>
        <v>15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6-神鑄</v>
      </c>
      <c r="D219" t="str">
        <f>計算表!D219</f>
        <v>寶石神鑄金幣</v>
      </c>
      <c r="E219" t="str">
        <f>計算表!E219</f>
        <v>a + (素材階級-b)×a</v>
      </c>
      <c r="F219" t="str">
        <f>計算表!F219</f>
        <v>a=基礎 b=起始階級。</v>
      </c>
      <c r="G219">
        <f>計算表!G219</f>
        <v>1000000</v>
      </c>
      <c r="H219">
        <f>計算表!H219</f>
        <v>5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6-神鑄</v>
      </c>
      <c r="D220" t="str">
        <f>計算表!D220</f>
        <v>寶石神鑄時間(秒)</v>
      </c>
      <c r="E220" t="str">
        <f>計算表!E220</f>
        <v>5階a 6階b 7階c 8階d 9階e</v>
      </c>
      <c r="F220">
        <f>計算表!F220</f>
        <v>0</v>
      </c>
      <c r="G220">
        <f>計算表!G220</f>
        <v>1</v>
      </c>
      <c r="H220">
        <f>計算表!H220</f>
        <v>2</v>
      </c>
      <c r="I220">
        <f>計算表!I220</f>
        <v>3</v>
      </c>
      <c r="J220">
        <f>計算表!J220</f>
        <v>4</v>
      </c>
      <c r="K220">
        <f>計算表!K220</f>
        <v>6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6-神鑄</v>
      </c>
      <c r="D221" t="str">
        <f>計算表!D221</f>
        <v>神鑄失敗</v>
      </c>
      <c r="E221" t="str">
        <f>計算表!E221</f>
        <v>裝備消耗a件退b件；寶石消耗a顆退b顆；每次失敗得魔塵1</v>
      </c>
      <c r="F221" t="str">
        <f>計算表!F221</f>
        <v>a=消耗 b=退回。</v>
      </c>
      <c r="G221">
        <f>計算表!G221</f>
        <v>3</v>
      </c>
      <c r="H221">
        <f>計算表!H221</f>
        <v>3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6-神鑄</v>
      </c>
      <c r="D222" t="str">
        <f>計算表!D222</f>
        <v>神鑄槽位 / 魔塵上限</v>
      </c>
      <c r="E222" t="str">
        <f>計算表!E222</f>
        <v>法陣a格；魔塵最多b個</v>
      </c>
      <c r="F222" t="str">
        <f>計算表!F222</f>
        <v>a=槽位 b=魔塵上限。</v>
      </c>
      <c r="G222">
        <f>計算表!G222</f>
        <v>6</v>
      </c>
      <c r="H222">
        <f>計算表!H222</f>
        <v>6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7-強化</v>
      </c>
      <c r="D223" t="str">
        <f>計算表!D223</f>
        <v>基礎成功率</v>
      </c>
      <c r="E223" t="str">
        <f>計算表!E223</f>
        <v>+5 以內 100%；之後 max(a%, 100% - (目標等級-5)×b%)</v>
      </c>
      <c r="F223" t="str">
        <f>計算表!F223</f>
        <v>a=下限 b=每級遞減。實際=基礎+強化成功率屬性。</v>
      </c>
      <c r="G223">
        <f>計算表!G223</f>
        <v>30</v>
      </c>
      <c r="H223">
        <f>計算表!H223</f>
        <v>6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7-強化</v>
      </c>
      <c r="D224" t="str">
        <f>計算表!D224</f>
        <v>金幣費用</v>
      </c>
      <c r="E224" t="str">
        <f>計算表!E224</f>
        <v>a × b^目前強化等級 × (1+裝備等級×c)</v>
      </c>
      <c r="F224">
        <f>計算表!F224</f>
        <v>0</v>
      </c>
      <c r="G224">
        <f>計算表!G224</f>
        <v>25</v>
      </c>
      <c r="H224">
        <f>計算表!H224</f>
        <v>1.45</v>
      </c>
      <c r="I224">
        <f>計算表!I224</f>
        <v>0.08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7-強化</v>
      </c>
      <c r="D225" t="str">
        <f>計算表!D225</f>
        <v>碎片費用</v>
      </c>
      <c r="E225" t="str">
        <f>計算表!E225</f>
        <v>a × b^目前強化等級 × (1+裝備等級×c)</v>
      </c>
      <c r="F225">
        <f>計算表!F225</f>
        <v>0</v>
      </c>
      <c r="G225">
        <f>計算表!G225</f>
        <v>8</v>
      </c>
      <c r="H225">
        <f>計算表!H225</f>
        <v>1.35</v>
      </c>
      <c r="I225">
        <f>計算表!I225</f>
        <v>0.04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失敗懲罰</v>
      </c>
      <c r="E226" t="str">
        <f>計算表!E226</f>
        <v>消耗半數費用，強化等級不變</v>
      </c>
      <c r="F226" t="str">
        <f>計算表!F226</f>
        <v>寫死：失敗消耗半數費用。</v>
      </c>
      <c r="G226">
        <f>計算表!G226</f>
        <v>0</v>
      </c>
      <c r="H226">
        <f>計算表!H226</f>
        <v>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7-洗煉</v>
      </c>
      <c r="D227" t="str">
        <f>計算表!D227</f>
        <v>金幣費用</v>
      </c>
      <c r="E227" t="str">
        <f>計算表!E227</f>
        <v>a × b^稀有度 × (1+裝備等級×c)</v>
      </c>
      <c r="F227">
        <f>計算表!F227</f>
        <v>0</v>
      </c>
      <c r="G227">
        <f>計算表!G227</f>
        <v>40</v>
      </c>
      <c r="H227">
        <f>計算表!H227</f>
        <v>1.7</v>
      </c>
      <c r="I227">
        <f>計算表!I227</f>
        <v>0.15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7-洗煉</v>
      </c>
      <c r="D228" t="str">
        <f>計算表!D228</f>
        <v>精華費用</v>
      </c>
      <c r="E228" t="str">
        <f>計算表!E228</f>
        <v>普通~傳說 1+稀有度；神話a 創世b 神鑄c</v>
      </c>
      <c r="F228" t="str">
        <f>計算表!F228</f>
        <v>a/b/c=神話/創世/神鑄創世固定值。</v>
      </c>
      <c r="G228">
        <f>計算表!G228</f>
        <v>9</v>
      </c>
      <c r="H228">
        <f>計算表!H228</f>
        <v>14</v>
      </c>
      <c r="I228">
        <f>計算表!I228</f>
        <v>20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7-洗煉</v>
      </c>
      <c r="D229" t="str">
        <f>計算表!D229</f>
        <v>數值洗煉分段權重</v>
      </c>
      <c r="E229" t="str">
        <f>計算表!E229</f>
        <v>先平分洗煉數值範圍，再以權重選擇低／高段：A=a；B=b＋（詞條上限率/100）^c</v>
      </c>
      <c r="F229" t="str">
        <f>計算表!F229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9">
        <f>計算表!G229</f>
        <v>1</v>
      </c>
      <c r="H229">
        <f>計算表!H229</f>
        <v>1</v>
      </c>
      <c r="I229">
        <f>計算表!I229</f>
        <v>0.33329999999999999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7-合成</v>
      </c>
      <c r="D230" t="str">
        <f>計算表!D230</f>
        <v>大成功率</v>
      </c>
      <c r="E230" t="str">
        <f>計算表!E230</f>
        <v>a% + 幸運核心×每階8%</v>
      </c>
      <c r="F230" t="str">
        <f>計算表!F230</f>
        <v>a=基礎%。</v>
      </c>
      <c r="G230">
        <f>計算表!G230</f>
        <v>5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7-合成</v>
      </c>
      <c r="D231" t="str">
        <f>計算表!D231</f>
        <v>品質合成</v>
      </c>
      <c r="E231" t="str">
        <f>計算表!E231</f>
        <v>3 件同稀有度 → 1 件高一階（等級=平均）；大成功再+1 階</v>
      </c>
      <c r="F231" t="str">
        <f>計算表!F231</f>
        <v>合成功能已停用(SYNTHESIS_ENABLED=false)，本列未生效。</v>
      </c>
      <c r="G231">
        <f>計算表!G231</f>
        <v>0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7-合成</v>
      </c>
      <c r="D232" t="str">
        <f>計算表!D232</f>
        <v>混合合成</v>
      </c>
      <c r="E232" t="str">
        <f>計算表!E232</f>
        <v>1 裝備+1 寶石+1 附魔書 → 附魔（威力吃寶石等級）；大成功稀有度+1</v>
      </c>
      <c r="F232" t="str">
        <f>計算表!F232</f>
        <v>合成功能已停用，本列未生效。</v>
      </c>
      <c r="G232">
        <f>計算表!G232</f>
        <v>0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7-合成</v>
      </c>
      <c r="D233" t="str">
        <f>計算表!D233</f>
        <v>合成變異</v>
      </c>
      <c r="E233" t="str">
        <f>計算表!E233</f>
        <v>機率=合成變異率屬性（上限60%）；附魔威力×1.5 並追加 1 條詞條</v>
      </c>
      <c r="F233" t="str">
        <f>計算表!F233</f>
        <v>合成功能已停用，本列未生效。</v>
      </c>
      <c r="G233">
        <f>計算表!G233</f>
        <v>0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7-分解速度</v>
      </c>
      <c r="D234" t="str">
        <f>計算表!D234</f>
        <v>分解處理速度</v>
      </c>
      <c r="E234" t="str">
        <f>計算表!E234</f>
        <v>間隔 = a 秒 ÷ (1+加速加成)</v>
      </c>
      <c r="F234" t="str">
        <f>計算表!F234</f>
        <v>加速齒輪每階+25%，另固定+50 個百分點。　※＝生產線處理間隔，由「7-容量/生產線處理間隔」控制，本列不生效。</v>
      </c>
      <c r="G234">
        <f>計算表!G234</f>
        <v>2</v>
      </c>
      <c r="H234">
        <f>計算表!H234</f>
        <v>0</v>
      </c>
      <c r="I234">
        <f>計算表!I234</f>
        <v>0</v>
      </c>
      <c r="J234">
        <f>計算表!J234</f>
        <v>0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7-分解槽</v>
      </c>
      <c r="D235" t="str">
        <f>計算表!D235</f>
        <v>分解槽解鎖費用</v>
      </c>
      <c r="E235" t="str">
        <f>計算表!E235</f>
        <v>a × b^(目標格數-1)</v>
      </c>
      <c r="F235" t="str">
        <f>計算表!F235</f>
        <v>初始 10 格、上限 20 格。</v>
      </c>
      <c r="G235">
        <f>計算表!G235</f>
        <v>10000</v>
      </c>
      <c r="H235">
        <f>計算表!H235</f>
        <v>3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7-容量</v>
      </c>
      <c r="D236" t="str">
        <f>計算表!D236</f>
        <v>輸送帶容量</v>
      </c>
      <c r="E236" t="str">
        <f>計算表!E236</f>
        <v>a（固定上限）</v>
      </c>
      <c r="F236" t="str">
        <f>計算表!F236</f>
        <v>程式實際為固定 20000；超出的新裝備直接丟棄。</v>
      </c>
      <c r="G236">
        <f>計算表!G236</f>
        <v>20000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7-容量</v>
      </c>
      <c r="D237" t="str">
        <f>計算表!D237</f>
        <v>合成暫存區</v>
      </c>
      <c r="E237" t="str">
        <f>計算表!E237</f>
        <v>a + ⌊負重上限/b⌋</v>
      </c>
      <c r="F237">
        <f>計算表!F237</f>
        <v>0</v>
      </c>
      <c r="G237">
        <f>計算表!G237</f>
        <v>30</v>
      </c>
      <c r="H237">
        <f>計算表!H237</f>
        <v>2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7-容量</v>
      </c>
      <c r="D238" t="str">
        <f>計算表!D238</f>
        <v>背包容量</v>
      </c>
      <c r="E238" t="str">
        <f>計算表!E238</f>
        <v>a + 背包擴充上限次數b</v>
      </c>
      <c r="F238" t="str">
        <f>計算表!F238</f>
        <v>a=初始格數 b為上限值；滿了自動分解新進裝備。</v>
      </c>
      <c r="G238">
        <f>計算表!G238</f>
        <v>100</v>
      </c>
      <c r="H238">
        <f>計算表!H238</f>
        <v>1000</v>
      </c>
      <c r="I238">
        <f>計算表!I238</f>
        <v>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7-容量</v>
      </c>
      <c r="D239" t="str">
        <f>計算表!D239</f>
        <v>背包擴充費用</v>
      </c>
      <c r="E239" t="str">
        <f>計算表!E239</f>
        <v>a + b × c^購買次數</v>
      </c>
      <c r="F239" t="str">
        <f>計算表!F239</f>
        <v>a=基值值 b=擴充倍數 c=指數底；達上限後不可再擴充。</v>
      </c>
      <c r="G239">
        <f>計算表!G239</f>
        <v>10000</v>
      </c>
      <c r="H239">
        <f>計算表!H239</f>
        <v>10000</v>
      </c>
      <c r="I239">
        <f>計算表!I239</f>
        <v>1.02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7-容量</v>
      </c>
      <c r="D240" t="str">
        <f>計算表!D240</f>
        <v>生產線處理間隔</v>
      </c>
      <c r="E240" t="str">
        <f>計算表!E240</f>
        <v>a 秒/件</v>
      </c>
      <c r="F240">
        <f>計算表!F240</f>
        <v>0</v>
      </c>
      <c r="G240">
        <f>計算表!G240</f>
        <v>2</v>
      </c>
      <c r="H240">
        <f>計算表!H240</f>
        <v>0</v>
      </c>
      <c r="I240">
        <f>計算表!I240</f>
        <v>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</v>
      </c>
      <c r="D241" t="str">
        <f>計算表!D241</f>
        <v>能力數值(1~5階)</v>
      </c>
      <c r="E241" t="str">
        <f>計算表!E241</f>
        <v>base × 等級 × (1 + a×(等級-1))</v>
      </c>
      <c r="F241" t="str">
        <f>計算表!F241</f>
        <v>base 見「寶石種類表」。Lv1×1 Lv2×2.4 Lv3×4.2 Lv4×6.4 Lv5×9。</v>
      </c>
      <c r="G241">
        <f>計算表!G241</f>
        <v>0.2</v>
      </c>
      <c r="H241">
        <f>計算表!H241</f>
        <v>0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</v>
      </c>
      <c r="D242" t="str">
        <f>計算表!D242</f>
        <v>能力數值(6~10階神鑄)</v>
      </c>
      <c r="E242" t="str">
        <f>計算表!E242</f>
        <v>五階數值 × a^(階級-5)</v>
      </c>
      <c r="F242" t="str">
        <f>計算表!F242</f>
        <v>每高 1 階能力×a。</v>
      </c>
      <c r="G242">
        <f>計算表!G242</f>
        <v>2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</v>
      </c>
      <c r="D243" t="str">
        <f>計算表!D243</f>
        <v>寶石升階(工廠自動)</v>
      </c>
      <c r="E243" t="str">
        <f>計算表!E243</f>
        <v>c 顆同種同級 → 1 顆同種高一級</v>
      </c>
      <c r="F243" t="str">
        <f>計算表!F243</f>
        <v>免費、自動（熔爐合成節點開關）。　※合成功能已停用，本列未生效。</v>
      </c>
      <c r="G243">
        <f>計算表!G243</f>
        <v>3</v>
      </c>
      <c r="H243">
        <f>計算表!H243</f>
        <v>0</v>
      </c>
      <c r="I243">
        <f>計算表!I243</f>
        <v>0</v>
      </c>
      <c r="J243">
        <f>計算表!J243</f>
        <v>0</v>
      </c>
      <c r="K243">
        <f>計算表!K243</f>
        <v>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8-寶石</v>
      </c>
      <c r="D244" t="str">
        <f>計算表!D244</f>
        <v>寶石合成(手動)</v>
      </c>
      <c r="E244" t="str">
        <f>計算表!E244</f>
        <v>a 顆同種同級 → 1 顆同種下一階</v>
      </c>
      <c r="F244" t="str">
        <f>計算表!F244</f>
        <v>a=3；手動合成素材數量（3 合 1）；金幣另見「寶石合成金幣」。</v>
      </c>
      <c r="G244">
        <f>計算表!G244</f>
        <v>3</v>
      </c>
      <c r="H244">
        <f>計算表!H244</f>
        <v>0</v>
      </c>
      <c r="I244">
        <f>計算表!I244</f>
        <v>0</v>
      </c>
      <c r="J244">
        <f>計算表!J244</f>
        <v>0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8-寶石</v>
      </c>
      <c r="D245" t="str">
        <f>計算表!D245</f>
        <v>寶石合成金幣</v>
      </c>
      <c r="E245" t="str">
        <f>計算表!E245</f>
        <v>依素材等級 a/b/c/d/e</v>
      </c>
      <c r="F245" t="str">
        <f>計算表!F245</f>
        <v>1級→2級 a、2級→3級 b …。</v>
      </c>
      <c r="G245">
        <f>計算表!G245</f>
        <v>100</v>
      </c>
      <c r="H245">
        <f>計算表!H245</f>
        <v>300</v>
      </c>
      <c r="I245">
        <f>計算表!I245</f>
        <v>900</v>
      </c>
      <c r="J245">
        <f>計算表!J245</f>
        <v>2700</v>
      </c>
      <c r="K245">
        <f>計算表!K245</f>
        <v>8100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8-寶石</v>
      </c>
      <c r="D246" t="str">
        <f>計算表!D246</f>
        <v>寶石轉換(九宮格)</v>
      </c>
      <c r="E246" t="str">
        <f>計算表!E246</f>
        <v>a 格；每格上限 b 顆；同階轉換數量不變（免費）</v>
      </c>
      <c r="F246" t="str">
        <f>計算表!F246</f>
        <v>融合寶石無法轉換。</v>
      </c>
      <c r="G246">
        <f>計算表!G246</f>
        <v>9</v>
      </c>
      <c r="H246">
        <f>計算表!H246</f>
        <v>1000</v>
      </c>
      <c r="I246">
        <f>計算表!I246</f>
        <v>0</v>
      </c>
      <c r="J246">
        <f>計算表!J246</f>
        <v>0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8-寶石</v>
      </c>
      <c r="D247" t="str">
        <f>計算表!D247</f>
        <v>寶石拆解(一般)</v>
      </c>
      <c r="E247" t="str">
        <f>計算表!E247</f>
        <v>⌊3^(N-1) × a⌋ 顆同種 1 級</v>
      </c>
      <c r="F247" t="str">
        <f>計算表!F247</f>
        <v>a=保留比例（損失 30%）。2級→2 3級→6 4級→18 5級→56。</v>
      </c>
      <c r="G247">
        <f>計算表!G247</f>
        <v>0.7</v>
      </c>
      <c r="H247">
        <f>計算表!H247</f>
        <v>0</v>
      </c>
      <c r="I247">
        <f>計算表!I247</f>
        <v>0</v>
      </c>
      <c r="J247">
        <f>計算表!J247</f>
        <v>0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8-寶石</v>
      </c>
      <c r="D248" t="str">
        <f>計算表!D248</f>
        <v>寶石拆解(融合)</v>
      </c>
      <c r="E248" t="str">
        <f>計算表!E248</f>
        <v>⌊81×leaves × a⌋ 顆 1 級（依屬性均分）</v>
      </c>
      <c r="F248" t="str">
        <f>計算表!F248</f>
        <v>leaves=素材 5 階總數（融合時雙方相加）。　※與「寶石拆解(一般)」共用保留率，本列不生效。</v>
      </c>
      <c r="G248">
        <f>計算表!G248</f>
        <v>0.7</v>
      </c>
      <c r="H248">
        <f>計算表!H248</f>
        <v>0</v>
      </c>
      <c r="I248">
        <f>計算表!I248</f>
        <v>0</v>
      </c>
      <c r="J248">
        <f>計算表!J248</f>
        <v>0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8-寶石</v>
      </c>
      <c r="D249" t="str">
        <f>計算表!D249</f>
        <v>寶石融合成功率</v>
      </c>
      <c r="E249" t="str">
        <f>計算表!E249</f>
        <v>max(a%, b% - c%×雙方融合次數和)</v>
      </c>
      <c r="F249" t="str">
        <f>計算表!F249</f>
        <v>僅 5 階；產出雙屬性。</v>
      </c>
      <c r="G249">
        <f>計算表!G249</f>
        <v>10</v>
      </c>
      <c r="H249">
        <f>計算表!H249</f>
        <v>60</v>
      </c>
      <c r="I249">
        <f>計算表!I249</f>
        <v>10</v>
      </c>
      <c r="J249">
        <f>計算表!J249</f>
        <v>0</v>
      </c>
      <c r="K249">
        <f>計算表!K249</f>
        <v>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8-寶石</v>
      </c>
      <c r="D250" t="str">
        <f>計算表!D250</f>
        <v>寶石融合數值</v>
      </c>
      <c r="E250" t="str">
        <f>計算表!E250</f>
        <v>同屬性 rnd(較小值,較大值×2)；異屬性 原值×rnd(0.5,1.5)</v>
      </c>
      <c r="F250" t="str">
        <f>計算表!F250</f>
        <v>失敗：較弱一方降解為 50% 機率 4~8 顆 Lv1 / 50% 機率 2~4 顆 Lv2。　※結構寫死：同屬性 rnd(小,大×2)、異屬性 原值×rnd(0.5,1.5)。</v>
      </c>
      <c r="G250">
        <f>計算表!G250</f>
        <v>0</v>
      </c>
      <c r="H250">
        <f>計算表!H250</f>
        <v>0</v>
      </c>
      <c r="I250">
        <f>計算表!I250</f>
        <v>0</v>
      </c>
      <c r="J250">
        <f>計算表!J250</f>
        <v>0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8-寶石商店</v>
      </c>
      <c r="D251" t="str">
        <f>計算表!D251</f>
        <v>升級費用</v>
      </c>
      <c r="E251" t="str">
        <f>計算表!E251</f>
        <v>a + 商店等級^b × c</v>
      </c>
      <c r="F251" t="str">
        <f>計算表!F251</f>
        <v>Lv.1~20；Lv.20 滿級。</v>
      </c>
      <c r="G251">
        <f>計算表!G251</f>
        <v>10000</v>
      </c>
      <c r="H251">
        <f>計算表!H251</f>
        <v>3</v>
      </c>
      <c r="I251">
        <f>計算表!I251</f>
        <v>4000000</v>
      </c>
      <c r="J251">
        <f>計算表!J251</f>
        <v>0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8-寶石商店</v>
      </c>
      <c r="D252" t="str">
        <f>計算表!D252</f>
        <v>手動刷新費用</v>
      </c>
      <c r="E252" t="str">
        <f>計算表!E252</f>
        <v>a × (下一次重置序號^b)</v>
      </c>
      <c r="F252" t="str">
        <f>計算表!F252</f>
        <v>第一次刷新序號為 1。</v>
      </c>
      <c r="G252">
        <f>計算表!G252</f>
        <v>5000</v>
      </c>
      <c r="H252">
        <f>計算表!H252</f>
        <v>2.5</v>
      </c>
      <c r="I252">
        <f>計算表!I252</f>
        <v>0</v>
      </c>
      <c r="J252">
        <f>計算表!J252</f>
        <v>0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8-寶石商店</v>
      </c>
      <c r="D253" t="str">
        <f>計算表!D253</f>
        <v>刷新週期</v>
      </c>
      <c r="E253" t="str">
        <f>計算表!E253</f>
        <v>a 小時重置刷新次數</v>
      </c>
      <c r="F253">
        <f>計算表!F253</f>
        <v>0</v>
      </c>
      <c r="G253">
        <f>計算表!G253</f>
        <v>8</v>
      </c>
      <c r="H253">
        <f>計算表!H253</f>
        <v>0</v>
      </c>
      <c r="I253">
        <f>計算表!I253</f>
        <v>0</v>
      </c>
      <c r="J253">
        <f>計算表!J253</f>
        <v>0</v>
      </c>
      <c r="K253">
        <f>計算表!K253</f>
        <v>0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8-寶石商店</v>
      </c>
      <c r="D254" t="str">
        <f>計算表!D254</f>
        <v>寶石標價(Lv1~10)</v>
      </c>
      <c r="E254" t="str">
        <f>計算表!E254</f>
        <v>各階價格</v>
      </c>
      <c r="F254" t="str">
        <f>計算表!F254</f>
        <v>a=Lv1 … j=Lv10。</v>
      </c>
      <c r="G254">
        <f>計算表!G254</f>
        <v>10000</v>
      </c>
      <c r="H254">
        <f>計算表!H254</f>
        <v>100000</v>
      </c>
      <c r="I254">
        <f>計算表!I254</f>
        <v>500000</v>
      </c>
      <c r="J254">
        <f>計算表!J254</f>
        <v>2000000</v>
      </c>
      <c r="K254">
        <f>計算表!K254</f>
        <v>10000000</v>
      </c>
      <c r="L254">
        <f>計算表!L254</f>
        <v>50000000</v>
      </c>
      <c r="M254">
        <f>計算表!M254</f>
        <v>200000000</v>
      </c>
      <c r="N254">
        <f>計算表!N254</f>
        <v>1000000000</v>
      </c>
      <c r="O254">
        <f>計算表!O254</f>
        <v>10000000000</v>
      </c>
      <c r="P254">
        <f>計算表!P254</f>
        <v>1000000000000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8-寶店刷出數量</v>
      </c>
      <c r="D255" t="str">
        <f>計算表!D255</f>
        <v>商店 Lv.1</v>
      </c>
      <c r="E255" t="str">
        <f>計算表!E255</f>
        <v>刷出數量=機率%（每格獨立）</v>
      </c>
      <c r="F255" t="str">
        <f>計算表!F255</f>
        <v>格式「刷出數量=機率%」，機率總和 100。</v>
      </c>
      <c r="G255" t="str">
        <f>計算表!G255</f>
        <v>5=50</v>
      </c>
      <c r="H255" t="str">
        <f>計算表!H255</f>
        <v>6=50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8-寶店刷出數量</v>
      </c>
      <c r="D256" t="str">
        <f>計算表!D256</f>
        <v>商店 Lv.2</v>
      </c>
      <c r="E256" t="str">
        <f>計算表!E256</f>
        <v>刷出數量=機率%（每格獨立）</v>
      </c>
      <c r="F256" t="str">
        <f>計算表!F256</f>
        <v>格式「刷出數量=機率%」，機率總和 100。</v>
      </c>
      <c r="G256" t="str">
        <f>計算表!G256</f>
        <v>5=50</v>
      </c>
      <c r="H256" t="str">
        <f>計算表!H256</f>
        <v>6=40</v>
      </c>
      <c r="I256" t="str">
        <f>計算表!I256</f>
        <v>7=10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8-寶店刷出數量</v>
      </c>
      <c r="D257" t="str">
        <f>計算表!D257</f>
        <v>商店 Lv.3</v>
      </c>
      <c r="E257" t="str">
        <f>計算表!E257</f>
        <v>刷出數量=機率%（每格獨立）</v>
      </c>
      <c r="F257" t="str">
        <f>計算表!F257</f>
        <v>格式「刷出數量=機率%」，機率總和 100。</v>
      </c>
      <c r="G257" t="str">
        <f>計算表!G257</f>
        <v>5=50</v>
      </c>
      <c r="H257" t="str">
        <f>計算表!H257</f>
        <v>6=30</v>
      </c>
      <c r="I257" t="str">
        <f>計算表!I257</f>
        <v>7=10</v>
      </c>
      <c r="J257" t="str">
        <f>計算表!J257</f>
        <v>8=10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8-寶店刷出數量</v>
      </c>
      <c r="D258" t="str">
        <f>計算表!D258</f>
        <v>商店 Lv.4</v>
      </c>
      <c r="E258" t="str">
        <f>計算表!E258</f>
        <v>刷出數量=機率%（每格獨立）</v>
      </c>
      <c r="F258" t="str">
        <f>計算表!F258</f>
        <v>格式「刷出數量=機率%」，機率總和 100。</v>
      </c>
      <c r="G258" t="str">
        <f>計算表!G258</f>
        <v>5=45</v>
      </c>
      <c r="H258" t="str">
        <f>計算表!H258</f>
        <v>6=30</v>
      </c>
      <c r="I258" t="str">
        <f>計算表!I258</f>
        <v>7=15</v>
      </c>
      <c r="J258" t="str">
        <f>計算表!J258</f>
        <v>8=10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8-寶店刷出數量</v>
      </c>
      <c r="D259" t="str">
        <f>計算表!D259</f>
        <v>商店 Lv.5</v>
      </c>
      <c r="E259" t="str">
        <f>計算表!E259</f>
        <v>刷出數量=機率%（每格獨立）</v>
      </c>
      <c r="F259" t="str">
        <f>計算表!F259</f>
        <v>格式「刷出數量=機率%」，機率總和 100。</v>
      </c>
      <c r="G259" t="str">
        <f>計算表!G259</f>
        <v>5=40</v>
      </c>
      <c r="H259" t="str">
        <f>計算表!H259</f>
        <v>6=30</v>
      </c>
      <c r="I259" t="str">
        <f>計算表!I259</f>
        <v>7=15</v>
      </c>
      <c r="J259" t="str">
        <f>計算表!J259</f>
        <v>8=15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8-寶店刷出數量</v>
      </c>
      <c r="D260" t="str">
        <f>計算表!D260</f>
        <v>商店 Lv.6</v>
      </c>
      <c r="E260" t="str">
        <f>計算表!E260</f>
        <v>刷出數量=機率%（每格獨立）</v>
      </c>
      <c r="F260" t="str">
        <f>計算表!F260</f>
        <v>格式「刷出數量=機率%」，機率總和 100。</v>
      </c>
      <c r="G260" t="str">
        <f>計算表!G260</f>
        <v>5=35</v>
      </c>
      <c r="H260" t="str">
        <f>計算表!H260</f>
        <v>6=30</v>
      </c>
      <c r="I260" t="str">
        <f>計算表!I260</f>
        <v>7=15</v>
      </c>
      <c r="J260" t="str">
        <f>計算表!J260</f>
        <v>8=15</v>
      </c>
      <c r="K260" t="str">
        <f>計算表!K260</f>
        <v>9=5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8-寶店刷出數量</v>
      </c>
      <c r="D261" t="str">
        <f>計算表!D261</f>
        <v>商店 Lv.7</v>
      </c>
      <c r="E261" t="str">
        <f>計算表!E261</f>
        <v>刷出數量=機率%（每格獨立）</v>
      </c>
      <c r="F261" t="str">
        <f>計算表!F261</f>
        <v>格式「刷出數量=機率%」，機率總和 100。</v>
      </c>
      <c r="G261" t="str">
        <f>計算表!G261</f>
        <v>6=35</v>
      </c>
      <c r="H261" t="str">
        <f>計算表!H261</f>
        <v>7=30</v>
      </c>
      <c r="I261" t="str">
        <f>計算表!I261</f>
        <v>8=15</v>
      </c>
      <c r="J261" t="str">
        <f>計算表!J261</f>
        <v>9=15</v>
      </c>
      <c r="K261" t="str">
        <f>計算表!K261</f>
        <v>10=5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8-寶店刷出數量</v>
      </c>
      <c r="D262" t="str">
        <f>計算表!D262</f>
        <v>商店 Lv.8</v>
      </c>
      <c r="E262" t="str">
        <f>計算表!E262</f>
        <v>刷出數量=機率%（每格獨立）</v>
      </c>
      <c r="F262" t="str">
        <f>計算表!F262</f>
        <v>格式「刷出數量=機率%」，機率總和 100。</v>
      </c>
      <c r="G262" t="str">
        <f>計算表!G262</f>
        <v>6=30</v>
      </c>
      <c r="H262" t="str">
        <f>計算表!H262</f>
        <v>7=30</v>
      </c>
      <c r="I262" t="str">
        <f>計算表!I262</f>
        <v>8=15</v>
      </c>
      <c r="J262" t="str">
        <f>計算表!J262</f>
        <v>9=15</v>
      </c>
      <c r="K262" t="str">
        <f>計算表!K262</f>
        <v>10=10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8-寶店刷出數量</v>
      </c>
      <c r="D263" t="str">
        <f>計算表!D263</f>
        <v>商店 Lv.9</v>
      </c>
      <c r="E263" t="str">
        <f>計算表!E263</f>
        <v>刷出數量=機率%（每格獨立）</v>
      </c>
      <c r="F263" t="str">
        <f>計算表!F263</f>
        <v>格式「刷出數量=機率%」，機率總和 100。</v>
      </c>
      <c r="G263" t="str">
        <f>計算表!G263</f>
        <v>7=30</v>
      </c>
      <c r="H263" t="str">
        <f>計算表!H263</f>
        <v>8=30</v>
      </c>
      <c r="I263" t="str">
        <f>計算表!I263</f>
        <v>9=15</v>
      </c>
      <c r="J263" t="str">
        <f>計算表!J263</f>
        <v>10=15</v>
      </c>
      <c r="K263" t="str">
        <f>計算表!K263</f>
        <v>11=10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Lv.10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8=30</v>
      </c>
      <c r="H264" t="str">
        <f>計算表!H264</f>
        <v>9=30</v>
      </c>
      <c r="I264" t="str">
        <f>計算表!I264</f>
        <v>10=15</v>
      </c>
      <c r="J264" t="str">
        <f>計算表!J264</f>
        <v>11=15</v>
      </c>
      <c r="K264" t="str">
        <f>計算表!K264</f>
        <v>12=10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Lv.11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9=30</v>
      </c>
      <c r="H265" t="str">
        <f>計算表!H265</f>
        <v>10=30</v>
      </c>
      <c r="I265" t="str">
        <f>計算表!I265</f>
        <v>11=15</v>
      </c>
      <c r="J265" t="str">
        <f>計算表!J265</f>
        <v>12=15</v>
      </c>
      <c r="K265" t="str">
        <f>計算表!K265</f>
        <v>13=10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Lv.12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10=30</v>
      </c>
      <c r="H266" t="str">
        <f>計算表!H266</f>
        <v>11=30</v>
      </c>
      <c r="I266" t="str">
        <f>計算表!I266</f>
        <v>12=15</v>
      </c>
      <c r="J266" t="str">
        <f>計算表!J266</f>
        <v>13=15</v>
      </c>
      <c r="K266" t="str">
        <f>計算表!K266</f>
        <v>14=10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Lv.13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11=30</v>
      </c>
      <c r="H267" t="str">
        <f>計算表!H267</f>
        <v>12=30</v>
      </c>
      <c r="I267" t="str">
        <f>計算表!I267</f>
        <v>13=15</v>
      </c>
      <c r="J267" t="str">
        <f>計算表!J267</f>
        <v>14=15</v>
      </c>
      <c r="K267" t="str">
        <f>計算表!K267</f>
        <v>15=10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Lv.14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12=30</v>
      </c>
      <c r="H268" t="str">
        <f>計算表!H268</f>
        <v>13=30</v>
      </c>
      <c r="I268" t="str">
        <f>計算表!I268</f>
        <v>14=15</v>
      </c>
      <c r="J268" t="str">
        <f>計算表!J268</f>
        <v>15=15</v>
      </c>
      <c r="K268" t="str">
        <f>計算表!K268</f>
        <v>16=10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Lv.15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13=30</v>
      </c>
      <c r="H269" t="str">
        <f>計算表!H269</f>
        <v>14=30</v>
      </c>
      <c r="I269" t="str">
        <f>計算表!I269</f>
        <v>15=15</v>
      </c>
      <c r="J269" t="str">
        <f>計算表!J269</f>
        <v>16=15</v>
      </c>
      <c r="K269" t="str">
        <f>計算表!K269</f>
        <v>17=10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Lv.16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14=30</v>
      </c>
      <c r="H270" t="str">
        <f>計算表!H270</f>
        <v>15=30</v>
      </c>
      <c r="I270" t="str">
        <f>計算表!I270</f>
        <v>16=15</v>
      </c>
      <c r="J270" t="str">
        <f>計算表!J270</f>
        <v>17=15</v>
      </c>
      <c r="K270" t="str">
        <f>計算表!K270</f>
        <v>18=10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Lv.17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15=30</v>
      </c>
      <c r="H271" t="str">
        <f>計算表!H271</f>
        <v>16=30</v>
      </c>
      <c r="I271" t="str">
        <f>計算表!I271</f>
        <v>17=15</v>
      </c>
      <c r="J271" t="str">
        <f>計算表!J271</f>
        <v>18=15</v>
      </c>
      <c r="K271" t="str">
        <f>計算表!K271</f>
        <v>19=10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Lv.18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15=10</v>
      </c>
      <c r="H272" t="str">
        <f>計算表!H272</f>
        <v>16=20</v>
      </c>
      <c r="I272" t="str">
        <f>計算表!I272</f>
        <v>17=30</v>
      </c>
      <c r="J272" t="str">
        <f>計算表!J272</f>
        <v>18=15</v>
      </c>
      <c r="K272" t="str">
        <f>計算表!K272</f>
        <v>19=15</v>
      </c>
      <c r="L272" t="str">
        <f>計算表!L272</f>
        <v>20=10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Lv.19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15=10</v>
      </c>
      <c r="H273" t="str">
        <f>計算表!H273</f>
        <v>16=20</v>
      </c>
      <c r="I273" t="str">
        <f>計算表!I273</f>
        <v>17=30</v>
      </c>
      <c r="J273" t="str">
        <f>計算表!J273</f>
        <v>18=15</v>
      </c>
      <c r="K273" t="str">
        <f>計算表!K273</f>
        <v>19=15</v>
      </c>
      <c r="L273" t="str">
        <f>計算表!L273</f>
        <v>20=10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Lv.20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15=10</v>
      </c>
      <c r="H274" t="str">
        <f>計算表!H274</f>
        <v>16=20</v>
      </c>
      <c r="I274" t="str">
        <f>計算表!I274</f>
        <v>17=30</v>
      </c>
      <c r="J274" t="str">
        <f>計算表!J274</f>
        <v>18=15</v>
      </c>
      <c r="K274" t="str">
        <f>計算表!K274</f>
        <v>19=15</v>
      </c>
      <c r="L274" t="str">
        <f>計算表!L274</f>
        <v>20=10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8-寶店刷出階級</v>
      </c>
      <c r="D275" t="str">
        <f>計算表!D275</f>
        <v>商店 Lv.1</v>
      </c>
      <c r="E275" t="str">
        <f>計算表!E275</f>
        <v>寶石階級=機率%（每顆獨立）</v>
      </c>
      <c r="F275" t="str">
        <f>計算表!F275</f>
        <v>格式「階級=機率%」，機率總和 100。</v>
      </c>
      <c r="G275" t="str">
        <f>計算表!G275</f>
        <v>1=75</v>
      </c>
      <c r="H275" t="str">
        <f>計算表!H275</f>
        <v>2=20</v>
      </c>
      <c r="I275" t="str">
        <f>計算表!I275</f>
        <v>3=4</v>
      </c>
      <c r="J275" t="str">
        <f>計算表!J275</f>
        <v>4=1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8-寶店刷出階級</v>
      </c>
      <c r="D276" t="str">
        <f>計算表!D276</f>
        <v>商店 Lv.2</v>
      </c>
      <c r="E276" t="str">
        <f>計算表!E276</f>
        <v>寶石階級=機率%（每顆獨立）</v>
      </c>
      <c r="F276" t="str">
        <f>計算表!F276</f>
        <v>格式「階級=機率%」，機率總和 100。</v>
      </c>
      <c r="G276" t="str">
        <f>計算表!G276</f>
        <v>1=73</v>
      </c>
      <c r="H276" t="str">
        <f>計算表!H276</f>
        <v>2=20</v>
      </c>
      <c r="I276" t="str">
        <f>計算表!I276</f>
        <v>3=5</v>
      </c>
      <c r="J276" t="str">
        <f>計算表!J276</f>
        <v>4=2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8-寶店刷出階級</v>
      </c>
      <c r="D277" t="str">
        <f>計算表!D277</f>
        <v>商店 Lv.3</v>
      </c>
      <c r="E277" t="str">
        <f>計算表!E277</f>
        <v>寶石階級=機率%（每顆獨立）</v>
      </c>
      <c r="F277" t="str">
        <f>計算表!F277</f>
        <v>格式「階級=機率%」，機率總和 100。</v>
      </c>
      <c r="G277" t="str">
        <f>計算表!G277</f>
        <v>1=71</v>
      </c>
      <c r="H277" t="str">
        <f>計算表!H277</f>
        <v>2=20</v>
      </c>
      <c r="I277" t="str">
        <f>計算表!I277</f>
        <v>3=6</v>
      </c>
      <c r="J277" t="str">
        <f>計算表!J277</f>
        <v>4=3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8-寶店刷出階級</v>
      </c>
      <c r="D278" t="str">
        <f>計算表!D278</f>
        <v>商店 Lv.4</v>
      </c>
      <c r="E278" t="str">
        <f>計算表!E278</f>
        <v>寶石階級=機率%（每顆獨立）</v>
      </c>
      <c r="F278" t="str">
        <f>計算表!F278</f>
        <v>格式「階級=機率%」，機率總和 100。</v>
      </c>
      <c r="G278" t="str">
        <f>計算表!G278</f>
        <v>1=70.5</v>
      </c>
      <c r="H278" t="str">
        <f>計算表!H278</f>
        <v>2=20</v>
      </c>
      <c r="I278" t="str">
        <f>計算表!I278</f>
        <v>3=6</v>
      </c>
      <c r="J278" t="str">
        <f>計算表!J278</f>
        <v>4=3</v>
      </c>
      <c r="K278" t="str">
        <f>計算表!K278</f>
        <v>5=0.5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8-寶店刷出階級</v>
      </c>
      <c r="D279" t="str">
        <f>計算表!D279</f>
        <v>商店 Lv.5</v>
      </c>
      <c r="E279" t="str">
        <f>計算表!E279</f>
        <v>寶石階級=機率%（每顆獨立）</v>
      </c>
      <c r="F279" t="str">
        <f>計算表!F279</f>
        <v>格式「階級=機率%」，機率總和 100。</v>
      </c>
      <c r="G279" t="str">
        <f>計算表!G279</f>
        <v>1=69</v>
      </c>
      <c r="H279" t="str">
        <f>計算表!H279</f>
        <v>2=20</v>
      </c>
      <c r="I279" t="str">
        <f>計算表!I279</f>
        <v>3=6</v>
      </c>
      <c r="J279" t="str">
        <f>計算表!J279</f>
        <v>4=4</v>
      </c>
      <c r="K279" t="str">
        <f>計算表!K279</f>
        <v>5=1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8-寶店刷出階級</v>
      </c>
      <c r="D280" t="str">
        <f>計算表!D280</f>
        <v>商店 Lv.6</v>
      </c>
      <c r="E280" t="str">
        <f>計算表!E280</f>
        <v>寶石階級=機率%（每顆獨立）</v>
      </c>
      <c r="F280" t="str">
        <f>計算表!F280</f>
        <v>格式「階級=機率%」，機率總和 100。</v>
      </c>
      <c r="G280" t="str">
        <f>計算表!G280</f>
        <v>1=67.5</v>
      </c>
      <c r="H280" t="str">
        <f>計算表!H280</f>
        <v>2=20</v>
      </c>
      <c r="I280" t="str">
        <f>計算表!I280</f>
        <v>3=6</v>
      </c>
      <c r="J280" t="str">
        <f>計算表!J280</f>
        <v>4=5</v>
      </c>
      <c r="K280" t="str">
        <f>計算表!K280</f>
        <v>5=1.5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8-寶店刷出階級</v>
      </c>
      <c r="D281" t="str">
        <f>計算表!D281</f>
        <v>商店 Lv.7</v>
      </c>
      <c r="E281" t="str">
        <f>計算表!E281</f>
        <v>寶石階級=機率%（每顆獨立）</v>
      </c>
      <c r="F281" t="str">
        <f>計算表!F281</f>
        <v>格式「階級=機率%」，機率總和 100。</v>
      </c>
      <c r="G281" t="str">
        <f>計算表!G281</f>
        <v>1=64</v>
      </c>
      <c r="H281" t="str">
        <f>計算表!H281</f>
        <v>2=20</v>
      </c>
      <c r="I281" t="str">
        <f>計算表!I281</f>
        <v>3=8</v>
      </c>
      <c r="J281" t="str">
        <f>計算表!J281</f>
        <v>4=6</v>
      </c>
      <c r="K281" t="str">
        <f>計算表!K281</f>
        <v>5=2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8-寶店刷出階級</v>
      </c>
      <c r="D282" t="str">
        <f>計算表!D282</f>
        <v>商店 Lv.8</v>
      </c>
      <c r="E282" t="str">
        <f>計算表!E282</f>
        <v>寶石階級=機率%（每顆獨立）</v>
      </c>
      <c r="F282" t="str">
        <f>計算表!F282</f>
        <v>格式「階級=機率%」，機率總和 100。</v>
      </c>
      <c r="G282" t="str">
        <f>計算表!G282</f>
        <v>1=61.5</v>
      </c>
      <c r="H282" t="str">
        <f>計算表!H282</f>
        <v>2=20</v>
      </c>
      <c r="I282" t="str">
        <f>計算表!I282</f>
        <v>3=9</v>
      </c>
      <c r="J282" t="str">
        <f>計算表!J282</f>
        <v>4=7</v>
      </c>
      <c r="K282" t="str">
        <f>計算表!K282</f>
        <v>5=2.5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8-寶店刷出階級</v>
      </c>
      <c r="D283" t="str">
        <f>計算表!D283</f>
        <v>商店 Lv.9</v>
      </c>
      <c r="E283" t="str">
        <f>計算表!E283</f>
        <v>寶石階級=機率%（每顆獨立）</v>
      </c>
      <c r="F283" t="str">
        <f>計算表!F283</f>
        <v>格式「階級=機率%」，機率總和 100。</v>
      </c>
      <c r="G283" t="str">
        <f>計算表!G283</f>
        <v>1=59</v>
      </c>
      <c r="H283" t="str">
        <f>計算表!H283</f>
        <v>2=20</v>
      </c>
      <c r="I283" t="str">
        <f>計算表!I283</f>
        <v>3=10</v>
      </c>
      <c r="J283" t="str">
        <f>計算表!J283</f>
        <v>4=8</v>
      </c>
      <c r="K283" t="str">
        <f>計算表!K283</f>
        <v>5=3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8-寶店刷出階級</v>
      </c>
      <c r="D284" t="str">
        <f>計算表!D284</f>
        <v>商店 Lv.10</v>
      </c>
      <c r="E284" t="str">
        <f>計算表!E284</f>
        <v>寶石階級=機率%（每顆獨立）</v>
      </c>
      <c r="F284" t="str">
        <f>計算表!F284</f>
        <v>格式「階級=機率%」，機率總和 100。</v>
      </c>
      <c r="G284" t="str">
        <f>計算表!G284</f>
        <v>1=58</v>
      </c>
      <c r="H284" t="str">
        <f>計算表!H284</f>
        <v>2=20</v>
      </c>
      <c r="I284" t="str">
        <f>計算表!I284</f>
        <v>3=10</v>
      </c>
      <c r="J284" t="str">
        <f>計算表!J284</f>
        <v>4=8</v>
      </c>
      <c r="K284" t="str">
        <f>計算表!K284</f>
        <v>5=3.5</v>
      </c>
      <c r="L284" t="str">
        <f>計算表!L284</f>
        <v>6=0.5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8-寶店刷出階級</v>
      </c>
      <c r="D285" t="str">
        <f>計算表!D285</f>
        <v>商店 Lv.11</v>
      </c>
      <c r="E285" t="str">
        <f>計算表!E285</f>
        <v>寶石階級=機率%（每顆獨立）</v>
      </c>
      <c r="F285" t="str">
        <f>計算表!F285</f>
        <v>格式「階級=機率%」，機率總和 100。</v>
      </c>
      <c r="G285" t="str">
        <f>計算表!G285</f>
        <v>1=57.25</v>
      </c>
      <c r="H285" t="str">
        <f>計算表!H285</f>
        <v>2=20</v>
      </c>
      <c r="I285" t="str">
        <f>計算表!I285</f>
        <v>3=10</v>
      </c>
      <c r="J285" t="str">
        <f>計算表!J285</f>
        <v>4=8</v>
      </c>
      <c r="K285" t="str">
        <f>計算表!K285</f>
        <v>5=4</v>
      </c>
      <c r="L285" t="str">
        <f>計算表!L285</f>
        <v>6=0.75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8-寶店刷出階級</v>
      </c>
      <c r="D286" t="str">
        <f>計算表!D286</f>
        <v>商店 Lv.12</v>
      </c>
      <c r="E286" t="str">
        <f>計算表!E286</f>
        <v>寶石階級=機率%（每顆獨立）</v>
      </c>
      <c r="F286" t="str">
        <f>計算表!F286</f>
        <v>格式「階級=機率%」，機率總和 100。</v>
      </c>
      <c r="G286" t="str">
        <f>計算表!G286</f>
        <v>1=53.5</v>
      </c>
      <c r="H286" t="str">
        <f>計算表!H286</f>
        <v>2=20</v>
      </c>
      <c r="I286" t="str">
        <f>計算表!I286</f>
        <v>3=12</v>
      </c>
      <c r="J286" t="str">
        <f>計算表!J286</f>
        <v>4=9</v>
      </c>
      <c r="K286" t="str">
        <f>計算表!K286</f>
        <v>5=4.5</v>
      </c>
      <c r="L286" t="str">
        <f>計算表!L286</f>
        <v>6=1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8-寶店刷出階級</v>
      </c>
      <c r="D287" t="str">
        <f>計算表!D287</f>
        <v>商店 Lv.13</v>
      </c>
      <c r="E287" t="str">
        <f>計算表!E287</f>
        <v>寶石階級=機率%（每顆獨立）</v>
      </c>
      <c r="F287" t="str">
        <f>計算表!F287</f>
        <v>格式「階級=機率%」，機率總和 100。</v>
      </c>
      <c r="G287" t="str">
        <f>計算表!G287</f>
        <v>1=53.25</v>
      </c>
      <c r="H287" t="str">
        <f>計算表!H287</f>
        <v>2=20</v>
      </c>
      <c r="I287" t="str">
        <f>計算表!I287</f>
        <v>3=12</v>
      </c>
      <c r="J287" t="str">
        <f>計算表!J287</f>
        <v>4=9</v>
      </c>
      <c r="K287" t="str">
        <f>計算表!K287</f>
        <v>5=4.5</v>
      </c>
      <c r="L287" t="str">
        <f>計算表!L287</f>
        <v>6=1.25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8-寶店刷出階級</v>
      </c>
      <c r="D288" t="str">
        <f>計算表!D288</f>
        <v>商店 Lv.14</v>
      </c>
      <c r="E288" t="str">
        <f>計算表!E288</f>
        <v>寶石階級=機率%（每顆獨立）</v>
      </c>
      <c r="F288" t="str">
        <f>計算表!F288</f>
        <v>格式「階級=機率%」，機率總和 100。</v>
      </c>
      <c r="G288" t="str">
        <f>計算表!G288</f>
        <v>1=53</v>
      </c>
      <c r="H288" t="str">
        <f>計算表!H288</f>
        <v>2=20</v>
      </c>
      <c r="I288" t="str">
        <f>計算表!I288</f>
        <v>3=12</v>
      </c>
      <c r="J288" t="str">
        <f>計算表!J288</f>
        <v>4=9</v>
      </c>
      <c r="K288" t="str">
        <f>計算表!K288</f>
        <v>5=4.5</v>
      </c>
      <c r="L288" t="str">
        <f>計算表!L288</f>
        <v>6=1.5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8-寶店刷出階級</v>
      </c>
      <c r="D289" t="str">
        <f>計算表!D289</f>
        <v>商店 Lv.15</v>
      </c>
      <c r="E289" t="str">
        <f>計算表!E289</f>
        <v>寶石階級=機率%（每顆獨立）</v>
      </c>
      <c r="F289" t="str">
        <f>計算表!F289</f>
        <v>格式「階級=機率%」，機率總和 100。</v>
      </c>
      <c r="G289" t="str">
        <f>計算表!G289</f>
        <v>1=51.5</v>
      </c>
      <c r="H289" t="str">
        <f>計算表!H289</f>
        <v>2=20</v>
      </c>
      <c r="I289" t="str">
        <f>計算表!I289</f>
        <v>3=12</v>
      </c>
      <c r="J289" t="str">
        <f>計算表!J289</f>
        <v>4=10</v>
      </c>
      <c r="K289" t="str">
        <f>計算表!K289</f>
        <v>5=5</v>
      </c>
      <c r="L289" t="str">
        <f>計算表!L289</f>
        <v>6=1</v>
      </c>
      <c r="M289" t="str">
        <f>計算表!M289</f>
        <v>7=0.5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8-寶店刷出階級</v>
      </c>
      <c r="D290" t="str">
        <f>計算表!D290</f>
        <v>商店 Lv.16</v>
      </c>
      <c r="E290" t="str">
        <f>計算表!E290</f>
        <v>寶石階級=機率%（每顆獨立）</v>
      </c>
      <c r="F290" t="str">
        <f>計算表!F290</f>
        <v>格式「階級=機率%」，機率總和 100。</v>
      </c>
      <c r="G290" t="str">
        <f>計算表!G290</f>
        <v>1=50.75</v>
      </c>
      <c r="H290" t="str">
        <f>計算表!H290</f>
        <v>2=20</v>
      </c>
      <c r="I290" t="str">
        <f>計算表!I290</f>
        <v>3=12</v>
      </c>
      <c r="J290" t="str">
        <f>計算表!J290</f>
        <v>4=10</v>
      </c>
      <c r="K290" t="str">
        <f>計算表!K290</f>
        <v>5=5</v>
      </c>
      <c r="L290" t="str">
        <f>計算表!L290</f>
        <v>6=1.25</v>
      </c>
      <c r="M290" t="str">
        <f>計算表!M290</f>
        <v>7=1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8-寶店刷出階級</v>
      </c>
      <c r="D291" t="str">
        <f>計算表!D291</f>
        <v>商店 Lv.17</v>
      </c>
      <c r="E291" t="str">
        <f>計算表!E291</f>
        <v>寶石階級=機率%（每顆獨立）</v>
      </c>
      <c r="F291" t="str">
        <f>計算表!F291</f>
        <v>格式「階級=機率%」，機率總和 100。</v>
      </c>
      <c r="G291" t="str">
        <f>計算表!G291</f>
        <v>1=50.5</v>
      </c>
      <c r="H291" t="str">
        <f>計算表!H291</f>
        <v>2=20</v>
      </c>
      <c r="I291" t="str">
        <f>計算表!I291</f>
        <v>3=12</v>
      </c>
      <c r="J291" t="str">
        <f>計算表!J291</f>
        <v>4=10</v>
      </c>
      <c r="K291" t="str">
        <f>計算表!K291</f>
        <v>5=5</v>
      </c>
      <c r="L291" t="str">
        <f>計算表!L291</f>
        <v>6=1.25</v>
      </c>
      <c r="M291" t="str">
        <f>計算表!M291</f>
        <v>7=1.25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8-寶店刷出階級</v>
      </c>
      <c r="D292" t="str">
        <f>計算表!D292</f>
        <v>商店 Lv.18</v>
      </c>
      <c r="E292" t="str">
        <f>計算表!E292</f>
        <v>寶石階級=機率%（每顆獨立）</v>
      </c>
      <c r="F292" t="str">
        <f>計算表!F292</f>
        <v>格式「階級=機率%」，機率總和 100。</v>
      </c>
      <c r="G292" t="str">
        <f>計算表!G292</f>
        <v>1=50</v>
      </c>
      <c r="H292" t="str">
        <f>計算表!H292</f>
        <v>2=20</v>
      </c>
      <c r="I292" t="str">
        <f>計算表!I292</f>
        <v>3=12</v>
      </c>
      <c r="J292" t="str">
        <f>計算表!J292</f>
        <v>4=10</v>
      </c>
      <c r="K292" t="str">
        <f>計算表!K292</f>
        <v>5=5</v>
      </c>
      <c r="L292" t="str">
        <f>計算表!L292</f>
        <v>6=1.25</v>
      </c>
      <c r="M292" t="str">
        <f>計算表!M292</f>
        <v>7=1.25</v>
      </c>
      <c r="N292" t="str">
        <f>計算表!N292</f>
        <v>8=0.5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8-寶店刷出階級</v>
      </c>
      <c r="D293" t="str">
        <f>計算表!D293</f>
        <v>商店 Lv.19</v>
      </c>
      <c r="E293" t="str">
        <f>計算表!E293</f>
        <v>寶石階級=機率%（每顆獨立）</v>
      </c>
      <c r="F293" t="str">
        <f>計算表!F293</f>
        <v>格式「階級=機率%」，機率總和 100。</v>
      </c>
      <c r="G293" t="str">
        <f>計算表!G293</f>
        <v>1=49.65</v>
      </c>
      <c r="H293" t="str">
        <f>計算表!H293</f>
        <v>2=20</v>
      </c>
      <c r="I293" t="str">
        <f>計算表!I293</f>
        <v>3=12</v>
      </c>
      <c r="J293" t="str">
        <f>計算表!J293</f>
        <v>4=10</v>
      </c>
      <c r="K293" t="str">
        <f>計算表!K293</f>
        <v>5=5</v>
      </c>
      <c r="L293" t="str">
        <f>計算表!L293</f>
        <v>6=1.25</v>
      </c>
      <c r="M293" t="str">
        <f>計算表!M293</f>
        <v>7=1.25</v>
      </c>
      <c r="N293" t="str">
        <f>計算表!N293</f>
        <v>8=0.75</v>
      </c>
      <c r="O293" t="str">
        <f>計算表!O293</f>
        <v>9=0.1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8-寶店刷出階級</v>
      </c>
      <c r="D294" t="str">
        <f>計算表!D294</f>
        <v>商店 Lv.20</v>
      </c>
      <c r="E294" t="str">
        <f>計算表!E294</f>
        <v>寶石階級=機率%（每顆獨立）</v>
      </c>
      <c r="F294" t="str">
        <f>計算表!F294</f>
        <v>格式「階級=機率%」，機率總和 100。</v>
      </c>
      <c r="G294" t="str">
        <f>計算表!G294</f>
        <v>1=48.9</v>
      </c>
      <c r="H294" t="str">
        <f>計算表!H294</f>
        <v>2=20</v>
      </c>
      <c r="I294" t="str">
        <f>計算表!I294</f>
        <v>3=12</v>
      </c>
      <c r="J294" t="str">
        <f>計算表!J294</f>
        <v>4=10</v>
      </c>
      <c r="K294" t="str">
        <f>計算表!K294</f>
        <v>5=5</v>
      </c>
      <c r="L294" t="str">
        <f>計算表!L294</f>
        <v>6=1.25</v>
      </c>
      <c r="M294" t="str">
        <f>計算表!M294</f>
        <v>7=1.25</v>
      </c>
      <c r="N294" t="str">
        <f>計算表!N294</f>
        <v>8=1</v>
      </c>
      <c r="O294" t="str">
        <f>計算表!O294</f>
        <v>9=0.5</v>
      </c>
      <c r="P294" t="str">
        <f>計算表!P294</f>
        <v>10=0.1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9-技能</v>
      </c>
      <c r="D295" t="str">
        <f>計算表!D295</f>
        <v>技能原始傷害</v>
      </c>
      <c r="E295" t="str">
        <f>計算表!E295</f>
        <v>(base + per×(等級-1))% × 攻擊力</v>
      </c>
      <c r="F295" t="str">
        <f>計算表!F295</f>
        <v>各技能 base/per 見 skills.js 的 SKILLS 表（未納入本表）。</v>
      </c>
      <c r="G295">
        <f>計算表!G295</f>
        <v>0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9-技能</v>
      </c>
      <c r="D296" t="str">
        <f>計算表!D296</f>
        <v>一般技能法力消耗</v>
      </c>
      <c r="E296" t="str">
        <f>計算表!E296</f>
        <v>round(原始消耗 × (1 + a×(技能等級-1)))</v>
      </c>
      <c r="F296" t="str">
        <f>計算表!F296</f>
        <v>非複利。a=每級增幅。</v>
      </c>
      <c r="G296">
        <f>計算表!G296</f>
        <v>0.1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9-技能</v>
      </c>
      <c r="D297" t="str">
        <f>計算表!D297</f>
        <v>多敵人技能傷害</v>
      </c>
      <c r="E297" t="str">
        <f>計算表!E297</f>
        <v>原始傷害 × (1+範圍傷害%) ÷ 目標數</v>
      </c>
      <c r="F297" t="str">
        <f>計算表!F297</f>
        <v>單一目標不套用範圍傷害、也不除以目標數。　※規則寫死：原始傷害×(1+範圍傷害%)÷目標數。</v>
      </c>
      <c r="G297">
        <f>計算表!G297</f>
        <v>0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9-技能</v>
      </c>
      <c r="D298" t="str">
        <f>計算表!D298</f>
        <v>實際冷卻</v>
      </c>
      <c r="E298" t="str">
        <f>計算表!E298</f>
        <v>技能冷卻 × (1 - 冷卻縮減%)</v>
      </c>
      <c r="F298" t="str">
        <f>計算表!F298</f>
        <v>規則寫死：技能CD×(1-冷卻縮減%)。</v>
      </c>
      <c r="G298">
        <f>計算表!G298</f>
        <v>0</v>
      </c>
      <c r="H298">
        <f>計算表!H298</f>
        <v>0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9-技能</v>
      </c>
      <c r="D299" t="str">
        <f>計算表!D299</f>
        <v>施放硬直</v>
      </c>
      <c r="E299" t="str">
        <f>計算表!E299</f>
        <v>0 秒</v>
      </c>
      <c r="F299" t="str">
        <f>計算表!F299</f>
        <v>普攻與技能並行；技能施放間隔由技能共用冷卻（GCD）控制。</v>
      </c>
      <c r="G299">
        <f>計算表!G299</f>
        <v>0</v>
      </c>
      <c r="H299">
        <f>計算表!H299</f>
        <v>0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9-技能</v>
      </c>
      <c r="D300" t="str">
        <f>計算表!D300</f>
        <v>技能共用冷卻(GCD)</v>
      </c>
      <c r="E300" t="str">
        <f>計算表!E300</f>
        <v>a 秒（固定，不受冷卻縮減影響）</v>
      </c>
      <c r="F300" t="str">
        <f>計算表!F300</f>
        <v>技能最短施放間隔；普攻擊殺後換目標也沿用此間隔。</v>
      </c>
      <c r="G300">
        <f>計算表!G300</f>
        <v>0.4</v>
      </c>
      <c r="H300">
        <f>計算表!H300</f>
        <v>0</v>
      </c>
      <c r="I300">
        <f>計算表!I300</f>
        <v>0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9-技能</v>
      </c>
      <c r="D301" t="str">
        <f>計算表!D301</f>
        <v>升級費用</v>
      </c>
      <c r="E301" t="str">
        <f>計算表!E301</f>
        <v>a×當前等級 + b^(1 + 當前等級/c)</v>
      </c>
      <c r="F301" t="str">
        <f>計算表!F301</f>
        <v>上限 5,000,000；降級全額退還。</v>
      </c>
      <c r="G301">
        <f>計算表!G301</f>
        <v>1000</v>
      </c>
      <c r="H301">
        <f>計算表!H301</f>
        <v>20</v>
      </c>
      <c r="I301">
        <f>計算表!I301</f>
        <v>10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9-技能</v>
      </c>
      <c r="D302" t="str">
        <f>計算表!D302</f>
        <v>等級上限</v>
      </c>
      <c r="E302" t="str">
        <f>計算表!E302</f>
        <v>全部技能（含被動/融合/潛力）10；轉生後 15</v>
      </c>
      <c r="F302" t="str">
        <f>計算表!F302</f>
        <v>2026-07-30 改制：上限走「轉生對照表」param e；4/8 級里程碑效果移除門檻、自 Lv.1 全附加。</v>
      </c>
      <c r="G302">
        <f>計算表!G302</f>
        <v>0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9-技能</v>
      </c>
      <c r="D303" t="str">
        <f>計算表!D303</f>
        <v>奧術衝擊(基礎技能)</v>
      </c>
      <c r="E303" t="str">
        <f>計算表!E303</f>
        <v>MP a／冷卻 b 秒／施法 c 秒／魔攻×d＋物攻×e</v>
      </c>
      <c r="F303" t="str">
        <f>計算表!F303</f>
        <v>固定自動施放技能常數。</v>
      </c>
      <c r="G303">
        <f>計算表!G303</f>
        <v>30</v>
      </c>
      <c r="H303">
        <f>計算表!H303</f>
        <v>10</v>
      </c>
      <c r="I303">
        <f>計算表!I303</f>
        <v>0.8</v>
      </c>
      <c r="J303">
        <f>計算表!J303</f>
        <v>1.5</v>
      </c>
      <c r="K303">
        <f>計算表!K303</f>
        <v>0.3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9-融合</v>
      </c>
      <c r="D304" t="str">
        <f>計算表!D304</f>
        <v>素材繼承比例</v>
      </c>
      <c r="E304" t="str">
        <f>計算表!E304</f>
        <v>各素材 base/per × a 後加總</v>
      </c>
      <c r="F304" t="str">
        <f>計算表!F304</f>
        <v>2026-07-30 種子演算法後不再使用（FUSE_FACTOR 僅保留相容）；新演算法見「攻擊力四檔」等新列。</v>
      </c>
      <c r="G304">
        <f>計算表!G304</f>
        <v>0.75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9-融合</v>
      </c>
      <c r="D305" t="str">
        <f>計算表!D305</f>
        <v>融合冷卻</v>
      </c>
      <c r="E305" t="str">
        <f>計算表!E305</f>
        <v>素材最長冷卻 × a</v>
      </c>
      <c r="F305">
        <f>計算表!F305</f>
        <v>0</v>
      </c>
      <c r="G305">
        <f>計算表!G305</f>
        <v>1.25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9-融合</v>
      </c>
      <c r="D306" t="str">
        <f>計算表!D306</f>
        <v>變異觸發率</v>
      </c>
      <c r="E306" t="str">
        <f>計算表!E306</f>
        <v>a%</v>
      </c>
      <c r="F306" t="str">
        <f>計算表!F306</f>
        <v>8 種變異，至多 1 種。b 不再使用。</v>
      </c>
      <c r="G306">
        <f>計算表!G306</f>
        <v>45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9-融合</v>
      </c>
      <c r="D307" t="str">
        <f>計算表!D307</f>
        <v>DoT/控場/增益合併</v>
      </c>
      <c r="E307" t="str">
        <f>計算表!E307</f>
        <v>（種子演算法）buff/debuff 依鐘形權重取 1~N 個；數值於上限一半~上限均分 4 檔隨機</v>
      </c>
      <c r="F307" t="str">
        <f>計算表!F307</f>
        <v>2026-07-30 改制：舊合併規則廢止。增益/減益池=素材滿級效果同 key 取高；特效整包取 1 個素材（見「效果融合機率」）。</v>
      </c>
      <c r="G307">
        <f>計算表!G307</f>
        <v>0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9-融合</v>
      </c>
      <c r="D308" t="str">
        <f>計算表!D308</f>
        <v>融合技能法力消耗</v>
      </c>
      <c r="E308" t="str">
        <f>計算表!E308</f>
        <v>round(素材原始消耗總和 × (1 + a×(融合技等級-1)))</v>
      </c>
      <c r="F308" t="str">
        <f>計算表!F308</f>
        <v>與「9-技能/一般技能法力消耗」共用公式，本列不生效。融合技法力=素材原始消耗總和。</v>
      </c>
      <c r="G308">
        <f>計算表!G308</f>
        <v>0.1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10-離線</v>
      </c>
      <c r="D309" t="str">
        <f>計算表!D309</f>
        <v>有效離線時間</v>
      </c>
      <c r="E309" t="str">
        <f>計算表!E309</f>
        <v>min(實際離線秒數, a 小時)</v>
      </c>
      <c r="F309" t="str">
        <f>計算表!F309</f>
        <v>1 分鐘內不計。</v>
      </c>
      <c r="G309">
        <f>計算表!G309</f>
        <v>24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10-離線</v>
      </c>
      <c r="D310" t="str">
        <f>計算表!D310</f>
        <v>計算等級</v>
      </c>
      <c r="E310" t="str">
        <f>計算表!E310</f>
        <v>捨去((目前地圖最高階段 - a) ÷ 10) × 10（下限 1）</v>
      </c>
      <c r="F310" t="str">
        <f>計算表!F310</f>
        <v>a=等級扣減；以此等級的當前場景菁英怪計算離線收益（例：沼澤最高 256 → 246 捨去個位數 → 240 級沼澤菁英）。</v>
      </c>
      <c r="G310">
        <f>計算表!G310</f>
        <v>10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10-離線</v>
      </c>
      <c r="D311" t="str">
        <f>計算表!D311</f>
        <v>擊殺速率</v>
      </c>
      <c r="E311" t="str">
        <f>計算表!E311</f>
        <v>每 a 秒擊殺 1 隻菁英怪</v>
      </c>
      <c r="F311" t="str">
        <f>計算表!F311</f>
        <v>a=擊殺間隔秒數；擊殺數 = ⌊有效離線秒數 ÷ a⌋，每隻菁英怪及其掉落單獨擲骰。</v>
      </c>
      <c r="G311">
        <f>計算表!G311</f>
        <v>20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表-稀有度</v>
      </c>
      <c r="D312" t="str">
        <f>計算表!D312</f>
        <v>普通</v>
      </c>
      <c r="E312" t="str">
        <f>計算表!E312</f>
        <v>（查表）</v>
      </c>
      <c r="F312" t="str">
        <f>計算表!F312</f>
        <v>a=詞條數值倍率 b=詞條數下限 c=詞條數上限 d=寶石插槽 e=附魔欄位 f=分解係數。</v>
      </c>
      <c r="G312">
        <f>計算表!G312</f>
        <v>1</v>
      </c>
      <c r="H312">
        <f>計算表!H312</f>
        <v>1</v>
      </c>
      <c r="I312">
        <f>計算表!I312</f>
        <v>1</v>
      </c>
      <c r="J312">
        <f>計算表!J312</f>
        <v>1</v>
      </c>
      <c r="K312">
        <f>計算表!K312</f>
        <v>0</v>
      </c>
      <c r="L312">
        <f>計算表!L312</f>
        <v>1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表-稀有度</v>
      </c>
      <c r="D313" t="str">
        <f>計算表!D313</f>
        <v>精良</v>
      </c>
      <c r="E313" t="str">
        <f>計算表!E313</f>
        <v>（查表）</v>
      </c>
      <c r="F313" t="str">
        <f>計算表!F313</f>
        <v>a=詞條數值倍率 b=詞條數下限 c=詞條數上限 d=寶石插槽 e=附魔欄位 f=分解係數。</v>
      </c>
      <c r="G313">
        <f>計算表!G313</f>
        <v>1.35</v>
      </c>
      <c r="H313">
        <f>計算表!H313</f>
        <v>2</v>
      </c>
      <c r="I313">
        <f>計算表!I313</f>
        <v>2</v>
      </c>
      <c r="J313">
        <f>計算表!J313</f>
        <v>1</v>
      </c>
      <c r="K313">
        <f>計算表!K313</f>
        <v>1</v>
      </c>
      <c r="L313">
        <f>計算表!L313</f>
        <v>1.7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稀有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f=分解係數。</v>
      </c>
      <c r="G314">
        <f>計算表!G314</f>
        <v>1.75</v>
      </c>
      <c r="H314">
        <f>計算表!H314</f>
        <v>2</v>
      </c>
      <c r="I314">
        <f>計算表!I314</f>
        <v>2</v>
      </c>
      <c r="J314">
        <f>計算表!J314</f>
        <v>1</v>
      </c>
      <c r="K314">
        <f>計算表!K314</f>
        <v>1</v>
      </c>
      <c r="L314">
        <f>計算表!L314</f>
        <v>2.8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獨特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f=分解係數。</v>
      </c>
      <c r="G315">
        <f>計算表!G315</f>
        <v>2.2999999999999998</v>
      </c>
      <c r="H315">
        <f>計算表!H315</f>
        <v>3</v>
      </c>
      <c r="I315">
        <f>計算表!I315</f>
        <v>3</v>
      </c>
      <c r="J315">
        <f>計算表!J315</f>
        <v>2</v>
      </c>
      <c r="K315">
        <f>計算表!K315</f>
        <v>1</v>
      </c>
      <c r="L315">
        <f>計算表!L315</f>
        <v>4.5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表-稀有度</v>
      </c>
      <c r="D316" t="str">
        <f>計算表!D316</f>
        <v>史詩</v>
      </c>
      <c r="E316" t="str">
        <f>計算表!E316</f>
        <v>（查表）</v>
      </c>
      <c r="F316" t="str">
        <f>計算表!F316</f>
        <v>a=詞條數值倍率 b=詞條數下限 c=詞條數上限 d=寶石插槽 e=附魔欄位 f=分解係數。</v>
      </c>
      <c r="G316">
        <f>計算表!G316</f>
        <v>3</v>
      </c>
      <c r="H316">
        <f>計算表!H316</f>
        <v>4</v>
      </c>
      <c r="I316">
        <f>計算表!I316</f>
        <v>4</v>
      </c>
      <c r="J316">
        <f>計算表!J316</f>
        <v>3</v>
      </c>
      <c r="K316">
        <f>計算表!K316</f>
        <v>2</v>
      </c>
      <c r="L316">
        <f>計算表!L316</f>
        <v>7.5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表-稀有度</v>
      </c>
      <c r="D317" t="str">
        <f>計算表!D317</f>
        <v>傳說</v>
      </c>
      <c r="E317" t="str">
        <f>計算表!E317</f>
        <v>（查表）</v>
      </c>
      <c r="F317" t="str">
        <f>計算表!F317</f>
        <v>a=詞條數值倍率 b=詞條數下限 c=詞條數上限 d=寶石插槽 e=附魔欄位 f=分解係數。</v>
      </c>
      <c r="G317">
        <f>計算表!G317</f>
        <v>4</v>
      </c>
      <c r="H317">
        <f>計算表!H317</f>
        <v>5</v>
      </c>
      <c r="I317">
        <f>計算表!I317</f>
        <v>5</v>
      </c>
      <c r="J317">
        <f>計算表!J317</f>
        <v>4</v>
      </c>
      <c r="K317">
        <f>計算表!K317</f>
        <v>2</v>
      </c>
      <c r="L317">
        <f>計算表!L317</f>
        <v>12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表-稀有度</v>
      </c>
      <c r="D318" t="str">
        <f>計算表!D318</f>
        <v>神話</v>
      </c>
      <c r="E318" t="str">
        <f>計算表!E318</f>
        <v>（查表）</v>
      </c>
      <c r="F318" t="str">
        <f>計算表!F318</f>
        <v>a=詞條數值倍率 b=詞條數下限 c=詞條數上限 d=寶石插槽 e=附魔欄位 f=分解係數。</v>
      </c>
      <c r="G318">
        <f>計算表!G318</f>
        <v>5.2</v>
      </c>
      <c r="H318">
        <f>計算表!H318</f>
        <v>6</v>
      </c>
      <c r="I318">
        <f>計算表!I318</f>
        <v>6</v>
      </c>
      <c r="J318">
        <f>計算表!J318</f>
        <v>5</v>
      </c>
      <c r="K318">
        <f>計算表!K318</f>
        <v>2</v>
      </c>
      <c r="L318">
        <f>計算表!L318</f>
        <v>19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創世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f=分解係數。</v>
      </c>
      <c r="G319">
        <f>計算表!G319</f>
        <v>6.8</v>
      </c>
      <c r="H319">
        <f>計算表!H319</f>
        <v>7</v>
      </c>
      <c r="I319">
        <f>計算表!I319</f>
        <v>7</v>
      </c>
      <c r="J319">
        <f>計算表!J319</f>
        <v>6</v>
      </c>
      <c r="K319">
        <f>計算表!K319</f>
        <v>3</v>
      </c>
      <c r="L319">
        <f>計算表!L319</f>
        <v>30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神鑄創世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f=分解係數。</v>
      </c>
      <c r="G320">
        <f>計算表!G320</f>
        <v>10.199999999999999</v>
      </c>
      <c r="H320">
        <f>計算表!H320</f>
        <v>8</v>
      </c>
      <c r="I320">
        <f>計算表!I320</f>
        <v>8</v>
      </c>
      <c r="J320">
        <f>計算表!J320</f>
        <v>6</v>
      </c>
      <c r="K320">
        <f>計算表!K320</f>
        <v>3</v>
      </c>
      <c r="L320">
        <f>計算表!L320</f>
        <v>45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表-自動機組零件</v>
      </c>
      <c r="D321" t="str">
        <f>計算表!D321</f>
        <v>加速齒輪</v>
      </c>
      <c r="E321" t="str">
        <f>計算表!E321</f>
        <v>效果值 = a × 階級(T1~T7)</v>
      </c>
      <c r="F321" t="str">
        <f>計算表!F321</f>
        <v>節點=b。分解速度 +v%/階（另固定+50 個百分點）（掉寶類零件效果實際×0.5）。</v>
      </c>
      <c r="G321">
        <f>計算表!G321</f>
        <v>25</v>
      </c>
      <c r="H321" t="str">
        <f>計算表!H321</f>
        <v>salvage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表-自動機組零件</v>
      </c>
      <c r="D322" t="str">
        <f>計算表!D322</f>
        <v>碎片熔煉爐</v>
      </c>
      <c r="E322" t="str">
        <f>計算表!E322</f>
        <v>效果值 = a × 階級(T1~T7)</v>
      </c>
      <c r="F322" t="str">
        <f>計算表!F322</f>
        <v>節點=b。分解碎片產量 +v%/階（掉寶類零件效果實際×0.5）。</v>
      </c>
      <c r="G322">
        <f>計算表!G322</f>
        <v>20</v>
      </c>
      <c r="H322" t="str">
        <f>計算表!H322</f>
        <v>salvage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表-自動機組零件</v>
      </c>
      <c r="D323" t="str">
        <f>計算表!D323</f>
        <v>淘金濾網</v>
      </c>
      <c r="E323" t="str">
        <f>計算表!E323</f>
        <v>效果值 = a × 階級(T1~T7)</v>
      </c>
      <c r="F323" t="str">
        <f>計算表!F323</f>
        <v>節點=b。分解金幣產量 +v%/階（掉寶類零件效果實際×0.5）。</v>
      </c>
      <c r="G323">
        <f>計算表!G323</f>
        <v>25</v>
      </c>
      <c r="H323" t="str">
        <f>計算表!H323</f>
        <v>salvage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表-自動機組零件</v>
      </c>
      <c r="D324" t="str">
        <f>計算表!D324</f>
        <v>精粹透鏡</v>
      </c>
      <c r="E324" t="str">
        <f>計算表!E324</f>
        <v>效果值 = a × 階級(T1~T7)</v>
      </c>
      <c r="F324" t="str">
        <f>計算表!F324</f>
        <v>節點=b。附魔精華拆解產出率 +v%/階（掉寶類零件效果實際×0.5）。</v>
      </c>
      <c r="G324">
        <f>計算表!G324</f>
        <v>20</v>
      </c>
      <c r="H324" t="str">
        <f>計算表!H324</f>
        <v>salvage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表-自動機組零件</v>
      </c>
      <c r="D325" t="str">
        <f>計算表!D325</f>
        <v>拓本回收臂</v>
      </c>
      <c r="E325" t="str">
        <f>計算表!E325</f>
        <v>效果值 = a × 階級(T1~T7)</v>
      </c>
      <c r="F325" t="str">
        <f>計算表!F325</f>
        <v>節點=b。分解 v%/階 機率回收 1 本附魔書（掉寶類零件效果實際×0.5）。</v>
      </c>
      <c r="G325">
        <f>計算表!G325</f>
        <v>0.4</v>
      </c>
      <c r="H325" t="str">
        <f>計算表!H325</f>
        <v>salvage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表-自動機組零件</v>
      </c>
      <c r="D326" t="str">
        <f>計算表!D326</f>
        <v>複製處理艙</v>
      </c>
      <c r="E326" t="str">
        <f>計算表!E326</f>
        <v>效果值 = a × 階級(T1~T7)</v>
      </c>
      <c r="F326" t="str">
        <f>計算表!F326</f>
        <v>節點=b。分解 v%/階 機率碎片+金幣翻倍（掉寶類零件效果實際×0.5）。</v>
      </c>
      <c r="G326">
        <f>計算表!G326</f>
        <v>3</v>
      </c>
      <c r="H326" t="str">
        <f>計算表!H326</f>
        <v>salvage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表-自動機組零件</v>
      </c>
      <c r="D327" t="str">
        <f>計算表!D327</f>
        <v>知識回收器</v>
      </c>
      <c r="E327" t="str">
        <f>計算表!E327</f>
        <v>效果值 = a × 階級(T1~T7)</v>
      </c>
      <c r="F327" t="str">
        <f>計算表!F327</f>
        <v>節點=b。分解 v%/階 機率獲得經驗(裝備等級×25)（掉寶類零件效果實際×0.5）。</v>
      </c>
      <c r="G327">
        <f>計算表!G327</f>
        <v>1.5</v>
      </c>
      <c r="H327" t="str">
        <f>計算表!H327</f>
        <v>salvage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表-自動機組零件</v>
      </c>
      <c r="D328" t="str">
        <f>計算表!D328</f>
        <v>探礦核心</v>
      </c>
      <c r="E328" t="str">
        <f>計算表!E328</f>
        <v>效果值 = a × 階級(T1~T7)</v>
      </c>
      <c r="F328" t="str">
        <f>計算表!F328</f>
        <v>節點=b。分解 v%/階 機率額外掉一個零件（掉寶類零件效果實際×0.5）。</v>
      </c>
      <c r="G328">
        <f>計算表!G328</f>
        <v>0.15</v>
      </c>
      <c r="H328" t="str">
        <f>計算表!H328</f>
        <v>salvage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表-自動機組零件</v>
      </c>
      <c r="D329" t="str">
        <f>計算表!D329</f>
        <v>幸運晶片</v>
      </c>
      <c r="E329" t="str">
        <f>計算表!E329</f>
        <v>效果值 = a × 階級(T1~T7)</v>
      </c>
      <c r="F329" t="str">
        <f>計算表!F329</f>
        <v>節點=b。分解 v%/階 機率大豐收(碎片/金幣/精華×3)（掉寶類零件效果實際×0.5）。</v>
      </c>
      <c r="G329">
        <f>計算表!G329</f>
        <v>0.5</v>
      </c>
      <c r="H329" t="str">
        <f>計算表!H329</f>
        <v>salvage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表-自動機組零件</v>
      </c>
      <c r="D330" t="str">
        <f>計算表!D330</f>
        <v>太古精華萃取器</v>
      </c>
      <c r="E330" t="str">
        <f>計算表!E330</f>
        <v>效果值 = a × 階級(T1~T7)</v>
      </c>
      <c r="F330" t="str">
        <f>計算表!F330</f>
        <v>節點=b。分解太古精華掉落率 +v%/階（掉寶類零件效果實際×0.5）。</v>
      </c>
      <c r="G330">
        <f>計算表!G330</f>
        <v>25</v>
      </c>
      <c r="H330" t="str">
        <f>計算表!H330</f>
        <v>salvage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表-自動機組零件</v>
      </c>
      <c r="D331" t="str">
        <f>計算表!D331</f>
        <v>幸運核心</v>
      </c>
      <c r="E331" t="str">
        <f>計算表!E331</f>
        <v>效果值 = a × 階級(T1~T7)</v>
      </c>
      <c r="F331" t="str">
        <f>計算表!F331</f>
        <v>節點=b。合成大成功率 +v%/階（掉寶類零件效果實際×0.5）。</v>
      </c>
      <c r="G331">
        <f>計算表!G331</f>
        <v>8</v>
      </c>
      <c r="H331" t="str">
        <f>計算表!H331</f>
        <v>synth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表-自動機組零件</v>
      </c>
      <c r="D332" t="str">
        <f>計算表!D332</f>
        <v>重骰模組</v>
      </c>
      <c r="E332" t="str">
        <f>計算表!E332</f>
        <v>效果值 = a × 階級(T1~T7)</v>
      </c>
      <c r="F332" t="str">
        <f>計算表!F332</f>
        <v>節點=b。合成詞條重骰機率 +v%/階（掉寶類零件效果實際×0.5）。</v>
      </c>
      <c r="G332">
        <f>計算表!G332</f>
        <v>15</v>
      </c>
      <c r="H332" t="str">
        <f>計算表!H332</f>
        <v>synth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表-固定參數</v>
      </c>
      <c r="D333" t="str">
        <f>計算表!D333</f>
        <v>出怪間隔</v>
      </c>
      <c r="E333" t="str">
        <f>計算表!E333</f>
        <v>a 秒 × (1-移動速度%)</v>
      </c>
      <c r="F333" t="str">
        <f>計算表!F333</f>
        <v>RESPAWN_DELAY。</v>
      </c>
      <c r="G333">
        <f>計算表!G333</f>
        <v>0.8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表-固定參數</v>
      </c>
      <c r="D334" t="str">
        <f>計算表!D334</f>
        <v>死亡復活時間</v>
      </c>
      <c r="E334" t="str">
        <f>計算表!E334</f>
        <v>a 秒</v>
      </c>
      <c r="F334" t="str">
        <f>計算表!F334</f>
        <v>REVIVE_DELAY。</v>
      </c>
      <c r="G334">
        <f>計算表!G334</f>
        <v>3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表-固定參數</v>
      </c>
      <c r="D335" t="str">
        <f>計算表!D335</f>
        <v>零件階級上限</v>
      </c>
      <c r="E335" t="str">
        <f>計算表!E335</f>
        <v>T a</v>
      </c>
      <c r="F335" t="str">
        <f>計算表!F335</f>
        <v>PART_MAX_TIER。</v>
      </c>
      <c r="G335">
        <f>計算表!G335</f>
        <v>7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>
        <f>計算表!B336</f>
        <v>0</v>
      </c>
      <c r="C336" t="str">
        <f>計算表!C336</f>
        <v>表-固定參數</v>
      </c>
      <c r="D336" t="str">
        <f>計算表!D336</f>
        <v>零件庫存保留</v>
      </c>
      <c r="E336" t="str">
        <f>計算表!E336</f>
        <v>每種未安裝最多保留 a 顆</v>
      </c>
      <c r="F336" t="str">
        <f>計算表!F336</f>
        <v>PART_KEEP_PER_KEY，多餘自動分解。</v>
      </c>
      <c r="G336">
        <f>計算表!G336</f>
        <v>10</v>
      </c>
      <c r="H336">
        <f>計算表!H336</f>
        <v>0</v>
      </c>
      <c r="I336">
        <f>計算表!I336</f>
        <v>0</v>
      </c>
      <c r="J336">
        <f>計算表!J336</f>
        <v>0</v>
      </c>
      <c r="K336">
        <f>計算表!K336</f>
        <v>0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>
        <f>計算表!B337</f>
        <v>0</v>
      </c>
      <c r="C337" t="str">
        <f>計算表!C337</f>
        <v>表-固定參數</v>
      </c>
      <c r="D337" t="str">
        <f>計算表!D337</f>
        <v>合成節點槽位</v>
      </c>
      <c r="E337" t="str">
        <f>計算表!E337</f>
        <v>a 格</v>
      </c>
      <c r="F337" t="str">
        <f>計算表!F337</f>
        <v>分解槽為金幣解鎖 10~20 格。　※合成功能已停用，本列未生效。</v>
      </c>
      <c r="G337">
        <f>計算表!G337</f>
        <v>2</v>
      </c>
      <c r="H337">
        <f>計算表!H337</f>
        <v>0</v>
      </c>
      <c r="I337">
        <f>計算表!I337</f>
        <v>0</v>
      </c>
      <c r="J337">
        <f>計算表!J337</f>
        <v>0</v>
      </c>
      <c r="K337">
        <f>計算表!K337</f>
        <v>0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>
        <f>計算表!B338</f>
        <v>0</v>
      </c>
      <c r="C338" t="str">
        <f>計算表!C338</f>
        <v>表-固定參數</v>
      </c>
      <c r="D338" t="str">
        <f>計算表!D338</f>
        <v>寶石一般上限 / 神鑄上限</v>
      </c>
      <c r="E338" t="str">
        <f>計算表!E338</f>
        <v>一般 a 階；神鑄可到 b 階</v>
      </c>
      <c r="F338" t="str">
        <f>計算表!F338</f>
        <v>GEM_MAX_LEVEL / GEM_FORGE_MAX_LEVEL。</v>
      </c>
      <c r="G338">
        <f>計算表!G338</f>
        <v>5</v>
      </c>
      <c r="H338">
        <f>計算表!H338</f>
        <v>10</v>
      </c>
      <c r="I338">
        <f>計算表!I338</f>
        <v>0</v>
      </c>
      <c r="J338">
        <f>計算表!J338</f>
        <v>0</v>
      </c>
      <c r="K338">
        <f>計算表!K338</f>
        <v>0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>
        <f>計算表!B339</f>
        <v>0</v>
      </c>
      <c r="C339" t="str">
        <f>計算表!C339</f>
        <v>表-固定參數</v>
      </c>
      <c r="D339" t="str">
        <f>計算表!D339</f>
        <v>詞條數硬上限</v>
      </c>
      <c r="E339" t="str">
        <f>計算表!E339</f>
        <v>a 條</v>
      </c>
      <c r="F339" t="str">
        <f>計算表!F339</f>
        <v>MAX_AFFIXES = 單件裝備詞條數的安全硬上限；目前稀有度表最高 10 條。</v>
      </c>
      <c r="G339">
        <f>計算表!G339</f>
        <v>10</v>
      </c>
      <c r="H339">
        <f>計算表!H339</f>
        <v>0</v>
      </c>
      <c r="I339">
        <f>計算表!I339</f>
        <v>0</v>
      </c>
      <c r="J339">
        <f>計算表!J339</f>
        <v>0</v>
      </c>
      <c r="K339">
        <f>計算表!K339</f>
        <v>0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>
        <f>計算表!B340</f>
        <v>0</v>
      </c>
      <c r="C340" t="str">
        <f>計算表!C340</f>
        <v>表-稀有度</v>
      </c>
      <c r="D340" t="str">
        <f>計算表!D340</f>
        <v>混沌</v>
      </c>
      <c r="E340" t="str">
        <f>計算表!E340</f>
        <v>（查表）</v>
      </c>
      <c r="F340" t="str">
        <f>計算表!F340</f>
        <v>a=詞條數值倍率 b=詞條數下限 c=詞條數上限 d=寶石插槽 e=附魔欄位 f=分解係數；倍率與分解係數為暫定值，可調整。</v>
      </c>
      <c r="G340">
        <f>計算表!G340</f>
        <v>15.3</v>
      </c>
      <c r="H340">
        <f>計算表!H340</f>
        <v>9</v>
      </c>
      <c r="I340">
        <f>計算表!I340</f>
        <v>9</v>
      </c>
      <c r="J340">
        <f>計算表!J340</f>
        <v>6</v>
      </c>
      <c r="K340">
        <f>計算表!K340</f>
        <v>3</v>
      </c>
      <c r="L340">
        <f>計算表!L340</f>
        <v>67.5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>
        <f>計算表!B341</f>
        <v>0</v>
      </c>
      <c r="C341" t="str">
        <f>計算表!C341</f>
        <v>表-稀有度</v>
      </c>
      <c r="D341" t="str">
        <f>計算表!D341</f>
        <v>神鑄混沌</v>
      </c>
      <c r="E341" t="str">
        <f>計算表!E341</f>
        <v>（查表）</v>
      </c>
      <c r="F341" t="str">
        <f>計算表!F341</f>
        <v>a=詞條數值倍率 b=詞條數下限 c=詞條數上限 d=寶石插槽 e=附魔欄位 f=分解係數；倍率與分解係數為暫定值，可調整。</v>
      </c>
      <c r="G341">
        <f>計算表!G341</f>
        <v>22.95</v>
      </c>
      <c r="H341">
        <f>計算表!H341</f>
        <v>10</v>
      </c>
      <c r="I341">
        <f>計算表!I341</f>
        <v>10</v>
      </c>
      <c r="J341">
        <f>計算表!J341</f>
        <v>7</v>
      </c>
      <c r="K341">
        <f>計算表!K341</f>
        <v>3</v>
      </c>
      <c r="L341">
        <f>計算表!L341</f>
        <v>101.25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>
        <f>計算表!B342</f>
        <v>0</v>
      </c>
      <c r="C342" t="str">
        <f>計算表!C342</f>
        <v>6-神鑄</v>
      </c>
      <c r="D342" t="str">
        <f>計算表!D342</f>
        <v>裝備神鑄混沌基礎成功率</v>
      </c>
      <c r="E342" t="str">
        <f>計算表!E342</f>
        <v>混沌品質基礎成功率 a%</v>
      </c>
      <c r="F342" t="str">
        <f>計算表!F342</f>
        <v>6 件混沌裝備神鑄為神鑄混沌的基礎成功率。</v>
      </c>
      <c r="G342">
        <f>計算表!G342</f>
        <v>20</v>
      </c>
      <c r="H342">
        <f>計算表!H342</f>
        <v>0</v>
      </c>
      <c r="I342">
        <f>計算表!I342</f>
        <v>0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>
        <f>計算表!B343</f>
        <v>0</v>
      </c>
      <c r="C343" t="str">
        <f>計算表!C343</f>
        <v>6-神鑄</v>
      </c>
      <c r="D343" t="str">
        <f>計算表!D343</f>
        <v>裝備神鑄混沌金幣</v>
      </c>
      <c r="E343" t="str">
        <f>計算表!E343</f>
        <v>混沌品質單次金幣消耗 a</v>
      </c>
      <c r="F343" t="str">
        <f>計算表!F343</f>
        <v>暫定 5 億，可自行調整。</v>
      </c>
      <c r="G343">
        <f>計算表!G343</f>
        <v>500000000</v>
      </c>
      <c r="H343">
        <f>計算表!H343</f>
        <v>0</v>
      </c>
      <c r="I343">
        <f>計算表!I343</f>
        <v>0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>
        <f>計算表!B344</f>
        <v>0</v>
      </c>
      <c r="C344" t="str">
        <f>計算表!C344</f>
        <v>6-神鑄</v>
      </c>
      <c r="D344" t="str">
        <f>計算表!D344</f>
        <v>裝備神鑄混沌時間(秒)</v>
      </c>
      <c r="E344" t="str">
        <f>計算表!E344</f>
        <v>混沌品質神鑄時間 a 秒</v>
      </c>
      <c r="F344" t="str">
        <f>計算表!F344</f>
        <v>暫定 13 秒，可自行調整。</v>
      </c>
      <c r="G344">
        <f>計算表!G344</f>
        <v>13</v>
      </c>
      <c r="H344">
        <f>計算表!H344</f>
        <v>0</v>
      </c>
      <c r="I344">
        <f>計算表!I344</f>
        <v>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>
        <f>計算表!B345</f>
        <v>0</v>
      </c>
      <c r="C345" t="str">
        <f>計算表!C345</f>
        <v>1-成長經驗</v>
      </c>
      <c r="D345" t="str">
        <f>計算表!D345</f>
        <v>技能熟練度經驗需求</v>
      </c>
      <c r="E345" t="str">
        <f>計算表!E345</f>
        <v>a×熟練度等級^b + c</v>
      </c>
      <c r="F345" t="str">
        <f>計算表!F345</f>
        <v>技能熟練度升 1 級所需經驗（沿用玩家升級公式未轉生版；L=目前熟練度等級）。</v>
      </c>
      <c r="G345">
        <f>計算表!G345</f>
        <v>30</v>
      </c>
      <c r="H345">
        <f>計算表!H345</f>
        <v>3</v>
      </c>
      <c r="I345">
        <f>計算表!I345</f>
        <v>20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>
        <f>計算表!B346</f>
        <v>0</v>
      </c>
      <c r="C346" t="str">
        <f>計算表!C346</f>
        <v>1-成長經驗</v>
      </c>
      <c r="D346" t="str">
        <f>計算表!D346</f>
        <v>技能熟練度</v>
      </c>
      <c r="E346" t="str">
        <f>計算表!E346</f>
        <v>上限 a 級；擊殺技能經驗 = 怪物經驗 × b%</v>
      </c>
      <c r="F346" t="str">
        <f>計算表!F346</f>
        <v>打怪（野外/高塔/離線）獲得技能經驗；每升 1 級 +1 技能點。初始 0 級。</v>
      </c>
      <c r="G346">
        <f>計算表!G346</f>
        <v>1000</v>
      </c>
      <c r="H346">
        <f>計算表!H346</f>
        <v>50</v>
      </c>
      <c r="I346">
        <f>計算表!I346</f>
        <v>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>
        <f>計算表!B347</f>
        <v>0</v>
      </c>
      <c r="C347" t="str">
        <f>計算表!C347</f>
        <v>9-融合</v>
      </c>
      <c r="D347" t="str">
        <f>計算表!D347</f>
        <v>融合花費</v>
      </c>
      <c r="E347" t="str">
        <f>計算表!E347</f>
        <v>金幣 a × 素材數；魔法卷軸 b 張 × 素材數</v>
      </c>
      <c r="F347" t="str">
        <f>計算表!F347</f>
        <v>執行技能融合的花費。</v>
      </c>
      <c r="G347">
        <f>計算表!G347</f>
        <v>50000</v>
      </c>
      <c r="H347">
        <f>計算表!H347</f>
        <v>5</v>
      </c>
      <c r="I347">
        <f>計算表!I347</f>
        <v>0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>
        <f>計算表!B348</f>
        <v>0</v>
      </c>
      <c r="C348" t="str">
        <f>計算表!C348</f>
        <v>9-融合</v>
      </c>
      <c r="D348" t="str">
        <f>計算表!D348</f>
        <v>物魔判定</v>
      </c>
      <c r="E348" t="str">
        <f>計算表!E348</f>
        <v>混合素材：物/魔依素材數比例分掉 (100-a)%，物+魔佔 a%；雙屬性每段攻擊係數 b</v>
      </c>
      <c r="F348" t="str">
        <f>計算表!F348</f>
        <v>2 物 2 魔時即 45/45/10。純物理/純魔法素材不擲骰；任一真傷素材→真傷。</v>
      </c>
      <c r="G348">
        <f>計算表!G348</f>
        <v>10</v>
      </c>
      <c r="H348">
        <f>計算表!H348</f>
        <v>0.65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>
        <f>計算表!B349</f>
        <v>0</v>
      </c>
      <c r="C349" t="str">
        <f>計算表!C349</f>
        <v>9-融合</v>
      </c>
      <c r="D349" t="str">
        <f>計算表!D349</f>
        <v>攻擊力四檔</v>
      </c>
      <c r="E349" t="str">
        <f>計算表!E349</f>
        <v>素材滿級傷害% 平均 → ×a/b/c/d%，機率 e/f/g/h%</v>
      </c>
      <c r="F349" t="str">
        <f>計算表!F349</f>
        <v>融合技攻擊力四檔位與機率。</v>
      </c>
      <c r="G349">
        <f>計算表!G349</f>
        <v>75</v>
      </c>
      <c r="H349">
        <f>計算表!H349</f>
        <v>100</v>
      </c>
      <c r="I349">
        <f>計算表!I349</f>
        <v>125</v>
      </c>
      <c r="J349">
        <f>計算表!J349</f>
        <v>150</v>
      </c>
      <c r="K349">
        <f>計算表!K349</f>
        <v>20</v>
      </c>
      <c r="L349">
        <f>計算表!L349</f>
        <v>30</v>
      </c>
      <c r="M349">
        <f>計算表!M349</f>
        <v>30</v>
      </c>
      <c r="N349">
        <f>計算表!N349</f>
        <v>20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>
        <f>計算表!B350</f>
        <v>0</v>
      </c>
      <c r="C350" t="str">
        <f>計算表!C350</f>
        <v>9-融合</v>
      </c>
      <c r="D350" t="str">
        <f>計算表!D350</f>
        <v>同屬性加成</v>
      </c>
      <c r="E350" t="str">
        <f>計算表!E350</f>
        <v>素材中同屬性每多 1 個，該屬性最終傷害 +a%</v>
      </c>
      <c r="F350" t="str">
        <f>計算表!F350</f>
        <v>等價折入 elems 權重與總傷害值（戰鬥端零改動）。物理視為一種屬性、每個物理素材佔 2 份。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>
        <f>計算表!B351</f>
        <v>0</v>
      </c>
      <c r="C351" t="str">
        <f>計算表!C351</f>
        <v>9-融合</v>
      </c>
      <c r="D351" t="str">
        <f>計算表!D351</f>
        <v>效果融合機率</v>
      </c>
      <c r="E351" t="str">
        <f>計算表!E351</f>
        <v>a%</v>
      </c>
      <c r="F351" t="str">
        <f>計算表!F351</f>
        <v>特效正常取 1 個素材的特效包；a% 機率再併入第 2 個素材的特效包（最多 2 個）。</v>
      </c>
      <c r="G351">
        <f>計算表!G351</f>
        <v>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>
        <f>計算表!B352</f>
        <v>0</v>
      </c>
      <c r="C352" t="str">
        <f>計算表!C352</f>
        <v>9-融合</v>
      </c>
      <c r="D352" t="str">
        <f>計算表!D352</f>
        <v>成長曲線</v>
      </c>
      <c r="E352" t="str">
        <f>計算表!E352</f>
        <v>Lv.1 = 滿級值 × a，線性成長至滿級（10 級基準）</v>
      </c>
      <c r="F352" t="str">
        <f>計算表!F352</f>
        <v>融合技所有隨機結果值為滿級值；轉生上限 15 時可超過滿級值（與一般技能同理）。</v>
      </c>
      <c r="G352">
        <f>計算表!G352</f>
        <v>0.6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>
        <f>計算表!B353</f>
        <v>0</v>
      </c>
      <c r="C353" t="str">
        <f>計算表!C353</f>
        <v>6-分解精華機率</v>
      </c>
      <c r="D353" t="str">
        <f>計算表!D353</f>
        <v>魔法卷軸換算</v>
      </c>
      <c r="E353" t="str">
        <f>計算表!E353</f>
        <v>魔法卷軸 = 附魔精華實得量 × a（機率式進位）</v>
      </c>
      <c r="F353" t="str">
        <f>計算表!F353</f>
        <v>拆解裝備與高塔通關皆適用；期望值 = 精華量 × a。</v>
      </c>
      <c r="G353">
        <f>計算表!G353</f>
        <v>0.1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53"/>
  <sheetViews>
    <sheetView tabSelected="1" topLeftCell="A137" workbookViewId="0">
      <selection activeCell="H154" sqref="H154"/>
    </sheetView>
  </sheetViews>
  <sheetFormatPr defaultRowHeight="15" x14ac:dyDescent="0.25"/>
  <cols>
    <col min="3" max="3" width="21.140625" customWidth="1"/>
    <col min="4" max="4" width="30" customWidth="1"/>
    <col min="5" max="5" width="36.28515625" customWidth="1"/>
    <col min="6" max="6" width="35.5703125" customWidth="1"/>
    <col min="7" max="13" width="1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30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A29+1</f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ht="15.75" x14ac:dyDescent="0.25">
      <c r="A43">
        <f t="shared" si="0"/>
        <v>42</v>
      </c>
      <c r="B43">
        <v>0</v>
      </c>
      <c r="C43" t="s">
        <v>103</v>
      </c>
      <c r="D43" t="s">
        <v>145</v>
      </c>
      <c r="E43" s="1" t="s">
        <v>1055</v>
      </c>
      <c r="F43" s="2" t="s">
        <v>1056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146</v>
      </c>
      <c r="E44" t="s">
        <v>147</v>
      </c>
      <c r="F44" t="s">
        <v>148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150</v>
      </c>
      <c r="E45" t="s">
        <v>151</v>
      </c>
      <c r="F45" t="s">
        <v>152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153</v>
      </c>
      <c r="E46" t="s">
        <v>151</v>
      </c>
      <c r="F46" t="s">
        <v>154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155</v>
      </c>
      <c r="E47" t="s">
        <v>151</v>
      </c>
      <c r="F47" t="s">
        <v>156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157</v>
      </c>
      <c r="E48" t="s">
        <v>151</v>
      </c>
      <c r="F48" t="s">
        <v>158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159</v>
      </c>
      <c r="E49" t="s">
        <v>151</v>
      </c>
      <c r="F49" t="s">
        <v>160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161</v>
      </c>
      <c r="E50" t="s">
        <v>151</v>
      </c>
      <c r="F50" t="s">
        <v>162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163</v>
      </c>
      <c r="E51" t="s">
        <v>151</v>
      </c>
      <c r="F51" t="s">
        <v>164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165</v>
      </c>
      <c r="E52" t="s">
        <v>151</v>
      </c>
      <c r="F52" t="s">
        <v>166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167</v>
      </c>
      <c r="E53" t="s">
        <v>151</v>
      </c>
      <c r="F53" t="s">
        <v>168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169</v>
      </c>
      <c r="E54" t="s">
        <v>151</v>
      </c>
      <c r="F54" t="s">
        <v>170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171</v>
      </c>
      <c r="E55" t="s">
        <v>151</v>
      </c>
      <c r="F55" t="s">
        <v>172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173</v>
      </c>
      <c r="E56" t="s">
        <v>151</v>
      </c>
      <c r="F56" t="s">
        <v>174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175</v>
      </c>
      <c r="E57" t="s">
        <v>151</v>
      </c>
      <c r="F57" t="s">
        <v>176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149</v>
      </c>
      <c r="D58" t="s">
        <v>177</v>
      </c>
      <c r="E58" t="s">
        <v>151</v>
      </c>
      <c r="F58" t="s">
        <v>178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149</v>
      </c>
      <c r="D59" t="s">
        <v>179</v>
      </c>
      <c r="E59" t="s">
        <v>151</v>
      </c>
      <c r="F59" t="s">
        <v>180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149</v>
      </c>
      <c r="D60" t="s">
        <v>181</v>
      </c>
      <c r="E60" t="s">
        <v>151</v>
      </c>
      <c r="F60" t="s">
        <v>182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149</v>
      </c>
      <c r="D61" t="s">
        <v>183</v>
      </c>
      <c r="E61" t="s">
        <v>151</v>
      </c>
      <c r="F61" t="s">
        <v>184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149</v>
      </c>
      <c r="D62" t="s">
        <v>185</v>
      </c>
      <c r="E62" t="s">
        <v>151</v>
      </c>
      <c r="F62" t="s">
        <v>186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149</v>
      </c>
      <c r="D63" t="s">
        <v>187</v>
      </c>
      <c r="E63" t="s">
        <v>151</v>
      </c>
      <c r="F63" t="s">
        <v>188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149</v>
      </c>
      <c r="D64" t="s">
        <v>189</v>
      </c>
      <c r="E64" t="s">
        <v>151</v>
      </c>
      <c r="F64" t="s">
        <v>190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191</v>
      </c>
      <c r="D65" t="s">
        <v>192</v>
      </c>
      <c r="E65" t="s">
        <v>193</v>
      </c>
      <c r="F65" t="s">
        <v>194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191</v>
      </c>
      <c r="D66" t="s">
        <v>195</v>
      </c>
      <c r="E66" t="s">
        <v>196</v>
      </c>
      <c r="F66" t="s">
        <v>197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191</v>
      </c>
      <c r="D67" t="s">
        <v>198</v>
      </c>
      <c r="E67" t="s">
        <v>199</v>
      </c>
      <c r="F67" t="s">
        <v>200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191</v>
      </c>
      <c r="D68" t="s">
        <v>201</v>
      </c>
      <c r="E68" t="s">
        <v>199</v>
      </c>
      <c r="F68" t="s">
        <v>200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191</v>
      </c>
      <c r="D69" t="s">
        <v>202</v>
      </c>
      <c r="E69" t="s">
        <v>199</v>
      </c>
      <c r="F69" t="s">
        <v>203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191</v>
      </c>
      <c r="D70" t="s">
        <v>204</v>
      </c>
      <c r="E70" t="s">
        <v>205</v>
      </c>
      <c r="F70" t="s">
        <v>206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191</v>
      </c>
      <c r="D71" t="s">
        <v>207</v>
      </c>
      <c r="E71" t="s">
        <v>208</v>
      </c>
      <c r="F71" t="s">
        <v>209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191</v>
      </c>
      <c r="D72" t="s">
        <v>210</v>
      </c>
      <c r="E72" t="s">
        <v>211</v>
      </c>
      <c r="F72" t="s">
        <v>212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191</v>
      </c>
      <c r="D73" t="s">
        <v>213</v>
      </c>
      <c r="E73" t="s">
        <v>214</v>
      </c>
      <c r="F73" t="s">
        <v>215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191</v>
      </c>
      <c r="D74" s="4" t="s">
        <v>1080</v>
      </c>
      <c r="E74" t="s">
        <v>216</v>
      </c>
      <c r="F74" s="4" t="s">
        <v>1081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191</v>
      </c>
      <c r="D75" t="s">
        <v>217</v>
      </c>
      <c r="E75" t="s">
        <v>218</v>
      </c>
      <c r="F75" t="s">
        <v>219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191</v>
      </c>
      <c r="D76" t="s">
        <v>220</v>
      </c>
      <c r="E76" t="s">
        <v>221</v>
      </c>
      <c r="F76" t="s">
        <v>222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191</v>
      </c>
      <c r="D77" t="s">
        <v>223</v>
      </c>
      <c r="E77" t="s">
        <v>216</v>
      </c>
      <c r="F77" t="s">
        <v>224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191</v>
      </c>
      <c r="D78" t="s">
        <v>225</v>
      </c>
      <c r="E78" t="s">
        <v>226</v>
      </c>
      <c r="F78" t="s">
        <v>227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191</v>
      </c>
      <c r="D79" t="s">
        <v>228</v>
      </c>
      <c r="E79" t="s">
        <v>229</v>
      </c>
      <c r="F79" t="s">
        <v>230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191</v>
      </c>
      <c r="D80" t="s">
        <v>231</v>
      </c>
      <c r="E80" t="s">
        <v>232</v>
      </c>
      <c r="F80" t="s">
        <v>233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191</v>
      </c>
      <c r="D81" t="s">
        <v>234</v>
      </c>
      <c r="E81" t="s">
        <v>235</v>
      </c>
      <c r="F81" t="s">
        <v>236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191</v>
      </c>
      <c r="D82" t="s">
        <v>237</v>
      </c>
      <c r="E82" t="s">
        <v>238</v>
      </c>
      <c r="F82" t="s">
        <v>239</v>
      </c>
      <c r="G82">
        <v>0.01</v>
      </c>
      <c r="H82">
        <v>100</v>
      </c>
      <c r="I82">
        <v>0.68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240</v>
      </c>
      <c r="D83" t="s">
        <v>241</v>
      </c>
      <c r="E83" t="s">
        <v>242</v>
      </c>
      <c r="F83" t="s">
        <v>243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240</v>
      </c>
      <c r="D84" t="s">
        <v>244</v>
      </c>
      <c r="E84" t="s">
        <v>242</v>
      </c>
      <c r="F84" t="s">
        <v>245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240</v>
      </c>
      <c r="D85" t="s">
        <v>246</v>
      </c>
      <c r="E85" t="s">
        <v>242</v>
      </c>
      <c r="F85" t="s">
        <v>247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240</v>
      </c>
      <c r="D86" t="s">
        <v>248</v>
      </c>
      <c r="E86" t="s">
        <v>242</v>
      </c>
      <c r="F86" t="s">
        <v>249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240</v>
      </c>
      <c r="D87" t="s">
        <v>250</v>
      </c>
      <c r="E87" t="s">
        <v>242</v>
      </c>
      <c r="F87" t="s">
        <v>251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252</v>
      </c>
      <c r="D88" t="s">
        <v>253</v>
      </c>
      <c r="E88" t="s">
        <v>254</v>
      </c>
      <c r="F88" t="s">
        <v>255</v>
      </c>
      <c r="G88">
        <v>20</v>
      </c>
      <c r="H88">
        <v>18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252</v>
      </c>
      <c r="D89" t="s">
        <v>256</v>
      </c>
      <c r="E89" t="s">
        <v>254</v>
      </c>
      <c r="F89" t="s">
        <v>255</v>
      </c>
      <c r="G89">
        <v>3</v>
      </c>
      <c r="H89">
        <v>4</v>
      </c>
      <c r="I89">
        <v>1.0549999999999999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252</v>
      </c>
      <c r="D90" t="s">
        <v>119</v>
      </c>
      <c r="E90" t="s">
        <v>254</v>
      </c>
      <c r="F90" t="s">
        <v>257</v>
      </c>
      <c r="G90">
        <v>2</v>
      </c>
      <c r="H90">
        <v>0.5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252</v>
      </c>
      <c r="D91" t="s">
        <v>258</v>
      </c>
      <c r="E91" t="s">
        <v>254</v>
      </c>
      <c r="F91" t="s">
        <v>255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252</v>
      </c>
      <c r="D92" t="s">
        <v>259</v>
      </c>
      <c r="E92" t="s">
        <v>254</v>
      </c>
      <c r="F92" t="s">
        <v>255</v>
      </c>
      <c r="G92">
        <v>60</v>
      </c>
      <c r="H92">
        <v>1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252</v>
      </c>
      <c r="D93" t="s">
        <v>134</v>
      </c>
      <c r="E93" t="s">
        <v>260</v>
      </c>
      <c r="F93" t="s">
        <v>261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252</v>
      </c>
      <c r="D94" t="s">
        <v>137</v>
      </c>
      <c r="E94" t="s">
        <v>262</v>
      </c>
      <c r="F94" t="s">
        <v>263</v>
      </c>
      <c r="G94">
        <v>100</v>
      </c>
      <c r="H94" t="s">
        <v>264</v>
      </c>
      <c r="I94" t="s">
        <v>265</v>
      </c>
      <c r="J94" t="s">
        <v>266</v>
      </c>
      <c r="K94" t="s">
        <v>267</v>
      </c>
      <c r="L94" t="s">
        <v>268</v>
      </c>
      <c r="M94" t="s">
        <v>269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252</v>
      </c>
      <c r="D95" t="s">
        <v>140</v>
      </c>
      <c r="E95" t="s">
        <v>262</v>
      </c>
      <c r="F95" t="s">
        <v>270</v>
      </c>
      <c r="G95">
        <v>5</v>
      </c>
      <c r="H95" t="s">
        <v>264</v>
      </c>
      <c r="I95" t="s">
        <v>271</v>
      </c>
      <c r="J95" t="s">
        <v>272</v>
      </c>
      <c r="K95" t="s">
        <v>273</v>
      </c>
      <c r="L95" t="s">
        <v>274</v>
      </c>
      <c r="M95" t="s">
        <v>275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252</v>
      </c>
      <c r="D96" t="s">
        <v>276</v>
      </c>
      <c r="E96" t="s">
        <v>277</v>
      </c>
      <c r="F96" t="s">
        <v>278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252</v>
      </c>
      <c r="D97" t="s">
        <v>279</v>
      </c>
      <c r="E97" t="s">
        <v>280</v>
      </c>
      <c r="F97" t="s">
        <v>281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282</v>
      </c>
      <c r="D98" t="s">
        <v>283</v>
      </c>
      <c r="E98" t="s">
        <v>284</v>
      </c>
      <c r="F98" t="s">
        <v>285</v>
      </c>
      <c r="G98">
        <v>1</v>
      </c>
      <c r="H98">
        <v>1</v>
      </c>
      <c r="I98">
        <v>1</v>
      </c>
      <c r="J98">
        <v>1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282</v>
      </c>
      <c r="D99" t="s">
        <v>286</v>
      </c>
      <c r="E99" t="s">
        <v>284</v>
      </c>
      <c r="F99" t="s">
        <v>285</v>
      </c>
      <c r="G99">
        <v>2.2000000000000002</v>
      </c>
      <c r="H99">
        <v>1.8</v>
      </c>
      <c r="I99">
        <v>1.5</v>
      </c>
      <c r="J99">
        <v>1.25</v>
      </c>
      <c r="K99">
        <v>1.2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282</v>
      </c>
      <c r="D100" t="s">
        <v>287</v>
      </c>
      <c r="E100" t="s">
        <v>284</v>
      </c>
      <c r="F100" t="s">
        <v>285</v>
      </c>
      <c r="G100">
        <v>4.5</v>
      </c>
      <c r="H100">
        <v>3</v>
      </c>
      <c r="I100">
        <v>2.8</v>
      </c>
      <c r="J100">
        <v>1.5</v>
      </c>
      <c r="K100">
        <v>2.2000000000000002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282</v>
      </c>
      <c r="D101" t="s">
        <v>288</v>
      </c>
      <c r="E101" t="s">
        <v>284</v>
      </c>
      <c r="F101" t="s">
        <v>285</v>
      </c>
      <c r="G101">
        <v>10</v>
      </c>
      <c r="H101">
        <v>5</v>
      </c>
      <c r="I101">
        <v>4</v>
      </c>
      <c r="J101">
        <v>1.75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282</v>
      </c>
      <c r="D102" t="s">
        <v>289</v>
      </c>
      <c r="E102" t="s">
        <v>284</v>
      </c>
      <c r="F102" t="s">
        <v>285</v>
      </c>
      <c r="G102">
        <v>25</v>
      </c>
      <c r="H102">
        <v>10</v>
      </c>
      <c r="I102">
        <v>8</v>
      </c>
      <c r="J102">
        <v>2</v>
      </c>
      <c r="K102">
        <v>12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282</v>
      </c>
      <c r="D103" t="s">
        <v>290</v>
      </c>
      <c r="E103" t="s">
        <v>284</v>
      </c>
      <c r="F103" t="s">
        <v>285</v>
      </c>
      <c r="G103">
        <v>60</v>
      </c>
      <c r="H103">
        <v>20</v>
      </c>
      <c r="I103">
        <v>15</v>
      </c>
      <c r="J103">
        <v>2.25</v>
      </c>
      <c r="K103">
        <v>25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ht="15.75" x14ac:dyDescent="0.25">
      <c r="A104">
        <f t="shared" si="1"/>
        <v>103</v>
      </c>
      <c r="B104" s="3" t="s">
        <v>1053</v>
      </c>
      <c r="C104" t="s">
        <v>291</v>
      </c>
      <c r="D104" s="1" t="s">
        <v>1048</v>
      </c>
      <c r="E104" t="s">
        <v>293</v>
      </c>
      <c r="F104" t="s">
        <v>294</v>
      </c>
      <c r="G104" s="2" t="s">
        <v>1065</v>
      </c>
      <c r="H104" t="s">
        <v>310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ht="15.75" x14ac:dyDescent="0.25">
      <c r="A105">
        <f t="shared" si="1"/>
        <v>104</v>
      </c>
      <c r="B105" s="3" t="s">
        <v>1053</v>
      </c>
      <c r="C105" t="s">
        <v>291</v>
      </c>
      <c r="D105" s="1" t="s">
        <v>1049</v>
      </c>
      <c r="E105" t="s">
        <v>293</v>
      </c>
      <c r="F105" t="s">
        <v>294</v>
      </c>
      <c r="G105" s="2" t="s">
        <v>1066</v>
      </c>
      <c r="H105" s="2" t="s">
        <v>310</v>
      </c>
      <c r="I105" t="s">
        <v>1067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ht="15.75" x14ac:dyDescent="0.25">
      <c r="A106">
        <f t="shared" si="1"/>
        <v>105</v>
      </c>
      <c r="B106" s="3" t="s">
        <v>1053</v>
      </c>
      <c r="C106" t="s">
        <v>291</v>
      </c>
      <c r="D106" s="1" t="s">
        <v>1050</v>
      </c>
      <c r="E106" t="s">
        <v>293</v>
      </c>
      <c r="F106" t="s">
        <v>294</v>
      </c>
      <c r="G106" s="2" t="s">
        <v>1068</v>
      </c>
      <c r="H106" s="2" t="s">
        <v>1069</v>
      </c>
      <c r="I106" s="2" t="s">
        <v>1070</v>
      </c>
      <c r="J106" t="s">
        <v>1071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ht="15.75" x14ac:dyDescent="0.25">
      <c r="A107">
        <f t="shared" si="1"/>
        <v>106</v>
      </c>
      <c r="B107" s="3" t="s">
        <v>1053</v>
      </c>
      <c r="C107" t="s">
        <v>291</v>
      </c>
      <c r="D107" s="1" t="s">
        <v>1051</v>
      </c>
      <c r="E107" t="s">
        <v>293</v>
      </c>
      <c r="F107" t="s">
        <v>294</v>
      </c>
      <c r="G107" s="2" t="s">
        <v>1072</v>
      </c>
      <c r="H107" s="2" t="s">
        <v>1073</v>
      </c>
      <c r="I107" s="2" t="s">
        <v>1074</v>
      </c>
      <c r="J107" s="2" t="s">
        <v>1075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 s="3" t="s">
        <v>1053</v>
      </c>
      <c r="C108" t="s">
        <v>291</v>
      </c>
      <c r="D108" s="1" t="s">
        <v>1052</v>
      </c>
      <c r="E108" t="s">
        <v>293</v>
      </c>
      <c r="F108" t="s">
        <v>294</v>
      </c>
      <c r="G108" s="2" t="s">
        <v>1076</v>
      </c>
      <c r="H108" s="2" t="s">
        <v>1077</v>
      </c>
      <c r="I108" s="2" t="s">
        <v>297</v>
      </c>
      <c r="J108" s="2" t="s">
        <v>1078</v>
      </c>
      <c r="K108" s="2" t="s">
        <v>1079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291</v>
      </c>
      <c r="D109" t="s">
        <v>292</v>
      </c>
      <c r="E109" t="s">
        <v>293</v>
      </c>
      <c r="F109" t="s">
        <v>294</v>
      </c>
      <c r="G109" t="s">
        <v>295</v>
      </c>
      <c r="H109" t="s">
        <v>296</v>
      </c>
      <c r="I109" t="s">
        <v>297</v>
      </c>
      <c r="J109" t="s">
        <v>298</v>
      </c>
      <c r="K109" t="s">
        <v>299</v>
      </c>
      <c r="L109" t="s">
        <v>300</v>
      </c>
      <c r="M109" t="s">
        <v>301</v>
      </c>
      <c r="N109" t="s">
        <v>302</v>
      </c>
      <c r="O109" t="s">
        <v>303</v>
      </c>
      <c r="P109" t="s">
        <v>304</v>
      </c>
      <c r="Q109" t="s">
        <v>305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291</v>
      </c>
      <c r="D110" t="s">
        <v>306</v>
      </c>
      <c r="E110" t="s">
        <v>293</v>
      </c>
      <c r="F110" t="s">
        <v>307</v>
      </c>
      <c r="G110" t="s">
        <v>308</v>
      </c>
      <c r="H110" t="s">
        <v>309</v>
      </c>
      <c r="I110" t="s">
        <v>310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291</v>
      </c>
      <c r="D111" t="s">
        <v>311</v>
      </c>
      <c r="E111" t="s">
        <v>293</v>
      </c>
      <c r="F111" t="s">
        <v>312</v>
      </c>
      <c r="G111" t="s">
        <v>313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314</v>
      </c>
      <c r="D112" t="s">
        <v>315</v>
      </c>
      <c r="E112" t="s">
        <v>316</v>
      </c>
      <c r="F112" t="s">
        <v>317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314</v>
      </c>
      <c r="D113" t="s">
        <v>318</v>
      </c>
      <c r="E113" t="s">
        <v>319</v>
      </c>
      <c r="F113" t="s">
        <v>320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314</v>
      </c>
      <c r="D114" t="s">
        <v>321</v>
      </c>
      <c r="E114" t="s">
        <v>322</v>
      </c>
      <c r="F114" t="s">
        <v>323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324</v>
      </c>
      <c r="D115" t="s">
        <v>325</v>
      </c>
      <c r="E115" t="s">
        <v>326</v>
      </c>
      <c r="F115" t="s">
        <v>327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324</v>
      </c>
      <c r="D116" t="s">
        <v>328</v>
      </c>
      <c r="E116" t="s">
        <v>329</v>
      </c>
      <c r="F116" t="s">
        <v>330</v>
      </c>
      <c r="G116">
        <v>20</v>
      </c>
      <c r="H116">
        <v>6</v>
      </c>
      <c r="I116">
        <v>4</v>
      </c>
      <c r="J116">
        <v>12</v>
      </c>
      <c r="K116">
        <v>5</v>
      </c>
      <c r="L116">
        <v>1.2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324</v>
      </c>
      <c r="D117" t="s">
        <v>331</v>
      </c>
      <c r="E117" t="s">
        <v>280</v>
      </c>
      <c r="F117" t="s">
        <v>332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282</v>
      </c>
      <c r="D118" t="s">
        <v>283</v>
      </c>
      <c r="E118" t="s">
        <v>39</v>
      </c>
      <c r="F118" t="s">
        <v>333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334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282</v>
      </c>
      <c r="D119" t="s">
        <v>286</v>
      </c>
      <c r="E119" t="s">
        <v>39</v>
      </c>
      <c r="F119" t="s">
        <v>333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335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282</v>
      </c>
      <c r="D120" t="s">
        <v>287</v>
      </c>
      <c r="E120" t="s">
        <v>39</v>
      </c>
      <c r="F120" t="s">
        <v>333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336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337</v>
      </c>
      <c r="D121" t="s">
        <v>338</v>
      </c>
      <c r="E121" t="s">
        <v>339</v>
      </c>
      <c r="F121" t="s">
        <v>340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337</v>
      </c>
      <c r="D122" t="s">
        <v>341</v>
      </c>
      <c r="E122" t="s">
        <v>342</v>
      </c>
      <c r="F122" t="s">
        <v>343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337</v>
      </c>
      <c r="D123" t="s">
        <v>137</v>
      </c>
      <c r="E123" t="s">
        <v>344</v>
      </c>
      <c r="F123" t="s">
        <v>345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337</v>
      </c>
      <c r="D124" t="s">
        <v>346</v>
      </c>
      <c r="E124" t="s">
        <v>347</v>
      </c>
      <c r="F124" t="s">
        <v>348</v>
      </c>
      <c r="G124" t="s">
        <v>349</v>
      </c>
      <c r="H124" t="s">
        <v>350</v>
      </c>
      <c r="I124" t="s">
        <v>351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337</v>
      </c>
      <c r="D125" t="s">
        <v>253</v>
      </c>
      <c r="E125" t="s">
        <v>352</v>
      </c>
      <c r="F125" t="s">
        <v>353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337</v>
      </c>
      <c r="D126" t="s">
        <v>256</v>
      </c>
      <c r="E126" t="s">
        <v>354</v>
      </c>
      <c r="F126" t="s">
        <v>355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337</v>
      </c>
      <c r="D127" t="s">
        <v>356</v>
      </c>
      <c r="E127" t="s">
        <v>357</v>
      </c>
      <c r="F127" t="s">
        <v>358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337</v>
      </c>
      <c r="D128" t="s">
        <v>359</v>
      </c>
      <c r="E128" t="s">
        <v>360</v>
      </c>
      <c r="F128" t="s">
        <v>361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337</v>
      </c>
      <c r="D129" t="s">
        <v>140</v>
      </c>
      <c r="E129" t="s">
        <v>362</v>
      </c>
      <c r="F129" t="s">
        <v>363</v>
      </c>
      <c r="G129">
        <v>20</v>
      </c>
      <c r="H129">
        <v>10000000</v>
      </c>
      <c r="I129">
        <v>40</v>
      </c>
      <c r="J129">
        <v>20</v>
      </c>
      <c r="K129">
        <v>10000000</v>
      </c>
      <c r="L129">
        <v>40</v>
      </c>
      <c r="M129">
        <v>20</v>
      </c>
      <c r="N129">
        <v>10000000</v>
      </c>
      <c r="O129">
        <v>40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337</v>
      </c>
      <c r="D130" t="s">
        <v>364</v>
      </c>
      <c r="E130" t="s">
        <v>365</v>
      </c>
      <c r="F130" t="s">
        <v>366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337</v>
      </c>
      <c r="D131" t="s">
        <v>259</v>
      </c>
      <c r="E131" t="s">
        <v>367</v>
      </c>
      <c r="F131" t="s">
        <v>368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337</v>
      </c>
      <c r="D132" t="s">
        <v>369</v>
      </c>
      <c r="E132" t="s">
        <v>370</v>
      </c>
      <c r="F132" t="s">
        <v>371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337</v>
      </c>
      <c r="D133" t="s">
        <v>372</v>
      </c>
      <c r="E133" t="s">
        <v>373</v>
      </c>
      <c r="F133" t="s">
        <v>374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337</v>
      </c>
      <c r="D134" t="s">
        <v>375</v>
      </c>
      <c r="E134" t="s">
        <v>373</v>
      </c>
      <c r="F134" t="s">
        <v>376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337</v>
      </c>
      <c r="D135" t="s">
        <v>377</v>
      </c>
      <c r="E135" t="s">
        <v>378</v>
      </c>
      <c r="F135" t="s">
        <v>379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337</v>
      </c>
      <c r="D136" t="s">
        <v>380</v>
      </c>
      <c r="E136" t="s">
        <v>381</v>
      </c>
      <c r="F136" t="s">
        <v>382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337</v>
      </c>
      <c r="D137" t="s">
        <v>383</v>
      </c>
      <c r="E137" t="s">
        <v>384</v>
      </c>
      <c r="F137" t="s">
        <v>385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337</v>
      </c>
      <c r="D138" t="s">
        <v>386</v>
      </c>
      <c r="E138" t="s">
        <v>387</v>
      </c>
      <c r="F138" t="s">
        <v>376</v>
      </c>
      <c r="G138" t="s">
        <v>388</v>
      </c>
      <c r="H138" t="s">
        <v>389</v>
      </c>
      <c r="I138" t="s">
        <v>390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391</v>
      </c>
      <c r="D139" t="s">
        <v>392</v>
      </c>
      <c r="E139" t="s">
        <v>393</v>
      </c>
      <c r="F139" t="s">
        <v>394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391</v>
      </c>
      <c r="D140" t="s">
        <v>395</v>
      </c>
      <c r="E140" t="s">
        <v>396</v>
      </c>
      <c r="F140" t="s">
        <v>397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391</v>
      </c>
      <c r="D141" t="s">
        <v>398</v>
      </c>
      <c r="E141" t="s">
        <v>399</v>
      </c>
      <c r="F141" t="s">
        <v>400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401</v>
      </c>
      <c r="D142" t="s">
        <v>402</v>
      </c>
      <c r="E142" t="s">
        <v>403</v>
      </c>
      <c r="F142" t="s">
        <v>404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401</v>
      </c>
      <c r="D143" t="s">
        <v>405</v>
      </c>
      <c r="E143" t="s">
        <v>406</v>
      </c>
      <c r="F143" t="s">
        <v>407</v>
      </c>
      <c r="G143">
        <v>55</v>
      </c>
      <c r="H143" t="s">
        <v>408</v>
      </c>
      <c r="I143" t="s">
        <v>409</v>
      </c>
      <c r="J143" t="s">
        <v>334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401</v>
      </c>
      <c r="D144" t="s">
        <v>410</v>
      </c>
      <c r="E144" t="s">
        <v>406</v>
      </c>
      <c r="F144" t="s">
        <v>407</v>
      </c>
      <c r="G144">
        <v>25</v>
      </c>
      <c r="H144" t="s">
        <v>408</v>
      </c>
      <c r="I144">
        <v>2</v>
      </c>
      <c r="J144" t="s">
        <v>334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401</v>
      </c>
      <c r="D145" t="s">
        <v>411</v>
      </c>
      <c r="E145" t="s">
        <v>406</v>
      </c>
      <c r="F145" t="s">
        <v>407</v>
      </c>
      <c r="G145">
        <v>12</v>
      </c>
      <c r="H145" t="s">
        <v>408</v>
      </c>
      <c r="I145">
        <v>2.5</v>
      </c>
      <c r="J145" t="s">
        <v>334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401</v>
      </c>
      <c r="D146" t="s">
        <v>412</v>
      </c>
      <c r="E146" t="s">
        <v>406</v>
      </c>
      <c r="F146" t="s">
        <v>407</v>
      </c>
      <c r="G146">
        <v>5.5</v>
      </c>
      <c r="H146" t="s">
        <v>408</v>
      </c>
      <c r="I146">
        <v>3</v>
      </c>
      <c r="J146" t="s">
        <v>334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401</v>
      </c>
      <c r="D147" t="s">
        <v>413</v>
      </c>
      <c r="E147" t="s">
        <v>406</v>
      </c>
      <c r="F147" t="s">
        <v>407</v>
      </c>
      <c r="G147">
        <v>1.8</v>
      </c>
      <c r="H147" t="s">
        <v>408</v>
      </c>
      <c r="I147">
        <v>3.5</v>
      </c>
      <c r="J147" t="s">
        <v>414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401</v>
      </c>
      <c r="D148" t="s">
        <v>415</v>
      </c>
      <c r="E148" t="s">
        <v>406</v>
      </c>
      <c r="F148" t="s">
        <v>407</v>
      </c>
      <c r="G148">
        <v>0.35</v>
      </c>
      <c r="H148" t="s">
        <v>408</v>
      </c>
      <c r="I148">
        <v>4</v>
      </c>
      <c r="J148" t="s">
        <v>416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401</v>
      </c>
      <c r="D149" t="s">
        <v>417</v>
      </c>
      <c r="E149" t="s">
        <v>406</v>
      </c>
      <c r="F149" t="s">
        <v>407</v>
      </c>
      <c r="G149">
        <v>0.08</v>
      </c>
      <c r="H149" t="s">
        <v>408</v>
      </c>
      <c r="I149">
        <v>4.5</v>
      </c>
      <c r="J149" t="s">
        <v>418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401</v>
      </c>
      <c r="D150" t="s">
        <v>419</v>
      </c>
      <c r="E150" t="s">
        <v>406</v>
      </c>
      <c r="F150" t="s">
        <v>407</v>
      </c>
      <c r="G150">
        <v>1.4999999999999999E-2</v>
      </c>
      <c r="H150" t="s">
        <v>408</v>
      </c>
      <c r="I150">
        <v>5</v>
      </c>
      <c r="J150" t="s">
        <v>420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421</v>
      </c>
      <c r="D151" t="s">
        <v>422</v>
      </c>
      <c r="E151" t="s">
        <v>423</v>
      </c>
      <c r="F151" t="s">
        <v>424</v>
      </c>
      <c r="G151" s="2" t="s">
        <v>1058</v>
      </c>
      <c r="H151" s="2" t="s">
        <v>1059</v>
      </c>
      <c r="I151" t="s">
        <v>425</v>
      </c>
      <c r="J151" t="s">
        <v>426</v>
      </c>
      <c r="K151" t="s">
        <v>427</v>
      </c>
      <c r="L151" t="s">
        <v>428</v>
      </c>
      <c r="M151" t="s">
        <v>429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421</v>
      </c>
      <c r="D152" t="s">
        <v>430</v>
      </c>
      <c r="E152" t="s">
        <v>423</v>
      </c>
      <c r="F152" t="s">
        <v>424</v>
      </c>
      <c r="G152" s="2" t="s">
        <v>1061</v>
      </c>
      <c r="H152" s="2" t="s">
        <v>1060</v>
      </c>
      <c r="I152" t="s">
        <v>431</v>
      </c>
      <c r="J152" t="s">
        <v>432</v>
      </c>
      <c r="K152" t="s">
        <v>433</v>
      </c>
      <c r="L152" t="s">
        <v>434</v>
      </c>
      <c r="M152" t="s">
        <v>435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421</v>
      </c>
      <c r="D153" t="s">
        <v>436</v>
      </c>
      <c r="E153" t="s">
        <v>423</v>
      </c>
      <c r="F153" t="s">
        <v>424</v>
      </c>
      <c r="G153" s="2" t="s">
        <v>1062</v>
      </c>
      <c r="H153" s="2" t="s">
        <v>1063</v>
      </c>
      <c r="I153" s="2" t="s">
        <v>1057</v>
      </c>
      <c r="J153" t="s">
        <v>437</v>
      </c>
      <c r="K153" t="s">
        <v>438</v>
      </c>
      <c r="L153" t="s">
        <v>439</v>
      </c>
      <c r="M153" t="s">
        <v>440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421</v>
      </c>
      <c r="D154" t="s">
        <v>441</v>
      </c>
      <c r="E154" t="s">
        <v>423</v>
      </c>
      <c r="F154" t="s">
        <v>424</v>
      </c>
      <c r="G154" s="2" t="s">
        <v>1085</v>
      </c>
      <c r="H154" s="2" t="s">
        <v>1082</v>
      </c>
      <c r="I154" s="2" t="s">
        <v>1084</v>
      </c>
      <c r="J154" s="2" t="s">
        <v>1083</v>
      </c>
      <c r="K154" t="s">
        <v>443</v>
      </c>
      <c r="L154" t="s">
        <v>444</v>
      </c>
      <c r="M154" t="s">
        <v>445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421</v>
      </c>
      <c r="D155" t="s">
        <v>446</v>
      </c>
      <c r="E155" t="s">
        <v>423</v>
      </c>
      <c r="F155" t="s">
        <v>424</v>
      </c>
      <c r="G155" t="s">
        <v>442</v>
      </c>
      <c r="H155" t="s">
        <v>447</v>
      </c>
      <c r="I155" t="s">
        <v>448</v>
      </c>
      <c r="J155" t="s">
        <v>449</v>
      </c>
      <c r="K155" t="s">
        <v>450</v>
      </c>
      <c r="L155" t="s">
        <v>451</v>
      </c>
      <c r="M155" t="s">
        <v>452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421</v>
      </c>
      <c r="D156" t="s">
        <v>453</v>
      </c>
      <c r="E156" t="s">
        <v>423</v>
      </c>
      <c r="F156" t="s">
        <v>424</v>
      </c>
      <c r="G156" t="s">
        <v>442</v>
      </c>
      <c r="H156" t="s">
        <v>454</v>
      </c>
      <c r="I156" t="s">
        <v>266</v>
      </c>
      <c r="J156" t="s">
        <v>455</v>
      </c>
      <c r="K156" t="s">
        <v>456</v>
      </c>
      <c r="L156" t="s">
        <v>457</v>
      </c>
      <c r="M156" t="s">
        <v>458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421</v>
      </c>
      <c r="D157" t="s">
        <v>459</v>
      </c>
      <c r="E157" t="s">
        <v>423</v>
      </c>
      <c r="F157" t="s">
        <v>424</v>
      </c>
      <c r="G157" t="s">
        <v>442</v>
      </c>
      <c r="H157" t="s">
        <v>454</v>
      </c>
      <c r="I157" t="s">
        <v>460</v>
      </c>
      <c r="J157" t="s">
        <v>461</v>
      </c>
      <c r="K157" t="s">
        <v>462</v>
      </c>
      <c r="L157" t="s">
        <v>463</v>
      </c>
      <c r="M157" t="s">
        <v>464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421</v>
      </c>
      <c r="D158" t="s">
        <v>465</v>
      </c>
      <c r="E158" t="s">
        <v>423</v>
      </c>
      <c r="F158" t="s">
        <v>424</v>
      </c>
      <c r="G158" t="s">
        <v>442</v>
      </c>
      <c r="H158" t="s">
        <v>454</v>
      </c>
      <c r="I158" t="s">
        <v>460</v>
      </c>
      <c r="J158" t="s">
        <v>466</v>
      </c>
      <c r="K158" t="s">
        <v>467</v>
      </c>
      <c r="L158" t="s">
        <v>468</v>
      </c>
      <c r="M158" t="s">
        <v>469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421</v>
      </c>
      <c r="D159" t="s">
        <v>470</v>
      </c>
      <c r="E159" t="s">
        <v>471</v>
      </c>
      <c r="F159" t="s">
        <v>472</v>
      </c>
      <c r="G159">
        <v>551</v>
      </c>
      <c r="H159">
        <v>1</v>
      </c>
      <c r="I159">
        <v>1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473</v>
      </c>
      <c r="D160" t="s">
        <v>474</v>
      </c>
      <c r="E160" t="s">
        <v>475</v>
      </c>
      <c r="F160" t="s">
        <v>476</v>
      </c>
      <c r="G160">
        <v>2</v>
      </c>
      <c r="H160">
        <v>0.5</v>
      </c>
      <c r="I160">
        <v>0.2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473</v>
      </c>
      <c r="D161" t="s">
        <v>477</v>
      </c>
      <c r="E161" t="s">
        <v>475</v>
      </c>
      <c r="F161" t="s">
        <v>476</v>
      </c>
      <c r="G161">
        <v>4</v>
      </c>
      <c r="H161">
        <v>0.8</v>
      </c>
      <c r="I161">
        <v>0.3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473</v>
      </c>
      <c r="D162" t="s">
        <v>478</v>
      </c>
      <c r="E162" t="s">
        <v>475</v>
      </c>
      <c r="F162" t="s">
        <v>476</v>
      </c>
      <c r="G162">
        <v>6</v>
      </c>
      <c r="H162">
        <v>1.1000000000000001</v>
      </c>
      <c r="I162">
        <v>0.4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473</v>
      </c>
      <c r="D163" t="s">
        <v>479</v>
      </c>
      <c r="E163" t="s">
        <v>475</v>
      </c>
      <c r="F163" t="s">
        <v>476</v>
      </c>
      <c r="G163">
        <v>8</v>
      </c>
      <c r="H163">
        <v>1.4</v>
      </c>
      <c r="I163">
        <v>0.5</v>
      </c>
      <c r="J163">
        <v>0.1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473</v>
      </c>
      <c r="D164" t="s">
        <v>480</v>
      </c>
      <c r="E164" t="s">
        <v>475</v>
      </c>
      <c r="F164" t="s">
        <v>476</v>
      </c>
      <c r="G164">
        <v>10</v>
      </c>
      <c r="H164">
        <v>1.7</v>
      </c>
      <c r="I164">
        <v>0.6</v>
      </c>
      <c r="J164">
        <v>0.2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473</v>
      </c>
      <c r="D165" t="s">
        <v>481</v>
      </c>
      <c r="E165" t="s">
        <v>475</v>
      </c>
      <c r="F165" t="s">
        <v>476</v>
      </c>
      <c r="G165">
        <v>12</v>
      </c>
      <c r="H165">
        <v>2</v>
      </c>
      <c r="I165">
        <v>0.7</v>
      </c>
      <c r="J165">
        <v>0.3</v>
      </c>
      <c r="K165">
        <v>0.2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473</v>
      </c>
      <c r="D166" t="s">
        <v>482</v>
      </c>
      <c r="E166" t="s">
        <v>475</v>
      </c>
      <c r="F166" t="s">
        <v>476</v>
      </c>
      <c r="G166">
        <v>14</v>
      </c>
      <c r="H166">
        <v>2.2999999999999998</v>
      </c>
      <c r="I166">
        <v>0.8</v>
      </c>
      <c r="J166">
        <v>0.4</v>
      </c>
      <c r="K166">
        <v>0.3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483</v>
      </c>
      <c r="D167" t="s">
        <v>484</v>
      </c>
      <c r="E167" t="s">
        <v>485</v>
      </c>
      <c r="F167" t="s">
        <v>486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483</v>
      </c>
      <c r="D168" t="s">
        <v>487</v>
      </c>
      <c r="E168" t="s">
        <v>488</v>
      </c>
      <c r="F168" t="s">
        <v>489</v>
      </c>
      <c r="G168">
        <v>5</v>
      </c>
      <c r="H168">
        <v>1</v>
      </c>
      <c r="I168">
        <v>49</v>
      </c>
      <c r="J168">
        <v>0.1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483</v>
      </c>
      <c r="D169" t="s">
        <v>490</v>
      </c>
      <c r="E169" t="s">
        <v>488</v>
      </c>
      <c r="F169" t="s">
        <v>491</v>
      </c>
      <c r="G169">
        <v>10</v>
      </c>
      <c r="H169">
        <v>1</v>
      </c>
      <c r="I169">
        <v>49</v>
      </c>
      <c r="J169">
        <v>0.1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483</v>
      </c>
      <c r="D170" t="s">
        <v>492</v>
      </c>
      <c r="E170" t="s">
        <v>493</v>
      </c>
      <c r="F170" t="s">
        <v>494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495</v>
      </c>
      <c r="D171" t="s">
        <v>496</v>
      </c>
      <c r="E171" t="s">
        <v>497</v>
      </c>
      <c r="F171" t="s">
        <v>498</v>
      </c>
      <c r="G171">
        <v>100</v>
      </c>
      <c r="H171">
        <v>10</v>
      </c>
      <c r="I171">
        <v>40</v>
      </c>
      <c r="J171">
        <v>2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495</v>
      </c>
      <c r="D172" t="s">
        <v>499</v>
      </c>
      <c r="E172" t="s">
        <v>500</v>
      </c>
      <c r="F172" t="s">
        <v>501</v>
      </c>
      <c r="G172">
        <v>92</v>
      </c>
      <c r="H172">
        <v>7.5</v>
      </c>
      <c r="I172">
        <v>0.5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495</v>
      </c>
      <c r="D173" t="s">
        <v>502</v>
      </c>
      <c r="E173" t="s">
        <v>503</v>
      </c>
      <c r="F173" t="s">
        <v>504</v>
      </c>
      <c r="G173">
        <v>78.099999999999994</v>
      </c>
      <c r="H173">
        <v>19.2</v>
      </c>
      <c r="I173">
        <v>2.4</v>
      </c>
      <c r="J173">
        <v>0.3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495</v>
      </c>
      <c r="D174" t="s">
        <v>505</v>
      </c>
      <c r="E174" t="s">
        <v>506</v>
      </c>
      <c r="F174" t="s">
        <v>507</v>
      </c>
      <c r="G174">
        <v>72.11</v>
      </c>
      <c r="H174">
        <v>22.12</v>
      </c>
      <c r="I174">
        <v>4.6100000000000003</v>
      </c>
      <c r="J174">
        <v>0.96</v>
      </c>
      <c r="K174">
        <v>0.2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495</v>
      </c>
      <c r="D175" t="s">
        <v>508</v>
      </c>
      <c r="E175" t="s">
        <v>509</v>
      </c>
      <c r="F175" t="s">
        <v>510</v>
      </c>
      <c r="G175">
        <v>74.349999999999994</v>
      </c>
      <c r="H175">
        <v>18.739999999999998</v>
      </c>
      <c r="I175">
        <v>5.07</v>
      </c>
      <c r="J175">
        <v>1.37</v>
      </c>
      <c r="K175">
        <v>0.37</v>
      </c>
      <c r="L175">
        <v>0.1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495</v>
      </c>
      <c r="D176" t="s">
        <v>511</v>
      </c>
      <c r="E176" t="s">
        <v>512</v>
      </c>
      <c r="F176" t="s">
        <v>513</v>
      </c>
      <c r="G176">
        <v>76.87</v>
      </c>
      <c r="H176">
        <v>15.04</v>
      </c>
      <c r="I176">
        <v>5.28</v>
      </c>
      <c r="J176">
        <v>1.85</v>
      </c>
      <c r="K176">
        <v>0.65</v>
      </c>
      <c r="L176">
        <v>0.23</v>
      </c>
      <c r="M176">
        <v>0.08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495</v>
      </c>
      <c r="D177" t="s">
        <v>514</v>
      </c>
      <c r="E177" t="s">
        <v>515</v>
      </c>
      <c r="F177" t="s">
        <v>516</v>
      </c>
      <c r="G177">
        <v>69.92</v>
      </c>
      <c r="H177">
        <v>18.53</v>
      </c>
      <c r="I177">
        <v>7.13</v>
      </c>
      <c r="J177">
        <v>2.74</v>
      </c>
      <c r="K177">
        <v>1.05</v>
      </c>
      <c r="L177">
        <v>0.41</v>
      </c>
      <c r="M177">
        <v>0.16</v>
      </c>
      <c r="N177">
        <v>0.06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495</v>
      </c>
      <c r="D178" t="s">
        <v>517</v>
      </c>
      <c r="E178" t="s">
        <v>518</v>
      </c>
      <c r="F178" t="s">
        <v>519</v>
      </c>
      <c r="G178">
        <v>64.22</v>
      </c>
      <c r="H178">
        <v>21.19</v>
      </c>
      <c r="I178">
        <v>8.65</v>
      </c>
      <c r="J178">
        <v>3.53</v>
      </c>
      <c r="K178">
        <v>1.44</v>
      </c>
      <c r="L178">
        <v>0.59</v>
      </c>
      <c r="M178">
        <v>0.24</v>
      </c>
      <c r="N178">
        <v>0.1</v>
      </c>
      <c r="O178">
        <v>0.04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495</v>
      </c>
      <c r="D179" t="s">
        <v>520</v>
      </c>
      <c r="E179" t="s">
        <v>521</v>
      </c>
      <c r="F179" t="s">
        <v>522</v>
      </c>
      <c r="G179">
        <v>59.92</v>
      </c>
      <c r="H179">
        <v>23.53</v>
      </c>
      <c r="I179">
        <v>9.7200000000000006</v>
      </c>
      <c r="J179">
        <v>4.0199999999999996</v>
      </c>
      <c r="K179">
        <v>1.66</v>
      </c>
      <c r="L179">
        <v>0.69</v>
      </c>
      <c r="M179">
        <v>0.28000000000000003</v>
      </c>
      <c r="N179">
        <v>0.12</v>
      </c>
      <c r="O179">
        <v>0.05</v>
      </c>
      <c r="P179">
        <v>0.02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495</v>
      </c>
      <c r="D180" t="s">
        <v>523</v>
      </c>
      <c r="E180" t="s">
        <v>524</v>
      </c>
      <c r="F180" t="s">
        <v>525</v>
      </c>
      <c r="G180">
        <v>54.72</v>
      </c>
      <c r="H180">
        <v>26.42</v>
      </c>
      <c r="I180">
        <v>11.01</v>
      </c>
      <c r="J180">
        <v>4.59</v>
      </c>
      <c r="K180">
        <v>1.91</v>
      </c>
      <c r="L180">
        <v>0.8</v>
      </c>
      <c r="M180">
        <v>0.33</v>
      </c>
      <c r="N180">
        <v>0.14000000000000001</v>
      </c>
      <c r="O180">
        <v>0.06</v>
      </c>
      <c r="P180">
        <v>0.02</v>
      </c>
      <c r="Q180">
        <v>0.01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495</v>
      </c>
      <c r="D181" t="s">
        <v>526</v>
      </c>
      <c r="E181" t="s">
        <v>527</v>
      </c>
      <c r="F181" t="s">
        <v>528</v>
      </c>
      <c r="G181">
        <v>1.35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495</v>
      </c>
      <c r="D182" t="s">
        <v>529</v>
      </c>
      <c r="E182" t="s">
        <v>530</v>
      </c>
      <c r="F182" t="s">
        <v>531</v>
      </c>
      <c r="G182">
        <v>0.5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495</v>
      </c>
      <c r="D183" t="s">
        <v>532</v>
      </c>
      <c r="E183" t="s">
        <v>533</v>
      </c>
      <c r="F183" t="s">
        <v>534</v>
      </c>
      <c r="G183">
        <v>4000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535</v>
      </c>
      <c r="D184" t="s">
        <v>536</v>
      </c>
      <c r="E184" t="s">
        <v>537</v>
      </c>
      <c r="F184" t="s">
        <v>538</v>
      </c>
      <c r="G184">
        <v>4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535</v>
      </c>
      <c r="D185" t="s">
        <v>258</v>
      </c>
      <c r="E185" t="s">
        <v>539</v>
      </c>
      <c r="F185" t="s">
        <v>540</v>
      </c>
      <c r="G185">
        <v>200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535</v>
      </c>
      <c r="D186" t="s">
        <v>541</v>
      </c>
      <c r="E186" t="s">
        <v>542</v>
      </c>
      <c r="F186" t="s">
        <v>543</v>
      </c>
      <c r="G186">
        <v>4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535</v>
      </c>
      <c r="D187" t="s">
        <v>544</v>
      </c>
      <c r="E187" t="s">
        <v>545</v>
      </c>
      <c r="F187" t="s">
        <v>546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535</v>
      </c>
      <c r="D188" t="s">
        <v>547</v>
      </c>
      <c r="E188" t="s">
        <v>548</v>
      </c>
      <c r="F188" t="s">
        <v>549</v>
      </c>
      <c r="G188">
        <v>4</v>
      </c>
      <c r="H188">
        <v>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550</v>
      </c>
      <c r="D189" t="s">
        <v>422</v>
      </c>
      <c r="E189" t="s">
        <v>551</v>
      </c>
      <c r="F189" t="s">
        <v>552</v>
      </c>
      <c r="G189" t="s">
        <v>553</v>
      </c>
      <c r="H189" t="s">
        <v>554</v>
      </c>
      <c r="I189" t="s">
        <v>555</v>
      </c>
      <c r="J189" t="s">
        <v>556</v>
      </c>
      <c r="K189" t="s">
        <v>557</v>
      </c>
      <c r="L189" t="s">
        <v>558</v>
      </c>
      <c r="M189" t="s">
        <v>559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550</v>
      </c>
      <c r="D190" t="s">
        <v>430</v>
      </c>
      <c r="E190" t="s">
        <v>551</v>
      </c>
      <c r="F190" t="s">
        <v>552</v>
      </c>
      <c r="G190" t="s">
        <v>553</v>
      </c>
      <c r="H190" t="s">
        <v>554</v>
      </c>
      <c r="I190" t="s">
        <v>555</v>
      </c>
      <c r="J190" t="s">
        <v>556</v>
      </c>
      <c r="K190" t="s">
        <v>557</v>
      </c>
      <c r="L190" t="s">
        <v>558</v>
      </c>
      <c r="M190" t="s">
        <v>559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550</v>
      </c>
      <c r="D191" t="s">
        <v>436</v>
      </c>
      <c r="E191" t="s">
        <v>551</v>
      </c>
      <c r="F191" t="s">
        <v>552</v>
      </c>
      <c r="G191" t="s">
        <v>560</v>
      </c>
      <c r="H191" t="s">
        <v>561</v>
      </c>
      <c r="I191" t="s">
        <v>555</v>
      </c>
      <c r="J191" t="s">
        <v>556</v>
      </c>
      <c r="K191" t="s">
        <v>557</v>
      </c>
      <c r="L191" t="s">
        <v>558</v>
      </c>
      <c r="M191" t="s">
        <v>559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550</v>
      </c>
      <c r="D192" t="s">
        <v>441</v>
      </c>
      <c r="E192" t="s">
        <v>551</v>
      </c>
      <c r="F192" t="s">
        <v>552</v>
      </c>
      <c r="G192" t="s">
        <v>562</v>
      </c>
      <c r="H192" t="s">
        <v>561</v>
      </c>
      <c r="I192" t="s">
        <v>563</v>
      </c>
      <c r="J192" t="s">
        <v>564</v>
      </c>
      <c r="K192" t="s">
        <v>565</v>
      </c>
      <c r="L192" t="s">
        <v>566</v>
      </c>
      <c r="M192" t="s">
        <v>567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550</v>
      </c>
      <c r="D193" t="s">
        <v>446</v>
      </c>
      <c r="E193" t="s">
        <v>551</v>
      </c>
      <c r="F193" t="s">
        <v>552</v>
      </c>
      <c r="G193" t="s">
        <v>568</v>
      </c>
      <c r="H193" t="s">
        <v>569</v>
      </c>
      <c r="I193" t="s">
        <v>563</v>
      </c>
      <c r="J193" t="s">
        <v>570</v>
      </c>
      <c r="K193" t="s">
        <v>571</v>
      </c>
      <c r="L193" t="s">
        <v>572</v>
      </c>
      <c r="M193" t="s">
        <v>573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550</v>
      </c>
      <c r="D194" t="s">
        <v>453</v>
      </c>
      <c r="E194" t="s">
        <v>551</v>
      </c>
      <c r="F194" t="s">
        <v>552</v>
      </c>
      <c r="G194" t="s">
        <v>574</v>
      </c>
      <c r="H194" t="s">
        <v>575</v>
      </c>
      <c r="I194" t="s">
        <v>576</v>
      </c>
      <c r="J194" t="s">
        <v>577</v>
      </c>
      <c r="K194" t="s">
        <v>578</v>
      </c>
      <c r="L194" t="s">
        <v>579</v>
      </c>
      <c r="M194" t="s">
        <v>580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550</v>
      </c>
      <c r="D195" t="s">
        <v>459</v>
      </c>
      <c r="E195" t="s">
        <v>551</v>
      </c>
      <c r="F195" t="s">
        <v>552</v>
      </c>
      <c r="G195" t="s">
        <v>553</v>
      </c>
      <c r="H195" t="s">
        <v>581</v>
      </c>
      <c r="I195" t="s">
        <v>582</v>
      </c>
      <c r="J195" t="s">
        <v>583</v>
      </c>
      <c r="K195" t="s">
        <v>584</v>
      </c>
      <c r="L195" t="s">
        <v>585</v>
      </c>
      <c r="M195" t="s">
        <v>586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550</v>
      </c>
      <c r="D196" t="s">
        <v>465</v>
      </c>
      <c r="E196" t="s">
        <v>551</v>
      </c>
      <c r="F196" t="s">
        <v>552</v>
      </c>
      <c r="G196" t="s">
        <v>553</v>
      </c>
      <c r="H196" t="s">
        <v>554</v>
      </c>
      <c r="I196" t="s">
        <v>587</v>
      </c>
      <c r="J196" t="s">
        <v>588</v>
      </c>
      <c r="K196" t="s">
        <v>589</v>
      </c>
      <c r="L196" t="s">
        <v>590</v>
      </c>
      <c r="M196" t="s">
        <v>591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592</v>
      </c>
      <c r="D197" t="s">
        <v>593</v>
      </c>
      <c r="E197" t="s">
        <v>594</v>
      </c>
      <c r="F197" t="s">
        <v>595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592</v>
      </c>
      <c r="D198" t="s">
        <v>596</v>
      </c>
      <c r="E198" t="s">
        <v>597</v>
      </c>
      <c r="F198" t="s">
        <v>598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592</v>
      </c>
      <c r="D199" t="s">
        <v>599</v>
      </c>
      <c r="E199" t="s">
        <v>600</v>
      </c>
      <c r="F199" t="s">
        <v>601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592</v>
      </c>
      <c r="D200" t="s">
        <v>602</v>
      </c>
      <c r="E200" t="s">
        <v>603</v>
      </c>
      <c r="F200" t="s">
        <v>604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592</v>
      </c>
      <c r="D201" t="s">
        <v>605</v>
      </c>
      <c r="E201" t="s">
        <v>606</v>
      </c>
      <c r="F201" t="s">
        <v>607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592</v>
      </c>
      <c r="D202" t="s">
        <v>608</v>
      </c>
      <c r="E202" t="s">
        <v>609</v>
      </c>
      <c r="F202" t="s">
        <v>610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592</v>
      </c>
      <c r="D203" t="s">
        <v>611</v>
      </c>
      <c r="E203" t="s">
        <v>612</v>
      </c>
      <c r="F203" t="s">
        <v>613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592</v>
      </c>
      <c r="D204" t="s">
        <v>614</v>
      </c>
      <c r="E204" t="s">
        <v>615</v>
      </c>
      <c r="F204" t="s">
        <v>616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592</v>
      </c>
      <c r="D205" t="s">
        <v>617</v>
      </c>
      <c r="E205" t="s">
        <v>618</v>
      </c>
      <c r="F205" t="s">
        <v>619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592</v>
      </c>
      <c r="D206" t="s">
        <v>620</v>
      </c>
      <c r="E206" t="s">
        <v>621</v>
      </c>
      <c r="F206" t="s">
        <v>622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592</v>
      </c>
      <c r="D207" t="s">
        <v>623</v>
      </c>
      <c r="E207" t="s">
        <v>624</v>
      </c>
      <c r="F207" t="s">
        <v>625</v>
      </c>
      <c r="G207">
        <v>3</v>
      </c>
      <c r="H207">
        <v>0.5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626</v>
      </c>
      <c r="D208" t="s">
        <v>627</v>
      </c>
      <c r="E208" t="s">
        <v>628</v>
      </c>
      <c r="F208" t="s">
        <v>629</v>
      </c>
      <c r="G208">
        <v>5</v>
      </c>
      <c r="H208">
        <v>7.5</v>
      </c>
      <c r="I208">
        <v>10</v>
      </c>
      <c r="J208">
        <v>15</v>
      </c>
      <c r="K208">
        <v>20</v>
      </c>
      <c r="L208">
        <v>25</v>
      </c>
      <c r="M208">
        <v>30</v>
      </c>
      <c r="N208">
        <v>100</v>
      </c>
      <c r="O208">
        <v>100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626</v>
      </c>
      <c r="D209" t="s">
        <v>630</v>
      </c>
      <c r="E209" t="s">
        <v>631</v>
      </c>
      <c r="F209" t="s">
        <v>632</v>
      </c>
      <c r="G209">
        <v>0</v>
      </c>
      <c r="H209">
        <v>0</v>
      </c>
      <c r="I209">
        <v>0</v>
      </c>
      <c r="J209">
        <v>0.1</v>
      </c>
      <c r="K209">
        <v>0.5</v>
      </c>
      <c r="L209">
        <v>1</v>
      </c>
      <c r="M209">
        <v>10</v>
      </c>
      <c r="N209">
        <v>100</v>
      </c>
      <c r="O209">
        <v>100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633</v>
      </c>
      <c r="D210" t="s">
        <v>634</v>
      </c>
      <c r="E210" t="s">
        <v>635</v>
      </c>
      <c r="F210" t="s">
        <v>636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633</v>
      </c>
      <c r="D211" t="s">
        <v>637</v>
      </c>
      <c r="E211" t="s">
        <v>638</v>
      </c>
      <c r="F211" t="s">
        <v>639</v>
      </c>
      <c r="G211">
        <v>55</v>
      </c>
      <c r="H211">
        <v>40</v>
      </c>
      <c r="I211">
        <v>25</v>
      </c>
      <c r="J211">
        <v>20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633</v>
      </c>
      <c r="D212" t="s">
        <v>640</v>
      </c>
      <c r="E212" t="s">
        <v>641</v>
      </c>
      <c r="F212" t="s">
        <v>642</v>
      </c>
      <c r="G212">
        <v>5000000</v>
      </c>
      <c r="H212">
        <v>20000000</v>
      </c>
      <c r="I212">
        <v>100000000</v>
      </c>
      <c r="J212">
        <v>500000000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633</v>
      </c>
      <c r="D213" t="s">
        <v>643</v>
      </c>
      <c r="E213" t="s">
        <v>641</v>
      </c>
      <c r="F213">
        <v>0</v>
      </c>
      <c r="G213">
        <v>3</v>
      </c>
      <c r="H213">
        <v>5</v>
      </c>
      <c r="I213">
        <v>8</v>
      </c>
      <c r="J213">
        <v>13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633</v>
      </c>
      <c r="D214" t="s">
        <v>644</v>
      </c>
      <c r="E214" t="s">
        <v>645</v>
      </c>
      <c r="F214" t="s">
        <v>646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647</v>
      </c>
      <c r="D215" t="s">
        <v>648</v>
      </c>
      <c r="E215" t="s">
        <v>649</v>
      </c>
      <c r="F215" t="s">
        <v>650</v>
      </c>
      <c r="G215">
        <v>27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647</v>
      </c>
      <c r="D216" t="s">
        <v>651</v>
      </c>
      <c r="E216" t="s">
        <v>652</v>
      </c>
      <c r="F216" t="s">
        <v>650</v>
      </c>
      <c r="G216">
        <v>36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633</v>
      </c>
      <c r="D217" t="s">
        <v>653</v>
      </c>
      <c r="E217" t="s">
        <v>635</v>
      </c>
      <c r="F217" t="s">
        <v>654</v>
      </c>
      <c r="G217">
        <v>3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633</v>
      </c>
      <c r="D218" t="s">
        <v>655</v>
      </c>
      <c r="E218" t="s">
        <v>656</v>
      </c>
      <c r="F218" t="s">
        <v>657</v>
      </c>
      <c r="G218">
        <v>50</v>
      </c>
      <c r="H218">
        <v>40</v>
      </c>
      <c r="I218">
        <v>35</v>
      </c>
      <c r="J218">
        <v>25</v>
      </c>
      <c r="K218">
        <v>15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633</v>
      </c>
      <c r="D219" t="s">
        <v>658</v>
      </c>
      <c r="E219" t="s">
        <v>659</v>
      </c>
      <c r="F219" t="s">
        <v>660</v>
      </c>
      <c r="G219">
        <v>1000000</v>
      </c>
      <c r="H219">
        <v>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633</v>
      </c>
      <c r="D220" t="s">
        <v>661</v>
      </c>
      <c r="E220" t="s">
        <v>662</v>
      </c>
      <c r="F220">
        <v>0</v>
      </c>
      <c r="G220">
        <v>1</v>
      </c>
      <c r="H220">
        <v>2</v>
      </c>
      <c r="I220">
        <v>3</v>
      </c>
      <c r="J220">
        <v>4</v>
      </c>
      <c r="K220">
        <v>6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633</v>
      </c>
      <c r="D221" t="s">
        <v>663</v>
      </c>
      <c r="E221" t="s">
        <v>664</v>
      </c>
      <c r="F221" t="s">
        <v>665</v>
      </c>
      <c r="G221">
        <v>3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633</v>
      </c>
      <c r="D222" t="s">
        <v>666</v>
      </c>
      <c r="E222" t="s">
        <v>667</v>
      </c>
      <c r="F222" t="s">
        <v>668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669</v>
      </c>
      <c r="D223" t="s">
        <v>670</v>
      </c>
      <c r="E223" t="s">
        <v>671</v>
      </c>
      <c r="F223" t="s">
        <v>672</v>
      </c>
      <c r="G223">
        <v>30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669</v>
      </c>
      <c r="D224" t="s">
        <v>673</v>
      </c>
      <c r="E224" t="s">
        <v>674</v>
      </c>
      <c r="F224">
        <v>0</v>
      </c>
      <c r="G224">
        <v>25</v>
      </c>
      <c r="H224">
        <v>1.45</v>
      </c>
      <c r="I224">
        <v>0.08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669</v>
      </c>
      <c r="D225" t="s">
        <v>675</v>
      </c>
      <c r="E225" t="s">
        <v>674</v>
      </c>
      <c r="F225">
        <v>0</v>
      </c>
      <c r="G225">
        <v>8</v>
      </c>
      <c r="H225">
        <v>1.35</v>
      </c>
      <c r="I225">
        <v>0.04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669</v>
      </c>
      <c r="D226" t="s">
        <v>676</v>
      </c>
      <c r="E226" t="s">
        <v>677</v>
      </c>
      <c r="F226" t="s">
        <v>678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647</v>
      </c>
      <c r="D227" t="s">
        <v>673</v>
      </c>
      <c r="E227" t="s">
        <v>679</v>
      </c>
      <c r="F227">
        <v>0</v>
      </c>
      <c r="G227">
        <v>40</v>
      </c>
      <c r="H227">
        <v>1.7</v>
      </c>
      <c r="I227">
        <v>0.15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647</v>
      </c>
      <c r="D228" t="s">
        <v>680</v>
      </c>
      <c r="E228" t="s">
        <v>681</v>
      </c>
      <c r="F228" t="s">
        <v>682</v>
      </c>
      <c r="G228">
        <v>9</v>
      </c>
      <c r="H228">
        <v>14</v>
      </c>
      <c r="I228">
        <v>20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647</v>
      </c>
      <c r="D229" t="s">
        <v>683</v>
      </c>
      <c r="E229" t="s">
        <v>684</v>
      </c>
      <c r="F229" t="s">
        <v>685</v>
      </c>
      <c r="G229">
        <v>1</v>
      </c>
      <c r="H229">
        <v>1</v>
      </c>
      <c r="I229">
        <v>0.33329999999999999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686</v>
      </c>
      <c r="D230" t="s">
        <v>687</v>
      </c>
      <c r="E230" t="s">
        <v>688</v>
      </c>
      <c r="F230" t="s">
        <v>689</v>
      </c>
      <c r="G230">
        <v>5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686</v>
      </c>
      <c r="D231" t="s">
        <v>690</v>
      </c>
      <c r="E231" t="s">
        <v>691</v>
      </c>
      <c r="F231" t="s">
        <v>692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686</v>
      </c>
      <c r="D232" t="s">
        <v>693</v>
      </c>
      <c r="E232" t="s">
        <v>694</v>
      </c>
      <c r="F232" t="s">
        <v>695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686</v>
      </c>
      <c r="D233" t="s">
        <v>696</v>
      </c>
      <c r="E233" t="s">
        <v>697</v>
      </c>
      <c r="F233" t="s">
        <v>695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698</v>
      </c>
      <c r="D234" t="s">
        <v>699</v>
      </c>
      <c r="E234" t="s">
        <v>700</v>
      </c>
      <c r="F234" t="s">
        <v>701</v>
      </c>
      <c r="G234">
        <v>2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702</v>
      </c>
      <c r="D235" t="s">
        <v>703</v>
      </c>
      <c r="E235" t="s">
        <v>704</v>
      </c>
      <c r="F235" t="s">
        <v>705</v>
      </c>
      <c r="G235">
        <v>10000</v>
      </c>
      <c r="H235">
        <v>3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706</v>
      </c>
      <c r="D236" t="s">
        <v>707</v>
      </c>
      <c r="E236" t="s">
        <v>708</v>
      </c>
      <c r="F236" t="s">
        <v>709</v>
      </c>
      <c r="G236">
        <v>20000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706</v>
      </c>
      <c r="D237" t="s">
        <v>710</v>
      </c>
      <c r="E237" t="s">
        <v>711</v>
      </c>
      <c r="F237">
        <v>0</v>
      </c>
      <c r="G237">
        <v>30</v>
      </c>
      <c r="H237">
        <v>2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706</v>
      </c>
      <c r="D238" t="s">
        <v>712</v>
      </c>
      <c r="E238" t="s">
        <v>713</v>
      </c>
      <c r="F238" t="s">
        <v>714</v>
      </c>
      <c r="G238">
        <v>100</v>
      </c>
      <c r="H238">
        <v>1000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706</v>
      </c>
      <c r="D239" t="s">
        <v>715</v>
      </c>
      <c r="E239" t="s">
        <v>716</v>
      </c>
      <c r="F239" t="s">
        <v>717</v>
      </c>
      <c r="G239">
        <v>10000</v>
      </c>
      <c r="H239">
        <v>10000</v>
      </c>
      <c r="I239">
        <v>1.02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706</v>
      </c>
      <c r="D240" t="s">
        <v>718</v>
      </c>
      <c r="E240" t="s">
        <v>719</v>
      </c>
      <c r="F240">
        <v>0</v>
      </c>
      <c r="G240">
        <v>2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720</v>
      </c>
      <c r="D241" t="s">
        <v>721</v>
      </c>
      <c r="E241" t="s">
        <v>722</v>
      </c>
      <c r="F241" t="s">
        <v>723</v>
      </c>
      <c r="G241">
        <v>0.2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720</v>
      </c>
      <c r="D242" t="s">
        <v>724</v>
      </c>
      <c r="E242" t="s">
        <v>725</v>
      </c>
      <c r="F242" t="s">
        <v>726</v>
      </c>
      <c r="G242">
        <v>2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720</v>
      </c>
      <c r="D243" t="s">
        <v>727</v>
      </c>
      <c r="E243" t="s">
        <v>728</v>
      </c>
      <c r="F243" t="s">
        <v>729</v>
      </c>
      <c r="G243">
        <v>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720</v>
      </c>
      <c r="D244" t="s">
        <v>730</v>
      </c>
      <c r="E244" t="s">
        <v>731</v>
      </c>
      <c r="F244" t="s">
        <v>732</v>
      </c>
      <c r="G244">
        <v>3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720</v>
      </c>
      <c r="D245" t="s">
        <v>733</v>
      </c>
      <c r="E245" t="s">
        <v>734</v>
      </c>
      <c r="F245" t="s">
        <v>735</v>
      </c>
      <c r="G245">
        <v>100</v>
      </c>
      <c r="H245">
        <v>300</v>
      </c>
      <c r="I245">
        <v>900</v>
      </c>
      <c r="J245">
        <v>2700</v>
      </c>
      <c r="K245">
        <v>8100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720</v>
      </c>
      <c r="D246" t="s">
        <v>736</v>
      </c>
      <c r="E246" t="s">
        <v>737</v>
      </c>
      <c r="F246" t="s">
        <v>738</v>
      </c>
      <c r="G246">
        <v>9</v>
      </c>
      <c r="H246">
        <v>1000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720</v>
      </c>
      <c r="D247" t="s">
        <v>739</v>
      </c>
      <c r="E247" t="s">
        <v>740</v>
      </c>
      <c r="F247" t="s">
        <v>741</v>
      </c>
      <c r="G247">
        <v>0.7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720</v>
      </c>
      <c r="D248" t="s">
        <v>742</v>
      </c>
      <c r="E248" t="s">
        <v>743</v>
      </c>
      <c r="F248" t="s">
        <v>744</v>
      </c>
      <c r="G248">
        <v>0.7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720</v>
      </c>
      <c r="D249" t="s">
        <v>745</v>
      </c>
      <c r="E249" t="s">
        <v>746</v>
      </c>
      <c r="F249" t="s">
        <v>747</v>
      </c>
      <c r="G249">
        <v>10</v>
      </c>
      <c r="H249">
        <v>60</v>
      </c>
      <c r="I249">
        <v>10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720</v>
      </c>
      <c r="D250" t="s">
        <v>748</v>
      </c>
      <c r="E250" t="s">
        <v>749</v>
      </c>
      <c r="F250" t="s">
        <v>750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751</v>
      </c>
      <c r="D251" t="s">
        <v>752</v>
      </c>
      <c r="E251" t="s">
        <v>753</v>
      </c>
      <c r="F251" t="s">
        <v>754</v>
      </c>
      <c r="G251">
        <v>10000</v>
      </c>
      <c r="H251">
        <v>3</v>
      </c>
      <c r="I251">
        <v>4000000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751</v>
      </c>
      <c r="D252" t="s">
        <v>755</v>
      </c>
      <c r="E252" t="s">
        <v>756</v>
      </c>
      <c r="F252" t="s">
        <v>757</v>
      </c>
      <c r="G252">
        <v>5000</v>
      </c>
      <c r="H252">
        <v>2.5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751</v>
      </c>
      <c r="D253" t="s">
        <v>758</v>
      </c>
      <c r="E253" t="s">
        <v>759</v>
      </c>
      <c r="F253">
        <v>0</v>
      </c>
      <c r="G253">
        <v>8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751</v>
      </c>
      <c r="D254" t="s">
        <v>760</v>
      </c>
      <c r="E254" t="s">
        <v>761</v>
      </c>
      <c r="F254" t="s">
        <v>762</v>
      </c>
      <c r="G254">
        <v>10000</v>
      </c>
      <c r="H254">
        <v>100000</v>
      </c>
      <c r="I254">
        <v>500000</v>
      </c>
      <c r="J254">
        <v>2000000</v>
      </c>
      <c r="K254">
        <v>10000000</v>
      </c>
      <c r="L254">
        <v>50000000</v>
      </c>
      <c r="M254">
        <v>200000000</v>
      </c>
      <c r="N254">
        <v>1000000000</v>
      </c>
      <c r="O254">
        <v>10000000000</v>
      </c>
      <c r="P254">
        <v>1000000000000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763</v>
      </c>
      <c r="D255" t="s">
        <v>764</v>
      </c>
      <c r="E255" t="s">
        <v>765</v>
      </c>
      <c r="F255" t="s">
        <v>766</v>
      </c>
      <c r="G255" t="s">
        <v>767</v>
      </c>
      <c r="H255" t="s">
        <v>768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763</v>
      </c>
      <c r="D256" t="s">
        <v>769</v>
      </c>
      <c r="E256" t="s">
        <v>765</v>
      </c>
      <c r="F256" t="s">
        <v>766</v>
      </c>
      <c r="G256" t="s">
        <v>767</v>
      </c>
      <c r="H256" t="s">
        <v>770</v>
      </c>
      <c r="I256" t="s">
        <v>771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763</v>
      </c>
      <c r="D257" t="s">
        <v>772</v>
      </c>
      <c r="E257" t="s">
        <v>765</v>
      </c>
      <c r="F257" t="s">
        <v>766</v>
      </c>
      <c r="G257" t="s">
        <v>767</v>
      </c>
      <c r="H257" t="s">
        <v>773</v>
      </c>
      <c r="I257" t="s">
        <v>771</v>
      </c>
      <c r="J257" t="s">
        <v>774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763</v>
      </c>
      <c r="D258" t="s">
        <v>775</v>
      </c>
      <c r="E258" t="s">
        <v>765</v>
      </c>
      <c r="F258" t="s">
        <v>766</v>
      </c>
      <c r="G258" t="s">
        <v>776</v>
      </c>
      <c r="H258" t="s">
        <v>773</v>
      </c>
      <c r="I258" t="s">
        <v>777</v>
      </c>
      <c r="J258" t="s">
        <v>774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763</v>
      </c>
      <c r="D259" t="s">
        <v>778</v>
      </c>
      <c r="E259" t="s">
        <v>765</v>
      </c>
      <c r="F259" t="s">
        <v>766</v>
      </c>
      <c r="G259" t="s">
        <v>779</v>
      </c>
      <c r="H259" t="s">
        <v>773</v>
      </c>
      <c r="I259" t="s">
        <v>777</v>
      </c>
      <c r="J259" t="s">
        <v>780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763</v>
      </c>
      <c r="D260" t="s">
        <v>781</v>
      </c>
      <c r="E260" t="s">
        <v>765</v>
      </c>
      <c r="F260" t="s">
        <v>766</v>
      </c>
      <c r="G260" t="s">
        <v>782</v>
      </c>
      <c r="H260" t="s">
        <v>773</v>
      </c>
      <c r="I260" t="s">
        <v>777</v>
      </c>
      <c r="J260" t="s">
        <v>780</v>
      </c>
      <c r="K260" t="s">
        <v>783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763</v>
      </c>
      <c r="D261" t="s">
        <v>784</v>
      </c>
      <c r="E261" t="s">
        <v>765</v>
      </c>
      <c r="F261" t="s">
        <v>766</v>
      </c>
      <c r="G261" t="s">
        <v>785</v>
      </c>
      <c r="H261" t="s">
        <v>786</v>
      </c>
      <c r="I261" t="s">
        <v>780</v>
      </c>
      <c r="J261" t="s">
        <v>787</v>
      </c>
      <c r="K261" t="s">
        <v>788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763</v>
      </c>
      <c r="D262" t="s">
        <v>789</v>
      </c>
      <c r="E262" t="s">
        <v>765</v>
      </c>
      <c r="F262" t="s">
        <v>766</v>
      </c>
      <c r="G262" t="s">
        <v>773</v>
      </c>
      <c r="H262" t="s">
        <v>786</v>
      </c>
      <c r="I262" t="s">
        <v>780</v>
      </c>
      <c r="J262" t="s">
        <v>787</v>
      </c>
      <c r="K262" t="s">
        <v>790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763</v>
      </c>
      <c r="D263" t="s">
        <v>791</v>
      </c>
      <c r="E263" t="s">
        <v>765</v>
      </c>
      <c r="F263" t="s">
        <v>766</v>
      </c>
      <c r="G263" t="s">
        <v>786</v>
      </c>
      <c r="H263" t="s">
        <v>792</v>
      </c>
      <c r="I263" t="s">
        <v>787</v>
      </c>
      <c r="J263" t="s">
        <v>793</v>
      </c>
      <c r="K263" t="s">
        <v>794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763</v>
      </c>
      <c r="D264" t="s">
        <v>795</v>
      </c>
      <c r="E264" t="s">
        <v>765</v>
      </c>
      <c r="F264" t="s">
        <v>766</v>
      </c>
      <c r="G264" t="s">
        <v>792</v>
      </c>
      <c r="H264" t="s">
        <v>796</v>
      </c>
      <c r="I264" t="s">
        <v>793</v>
      </c>
      <c r="J264" t="s">
        <v>797</v>
      </c>
      <c r="K264" t="s">
        <v>798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763</v>
      </c>
      <c r="D265" t="s">
        <v>799</v>
      </c>
      <c r="E265" t="s">
        <v>765</v>
      </c>
      <c r="F265" t="s">
        <v>766</v>
      </c>
      <c r="G265" t="s">
        <v>796</v>
      </c>
      <c r="H265" t="s">
        <v>800</v>
      </c>
      <c r="I265" t="s">
        <v>797</v>
      </c>
      <c r="J265" t="s">
        <v>801</v>
      </c>
      <c r="K265" t="s">
        <v>802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763</v>
      </c>
      <c r="D266" t="s">
        <v>803</v>
      </c>
      <c r="E266" t="s">
        <v>765</v>
      </c>
      <c r="F266" t="s">
        <v>766</v>
      </c>
      <c r="G266" t="s">
        <v>800</v>
      </c>
      <c r="H266" t="s">
        <v>804</v>
      </c>
      <c r="I266" t="s">
        <v>801</v>
      </c>
      <c r="J266" t="s">
        <v>805</v>
      </c>
      <c r="K266" t="s">
        <v>806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763</v>
      </c>
      <c r="D267" t="s">
        <v>807</v>
      </c>
      <c r="E267" t="s">
        <v>765</v>
      </c>
      <c r="F267" t="s">
        <v>766</v>
      </c>
      <c r="G267" t="s">
        <v>804</v>
      </c>
      <c r="H267" t="s">
        <v>808</v>
      </c>
      <c r="I267" t="s">
        <v>805</v>
      </c>
      <c r="J267" t="s">
        <v>809</v>
      </c>
      <c r="K267" t="s">
        <v>810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763</v>
      </c>
      <c r="D268" t="s">
        <v>811</v>
      </c>
      <c r="E268" t="s">
        <v>765</v>
      </c>
      <c r="F268" t="s">
        <v>766</v>
      </c>
      <c r="G268" t="s">
        <v>808</v>
      </c>
      <c r="H268" t="s">
        <v>812</v>
      </c>
      <c r="I268" t="s">
        <v>809</v>
      </c>
      <c r="J268" t="s">
        <v>813</v>
      </c>
      <c r="K268" t="s">
        <v>814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763</v>
      </c>
      <c r="D269" t="s">
        <v>815</v>
      </c>
      <c r="E269" t="s">
        <v>765</v>
      </c>
      <c r="F269" t="s">
        <v>766</v>
      </c>
      <c r="G269" t="s">
        <v>812</v>
      </c>
      <c r="H269" t="s">
        <v>816</v>
      </c>
      <c r="I269" t="s">
        <v>813</v>
      </c>
      <c r="J269" t="s">
        <v>817</v>
      </c>
      <c r="K269" t="s">
        <v>818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763</v>
      </c>
      <c r="D270" t="s">
        <v>819</v>
      </c>
      <c r="E270" t="s">
        <v>765</v>
      </c>
      <c r="F270" t="s">
        <v>766</v>
      </c>
      <c r="G270" t="s">
        <v>816</v>
      </c>
      <c r="H270" t="s">
        <v>820</v>
      </c>
      <c r="I270" t="s">
        <v>817</v>
      </c>
      <c r="J270" t="s">
        <v>821</v>
      </c>
      <c r="K270" t="s">
        <v>822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763</v>
      </c>
      <c r="D271" t="s">
        <v>823</v>
      </c>
      <c r="E271" t="s">
        <v>765</v>
      </c>
      <c r="F271" t="s">
        <v>766</v>
      </c>
      <c r="G271" t="s">
        <v>820</v>
      </c>
      <c r="H271" t="s">
        <v>824</v>
      </c>
      <c r="I271" t="s">
        <v>821</v>
      </c>
      <c r="J271" t="s">
        <v>825</v>
      </c>
      <c r="K271" t="s">
        <v>826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763</v>
      </c>
      <c r="D272" t="s">
        <v>827</v>
      </c>
      <c r="E272" t="s">
        <v>765</v>
      </c>
      <c r="F272" t="s">
        <v>766</v>
      </c>
      <c r="G272" t="s">
        <v>810</v>
      </c>
      <c r="H272" t="s">
        <v>828</v>
      </c>
      <c r="I272" t="s">
        <v>829</v>
      </c>
      <c r="J272" t="s">
        <v>825</v>
      </c>
      <c r="K272" t="s">
        <v>830</v>
      </c>
      <c r="L272" t="s">
        <v>831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763</v>
      </c>
      <c r="D273" t="s">
        <v>832</v>
      </c>
      <c r="E273" t="s">
        <v>765</v>
      </c>
      <c r="F273" t="s">
        <v>766</v>
      </c>
      <c r="G273" t="s">
        <v>810</v>
      </c>
      <c r="H273" t="s">
        <v>828</v>
      </c>
      <c r="I273" t="s">
        <v>829</v>
      </c>
      <c r="J273" t="s">
        <v>825</v>
      </c>
      <c r="K273" t="s">
        <v>830</v>
      </c>
      <c r="L273" t="s">
        <v>831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763</v>
      </c>
      <c r="D274" t="s">
        <v>833</v>
      </c>
      <c r="E274" t="s">
        <v>765</v>
      </c>
      <c r="F274" t="s">
        <v>766</v>
      </c>
      <c r="G274" t="s">
        <v>810</v>
      </c>
      <c r="H274" t="s">
        <v>828</v>
      </c>
      <c r="I274" t="s">
        <v>829</v>
      </c>
      <c r="J274" t="s">
        <v>825</v>
      </c>
      <c r="K274" t="s">
        <v>830</v>
      </c>
      <c r="L274" t="s">
        <v>831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834</v>
      </c>
      <c r="D275" t="s">
        <v>764</v>
      </c>
      <c r="E275" t="s">
        <v>835</v>
      </c>
      <c r="F275" t="s">
        <v>836</v>
      </c>
      <c r="G275" t="s">
        <v>837</v>
      </c>
      <c r="H275" t="s">
        <v>838</v>
      </c>
      <c r="I275" t="s">
        <v>839</v>
      </c>
      <c r="J275" t="s">
        <v>840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834</v>
      </c>
      <c r="D276" t="s">
        <v>769</v>
      </c>
      <c r="E276" t="s">
        <v>835</v>
      </c>
      <c r="F276" t="s">
        <v>836</v>
      </c>
      <c r="G276" t="s">
        <v>841</v>
      </c>
      <c r="H276" t="s">
        <v>838</v>
      </c>
      <c r="I276" t="s">
        <v>842</v>
      </c>
      <c r="J276" t="s">
        <v>843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834</v>
      </c>
      <c r="D277" t="s">
        <v>772</v>
      </c>
      <c r="E277" t="s">
        <v>835</v>
      </c>
      <c r="F277" t="s">
        <v>836</v>
      </c>
      <c r="G277" t="s">
        <v>844</v>
      </c>
      <c r="H277" t="s">
        <v>838</v>
      </c>
      <c r="I277" t="s">
        <v>845</v>
      </c>
      <c r="J277" t="s">
        <v>846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834</v>
      </c>
      <c r="D278" t="s">
        <v>775</v>
      </c>
      <c r="E278" t="s">
        <v>835</v>
      </c>
      <c r="F278" t="s">
        <v>836</v>
      </c>
      <c r="G278" t="s">
        <v>847</v>
      </c>
      <c r="H278" t="s">
        <v>838</v>
      </c>
      <c r="I278" t="s">
        <v>845</v>
      </c>
      <c r="J278" t="s">
        <v>846</v>
      </c>
      <c r="K278" t="s">
        <v>848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834</v>
      </c>
      <c r="D279" t="s">
        <v>778</v>
      </c>
      <c r="E279" t="s">
        <v>835</v>
      </c>
      <c r="F279" t="s">
        <v>836</v>
      </c>
      <c r="G279" t="s">
        <v>849</v>
      </c>
      <c r="H279" t="s">
        <v>838</v>
      </c>
      <c r="I279" t="s">
        <v>845</v>
      </c>
      <c r="J279" t="s">
        <v>850</v>
      </c>
      <c r="K279" t="s">
        <v>851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834</v>
      </c>
      <c r="D280" t="s">
        <v>781</v>
      </c>
      <c r="E280" t="s">
        <v>835</v>
      </c>
      <c r="F280" t="s">
        <v>836</v>
      </c>
      <c r="G280" t="s">
        <v>852</v>
      </c>
      <c r="H280" t="s">
        <v>838</v>
      </c>
      <c r="I280" t="s">
        <v>845</v>
      </c>
      <c r="J280" t="s">
        <v>853</v>
      </c>
      <c r="K280" t="s">
        <v>854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834</v>
      </c>
      <c r="D281" t="s">
        <v>784</v>
      </c>
      <c r="E281" t="s">
        <v>835</v>
      </c>
      <c r="F281" t="s">
        <v>836</v>
      </c>
      <c r="G281" t="s">
        <v>855</v>
      </c>
      <c r="H281" t="s">
        <v>838</v>
      </c>
      <c r="I281" t="s">
        <v>856</v>
      </c>
      <c r="J281" t="s">
        <v>857</v>
      </c>
      <c r="K281" t="s">
        <v>858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834</v>
      </c>
      <c r="D282" t="s">
        <v>789</v>
      </c>
      <c r="E282" t="s">
        <v>835</v>
      </c>
      <c r="F282" t="s">
        <v>836</v>
      </c>
      <c r="G282" t="s">
        <v>859</v>
      </c>
      <c r="H282" t="s">
        <v>838</v>
      </c>
      <c r="I282" t="s">
        <v>860</v>
      </c>
      <c r="J282" t="s">
        <v>861</v>
      </c>
      <c r="K282" t="s">
        <v>862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834</v>
      </c>
      <c r="D283" t="s">
        <v>791</v>
      </c>
      <c r="E283" t="s">
        <v>835</v>
      </c>
      <c r="F283" t="s">
        <v>836</v>
      </c>
      <c r="G283" t="s">
        <v>863</v>
      </c>
      <c r="H283" t="s">
        <v>838</v>
      </c>
      <c r="I283" t="s">
        <v>864</v>
      </c>
      <c r="J283" t="s">
        <v>865</v>
      </c>
      <c r="K283" t="s">
        <v>866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834</v>
      </c>
      <c r="D284" t="s">
        <v>795</v>
      </c>
      <c r="E284" t="s">
        <v>835</v>
      </c>
      <c r="F284" t="s">
        <v>836</v>
      </c>
      <c r="G284" t="s">
        <v>867</v>
      </c>
      <c r="H284" t="s">
        <v>838</v>
      </c>
      <c r="I284" t="s">
        <v>864</v>
      </c>
      <c r="J284" t="s">
        <v>865</v>
      </c>
      <c r="K284" t="s">
        <v>868</v>
      </c>
      <c r="L284" t="s">
        <v>869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834</v>
      </c>
      <c r="D285" t="s">
        <v>799</v>
      </c>
      <c r="E285" t="s">
        <v>835</v>
      </c>
      <c r="F285" t="s">
        <v>836</v>
      </c>
      <c r="G285" t="s">
        <v>870</v>
      </c>
      <c r="H285" t="s">
        <v>838</v>
      </c>
      <c r="I285" t="s">
        <v>864</v>
      </c>
      <c r="J285" t="s">
        <v>865</v>
      </c>
      <c r="K285" t="s">
        <v>871</v>
      </c>
      <c r="L285" t="s">
        <v>872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834</v>
      </c>
      <c r="D286" t="s">
        <v>803</v>
      </c>
      <c r="E286" t="s">
        <v>835</v>
      </c>
      <c r="F286" t="s">
        <v>836</v>
      </c>
      <c r="G286" t="s">
        <v>873</v>
      </c>
      <c r="H286" t="s">
        <v>838</v>
      </c>
      <c r="I286" t="s">
        <v>874</v>
      </c>
      <c r="J286" t="s">
        <v>875</v>
      </c>
      <c r="K286" t="s">
        <v>876</v>
      </c>
      <c r="L286" t="s">
        <v>877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834</v>
      </c>
      <c r="D287" t="s">
        <v>807</v>
      </c>
      <c r="E287" t="s">
        <v>835</v>
      </c>
      <c r="F287" t="s">
        <v>836</v>
      </c>
      <c r="G287" t="s">
        <v>878</v>
      </c>
      <c r="H287" t="s">
        <v>838</v>
      </c>
      <c r="I287" t="s">
        <v>874</v>
      </c>
      <c r="J287" t="s">
        <v>875</v>
      </c>
      <c r="K287" t="s">
        <v>876</v>
      </c>
      <c r="L287" t="s">
        <v>879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834</v>
      </c>
      <c r="D288" t="s">
        <v>811</v>
      </c>
      <c r="E288" t="s">
        <v>835</v>
      </c>
      <c r="F288" t="s">
        <v>836</v>
      </c>
      <c r="G288" t="s">
        <v>880</v>
      </c>
      <c r="H288" t="s">
        <v>838</v>
      </c>
      <c r="I288" t="s">
        <v>874</v>
      </c>
      <c r="J288" t="s">
        <v>875</v>
      </c>
      <c r="K288" t="s">
        <v>876</v>
      </c>
      <c r="L288" t="s">
        <v>881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834</v>
      </c>
      <c r="D289" t="s">
        <v>815</v>
      </c>
      <c r="E289" t="s">
        <v>835</v>
      </c>
      <c r="F289" t="s">
        <v>836</v>
      </c>
      <c r="G289" t="s">
        <v>882</v>
      </c>
      <c r="H289" t="s">
        <v>838</v>
      </c>
      <c r="I289" t="s">
        <v>874</v>
      </c>
      <c r="J289" t="s">
        <v>883</v>
      </c>
      <c r="K289" t="s">
        <v>884</v>
      </c>
      <c r="L289" t="s">
        <v>877</v>
      </c>
      <c r="M289" t="s">
        <v>885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834</v>
      </c>
      <c r="D290" t="s">
        <v>819</v>
      </c>
      <c r="E290" t="s">
        <v>835</v>
      </c>
      <c r="F290" t="s">
        <v>836</v>
      </c>
      <c r="G290" t="s">
        <v>886</v>
      </c>
      <c r="H290" t="s">
        <v>838</v>
      </c>
      <c r="I290" t="s">
        <v>874</v>
      </c>
      <c r="J290" t="s">
        <v>883</v>
      </c>
      <c r="K290" t="s">
        <v>884</v>
      </c>
      <c r="L290" t="s">
        <v>879</v>
      </c>
      <c r="M290" t="s">
        <v>887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834</v>
      </c>
      <c r="D291" t="s">
        <v>823</v>
      </c>
      <c r="E291" t="s">
        <v>835</v>
      </c>
      <c r="F291" t="s">
        <v>836</v>
      </c>
      <c r="G291" t="s">
        <v>888</v>
      </c>
      <c r="H291" t="s">
        <v>838</v>
      </c>
      <c r="I291" t="s">
        <v>874</v>
      </c>
      <c r="J291" t="s">
        <v>883</v>
      </c>
      <c r="K291" t="s">
        <v>884</v>
      </c>
      <c r="L291" t="s">
        <v>879</v>
      </c>
      <c r="M291" t="s">
        <v>889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834</v>
      </c>
      <c r="D292" t="s">
        <v>827</v>
      </c>
      <c r="E292" t="s">
        <v>835</v>
      </c>
      <c r="F292" t="s">
        <v>836</v>
      </c>
      <c r="G292" t="s">
        <v>890</v>
      </c>
      <c r="H292" t="s">
        <v>838</v>
      </c>
      <c r="I292" t="s">
        <v>874</v>
      </c>
      <c r="J292" t="s">
        <v>883</v>
      </c>
      <c r="K292" t="s">
        <v>884</v>
      </c>
      <c r="L292" t="s">
        <v>879</v>
      </c>
      <c r="M292" t="s">
        <v>889</v>
      </c>
      <c r="N292" t="s">
        <v>891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834</v>
      </c>
      <c r="D293" t="s">
        <v>832</v>
      </c>
      <c r="E293" t="s">
        <v>835</v>
      </c>
      <c r="F293" t="s">
        <v>836</v>
      </c>
      <c r="G293" t="s">
        <v>892</v>
      </c>
      <c r="H293" t="s">
        <v>838</v>
      </c>
      <c r="I293" t="s">
        <v>874</v>
      </c>
      <c r="J293" t="s">
        <v>883</v>
      </c>
      <c r="K293" t="s">
        <v>884</v>
      </c>
      <c r="L293" t="s">
        <v>879</v>
      </c>
      <c r="M293" t="s">
        <v>889</v>
      </c>
      <c r="N293" t="s">
        <v>893</v>
      </c>
      <c r="O293" t="s">
        <v>894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834</v>
      </c>
      <c r="D294" t="s">
        <v>833</v>
      </c>
      <c r="E294" t="s">
        <v>835</v>
      </c>
      <c r="F294" t="s">
        <v>836</v>
      </c>
      <c r="G294" t="s">
        <v>895</v>
      </c>
      <c r="H294" t="s">
        <v>838</v>
      </c>
      <c r="I294" t="s">
        <v>874</v>
      </c>
      <c r="J294" t="s">
        <v>883</v>
      </c>
      <c r="K294" t="s">
        <v>884</v>
      </c>
      <c r="L294" t="s">
        <v>879</v>
      </c>
      <c r="M294" t="s">
        <v>889</v>
      </c>
      <c r="N294" t="s">
        <v>896</v>
      </c>
      <c r="O294" t="s">
        <v>897</v>
      </c>
      <c r="P294" t="s">
        <v>898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899</v>
      </c>
      <c r="D295" t="s">
        <v>900</v>
      </c>
      <c r="E295" t="s">
        <v>901</v>
      </c>
      <c r="F295" t="s">
        <v>902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899</v>
      </c>
      <c r="D296" t="s">
        <v>903</v>
      </c>
      <c r="E296" t="s">
        <v>904</v>
      </c>
      <c r="F296" t="s">
        <v>905</v>
      </c>
      <c r="G296">
        <v>0.1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899</v>
      </c>
      <c r="D297" t="s">
        <v>906</v>
      </c>
      <c r="E297" t="s">
        <v>907</v>
      </c>
      <c r="F297" t="s">
        <v>908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899</v>
      </c>
      <c r="D298" t="s">
        <v>909</v>
      </c>
      <c r="E298" t="s">
        <v>910</v>
      </c>
      <c r="F298" t="s">
        <v>911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899</v>
      </c>
      <c r="D299" t="s">
        <v>912</v>
      </c>
      <c r="E299" t="s">
        <v>913</v>
      </c>
      <c r="F299" t="s">
        <v>914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899</v>
      </c>
      <c r="D300" t="s">
        <v>915</v>
      </c>
      <c r="E300" t="s">
        <v>916</v>
      </c>
      <c r="F300" t="s">
        <v>917</v>
      </c>
      <c r="G300">
        <v>0.4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899</v>
      </c>
      <c r="D301" t="s">
        <v>752</v>
      </c>
      <c r="E301" s="2" t="s">
        <v>1054</v>
      </c>
      <c r="F301" t="s">
        <v>918</v>
      </c>
      <c r="G301">
        <v>1000</v>
      </c>
      <c r="H301">
        <v>20</v>
      </c>
      <c r="I301">
        <v>10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899</v>
      </c>
      <c r="D302" t="s">
        <v>919</v>
      </c>
      <c r="E302" t="s">
        <v>920</v>
      </c>
      <c r="F302" t="s">
        <v>921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899</v>
      </c>
      <c r="D303" t="s">
        <v>922</v>
      </c>
      <c r="E303" t="s">
        <v>923</v>
      </c>
      <c r="F303" t="s">
        <v>924</v>
      </c>
      <c r="G303">
        <v>30</v>
      </c>
      <c r="H303">
        <v>10</v>
      </c>
      <c r="I303">
        <v>0.8</v>
      </c>
      <c r="J303">
        <v>1.5</v>
      </c>
      <c r="K303">
        <v>0.3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925</v>
      </c>
      <c r="D304" t="s">
        <v>926</v>
      </c>
      <c r="E304" t="s">
        <v>927</v>
      </c>
      <c r="F304" t="s">
        <v>928</v>
      </c>
      <c r="G304">
        <v>0.75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925</v>
      </c>
      <c r="D305" t="s">
        <v>929</v>
      </c>
      <c r="E305" t="s">
        <v>930</v>
      </c>
      <c r="F305">
        <v>0</v>
      </c>
      <c r="G305">
        <v>1.25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925</v>
      </c>
      <c r="D306" t="s">
        <v>931</v>
      </c>
      <c r="E306" t="s">
        <v>932</v>
      </c>
      <c r="F306" t="s">
        <v>933</v>
      </c>
      <c r="G306">
        <v>45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925</v>
      </c>
      <c r="D307" t="s">
        <v>934</v>
      </c>
      <c r="E307" t="s">
        <v>935</v>
      </c>
      <c r="F307" t="s">
        <v>936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925</v>
      </c>
      <c r="D308" t="s">
        <v>937</v>
      </c>
      <c r="E308" t="s">
        <v>938</v>
      </c>
      <c r="F308" t="s">
        <v>939</v>
      </c>
      <c r="G308">
        <v>0.1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940</v>
      </c>
      <c r="D309" t="s">
        <v>941</v>
      </c>
      <c r="E309" t="s">
        <v>942</v>
      </c>
      <c r="F309" t="s">
        <v>943</v>
      </c>
      <c r="G309">
        <v>24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940</v>
      </c>
      <c r="D310" t="s">
        <v>944</v>
      </c>
      <c r="E310" t="s">
        <v>945</v>
      </c>
      <c r="F310" t="s">
        <v>946</v>
      </c>
      <c r="G310">
        <v>10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940</v>
      </c>
      <c r="D311" t="s">
        <v>947</v>
      </c>
      <c r="E311" t="s">
        <v>948</v>
      </c>
      <c r="F311" t="s">
        <v>949</v>
      </c>
      <c r="G311">
        <v>20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950</v>
      </c>
      <c r="D312" t="s">
        <v>951</v>
      </c>
      <c r="E312" t="s">
        <v>39</v>
      </c>
      <c r="F312" t="s">
        <v>952</v>
      </c>
      <c r="G312">
        <v>1</v>
      </c>
      <c r="H312">
        <v>1</v>
      </c>
      <c r="I312">
        <v>1</v>
      </c>
      <c r="J312">
        <v>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950</v>
      </c>
      <c r="D313" t="s">
        <v>953</v>
      </c>
      <c r="E313" t="s">
        <v>39</v>
      </c>
      <c r="F313" t="s">
        <v>952</v>
      </c>
      <c r="G313">
        <v>1.35</v>
      </c>
      <c r="H313">
        <v>2</v>
      </c>
      <c r="I313">
        <v>2</v>
      </c>
      <c r="J313">
        <v>1</v>
      </c>
      <c r="K313">
        <v>1</v>
      </c>
      <c r="L313">
        <v>1.7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950</v>
      </c>
      <c r="D314" t="s">
        <v>954</v>
      </c>
      <c r="E314" t="s">
        <v>39</v>
      </c>
      <c r="F314" t="s">
        <v>952</v>
      </c>
      <c r="G314">
        <v>1.75</v>
      </c>
      <c r="H314">
        <v>2</v>
      </c>
      <c r="I314">
        <v>2</v>
      </c>
      <c r="J314">
        <v>1</v>
      </c>
      <c r="K314">
        <v>1</v>
      </c>
      <c r="L314">
        <v>2.8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950</v>
      </c>
      <c r="D315" t="s">
        <v>955</v>
      </c>
      <c r="E315" t="s">
        <v>39</v>
      </c>
      <c r="F315" t="s">
        <v>952</v>
      </c>
      <c r="G315">
        <v>2.2999999999999998</v>
      </c>
      <c r="H315">
        <v>3</v>
      </c>
      <c r="I315">
        <v>3</v>
      </c>
      <c r="J315">
        <v>2</v>
      </c>
      <c r="K315">
        <v>1</v>
      </c>
      <c r="L315">
        <v>4.5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950</v>
      </c>
      <c r="D316" t="s">
        <v>956</v>
      </c>
      <c r="E316" t="s">
        <v>39</v>
      </c>
      <c r="F316" t="s">
        <v>952</v>
      </c>
      <c r="G316">
        <v>3</v>
      </c>
      <c r="H316">
        <v>4</v>
      </c>
      <c r="I316">
        <v>4</v>
      </c>
      <c r="J316">
        <v>3</v>
      </c>
      <c r="K316">
        <v>2</v>
      </c>
      <c r="L316">
        <v>7.5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950</v>
      </c>
      <c r="D317" t="s">
        <v>957</v>
      </c>
      <c r="E317" t="s">
        <v>39</v>
      </c>
      <c r="F317" t="s">
        <v>952</v>
      </c>
      <c r="G317">
        <v>4</v>
      </c>
      <c r="H317">
        <v>5</v>
      </c>
      <c r="I317">
        <v>5</v>
      </c>
      <c r="J317">
        <v>4</v>
      </c>
      <c r="K317">
        <v>2</v>
      </c>
      <c r="L317">
        <v>12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950</v>
      </c>
      <c r="D318" t="s">
        <v>958</v>
      </c>
      <c r="E318" t="s">
        <v>39</v>
      </c>
      <c r="F318" t="s">
        <v>952</v>
      </c>
      <c r="G318">
        <v>5.2</v>
      </c>
      <c r="H318">
        <v>6</v>
      </c>
      <c r="I318">
        <v>6</v>
      </c>
      <c r="J318">
        <v>5</v>
      </c>
      <c r="K318">
        <v>2</v>
      </c>
      <c r="L318">
        <v>19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950</v>
      </c>
      <c r="D319" t="s">
        <v>959</v>
      </c>
      <c r="E319" t="s">
        <v>39</v>
      </c>
      <c r="F319" t="s">
        <v>952</v>
      </c>
      <c r="G319">
        <v>6.8</v>
      </c>
      <c r="H319">
        <v>7</v>
      </c>
      <c r="I319">
        <v>7</v>
      </c>
      <c r="J319">
        <v>6</v>
      </c>
      <c r="K319">
        <v>3</v>
      </c>
      <c r="L319">
        <v>30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950</v>
      </c>
      <c r="D320" t="s">
        <v>960</v>
      </c>
      <c r="E320" t="s">
        <v>39</v>
      </c>
      <c r="F320" t="s">
        <v>952</v>
      </c>
      <c r="G320">
        <v>10.199999999999999</v>
      </c>
      <c r="H320">
        <v>8</v>
      </c>
      <c r="I320">
        <v>8</v>
      </c>
      <c r="J320">
        <v>6</v>
      </c>
      <c r="K320">
        <v>3</v>
      </c>
      <c r="L320">
        <v>45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961</v>
      </c>
      <c r="D321" t="s">
        <v>962</v>
      </c>
      <c r="E321" t="s">
        <v>963</v>
      </c>
      <c r="F321" t="s">
        <v>964</v>
      </c>
      <c r="G321">
        <v>25</v>
      </c>
      <c r="H321" t="s">
        <v>965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961</v>
      </c>
      <c r="D322" t="s">
        <v>966</v>
      </c>
      <c r="E322" t="s">
        <v>963</v>
      </c>
      <c r="F322" t="s">
        <v>967</v>
      </c>
      <c r="G322">
        <v>20</v>
      </c>
      <c r="H322" t="s">
        <v>965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961</v>
      </c>
      <c r="D323" t="s">
        <v>968</v>
      </c>
      <c r="E323" t="s">
        <v>963</v>
      </c>
      <c r="F323" t="s">
        <v>969</v>
      </c>
      <c r="G323">
        <v>25</v>
      </c>
      <c r="H323" t="s">
        <v>965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53" si="5">A323+1</f>
        <v>323</v>
      </c>
      <c r="B324">
        <v>0</v>
      </c>
      <c r="C324" t="s">
        <v>961</v>
      </c>
      <c r="D324" t="s">
        <v>970</v>
      </c>
      <c r="E324" t="s">
        <v>963</v>
      </c>
      <c r="F324" t="s">
        <v>971</v>
      </c>
      <c r="G324">
        <v>20</v>
      </c>
      <c r="H324" t="s">
        <v>965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961</v>
      </c>
      <c r="D325" t="s">
        <v>972</v>
      </c>
      <c r="E325" t="s">
        <v>963</v>
      </c>
      <c r="F325" t="s">
        <v>973</v>
      </c>
      <c r="G325">
        <v>0.4</v>
      </c>
      <c r="H325" t="s">
        <v>965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961</v>
      </c>
      <c r="D326" t="s">
        <v>974</v>
      </c>
      <c r="E326" t="s">
        <v>963</v>
      </c>
      <c r="F326" t="s">
        <v>975</v>
      </c>
      <c r="G326">
        <v>3</v>
      </c>
      <c r="H326" t="s">
        <v>965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961</v>
      </c>
      <c r="D327" t="s">
        <v>976</v>
      </c>
      <c r="E327" t="s">
        <v>963</v>
      </c>
      <c r="F327" t="s">
        <v>977</v>
      </c>
      <c r="G327">
        <v>1.5</v>
      </c>
      <c r="H327" t="s">
        <v>965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961</v>
      </c>
      <c r="D328" t="s">
        <v>978</v>
      </c>
      <c r="E328" t="s">
        <v>963</v>
      </c>
      <c r="F328" t="s">
        <v>979</v>
      </c>
      <c r="G328">
        <v>0.15</v>
      </c>
      <c r="H328" t="s">
        <v>965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961</v>
      </c>
      <c r="D329" t="s">
        <v>980</v>
      </c>
      <c r="E329" t="s">
        <v>963</v>
      </c>
      <c r="F329" t="s">
        <v>981</v>
      </c>
      <c r="G329">
        <v>0.5</v>
      </c>
      <c r="H329" t="s">
        <v>965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961</v>
      </c>
      <c r="D330" t="s">
        <v>982</v>
      </c>
      <c r="E330" t="s">
        <v>963</v>
      </c>
      <c r="F330" t="s">
        <v>983</v>
      </c>
      <c r="G330">
        <v>25</v>
      </c>
      <c r="H330" t="s">
        <v>965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961</v>
      </c>
      <c r="D331" t="s">
        <v>984</v>
      </c>
      <c r="E331" t="s">
        <v>963</v>
      </c>
      <c r="F331" t="s">
        <v>985</v>
      </c>
      <c r="G331">
        <v>8</v>
      </c>
      <c r="H331" t="s">
        <v>986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961</v>
      </c>
      <c r="D332" t="s">
        <v>987</v>
      </c>
      <c r="E332" t="s">
        <v>963</v>
      </c>
      <c r="F332" t="s">
        <v>988</v>
      </c>
      <c r="G332">
        <v>15</v>
      </c>
      <c r="H332" t="s">
        <v>986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989</v>
      </c>
      <c r="D333" t="s">
        <v>990</v>
      </c>
      <c r="E333" t="s">
        <v>991</v>
      </c>
      <c r="F333" t="s">
        <v>992</v>
      </c>
      <c r="G333">
        <v>0.8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989</v>
      </c>
      <c r="D334" t="s">
        <v>993</v>
      </c>
      <c r="E334" t="s">
        <v>994</v>
      </c>
      <c r="F334" t="s">
        <v>995</v>
      </c>
      <c r="G334">
        <v>3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989</v>
      </c>
      <c r="D335" t="s">
        <v>996</v>
      </c>
      <c r="E335" t="s">
        <v>997</v>
      </c>
      <c r="F335" t="s">
        <v>998</v>
      </c>
      <c r="G335">
        <v>7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5"/>
        <v>335</v>
      </c>
      <c r="B336">
        <v>0</v>
      </c>
      <c r="C336" t="s">
        <v>989</v>
      </c>
      <c r="D336" t="s">
        <v>999</v>
      </c>
      <c r="E336" t="s">
        <v>1000</v>
      </c>
      <c r="F336" t="s">
        <v>1001</v>
      </c>
      <c r="G336">
        <v>10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5"/>
        <v>336</v>
      </c>
      <c r="B337">
        <v>0</v>
      </c>
      <c r="C337" t="s">
        <v>989</v>
      </c>
      <c r="D337" t="s">
        <v>1002</v>
      </c>
      <c r="E337" t="s">
        <v>1003</v>
      </c>
      <c r="F337" t="s">
        <v>1004</v>
      </c>
      <c r="G337">
        <v>2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5"/>
        <v>337</v>
      </c>
      <c r="B338">
        <v>0</v>
      </c>
      <c r="C338" t="s">
        <v>989</v>
      </c>
      <c r="D338" t="s">
        <v>1005</v>
      </c>
      <c r="E338" t="s">
        <v>1006</v>
      </c>
      <c r="F338" t="s">
        <v>1007</v>
      </c>
      <c r="G338">
        <v>5</v>
      </c>
      <c r="H338">
        <v>10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5"/>
        <v>338</v>
      </c>
      <c r="B339">
        <v>0</v>
      </c>
      <c r="C339" t="s">
        <v>989</v>
      </c>
      <c r="D339" t="s">
        <v>1008</v>
      </c>
      <c r="E339" t="s">
        <v>1009</v>
      </c>
      <c r="F339" t="s">
        <v>1010</v>
      </c>
      <c r="G339">
        <v>10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5"/>
        <v>339</v>
      </c>
      <c r="B340">
        <v>0</v>
      </c>
      <c r="C340" t="s">
        <v>950</v>
      </c>
      <c r="D340" t="s">
        <v>1011</v>
      </c>
      <c r="E340" t="s">
        <v>39</v>
      </c>
      <c r="F340" t="s">
        <v>1012</v>
      </c>
      <c r="G340">
        <v>15.3</v>
      </c>
      <c r="H340">
        <v>9</v>
      </c>
      <c r="I340">
        <v>9</v>
      </c>
      <c r="J340">
        <v>6</v>
      </c>
      <c r="K340">
        <v>3</v>
      </c>
      <c r="L340">
        <v>67.5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5"/>
        <v>340</v>
      </c>
      <c r="B341">
        <v>0</v>
      </c>
      <c r="C341" t="s">
        <v>950</v>
      </c>
      <c r="D341" t="s">
        <v>1013</v>
      </c>
      <c r="E341" t="s">
        <v>39</v>
      </c>
      <c r="F341" t="s">
        <v>1012</v>
      </c>
      <c r="G341">
        <v>22.95</v>
      </c>
      <c r="H341">
        <v>10</v>
      </c>
      <c r="I341">
        <v>10</v>
      </c>
      <c r="J341">
        <v>7</v>
      </c>
      <c r="K341">
        <v>3</v>
      </c>
      <c r="L341">
        <v>101.25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5"/>
        <v>341</v>
      </c>
      <c r="B342">
        <v>0</v>
      </c>
      <c r="C342" t="s">
        <v>633</v>
      </c>
      <c r="D342" t="s">
        <v>1014</v>
      </c>
      <c r="E342" t="s">
        <v>1015</v>
      </c>
      <c r="F342" t="s">
        <v>1016</v>
      </c>
      <c r="G342">
        <v>20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5"/>
        <v>342</v>
      </c>
      <c r="B343">
        <v>0</v>
      </c>
      <c r="C343" t="s">
        <v>633</v>
      </c>
      <c r="D343" t="s">
        <v>1017</v>
      </c>
      <c r="E343" t="s">
        <v>1018</v>
      </c>
      <c r="F343" t="s">
        <v>1019</v>
      </c>
      <c r="G343">
        <v>500000000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5"/>
        <v>343</v>
      </c>
      <c r="B344">
        <v>0</v>
      </c>
      <c r="C344" t="s">
        <v>633</v>
      </c>
      <c r="D344" t="s">
        <v>1020</v>
      </c>
      <c r="E344" t="s">
        <v>1021</v>
      </c>
      <c r="F344" t="s">
        <v>1022</v>
      </c>
      <c r="G344">
        <v>13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ht="15.75" x14ac:dyDescent="0.25">
      <c r="A345">
        <f t="shared" si="5"/>
        <v>344</v>
      </c>
      <c r="B345">
        <v>0</v>
      </c>
      <c r="C345" t="s">
        <v>18</v>
      </c>
      <c r="D345" t="s">
        <v>1023</v>
      </c>
      <c r="E345" s="2" t="s">
        <v>1064</v>
      </c>
      <c r="F345" t="s">
        <v>1024</v>
      </c>
      <c r="G345">
        <v>30</v>
      </c>
      <c r="H345">
        <v>3</v>
      </c>
      <c r="I345">
        <v>20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5"/>
        <v>345</v>
      </c>
      <c r="B346">
        <v>0</v>
      </c>
      <c r="C346" t="s">
        <v>18</v>
      </c>
      <c r="D346" t="s">
        <v>1025</v>
      </c>
      <c r="E346" t="s">
        <v>1026</v>
      </c>
      <c r="F346" t="s">
        <v>1027</v>
      </c>
      <c r="G346">
        <v>1000</v>
      </c>
      <c r="H346">
        <v>50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5"/>
        <v>346</v>
      </c>
      <c r="B347">
        <v>0</v>
      </c>
      <c r="C347" t="s">
        <v>925</v>
      </c>
      <c r="D347" t="s">
        <v>1028</v>
      </c>
      <c r="E347" t="s">
        <v>1029</v>
      </c>
      <c r="F347" t="s">
        <v>1030</v>
      </c>
      <c r="G347">
        <v>50000</v>
      </c>
      <c r="H347">
        <v>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5"/>
        <v>347</v>
      </c>
      <c r="B348">
        <v>0</v>
      </c>
      <c r="C348" t="s">
        <v>925</v>
      </c>
      <c r="D348" t="s">
        <v>1031</v>
      </c>
      <c r="E348" t="s">
        <v>1032</v>
      </c>
      <c r="F348" t="s">
        <v>1033</v>
      </c>
      <c r="G348">
        <v>10</v>
      </c>
      <c r="H348">
        <v>0.65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5"/>
        <v>348</v>
      </c>
      <c r="B349">
        <v>0</v>
      </c>
      <c r="C349" t="s">
        <v>925</v>
      </c>
      <c r="D349" t="s">
        <v>1034</v>
      </c>
      <c r="E349" t="s">
        <v>1035</v>
      </c>
      <c r="F349" t="s">
        <v>1036</v>
      </c>
      <c r="G349">
        <v>75</v>
      </c>
      <c r="H349">
        <v>100</v>
      </c>
      <c r="I349">
        <v>125</v>
      </c>
      <c r="J349">
        <v>150</v>
      </c>
      <c r="K349">
        <v>20</v>
      </c>
      <c r="L349">
        <v>30</v>
      </c>
      <c r="M349">
        <v>30</v>
      </c>
      <c r="N349">
        <v>20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5"/>
        <v>349</v>
      </c>
      <c r="B350">
        <v>0</v>
      </c>
      <c r="C350" t="s">
        <v>925</v>
      </c>
      <c r="D350" t="s">
        <v>1037</v>
      </c>
      <c r="E350" t="s">
        <v>1038</v>
      </c>
      <c r="F350" t="s">
        <v>1039</v>
      </c>
      <c r="G350">
        <v>25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5"/>
        <v>350</v>
      </c>
      <c r="B351">
        <v>0</v>
      </c>
      <c r="C351" t="s">
        <v>925</v>
      </c>
      <c r="D351" t="s">
        <v>1040</v>
      </c>
      <c r="E351" t="s">
        <v>932</v>
      </c>
      <c r="F351" t="s">
        <v>1041</v>
      </c>
      <c r="G351">
        <v>5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5"/>
        <v>351</v>
      </c>
      <c r="B352">
        <v>0</v>
      </c>
      <c r="C352" t="s">
        <v>925</v>
      </c>
      <c r="D352" t="s">
        <v>1042</v>
      </c>
      <c r="E352" t="s">
        <v>1043</v>
      </c>
      <c r="F352" t="s">
        <v>1044</v>
      </c>
      <c r="G352">
        <v>0.6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 t="shared" si="5"/>
        <v>352</v>
      </c>
      <c r="B353">
        <v>0</v>
      </c>
      <c r="C353" t="s">
        <v>626</v>
      </c>
      <c r="D353" t="s">
        <v>1045</v>
      </c>
      <c r="E353" t="s">
        <v>1046</v>
      </c>
      <c r="F353" t="s">
        <v>1047</v>
      </c>
      <c r="G353">
        <v>0.1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2026-07-31T07:58:34Z</dcterms:modified>
</cp:coreProperties>
</file>
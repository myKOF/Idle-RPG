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1CF4EDD-7DFC-4E3E-ADD7-2F0F5188A65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7" i="1" l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54" i="2"/>
  <c r="A328" i="1"/>
  <c r="A329" i="1"/>
  <c r="A330" i="1"/>
  <c r="A331" i="1"/>
  <c r="A332" i="1"/>
  <c r="A333" i="1"/>
  <c r="A334" i="1"/>
  <c r="A335" i="1"/>
  <c r="A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50" i="2"/>
  <c r="A351" i="2" s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55" i="2" l="1"/>
  <c r="A352" i="2"/>
  <c r="A4" i="2"/>
  <c r="A4" i="1" s="1"/>
  <c r="U230" i="2"/>
  <c r="A356" i="2" l="1"/>
  <c r="A353" i="2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1" i="1"/>
  <c r="A185" i="2" l="1"/>
  <c r="A182" i="1"/>
  <c r="A186" i="2" l="1"/>
  <c r="A183" i="1"/>
  <c r="A187" i="2" l="1"/>
  <c r="A184" i="1"/>
  <c r="A188" i="2" l="1"/>
  <c r="A185" i="1"/>
  <c r="A189" i="2" l="1"/>
  <c r="A186" i="1"/>
  <c r="A190" i="2" l="1"/>
  <c r="A187" i="1"/>
  <c r="A191" i="2" l="1"/>
  <c r="A188" i="1"/>
  <c r="A192" i="2" l="1"/>
  <c r="A189" i="1"/>
  <c r="A193" i="2" l="1"/>
  <c r="A190" i="1"/>
  <c r="A194" i="2" l="1"/>
  <c r="A191" i="1"/>
  <c r="A195" i="2" l="1"/>
  <c r="A192" i="1"/>
  <c r="A196" i="2" l="1"/>
  <c r="A193" i="1"/>
  <c r="A197" i="2" l="1"/>
  <c r="A194" i="1"/>
  <c r="A198" i="2" l="1"/>
  <c r="A195" i="1"/>
  <c r="A199" i="2" l="1"/>
  <c r="A196" i="1"/>
  <c r="A200" i="2" l="1"/>
  <c r="A197" i="1"/>
  <c r="A201" i="2" l="1"/>
  <c r="A198" i="1"/>
  <c r="A202" i="2" l="1"/>
  <c r="A199" i="1"/>
  <c r="A203" i="2" l="1"/>
  <c r="A200" i="1"/>
  <c r="A204" i="2" l="1"/>
  <c r="A201" i="1"/>
  <c r="A205" i="2" l="1"/>
  <c r="A202" i="1"/>
  <c r="A206" i="2" l="1"/>
  <c r="A203" i="1"/>
  <c r="A207" i="2" l="1"/>
  <c r="A204" i="1"/>
  <c r="A208" i="2" l="1"/>
  <c r="A205" i="1"/>
  <c r="A209" i="2" l="1"/>
  <c r="A206" i="1"/>
  <c r="A210" i="2" l="1"/>
  <c r="A207" i="1"/>
  <c r="A211" i="2" l="1"/>
  <c r="A208" i="1"/>
  <c r="A212" i="2" l="1"/>
  <c r="A209" i="1"/>
  <c r="A213" i="2" l="1"/>
  <c r="A210" i="1"/>
  <c r="A214" i="2" l="1"/>
  <c r="A211" i="1"/>
  <c r="A215" i="2" l="1"/>
  <c r="A212" i="1"/>
  <c r="A216" i="2" l="1"/>
  <c r="A213" i="1"/>
  <c r="A217" i="2" l="1"/>
  <c r="A214" i="1"/>
  <c r="A218" i="2" l="1"/>
  <c r="A215" i="1"/>
  <c r="A219" i="2" l="1"/>
  <c r="A216" i="1"/>
  <c r="A220" i="2" l="1"/>
  <c r="A217" i="1"/>
  <c r="A221" i="2" l="1"/>
  <c r="A218" i="1"/>
  <c r="A222" i="2" l="1"/>
  <c r="A219" i="1"/>
  <c r="A223" i="2" l="1"/>
  <c r="A220" i="1"/>
  <c r="A224" i="2" l="1"/>
  <c r="A221" i="1"/>
  <c r="A225" i="2" l="1"/>
  <c r="A222" i="1"/>
  <c r="A226" i="2" l="1"/>
  <c r="A223" i="1"/>
  <c r="A227" i="2" l="1"/>
  <c r="A224" i="1"/>
  <c r="A228" i="2" l="1"/>
  <c r="A225" i="1"/>
  <c r="A229" i="2" l="1"/>
  <c r="A226" i="1"/>
  <c r="A230" i="2" l="1"/>
  <c r="A227" i="1"/>
  <c r="A231" i="2" l="1"/>
  <c r="A228" i="1"/>
  <c r="A232" i="2" l="1"/>
  <c r="A229" i="1"/>
  <c r="A233" i="2" l="1"/>
  <c r="A230" i="1"/>
  <c r="A234" i="2" l="1"/>
  <c r="A231" i="1"/>
  <c r="A235" i="2" l="1"/>
  <c r="A232" i="1"/>
  <c r="A236" i="2" l="1"/>
  <c r="A233" i="1"/>
  <c r="A237" i="2" l="1"/>
  <c r="A234" i="1"/>
  <c r="A238" i="2" l="1"/>
  <c r="A235" i="1"/>
  <c r="A239" i="2" l="1"/>
  <c r="A236" i="1"/>
  <c r="A240" i="2" l="1"/>
  <c r="A237" i="1"/>
  <c r="A241" i="2" l="1"/>
  <c r="A238" i="1"/>
  <c r="A242" i="2" l="1"/>
  <c r="A239" i="1"/>
  <c r="A243" i="2" l="1"/>
  <c r="A240" i="1"/>
  <c r="A244" i="2" l="1"/>
  <c r="A241" i="1"/>
  <c r="A245" i="2" l="1"/>
  <c r="A242" i="1"/>
  <c r="A246" i="2" l="1"/>
  <c r="A243" i="1"/>
  <c r="A247" i="2" l="1"/>
  <c r="A244" i="1"/>
  <c r="A248" i="2" l="1"/>
  <c r="A245" i="1"/>
  <c r="A249" i="2" l="1"/>
  <c r="A246" i="1"/>
  <c r="A250" i="2" l="1"/>
  <c r="A247" i="1"/>
  <c r="A251" i="2" l="1"/>
  <c r="A248" i="1"/>
  <c r="A252" i="2" l="1"/>
  <c r="A249" i="1"/>
  <c r="A253" i="2" l="1"/>
  <c r="A250" i="1"/>
  <c r="A254" i="2" l="1"/>
  <c r="A251" i="1"/>
  <c r="A255" i="2" l="1"/>
  <c r="A252" i="1"/>
  <c r="A256" i="2" l="1"/>
  <c r="A253" i="1"/>
  <c r="A257" i="2" l="1"/>
  <c r="A254" i="1"/>
  <c r="A258" i="2" l="1"/>
  <c r="A255" i="1"/>
  <c r="A259" i="2" l="1"/>
  <c r="A256" i="1"/>
  <c r="A260" i="2" l="1"/>
  <c r="A257" i="1"/>
  <c r="A261" i="2" l="1"/>
  <c r="A258" i="1"/>
  <c r="A262" i="2" l="1"/>
  <c r="A259" i="1"/>
  <c r="A263" i="2" l="1"/>
  <c r="A260" i="1"/>
  <c r="A264" i="2" l="1"/>
  <c r="A261" i="1"/>
  <c r="A265" i="2" l="1"/>
  <c r="A262" i="1"/>
  <c r="A266" i="2" l="1"/>
  <c r="A263" i="1"/>
  <c r="A267" i="2" l="1"/>
  <c r="A264" i="1"/>
  <c r="A268" i="2" l="1"/>
  <c r="A265" i="1"/>
  <c r="A269" i="2" l="1"/>
  <c r="A266" i="1"/>
  <c r="A270" i="2" l="1"/>
  <c r="A267" i="1"/>
  <c r="A271" i="2" l="1"/>
  <c r="A268" i="1"/>
  <c r="A272" i="2" l="1"/>
  <c r="A269" i="1"/>
  <c r="A273" i="2" l="1"/>
  <c r="A270" i="1"/>
  <c r="A274" i="2" l="1"/>
  <c r="A271" i="1"/>
  <c r="A275" i="2" l="1"/>
  <c r="A272" i="1"/>
  <c r="A276" i="2" l="1"/>
  <c r="A273" i="1"/>
  <c r="A277" i="2" l="1"/>
  <c r="A274" i="1"/>
  <c r="A278" i="2" l="1"/>
  <c r="A275" i="1"/>
  <c r="A279" i="2" l="1"/>
  <c r="A276" i="1"/>
  <c r="A280" i="2" l="1"/>
  <c r="A277" i="1"/>
  <c r="A281" i="2" l="1"/>
  <c r="A278" i="1"/>
  <c r="A282" i="2" l="1"/>
  <c r="A283" i="2" s="1"/>
  <c r="A284" i="2" s="1"/>
  <c r="A285" i="2" s="1"/>
  <c r="A279" i="1"/>
  <c r="A286" i="2" l="1"/>
  <c r="A280" i="1"/>
  <c r="A287" i="2" l="1"/>
  <c r="A288" i="2" s="1"/>
  <c r="A281" i="1"/>
  <c r="A282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83" i="1"/>
  <c r="A302" i="2" l="1"/>
  <c r="A284" i="1"/>
  <c r="A303" i="2" l="1"/>
  <c r="A285" i="1"/>
  <c r="A304" i="2" l="1"/>
  <c r="A286" i="1"/>
  <c r="A305" i="2" l="1"/>
  <c r="A287" i="1"/>
  <c r="A306" i="2" l="1"/>
  <c r="A288" i="1"/>
  <c r="A307" i="2" l="1"/>
  <c r="A289" i="1"/>
  <c r="A308" i="2" l="1"/>
  <c r="A290" i="1"/>
  <c r="A309" i="2" l="1"/>
  <c r="A291" i="1"/>
  <c r="A310" i="2" l="1"/>
  <c r="A292" i="1"/>
  <c r="A311" i="2" l="1"/>
  <c r="A293" i="1"/>
  <c r="A312" i="2" l="1"/>
  <c r="A294" i="1"/>
  <c r="A313" i="2" l="1"/>
  <c r="A295" i="1"/>
  <c r="A314" i="2" l="1"/>
  <c r="A296" i="1"/>
  <c r="A315" i="2" l="1"/>
  <c r="A297" i="1"/>
  <c r="A316" i="2" l="1"/>
  <c r="A298" i="1"/>
  <c r="A317" i="2" l="1"/>
  <c r="A299" i="1"/>
  <c r="A318" i="2" l="1"/>
  <c r="A300" i="1"/>
  <c r="A319" i="2" l="1"/>
  <c r="A301" i="1"/>
  <c r="A320" i="2" l="1"/>
  <c r="A302" i="1"/>
  <c r="A321" i="2" l="1"/>
  <c r="A303" i="1"/>
  <c r="A322" i="2" l="1"/>
  <c r="A304" i="1"/>
  <c r="A323" i="2" l="1"/>
  <c r="A305" i="1"/>
  <c r="A324" i="2" l="1"/>
  <c r="A306" i="1"/>
  <c r="A325" i="2" l="1"/>
  <c r="A307" i="1"/>
  <c r="A326" i="2" l="1"/>
  <c r="A308" i="1"/>
  <c r="A327" i="2" l="1"/>
  <c r="A309" i="1"/>
  <c r="A328" i="2" l="1"/>
  <c r="A310" i="1"/>
  <c r="A311" i="1" l="1"/>
  <c r="A329" i="2"/>
  <c r="A330" i="2" l="1"/>
  <c r="A312" i="1"/>
  <c r="A331" i="2" l="1"/>
  <c r="A313" i="1"/>
  <c r="A332" i="2" l="1"/>
  <c r="A314" i="1"/>
  <c r="A333" i="2" l="1"/>
  <c r="A315" i="1"/>
  <c r="A334" i="2" l="1"/>
  <c r="A316" i="1"/>
  <c r="A335" i="2" l="1"/>
  <c r="A317" i="1"/>
  <c r="A336" i="2" l="1"/>
  <c r="A318" i="1"/>
  <c r="A337" i="2" l="1"/>
  <c r="A319" i="1"/>
  <c r="A338" i="2" l="1"/>
  <c r="A320" i="1"/>
  <c r="A339" i="2" l="1"/>
  <c r="A321" i="1"/>
  <c r="A340" i="2" l="1"/>
  <c r="A322" i="1"/>
  <c r="A341" i="2" l="1"/>
  <c r="A323" i="1"/>
  <c r="A342" i="2" l="1"/>
  <c r="A324" i="1"/>
  <c r="A343" i="2" l="1"/>
  <c r="A325" i="1"/>
  <c r="A344" i="2" l="1"/>
  <c r="A326" i="1"/>
  <c r="A345" i="2" l="1"/>
  <c r="A327" i="1"/>
  <c r="A346" i="2" l="1"/>
  <c r="A347" i="2" l="1"/>
  <c r="A348" i="2" l="1"/>
</calcChain>
</file>

<file path=xl/sharedStrings.xml><?xml version="1.0" encoding="utf-8"?>
<sst xmlns="http://schemas.openxmlformats.org/spreadsheetml/2006/main" count="2010" uniqueCount="1201">
  <si>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</si>
  <si>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</si>
  <si>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</si>
  <si>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</si>
  <si>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</si>
  <si>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</si>
  <si>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</si>
  <si>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</si>
  <si>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</si>
  <si>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</si>
  <si>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</si>
  <si>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</si>
  <si>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</si>
  <si>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</si>
  <si>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</si>
  <si>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</si>
  <si>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</si>
  <si>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</si>
  <si>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</si>
  <si>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</si>
  <si>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</si>
  <si>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</si>
  <si>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</si>
  <si>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</si>
  <si>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</si>
  <si>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</si>
  <si>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</si>
  <si>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</si>
  <si>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</si>
  <si>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</si>
  <si>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</si>
  <si>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</si>
  <si>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</si>
  <si>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</si>
  <si>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</si>
  <si>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</si>
  <si>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</si>
  <si>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</si>
  <si>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</si>
  <si>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</si>
  <si>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</si>
  <si>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</si>
  <si>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</si>
  <si>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</si>
  <si>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</si>
  <si>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</si>
  <si>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</si>
  <si>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</si>
  <si>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</si>
  <si>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</si>
  <si>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</si>
  <si>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</si>
  <si>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</si>
  <si>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</si>
  <si>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</si>
  <si>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</si>
  <si>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</si>
  <si>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</si>
  <si>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</si>
  <si>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</si>
  <si>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</si>
  <si>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</si>
  <si>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</si>
  <si>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</si>
  <si>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</si>
  <si>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</si>
  <si>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</si>
  <si>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</si>
  <si>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</si>
  <si>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</si>
  <si>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</si>
  <si>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</si>
  <si>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</si>
  <si>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</si>
  <si>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</si>
  <si>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</si>
  <si>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</si>
  <si>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</si>
  <si>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</si>
  <si>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</si>
  <si>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</si>
  <si>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</si>
  <si>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</si>
  <si>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</si>
  <si>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</si>
  <si>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</si>
  <si>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</si>
  <si>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</si>
  <si>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</si>
  <si>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</si>
  <si>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</si>
  <si>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</si>
  <si>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</si>
  <si>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</si>
  <si>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</si>
  <si>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</si>
  <si>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</si>
  <si>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</si>
  <si>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</si>
  <si>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</si>
  <si>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</si>
  <si>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</si>
  <si>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</si>
  <si>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</si>
  <si>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</si>
  <si>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</si>
  <si>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</si>
  <si>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</si>
  <si>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</si>
  <si>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</si>
  <si>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</si>
  <si>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</si>
  <si>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</si>
  <si>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</si>
  <si>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</si>
  <si>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</si>
  <si>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</si>
  <si>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</si>
  <si>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</si>
  <si>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</si>
  <si>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</si>
  <si>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</si>
  <si>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</si>
  <si>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</si>
  <si>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</si>
  <si>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</si>
  <si>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</si>
  <si>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</si>
  <si>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</si>
  <si>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</si>
  <si>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</si>
  <si>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</si>
  <si>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</si>
  <si>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</si>
  <si>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</si>
  <si>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</si>
  <si>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</si>
  <si>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</si>
  <si>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</si>
  <si>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</si>
  <si>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</si>
  <si>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</si>
  <si>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</si>
  <si>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</si>
  <si>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</si>
  <si>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</si>
  <si>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</si>
  <si>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</si>
  <si>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</si>
  <si>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</si>
  <si>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</si>
  <si>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</si>
  <si>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</si>
  <si>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</si>
  <si>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</si>
  <si>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</si>
  <si>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</si>
  <si>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</si>
  <si>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</si>
  <si>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</si>
  <si>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</si>
  <si>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</si>
  <si>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</si>
  <si>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</si>
  <si>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</si>
  <si>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</si>
  <si>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</si>
  <si>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</si>
  <si>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</si>
  <si>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</si>
  <si>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</si>
  <si>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</si>
  <si>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</si>
  <si>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</si>
  <si>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</si>
  <si>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</si>
  <si>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</si>
  <si>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</si>
  <si>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</si>
  <si>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</si>
  <si>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</si>
  <si>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</si>
  <si>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</si>
  <si>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</si>
  <si>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</si>
  <si>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</si>
  <si>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</si>
  <si>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</si>
  <si>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</si>
  <si>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</si>
  <si>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</si>
  <si>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</si>
  <si>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</si>
  <si>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</si>
  <si>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</si>
  <si>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</si>
  <si>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</si>
  <si>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</si>
  <si>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</si>
  <si>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</si>
  <si>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</si>
  <si>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</si>
  <si>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</si>
  <si>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</si>
  <si>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</si>
  <si>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</si>
  <si>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</si>
  <si>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</si>
  <si>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</si>
  <si>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</si>
  <si>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</si>
  <si>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</si>
  <si>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</si>
  <si>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</si>
  <si>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</si>
  <si>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</si>
  <si>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</si>
  <si>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</si>
  <si>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</si>
  <si>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</si>
  <si>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</si>
  <si>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</si>
  <si>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</si>
  <si>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</si>
  <si>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</si>
  <si>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</si>
  <si>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</si>
  <si>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</si>
  <si>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</si>
  <si>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</si>
  <si>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</si>
  <si>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</si>
  <si>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</si>
  <si>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</si>
  <si>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</si>
  <si>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</si>
  <si>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</si>
  <si>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</si>
  <si>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</si>
  <si>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</si>
  <si>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</si>
  <si>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</si>
  <si>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</si>
  <si>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</si>
  <si>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</si>
  <si>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</si>
  <si>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</si>
  <si>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</si>
  <si>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</si>
  <si>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</si>
  <si>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</si>
  <si>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</si>
  <si>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</si>
  <si>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</si>
  <si>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</si>
  <si>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</si>
  <si>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</si>
  <si>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</si>
  <si>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</si>
  <si>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</si>
  <si>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</si>
  <si>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</si>
  <si>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</si>
  <si>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</si>
  <si>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</si>
  <si>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</si>
  <si>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</si>
  <si>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</si>
  <si>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</si>
  <si>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</si>
  <si>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</si>
  <si>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</si>
  <si>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</si>
  <si>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</si>
  <si>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</si>
  <si>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</si>
  <si>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</si>
  <si>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</si>
  <si>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</si>
  <si>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</si>
  <si>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</si>
  <si>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</si>
  <si>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</si>
  <si>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</si>
  <si>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</si>
  <si>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</si>
  <si>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</si>
  <si>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</si>
  <si>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</si>
  <si>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</si>
  <si>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</si>
  <si>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</si>
  <si>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</si>
  <si>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</si>
  <si>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</si>
  <si>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</si>
  <si>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</si>
  <si>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</si>
  <si>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</si>
  <si>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</si>
  <si>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</si>
  <si>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</si>
  <si>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</si>
  <si>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</si>
  <si>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</si>
  <si>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</si>
  <si>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</si>
  <si>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</si>
  <si>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</si>
  <si>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</si>
  <si>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</si>
  <si>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</si>
  <si>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</si>
  <si>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</si>
  <si>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</si>
  <si>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</si>
  <si>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</si>
  <si>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</si>
  <si>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</si>
  <si>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</si>
  <si>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</si>
  <si>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</si>
  <si>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</si>
  <si>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</si>
  <si>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</si>
  <si>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</si>
  <si>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</si>
  <si>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</si>
  <si>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</si>
  <si>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</si>
  <si>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</si>
  <si>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</si>
  <si>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</si>
  <si>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</si>
  <si>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</si>
  <si>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</si>
  <si>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</si>
  <si>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</si>
  <si>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</si>
  <si>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</si>
  <si>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</si>
  <si>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</si>
  <si>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</si>
  <si>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</si>
  <si>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</si>
  <si>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</si>
  <si>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</si>
  <si>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</si>
  <si>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</si>
  <si>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</si>
  <si>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</si>
  <si>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</si>
  <si>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</si>
  <si>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</si>
  <si>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</si>
  <si>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</si>
  <si>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</si>
  <si>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</si>
  <si>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</si>
  <si>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</si>
  <si>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</si>
  <si>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</si>
  <si>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</si>
  <si>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</si>
  <si>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</si>
  <si>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</si>
  <si>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</si>
  <si>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</si>
  <si>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</si>
  <si>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</si>
  <si>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</si>
  <si>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</si>
  <si>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</si>
  <si>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</si>
  <si>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</si>
  <si>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</si>
  <si>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</si>
  <si>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</si>
  <si>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</si>
  <si>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</si>
  <si>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</si>
  <si>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</si>
  <si>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</si>
  <si>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</si>
  <si>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</si>
  <si>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</si>
  <si>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</si>
  <si>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</si>
  <si>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</si>
  <si>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</si>
  <si>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</si>
  <si>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</si>
  <si>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</si>
  <si>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</si>
  <si>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</si>
  <si>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</si>
  <si>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</si>
  <si>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</si>
  <si>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</si>
  <si>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</si>
  <si>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</si>
  <si>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</si>
  <si>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</si>
  <si>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</si>
  <si>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</si>
  <si>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</si>
  <si>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</si>
  <si>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</si>
  <si>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</si>
  <si>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</si>
  <si>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</si>
  <si>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</si>
  <si>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</si>
  <si>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</si>
  <si>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</si>
  <si>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</si>
  <si>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</si>
  <si>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</si>
  <si>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</si>
  <si>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</si>
  <si>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</si>
  <si>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</si>
  <si>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</si>
  <si>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</si>
  <si>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</si>
  <si>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</si>
  <si>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</si>
  <si>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</si>
  <si>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</si>
  <si>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</si>
  <si>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</si>
  <si>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</si>
  <si>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</si>
  <si>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</si>
  <si>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</si>
  <si>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</si>
  <si>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</si>
  <si>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</si>
  <si>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</si>
  <si>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</si>
  <si>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</si>
  <si>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</si>
  <si>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</si>
  <si>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</si>
  <si>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</si>
  <si>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</si>
  <si>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</si>
  <si>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</si>
  <si>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</si>
  <si>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</si>
  <si>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</si>
  <si>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</si>
  <si>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</si>
  <si>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</si>
  <si>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</si>
  <si>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</si>
  <si>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</si>
  <si>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</si>
  <si>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</si>
  <si>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</si>
  <si>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</si>
  <si>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</si>
  <si>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</si>
  <si>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</si>
  <si>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</si>
  <si>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</si>
  <si>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</si>
  <si>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</si>
  <si>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</si>
  <si>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</si>
  <si>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</si>
  <si>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</si>
  <si>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</si>
  <si>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</si>
  <si>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</si>
  <si>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</si>
  <si>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</si>
  <si>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</si>
  <si>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</si>
  <si>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</si>
  <si>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</si>
  <si>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</si>
  <si>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</si>
  <si>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</si>
  <si>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</si>
  <si>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</si>
  <si>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</si>
  <si>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</si>
  <si>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</si>
  <si>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</si>
  <si>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</si>
  <si>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</si>
  <si>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</si>
  <si>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</si>
  <si>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</si>
  <si>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</si>
  <si>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</si>
  <si>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</si>
  <si>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</si>
  <si>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</si>
  <si>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</si>
  <si>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</si>
  <si>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</si>
  <si>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</si>
  <si>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</si>
  <si>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</si>
  <si>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</si>
  <si>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</si>
  <si>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</si>
  <si>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</si>
  <si>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</si>
  <si>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</si>
  <si>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</si>
  <si>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</si>
  <si>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</si>
  <si>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</si>
  <si>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</si>
  <si>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</si>
  <si>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</si>
  <si>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</si>
  <si>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</si>
  <si>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</si>
  <si>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</si>
  <si>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</si>
  <si>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</si>
  <si>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</si>
  <si>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</si>
  <si>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</si>
  <si>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</si>
  <si>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</si>
  <si>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</si>
  <si>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</si>
  <si>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</si>
  <si>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</si>
  <si>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</si>
  <si>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</si>
  <si>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</si>
  <si>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</si>
  <si>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</si>
  <si>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</si>
  <si>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</si>
  <si>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</si>
  <si>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</si>
  <si>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</si>
  <si>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</si>
  <si>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</si>
  <si>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</si>
  <si>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</si>
  <si>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</si>
  <si>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</si>
  <si>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</si>
  <si>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</si>
  <si>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</si>
  <si>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</si>
  <si>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</si>
  <si>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</si>
  <si>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</si>
  <si>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</si>
  <si>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</si>
  <si>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</si>
  <si>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</si>
  <si>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</si>
  <si>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</si>
  <si>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</si>
  <si>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</si>
  <si>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</si>
  <si>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</si>
  <si>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</si>
  <si>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</si>
  <si>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</si>
  <si>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</si>
  <si>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</si>
  <si>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</si>
  <si>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</si>
  <si>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</si>
  <si>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</si>
  <si>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</si>
  <si>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</si>
  <si>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</si>
  <si>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</si>
  <si>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</si>
  <si>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</si>
  <si>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</si>
  <si>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</si>
  <si>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</si>
  <si>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</si>
  <si>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</si>
  <si>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</si>
  <si>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</si>
  <si>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</si>
  <si>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</si>
  <si>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</si>
  <si>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</si>
  <si>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</si>
  <si>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</si>
  <si>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</si>
  <si>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</si>
  <si>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</si>
  <si>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</si>
  <si>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</si>
  <si>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</si>
  <si>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</si>
  <si>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</si>
  <si>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</si>
  <si>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</si>
  <si>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</si>
  <si>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</si>
  <si>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</si>
  <si>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</si>
  <si>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</si>
  <si>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</si>
  <si>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</si>
  <si>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</si>
  <si>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</si>
  <si>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</si>
  <si>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</si>
  <si>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</si>
  <si>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</si>
  <si>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</si>
  <si>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</si>
  <si>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</si>
  <si>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</si>
  <si>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</si>
  <si>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</si>
  <si>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</si>
  <si>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</si>
  <si>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</si>
  <si>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</si>
  <si>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</si>
  <si>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</si>
  <si>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</si>
  <si>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</si>
  <si>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</si>
  <si>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</si>
  <si>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</si>
  <si>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</si>
  <si>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</si>
  <si>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</si>
  <si>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</si>
  <si>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</si>
  <si>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</si>
  <si>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</si>
  <si>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</si>
  <si>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</si>
  <si>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</si>
  <si>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</si>
  <si>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</si>
  <si>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</si>
  <si>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</si>
  <si>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</si>
  <si>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</si>
  <si>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</si>
  <si>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</si>
  <si>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</si>
  <si>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</si>
  <si>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</si>
  <si>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</si>
  <si>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</si>
  <si>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</si>
  <si>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</si>
  <si>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</si>
  <si>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</si>
  <si>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</si>
  <si>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</si>
  <si>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</si>
  <si>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</si>
  <si>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</si>
  <si>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</si>
  <si>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</si>
  <si>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</si>
  <si>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</si>
  <si>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</si>
  <si>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</si>
  <si>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</si>
  <si>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</si>
  <si>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</si>
  <si>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</si>
  <si>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</si>
  <si>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</si>
  <si>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</si>
  <si>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</si>
  <si>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</si>
  <si>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</si>
  <si>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</si>
  <si>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</si>
  <si>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</si>
  <si>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</si>
  <si>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</si>
  <si>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</si>
  <si>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</si>
  <si>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</si>
  <si>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</si>
  <si>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</si>
  <si>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</si>
  <si>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</si>
  <si>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</si>
  <si>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</si>
  <si>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</si>
  <si>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</si>
  <si>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</si>
  <si>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</si>
  <si>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</si>
  <si>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</si>
  <si>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</si>
  <si>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</si>
  <si>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</si>
  <si>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</si>
  <si>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</si>
  <si>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</si>
  <si>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</si>
  <si>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</si>
  <si>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</si>
  <si>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</si>
  <si>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</si>
  <si>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</si>
  <si>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</si>
  <si>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</si>
  <si>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</si>
  <si>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</si>
  <si>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</si>
  <si>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</si>
  <si>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</si>
  <si>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</si>
  <si>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</si>
  <si>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</si>
  <si>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</si>
  <si>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</si>
  <si>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</si>
  <si>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</si>
  <si>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</si>
  <si>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</si>
  <si>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</si>
  <si>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</si>
  <si>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</si>
  <si>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</si>
  <si>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</si>
  <si>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</si>
  <si>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</si>
  <si>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</si>
  <si>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</si>
  <si>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</si>
  <si>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</si>
  <si>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</si>
  <si>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</si>
  <si>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</si>
  <si>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</si>
  <si>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</si>
  <si>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</si>
  <si>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</si>
  <si>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</si>
  <si>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</si>
  <si>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</si>
  <si>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</si>
  <si>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</si>
  <si>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</si>
  <si>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</si>
  <si>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</si>
  <si>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</si>
  <si>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</si>
  <si>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</si>
  <si>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</si>
  <si>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</si>
  <si>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</si>
  <si>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</si>
  <si>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</si>
  <si>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</si>
  <si>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</si>
  <si>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</si>
  <si>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</si>
  <si>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</si>
  <si>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</si>
  <si>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</si>
  <si>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</si>
  <si>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</si>
  <si>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</si>
  <si>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</si>
  <si>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</si>
  <si>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</si>
  <si>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</si>
  <si>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</si>
  <si>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</si>
  <si>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</si>
  <si>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</si>
  <si>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</si>
  <si>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</si>
  <si>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</si>
  <si>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</si>
  <si>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</si>
  <si>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</si>
  <si>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</si>
  <si>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</si>
  <si>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</si>
  <si>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</si>
  <si>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</si>
  <si>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</si>
  <si>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</si>
  <si>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</si>
  <si>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</si>
  <si>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</si>
  <si>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</si>
  <si>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</si>
  <si>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</si>
  <si>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</si>
  <si>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</si>
  <si>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</si>
  <si>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</si>
  <si>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</si>
  <si>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</si>
  <si>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</si>
  <si>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</si>
  <si>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</si>
  <si>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</si>
  <si>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</si>
  <si>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</si>
  <si>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</si>
  <si>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</si>
  <si>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</si>
  <si>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</si>
  <si>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</si>
  <si>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</si>
  <si>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</si>
  <si>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</si>
  <si>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</si>
  <si>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</si>
  <si>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</si>
  <si>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</si>
  <si>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</si>
  <si>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</si>
  <si>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</si>
  <si>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</si>
  <si>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</si>
  <si>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</si>
  <si>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</si>
  <si>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</si>
  <si>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</si>
  <si>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</si>
  <si>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</si>
  <si>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</si>
  <si>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</si>
  <si>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</si>
  <si>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</si>
  <si>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</si>
  <si>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</si>
  <si>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</si>
  <si>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</si>
  <si>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</si>
  <si>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</si>
  <si>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</si>
  <si>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</si>
  <si>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</si>
  <si>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</si>
  <si>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</si>
  <si>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</si>
  <si>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</si>
  <si>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</si>
  <si>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</si>
  <si>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</si>
  <si>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</si>
  <si>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</si>
  <si>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</si>
  <si>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</si>
  <si>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</si>
  <si>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</si>
  <si>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</si>
  <si>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</si>
  <si>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</si>
  <si>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</si>
  <si>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</si>
  <si>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</si>
  <si>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</si>
  <si>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</si>
  <si>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</si>
  <si>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</si>
  <si>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</si>
  <si>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</si>
  <si>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</si>
  <si>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</si>
  <si>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</si>
  <si>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</si>
  <si>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</si>
  <si>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</si>
  <si>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</si>
  <si>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</si>
  <si>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</si>
  <si>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</si>
  <si>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</si>
  <si>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</si>
  <si>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</si>
  <si>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</si>
  <si>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</si>
  <si>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</si>
  <si>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</si>
  <si>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</si>
  <si>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</si>
  <si>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</si>
  <si>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</si>
  <si>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</si>
  <si>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</si>
  <si>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</si>
  <si>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</si>
  <si>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</si>
  <si>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</si>
  <si>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</si>
  <si>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</si>
  <si>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</si>
  <si>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</si>
  <si>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</si>
  <si>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</si>
  <si>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</si>
  <si>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</si>
  <si>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</si>
  <si>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</si>
  <si>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</si>
  <si>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</si>
  <si>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</si>
  <si>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</si>
  <si>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</si>
  <si>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</si>
  <si>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</si>
  <si>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</si>
  <si>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</si>
  <si>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</si>
  <si>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</si>
  <si>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</si>
  <si>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</si>
  <si>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</si>
  <si>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</si>
  <si>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</si>
  <si>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</si>
  <si>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</si>
  <si>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</si>
  <si>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</si>
  <si>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</si>
  <si>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</si>
  <si>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</si>
  <si>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</si>
  <si>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</si>
  <si>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</si>
  <si>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</si>
  <si>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</si>
  <si>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</si>
  <si>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</si>
  <si>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</si>
  <si>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</si>
  <si>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</si>
  <si>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</si>
  <si>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</si>
  <si>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</si>
  <si>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</si>
  <si>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</si>
  <si>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</si>
  <si>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</si>
  <si>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</si>
  <si>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</si>
  <si>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</si>
  <si>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</si>
  <si>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</si>
  <si>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</si>
  <si>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</si>
  <si>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</si>
  <si>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</si>
  <si>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</si>
  <si>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</si>
  <si>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</si>
  <si>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</si>
  <si>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</si>
  <si>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</si>
  <si>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</si>
  <si>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</si>
  <si>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</si>
  <si>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</si>
  <si>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</si>
  <si>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</si>
  <si>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</si>
  <si>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</si>
  <si>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</si>
  <si>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</si>
  <si>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</si>
  <si>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</si>
  <si>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</si>
  <si>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</si>
  <si>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</si>
  <si>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</si>
  <si>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</si>
  <si>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</si>
  <si>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</si>
  <si>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</si>
  <si>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</si>
  <si>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</si>
  <si>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</si>
  <si>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</si>
  <si>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</si>
  <si>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</si>
  <si>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</si>
  <si>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</si>
  <si>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</si>
  <si>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</si>
  <si>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</si>
  <si>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</si>
  <si>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</si>
  <si>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</si>
  <si>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</si>
  <si>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</si>
  <si>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</si>
  <si>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</si>
  <si>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</si>
  <si>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</si>
  <si>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</si>
  <si>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</si>
  <si>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</si>
  <si>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</si>
  <si>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</si>
  <si>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</si>
  <si>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</si>
  <si>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</si>
  <si>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</si>
  <si>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</si>
  <si>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</si>
  <si>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</si>
  <si>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</si>
  <si>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</si>
  <si>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</si>
  <si>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</si>
  <si>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</si>
  <si>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</si>
  <si>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</si>
  <si>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</si>
  <si>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</si>
  <si>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</si>
  <si>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</si>
  <si>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</si>
  <si>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</si>
  <si>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</si>
  <si>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</si>
  <si>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</si>
  <si>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</si>
  <si>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</si>
  <si>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</si>
  <si>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</si>
  <si>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</si>
  <si>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</si>
  <si>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</si>
  <si>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</si>
  <si>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</si>
  <si>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</si>
  <si>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</si>
  <si>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</si>
  <si>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</si>
  <si>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</si>
  <si>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</si>
  <si>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</si>
  <si>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</si>
  <si>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</si>
  <si>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</si>
  <si>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</si>
  <si>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</si>
  <si>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</si>
  <si>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</si>
  <si>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</si>
  <si>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</si>
  <si>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</si>
  <si>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</si>
  <si>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</si>
  <si>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</si>
  <si>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</si>
  <si>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</si>
  <si>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</si>
  <si>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</si>
  <si>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</si>
  <si>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</si>
  <si>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</si>
  <si>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</si>
  <si>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</si>
  <si>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</si>
  <si>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</si>
  <si>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</si>
  <si>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</si>
  <si>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</si>
  <si>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</si>
  <si>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</si>
  <si>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</si>
  <si>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</si>
  <si>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</si>
  <si>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</si>
  <si>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</si>
  <si>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</si>
  <si>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</si>
  <si>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</si>
  <si>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</si>
  <si>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</si>
  <si>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</si>
  <si>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</si>
  <si>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</si>
  <si>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</si>
  <si>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</si>
  <si>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</si>
  <si>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</si>
  <si>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</si>
  <si>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</si>
  <si>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</si>
  <si>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</si>
  <si>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</si>
  <si>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</si>
  <si>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</si>
  <si>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</si>
  <si>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</si>
  <si>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</si>
  <si>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</si>
  <si>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</si>
  <si>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</si>
  <si>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</si>
  <si>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</si>
  <si>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</si>
  <si>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</si>
  <si>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</si>
  <si>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</si>
  <si>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</si>
  <si>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</si>
  <si>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</si>
  <si>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</si>
  <si>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</si>
  <si>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</si>
  <si>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</si>
  <si>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</si>
  <si>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</si>
  <si>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</si>
  <si>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</si>
  <si>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</si>
  <si>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</si>
  <si>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</si>
  <si>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</si>
  <si>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</si>
  <si>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</si>
  <si>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</si>
  <si>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</si>
  <si>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</si>
  <si>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</si>
  <si>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</si>
  <si>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</si>
  <si>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</si>
  <si>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</si>
  <si>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</si>
  <si>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</si>
  <si>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</si>
  <si>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</si>
  <si>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</si>
  <si>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</si>
  <si>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</si>
  <si>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</si>
  <si>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</si>
  <si>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</si>
  <si>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</si>
  <si>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</si>
  <si>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</si>
  <si>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</si>
  <si>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</si>
  <si>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</si>
  <si>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</si>
  <si>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</si>
  <si>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</si>
  <si>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</si>
  <si>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</si>
  <si>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</si>
  <si>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</si>
  <si>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</si>
  <si>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</si>
  <si>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</si>
  <si>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</si>
  <si>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</si>
  <si>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</si>
  <si>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</si>
  <si>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</si>
  <si>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</si>
  <si>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50</t>
  </si>
  <si>
    <t>4-遠方怪群</t>
  </si>
  <si>
    <t>預先生成</t>
  </si>
  <si>
    <t>100</t>
  </si>
  <si>
    <t>未警戒遊走</t>
  </si>
  <si>
    <t>出生點半徑a米內；跑速×b；到點停留c~d秒</t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</si>
  <si>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</si>
  <si>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</si>
  <si>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</si>
  <si>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</si>
  <si>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</si>
  <si>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</si>
  <si>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</si>
  <si>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</si>
  <si>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</si>
  <si>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</si>
  <si>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</si>
  <si>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</si>
  <si>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</si>
  <si>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</si>
  <si>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</si>
  <si>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</si>
  <si>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</si>
  <si>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</si>
  <si>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</si>
  <si>
    <t>格點間距a米；預載b米內／c米外；隨機f～d群，每群最多e隻</t>
  </si>
  <si>
    <t>初次隨機抽定群數，整群死亡後在遠方隨機空位補回。存活群保留，部分死亡不補單隻；與近身波次獨立，共用戰場總容量。</t>
  </si>
  <si>
    <t>僅遠方預置怪群未發現玩家時生效。以各隻出生世界座標為固定中心隨機走停；玩家進入NPC視野或怪物受擊後停止遊走並追擊。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</si>
</sst>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9"/>
  <sheetViews>
    <sheetView tabSelected="1" topLeftCell="A319" workbookViewId="0">
      <selection activeCell="M344" sqref="M344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 s="7" t="s">
        <v>1176</v>
      </c>
      <c r="H11" s="7" t="s">
        <v>1193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1192</v>
      </c>
      <c r="G12" s="7" t="s">
        <v>1153</v>
      </c>
      <c r="H12" s="7" t="s">
        <v>1194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25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1185</v>
      </c>
      <c r="G14" s="7" t="s">
        <v>1195</v>
      </c>
      <c r="H14" s="7" t="s">
        <v>1173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25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1186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25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1186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25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1186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25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1186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25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1186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25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1186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25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1186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25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1186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25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1186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25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1186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25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1186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25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1186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25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1186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25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1186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25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1186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25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1186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25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1186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25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1186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25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1186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25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1186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25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1186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25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25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25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25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25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25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25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25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25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25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25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25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25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25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25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25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25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25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25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25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25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1141</v>
      </c>
      <c r="F56" s="7" t="s">
        <v>1142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25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25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1143</v>
      </c>
      <c r="F58" s="7" t="s">
        <v>1144</v>
      </c>
      <c r="G58">
        <f>計算表!G59</f>
        <v>1</v>
      </c>
      <c r="H58" s="7" t="s">
        <v>1145</v>
      </c>
      <c r="I58" s="7" t="s">
        <v>1146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25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25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25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1147</v>
      </c>
      <c r="F61" s="7" t="s">
        <v>1148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1149</v>
      </c>
      <c r="K61" s="7" t="s">
        <v>1150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25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1151</v>
      </c>
      <c r="F62" s="7" t="s">
        <v>1152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1153</v>
      </c>
      <c r="K62" s="7" t="s">
        <v>1150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25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1154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25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1167</v>
      </c>
      <c r="F64" s="7" t="s">
        <v>1168</v>
      </c>
      <c r="G64" s="7" t="s">
        <v>1163</v>
      </c>
      <c r="H64" s="7" t="s">
        <v>1164</v>
      </c>
      <c r="I64" s="7" t="s">
        <v>1165</v>
      </c>
      <c r="J64" s="7" t="s">
        <v>1166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25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1155</v>
      </c>
      <c r="G65">
        <f>計算表!G66</f>
        <v>150</v>
      </c>
      <c r="H65" s="7" t="s">
        <v>1150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25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1153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25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1146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25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1156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25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1157</v>
      </c>
      <c r="E69" s="7" t="s">
        <v>1158</v>
      </c>
      <c r="F69" s="7" t="s">
        <v>1159</v>
      </c>
      <c r="G69" s="7" t="s">
        <v>1160</v>
      </c>
      <c r="H69" s="7" t="s">
        <v>1161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25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25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25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25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25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25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25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25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25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25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25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25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25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25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25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25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25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25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25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25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25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25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25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25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25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990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25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25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25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25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25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25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25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25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25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25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25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25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25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25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25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25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25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25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25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25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25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25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25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25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991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25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25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25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25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25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25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25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25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25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25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25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25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25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25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25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25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25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25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25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25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25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25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25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25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25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25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992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25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993</v>
      </c>
      <c r="H145" s="7" t="s">
        <v>994</v>
      </c>
      <c r="I145" s="7" t="s">
        <v>995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25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996</v>
      </c>
      <c r="H146" s="7" t="s">
        <v>997</v>
      </c>
      <c r="I146">
        <f>計算表!I147</f>
        <v>9.11754</v>
      </c>
      <c r="J146" s="7" t="s">
        <v>998</v>
      </c>
      <c r="K146" s="7" t="s">
        <v>999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25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1000</v>
      </c>
      <c r="H147" s="7" t="s">
        <v>1001</v>
      </c>
      <c r="I147" s="7" t="s">
        <v>1002</v>
      </c>
      <c r="J147" s="7" t="s">
        <v>1003</v>
      </c>
      <c r="K147" s="7" t="s">
        <v>1004</v>
      </c>
      <c r="L147" s="7" t="s">
        <v>1005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25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1006</v>
      </c>
      <c r="H148" s="7" t="s">
        <v>1007</v>
      </c>
      <c r="I148" s="7" t="s">
        <v>1008</v>
      </c>
      <c r="J148" s="7" t="s">
        <v>1009</v>
      </c>
      <c r="K148" s="7" t="s">
        <v>1010</v>
      </c>
      <c r="L148" s="7" t="s">
        <v>1011</v>
      </c>
      <c r="M148" s="7" t="s">
        <v>1012</v>
      </c>
      <c r="N148" s="7" t="s">
        <v>1013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25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1014</v>
      </c>
      <c r="H149" s="7" t="s">
        <v>1015</v>
      </c>
      <c r="I149" s="7" t="s">
        <v>1016</v>
      </c>
      <c r="J149" s="7" t="s">
        <v>1017</v>
      </c>
      <c r="K149" s="7" t="s">
        <v>1018</v>
      </c>
      <c r="L149" s="7" t="s">
        <v>1019</v>
      </c>
      <c r="M149" s="7" t="s">
        <v>1020</v>
      </c>
      <c r="N149" s="7" t="s">
        <v>1021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25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1022</v>
      </c>
      <c r="H150" s="7" t="s">
        <v>1023</v>
      </c>
      <c r="I150" s="7" t="s">
        <v>1024</v>
      </c>
      <c r="J150" s="7" t="s">
        <v>1025</v>
      </c>
      <c r="K150" s="7" t="s">
        <v>1026</v>
      </c>
      <c r="L150" s="7" t="s">
        <v>1027</v>
      </c>
      <c r="M150" s="7" t="s">
        <v>1028</v>
      </c>
      <c r="N150" s="7" t="s">
        <v>1029</v>
      </c>
      <c r="O150" s="7" t="s">
        <v>1030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25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1031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25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25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25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25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25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25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25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25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25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25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25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25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25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25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25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25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25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25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25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1032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25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25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25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25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25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25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25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25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1033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25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25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25">
      <c r="A181">
        <f>計算表!A183</f>
        <v>184</v>
      </c>
      <c r="B181">
        <f>計算表!B183</f>
        <v>0</v>
      </c>
      <c r="C181" t="str">
        <f>計算表!C183</f>
        <v>6-神鑄</v>
      </c>
      <c r="D181" t="str">
        <f>計算表!D183</f>
        <v>裝備神鑄成功率</v>
      </c>
      <c r="E181" t="str">
        <f>計算表!E183</f>
        <v>clamp(基礎 + 魔塵數×a, 0, 100)</v>
      </c>
      <c r="F181" t="str">
        <f>計算表!F183</f>
        <v>傳統品質每魔塵 a%；混沌品質另由「裝備神鑄混沌魔塵加成」控制。</v>
      </c>
      <c r="G181">
        <f>計算表!G183</f>
        <v>5</v>
      </c>
      <c r="H181">
        <f>計算表!H183</f>
        <v>0</v>
      </c>
      <c r="I181">
        <f>計算表!I183</f>
        <v>0</v>
      </c>
      <c r="J181">
        <f>計算表!J183</f>
        <v>0</v>
      </c>
      <c r="K181">
        <f>計算表!K183</f>
        <v>0</v>
      </c>
      <c r="L181">
        <f>計算表!L183</f>
        <v>0</v>
      </c>
      <c r="M181">
        <f>計算表!M183</f>
        <v>0</v>
      </c>
      <c r="N181">
        <f>計算表!N183</f>
        <v>0</v>
      </c>
      <c r="O181">
        <f>計算表!O183</f>
        <v>0</v>
      </c>
      <c r="P181">
        <f>計算表!P183</f>
        <v>0</v>
      </c>
      <c r="Q181">
        <f>計算表!Q183</f>
        <v>0</v>
      </c>
      <c r="R181">
        <f>計算表!R183</f>
        <v>0</v>
      </c>
    </row>
    <row r="182" spans="1:18" x14ac:dyDescent="0.25">
      <c r="A182">
        <f>計算表!A184</f>
        <v>185</v>
      </c>
      <c r="B182">
        <f>計算表!B184</f>
        <v>0</v>
      </c>
      <c r="C182" t="str">
        <f>計算表!C184</f>
        <v>6-神鑄</v>
      </c>
      <c r="D182" t="str">
        <f>計算表!D184</f>
        <v>裝備神鑄基礎成功率</v>
      </c>
      <c r="E182" t="str">
        <f>計算表!E184</f>
        <v>傳說a 神話b 創世c 混沌d（%）</v>
      </c>
      <c r="F182" t="str">
        <f>計算表!F184</f>
        <v>依素材品質。</v>
      </c>
      <c r="G182">
        <f>計算表!G184</f>
        <v>55</v>
      </c>
      <c r="H182">
        <f>計算表!H184</f>
        <v>40</v>
      </c>
      <c r="I182">
        <f>計算表!I184</f>
        <v>25</v>
      </c>
      <c r="J182">
        <f>計算表!J184</f>
        <v>20</v>
      </c>
      <c r="K182">
        <f>計算表!K184</f>
        <v>0</v>
      </c>
      <c r="L182">
        <f>計算表!L184</f>
        <v>0</v>
      </c>
      <c r="M182">
        <f>計算表!M184</f>
        <v>0</v>
      </c>
      <c r="N182">
        <f>計算表!N184</f>
        <v>0</v>
      </c>
      <c r="O182">
        <f>計算表!O184</f>
        <v>0</v>
      </c>
      <c r="P182">
        <f>計算表!P184</f>
        <v>0</v>
      </c>
      <c r="Q182">
        <f>計算表!Q184</f>
        <v>0</v>
      </c>
      <c r="R182">
        <f>計算表!R184</f>
        <v>0</v>
      </c>
    </row>
    <row r="183" spans="1:18" x14ac:dyDescent="0.25">
      <c r="A183">
        <f>計算表!A185</f>
        <v>186</v>
      </c>
      <c r="B183">
        <f>計算表!B185</f>
        <v>0</v>
      </c>
      <c r="C183" t="str">
        <f>計算表!C185</f>
        <v>6-神鑄</v>
      </c>
      <c r="D183" t="str">
        <f>計算表!D185</f>
        <v>裝備神鑄金幣</v>
      </c>
      <c r="E183" t="str">
        <f>計算表!E185</f>
        <v>傳說a 神話b 創世c 混沌d</v>
      </c>
      <c r="F183" t="str">
        <f>計算表!F185</f>
        <v>單次金幣消耗；混沌暫定 5 億。</v>
      </c>
      <c r="G183">
        <f>計算表!G185</f>
        <v>5000000</v>
      </c>
      <c r="H183">
        <f>計算表!H185</f>
        <v>20000000</v>
      </c>
      <c r="I183">
        <f>計算表!I185</f>
        <v>100000000</v>
      </c>
      <c r="J183">
        <f>計算表!J185</f>
        <v>500000000</v>
      </c>
      <c r="K183">
        <f>計算表!K185</f>
        <v>0</v>
      </c>
      <c r="L183">
        <f>計算表!L185</f>
        <v>0</v>
      </c>
      <c r="M183">
        <f>計算表!M185</f>
        <v>0</v>
      </c>
      <c r="N183">
        <f>計算表!N185</f>
        <v>0</v>
      </c>
      <c r="O183">
        <f>計算表!O185</f>
        <v>0</v>
      </c>
      <c r="P183">
        <f>計算表!P185</f>
        <v>0</v>
      </c>
      <c r="Q183">
        <f>計算表!Q185</f>
        <v>0</v>
      </c>
      <c r="R183">
        <f>計算表!R185</f>
        <v>0</v>
      </c>
    </row>
    <row r="184" spans="1:18" x14ac:dyDescent="0.25">
      <c r="A184">
        <f>計算表!A186</f>
        <v>187</v>
      </c>
      <c r="B184">
        <f>計算表!B186</f>
        <v>0</v>
      </c>
      <c r="C184" t="str">
        <f>計算表!C186</f>
        <v>6-神鑄</v>
      </c>
      <c r="D184" t="str">
        <f>計算表!D186</f>
        <v>裝備神鑄時間(秒)</v>
      </c>
      <c r="E184" t="str">
        <f>計算表!E186</f>
        <v>傳說a 神話b 創世c 混沌d</v>
      </c>
      <c r="F184">
        <f>計算表!F186</f>
        <v>0</v>
      </c>
      <c r="G184">
        <f>計算表!G186</f>
        <v>3</v>
      </c>
      <c r="H184">
        <f>計算表!H186</f>
        <v>5</v>
      </c>
      <c r="I184">
        <f>計算表!I186</f>
        <v>8</v>
      </c>
      <c r="J184">
        <f>計算表!J186</f>
        <v>13</v>
      </c>
      <c r="K184">
        <f>計算表!K186</f>
        <v>0</v>
      </c>
      <c r="L184">
        <f>計算表!L186</f>
        <v>0</v>
      </c>
      <c r="M184">
        <f>計算表!M186</f>
        <v>0</v>
      </c>
      <c r="N184">
        <f>計算表!N186</f>
        <v>0</v>
      </c>
      <c r="O184">
        <f>計算表!O186</f>
        <v>0</v>
      </c>
      <c r="P184">
        <f>計算表!P186</f>
        <v>0</v>
      </c>
      <c r="Q184">
        <f>計算表!Q186</f>
        <v>0</v>
      </c>
      <c r="R184">
        <f>計算表!R186</f>
        <v>0</v>
      </c>
    </row>
    <row r="185" spans="1:18" x14ac:dyDescent="0.25">
      <c r="A185">
        <f>計算表!A187</f>
        <v>188</v>
      </c>
      <c r="B185">
        <f>計算表!B187</f>
        <v>0</v>
      </c>
      <c r="C185" t="str">
        <f>計算表!C187</f>
        <v>6-神鑄</v>
      </c>
      <c r="D185" t="str">
        <f>計算表!D187</f>
        <v>裝備神鑄混沌魔塵加成</v>
      </c>
      <c r="E185" t="str">
        <f>計算表!E187</f>
        <v>混沌品質每個魔塵增加 a% 成功率</v>
      </c>
      <c r="F185" t="str">
        <f>計算表!F187</f>
        <v>僅適用 6 件混沌裝備神鑄為神鑄混沌。</v>
      </c>
      <c r="G185">
        <f>計算表!G187</f>
        <v>3</v>
      </c>
      <c r="H185">
        <f>計算表!H187</f>
        <v>0</v>
      </c>
      <c r="I185">
        <f>計算表!I187</f>
        <v>0</v>
      </c>
      <c r="J185">
        <f>計算表!J187</f>
        <v>0</v>
      </c>
      <c r="K185">
        <f>計算表!K187</f>
        <v>0</v>
      </c>
      <c r="L185">
        <f>計算表!L187</f>
        <v>0</v>
      </c>
      <c r="M185">
        <f>計算表!M187</f>
        <v>0</v>
      </c>
      <c r="N185">
        <f>計算表!N187</f>
        <v>0</v>
      </c>
      <c r="O185">
        <f>計算表!O187</f>
        <v>0</v>
      </c>
      <c r="P185">
        <f>計算表!P187</f>
        <v>0</v>
      </c>
      <c r="Q185">
        <f>計算表!Q187</f>
        <v>0</v>
      </c>
      <c r="R185">
        <f>計算表!R187</f>
        <v>0</v>
      </c>
    </row>
    <row r="186" spans="1:18" x14ac:dyDescent="0.25">
      <c r="A186">
        <f>計算表!A188</f>
        <v>189</v>
      </c>
      <c r="B186">
        <f>計算表!B188</f>
        <v>0</v>
      </c>
      <c r="C186" t="str">
        <f>計算表!C188</f>
        <v>6-神鑄</v>
      </c>
      <c r="D186" t="str">
        <f>計算表!D188</f>
        <v>寶石神鑄成功率</v>
      </c>
      <c r="E186" t="str">
        <f>計算表!E188</f>
        <v>clamp(基礎 + 魔塵數×a, 0, 100)</v>
      </c>
      <c r="F186" t="str">
        <f>計算表!F188</f>
        <v>基礎：5階45 6階35 7階25 8階15 9階5。a=每魔塵加成%。</v>
      </c>
      <c r="G186">
        <f>計算表!G188</f>
        <v>3</v>
      </c>
      <c r="H186">
        <f>計算表!H188</f>
        <v>0</v>
      </c>
      <c r="I186">
        <f>計算表!I188</f>
        <v>0</v>
      </c>
      <c r="J186">
        <f>計算表!J188</f>
        <v>0</v>
      </c>
      <c r="K186">
        <f>計算表!K188</f>
        <v>0</v>
      </c>
      <c r="L186">
        <f>計算表!L188</f>
        <v>0</v>
      </c>
      <c r="M186">
        <f>計算表!M188</f>
        <v>0</v>
      </c>
      <c r="N186">
        <f>計算表!N188</f>
        <v>0</v>
      </c>
      <c r="O186">
        <f>計算表!O188</f>
        <v>0</v>
      </c>
      <c r="P186">
        <f>計算表!P188</f>
        <v>0</v>
      </c>
      <c r="Q186">
        <f>計算表!Q188</f>
        <v>0</v>
      </c>
      <c r="R186">
        <f>計算表!R188</f>
        <v>0</v>
      </c>
    </row>
    <row r="187" spans="1:18" x14ac:dyDescent="0.25">
      <c r="A187">
        <f>計算表!A189</f>
        <v>190</v>
      </c>
      <c r="B187">
        <f>計算表!B189</f>
        <v>0</v>
      </c>
      <c r="C187" t="str">
        <f>計算表!C189</f>
        <v>6-神鑄</v>
      </c>
      <c r="D187" t="str">
        <f>計算表!D189</f>
        <v>寶石神鑄基礎成功率</v>
      </c>
      <c r="E187" t="str">
        <f>計算表!E189</f>
        <v>5階a 6階b 7階c 8階d 9階e（%）</v>
      </c>
      <c r="F187" t="str">
        <f>計算表!F189</f>
        <v>依素材階級。</v>
      </c>
      <c r="G187">
        <f>計算表!G189</f>
        <v>50</v>
      </c>
      <c r="H187">
        <f>計算表!H189</f>
        <v>40</v>
      </c>
      <c r="I187">
        <f>計算表!I189</f>
        <v>35</v>
      </c>
      <c r="J187">
        <f>計算表!J189</f>
        <v>25</v>
      </c>
      <c r="K187">
        <f>計算表!K189</f>
        <v>15</v>
      </c>
      <c r="L187">
        <f>計算表!L189</f>
        <v>0</v>
      </c>
      <c r="M187">
        <f>計算表!M189</f>
        <v>0</v>
      </c>
      <c r="N187">
        <f>計算表!N189</f>
        <v>0</v>
      </c>
      <c r="O187">
        <f>計算表!O189</f>
        <v>0</v>
      </c>
      <c r="P187">
        <f>計算表!P189</f>
        <v>0</v>
      </c>
      <c r="Q187">
        <f>計算表!Q189</f>
        <v>0</v>
      </c>
      <c r="R187">
        <f>計算表!R189</f>
        <v>0</v>
      </c>
    </row>
    <row r="188" spans="1:18" x14ac:dyDescent="0.25">
      <c r="A188">
        <f>計算表!A190</f>
        <v>191</v>
      </c>
      <c r="B188">
        <f>計算表!B190</f>
        <v>0</v>
      </c>
      <c r="C188" t="str">
        <f>計算表!C190</f>
        <v>6-神鑄</v>
      </c>
      <c r="D188" t="str">
        <f>計算表!D190</f>
        <v>寶石神鑄金幣</v>
      </c>
      <c r="E188" t="str">
        <f>計算表!E190</f>
        <v>a + (素材階級-b)×a</v>
      </c>
      <c r="F188" t="str">
        <f>計算表!F190</f>
        <v>a=基礎 b=起始階級。</v>
      </c>
      <c r="G188">
        <f>計算表!G190</f>
        <v>1000000</v>
      </c>
      <c r="H188">
        <f>計算表!H190</f>
        <v>5</v>
      </c>
      <c r="I188">
        <f>計算表!I190</f>
        <v>0</v>
      </c>
      <c r="J188">
        <f>計算表!J190</f>
        <v>0</v>
      </c>
      <c r="K188">
        <f>計算表!K190</f>
        <v>0</v>
      </c>
      <c r="L188">
        <f>計算表!L190</f>
        <v>0</v>
      </c>
      <c r="M188">
        <f>計算表!M190</f>
        <v>0</v>
      </c>
      <c r="N188">
        <f>計算表!N190</f>
        <v>0</v>
      </c>
      <c r="O188">
        <f>計算表!O190</f>
        <v>0</v>
      </c>
      <c r="P188">
        <f>計算表!P190</f>
        <v>0</v>
      </c>
      <c r="Q188">
        <f>計算表!Q190</f>
        <v>0</v>
      </c>
      <c r="R188">
        <f>計算表!R190</f>
        <v>0</v>
      </c>
    </row>
    <row r="189" spans="1:18" x14ac:dyDescent="0.25">
      <c r="A189">
        <f>計算表!A191</f>
        <v>192</v>
      </c>
      <c r="B189">
        <f>計算表!B191</f>
        <v>0</v>
      </c>
      <c r="C189" t="str">
        <f>計算表!C191</f>
        <v>6-神鑄</v>
      </c>
      <c r="D189" t="str">
        <f>計算表!D191</f>
        <v>寶石神鑄時間(秒)</v>
      </c>
      <c r="E189" t="str">
        <f>計算表!E191</f>
        <v>5階a 6階b 7階c 8階d 9階e</v>
      </c>
      <c r="F189">
        <f>計算表!F191</f>
        <v>0</v>
      </c>
      <c r="G189">
        <f>計算表!G191</f>
        <v>1</v>
      </c>
      <c r="H189">
        <f>計算表!H191</f>
        <v>2</v>
      </c>
      <c r="I189">
        <f>計算表!I191</f>
        <v>3</v>
      </c>
      <c r="J189">
        <f>計算表!J191</f>
        <v>4</v>
      </c>
      <c r="K189">
        <f>計算表!K191</f>
        <v>6</v>
      </c>
      <c r="L189">
        <f>計算表!L191</f>
        <v>0</v>
      </c>
      <c r="M189">
        <f>計算表!M191</f>
        <v>0</v>
      </c>
      <c r="N189">
        <f>計算表!N191</f>
        <v>0</v>
      </c>
      <c r="O189">
        <f>計算表!O191</f>
        <v>0</v>
      </c>
      <c r="P189">
        <f>計算表!P191</f>
        <v>0</v>
      </c>
      <c r="Q189">
        <f>計算表!Q191</f>
        <v>0</v>
      </c>
      <c r="R189">
        <f>計算表!R191</f>
        <v>0</v>
      </c>
    </row>
    <row r="190" spans="1:18" x14ac:dyDescent="0.25">
      <c r="A190">
        <f>計算表!A192</f>
        <v>193</v>
      </c>
      <c r="B190">
        <f>計算表!B192</f>
        <v>0</v>
      </c>
      <c r="C190" t="str">
        <f>計算表!C192</f>
        <v>6-神鑄</v>
      </c>
      <c r="D190" t="str">
        <f>計算表!D192</f>
        <v>神鑄失敗</v>
      </c>
      <c r="E190" t="str">
        <f>計算表!E192</f>
        <v>裝備消耗a件退b件；寶石消耗a顆退b顆；每次失敗得魔塵1</v>
      </c>
      <c r="F190" t="str">
        <f>計算表!F192</f>
        <v>a=消耗 b=退回。</v>
      </c>
      <c r="G190">
        <f>計算表!G192</f>
        <v>3</v>
      </c>
      <c r="H190">
        <f>計算表!H192</f>
        <v>3</v>
      </c>
      <c r="I190">
        <f>計算表!I192</f>
        <v>0</v>
      </c>
      <c r="J190">
        <f>計算表!J192</f>
        <v>0</v>
      </c>
      <c r="K190">
        <f>計算表!K192</f>
        <v>0</v>
      </c>
      <c r="L190">
        <f>計算表!L192</f>
        <v>0</v>
      </c>
      <c r="M190">
        <f>計算表!M192</f>
        <v>0</v>
      </c>
      <c r="N190">
        <f>計算表!N192</f>
        <v>0</v>
      </c>
      <c r="O190">
        <f>計算表!O192</f>
        <v>0</v>
      </c>
      <c r="P190">
        <f>計算表!P192</f>
        <v>0</v>
      </c>
      <c r="Q190">
        <f>計算表!Q192</f>
        <v>0</v>
      </c>
      <c r="R190">
        <f>計算表!R192</f>
        <v>0</v>
      </c>
    </row>
    <row r="191" spans="1:18" x14ac:dyDescent="0.25">
      <c r="A191">
        <f>計算表!A193</f>
        <v>194</v>
      </c>
      <c r="B191">
        <f>計算表!B193</f>
        <v>0</v>
      </c>
      <c r="C191" t="str">
        <f>計算表!C193</f>
        <v>6-神鑄</v>
      </c>
      <c r="D191" t="str">
        <f>計算表!D193</f>
        <v>神鑄槽位 / 魔塵上限</v>
      </c>
      <c r="E191" t="str">
        <f>計算表!E193</f>
        <v>法陣a格；魔塵最多b個</v>
      </c>
      <c r="F191" t="str">
        <f>計算表!F193</f>
        <v>a=槽位 b=魔塵上限。</v>
      </c>
      <c r="G191">
        <f>計算表!G193</f>
        <v>6</v>
      </c>
      <c r="H191">
        <f>計算表!H193</f>
        <v>6</v>
      </c>
      <c r="I191">
        <f>計算表!I193</f>
        <v>0</v>
      </c>
      <c r="J191">
        <f>計算表!J193</f>
        <v>0</v>
      </c>
      <c r="K191">
        <f>計算表!K193</f>
        <v>0</v>
      </c>
      <c r="L191">
        <f>計算表!L193</f>
        <v>0</v>
      </c>
      <c r="M191">
        <f>計算表!M193</f>
        <v>0</v>
      </c>
      <c r="N191">
        <f>計算表!N193</f>
        <v>0</v>
      </c>
      <c r="O191">
        <f>計算表!O193</f>
        <v>0</v>
      </c>
      <c r="P191">
        <f>計算表!P193</f>
        <v>0</v>
      </c>
      <c r="Q191">
        <f>計算表!Q193</f>
        <v>0</v>
      </c>
      <c r="R191">
        <f>計算表!R193</f>
        <v>0</v>
      </c>
    </row>
    <row r="192" spans="1:18" x14ac:dyDescent="0.25">
      <c r="A192">
        <f>計算表!A194</f>
        <v>195</v>
      </c>
      <c r="B192">
        <f>計算表!B194</f>
        <v>0</v>
      </c>
      <c r="C192" t="str">
        <f>計算表!C194</f>
        <v>6-神鑄</v>
      </c>
      <c r="D192" t="str">
        <f>計算表!D194</f>
        <v>裝備神鑄混沌基礎成功率</v>
      </c>
      <c r="E192" t="str">
        <f>計算表!E194</f>
        <v>混沌品質基礎成功率 a%</v>
      </c>
      <c r="F192" t="str">
        <f>計算表!F194</f>
        <v>6 件混沌裝備神鑄為神鑄混沌的基礎成功率。</v>
      </c>
      <c r="G192">
        <f>計算表!G194</f>
        <v>20</v>
      </c>
      <c r="H192">
        <f>計算表!H194</f>
        <v>0</v>
      </c>
      <c r="I192">
        <f>計算表!I194</f>
        <v>0</v>
      </c>
      <c r="J192">
        <f>計算表!J194</f>
        <v>0</v>
      </c>
      <c r="K192">
        <f>計算表!K194</f>
        <v>0</v>
      </c>
      <c r="L192">
        <f>計算表!L194</f>
        <v>0</v>
      </c>
      <c r="M192">
        <f>計算表!M194</f>
        <v>0</v>
      </c>
      <c r="N192">
        <f>計算表!N194</f>
        <v>0</v>
      </c>
      <c r="O192">
        <f>計算表!O194</f>
        <v>0</v>
      </c>
      <c r="P192">
        <f>計算表!P194</f>
        <v>0</v>
      </c>
      <c r="Q192">
        <f>計算表!Q194</f>
        <v>0</v>
      </c>
      <c r="R192">
        <f>計算表!R194</f>
        <v>0</v>
      </c>
    </row>
    <row r="193" spans="1:18" x14ac:dyDescent="0.25">
      <c r="A193">
        <f>計算表!A195</f>
        <v>196</v>
      </c>
      <c r="B193">
        <f>計算表!B195</f>
        <v>0</v>
      </c>
      <c r="C193" t="str">
        <f>計算表!C195</f>
        <v>6-神鑄</v>
      </c>
      <c r="D193" t="str">
        <f>計算表!D195</f>
        <v>裝備神鑄混沌金幣</v>
      </c>
      <c r="E193" t="str">
        <f>計算表!E195</f>
        <v>混沌品質單次金幣消耗 a</v>
      </c>
      <c r="F193" t="str">
        <f>計算表!F195</f>
        <v>暫定 5 億，可自行調整。</v>
      </c>
      <c r="G193">
        <f>計算表!G195</f>
        <v>500000000</v>
      </c>
      <c r="H193">
        <f>計算表!H195</f>
        <v>0</v>
      </c>
      <c r="I193">
        <f>計算表!I195</f>
        <v>0</v>
      </c>
      <c r="J193">
        <f>計算表!J195</f>
        <v>0</v>
      </c>
      <c r="K193">
        <f>計算表!K195</f>
        <v>0</v>
      </c>
      <c r="L193">
        <f>計算表!L195</f>
        <v>0</v>
      </c>
      <c r="M193">
        <f>計算表!M195</f>
        <v>0</v>
      </c>
      <c r="N193">
        <f>計算表!N195</f>
        <v>0</v>
      </c>
      <c r="O193">
        <f>計算表!O195</f>
        <v>0</v>
      </c>
      <c r="P193">
        <f>計算表!P195</f>
        <v>0</v>
      </c>
      <c r="Q193">
        <f>計算表!Q195</f>
        <v>0</v>
      </c>
      <c r="R193">
        <f>計算表!R195</f>
        <v>0</v>
      </c>
    </row>
    <row r="194" spans="1:18" x14ac:dyDescent="0.25">
      <c r="A194">
        <f>計算表!A196</f>
        <v>197</v>
      </c>
      <c r="B194">
        <f>計算表!B196</f>
        <v>0</v>
      </c>
      <c r="C194" t="str">
        <f>計算表!C196</f>
        <v>6-神鑄</v>
      </c>
      <c r="D194" t="str">
        <f>計算表!D196</f>
        <v>裝備神鑄混沌時間(秒)</v>
      </c>
      <c r="E194" t="str">
        <f>計算表!E196</f>
        <v>混沌品質神鑄時間 a 秒</v>
      </c>
      <c r="F194" t="str">
        <f>計算表!F196</f>
        <v>暫定 13 秒，可自行調整。</v>
      </c>
      <c r="G194">
        <f>計算表!G196</f>
        <v>13</v>
      </c>
      <c r="H194">
        <f>計算表!H196</f>
        <v>0</v>
      </c>
      <c r="I194">
        <f>計算表!I196</f>
        <v>0</v>
      </c>
      <c r="J194">
        <f>計算表!J196</f>
        <v>0</v>
      </c>
      <c r="K194">
        <f>計算表!K196</f>
        <v>0</v>
      </c>
      <c r="L194">
        <f>計算表!L196</f>
        <v>0</v>
      </c>
      <c r="M194">
        <f>計算表!M196</f>
        <v>0</v>
      </c>
      <c r="N194">
        <f>計算表!N196</f>
        <v>0</v>
      </c>
      <c r="O194">
        <f>計算表!O196</f>
        <v>0</v>
      </c>
      <c r="P194">
        <f>計算表!P196</f>
        <v>0</v>
      </c>
      <c r="Q194">
        <f>計算表!Q196</f>
        <v>0</v>
      </c>
      <c r="R194">
        <f>計算表!R196</f>
        <v>0</v>
      </c>
    </row>
    <row r="195" spans="1:18" x14ac:dyDescent="0.25">
      <c r="A195">
        <f>計算表!A197</f>
        <v>198</v>
      </c>
      <c r="B195">
        <f>計算表!B197</f>
        <v>0</v>
      </c>
      <c r="C195" t="str">
        <f>計算表!C197</f>
        <v>6-裝備</v>
      </c>
      <c r="D195" t="str">
        <f>計算表!D197</f>
        <v>詞條數值</v>
      </c>
      <c r="E195" t="str">
        <f>計算表!E197</f>
        <v>(base+base×lv係數×(裝備等級-1))×稀有度倍率×rnd(0.8,1.2)</v>
      </c>
      <c r="F195" t="str">
        <f>計算表!F197</f>
        <v>base/lv係數見「詞條池」；稀有度倍率見「稀有度表」。　※指標列：base/lv 見「表-詞條池」，稀有度倍率見「表-稀有度」。</v>
      </c>
      <c r="G195">
        <f>計算表!G197</f>
        <v>0</v>
      </c>
      <c r="H195">
        <f>計算表!H197</f>
        <v>0</v>
      </c>
      <c r="I195">
        <f>計算表!I197</f>
        <v>0</v>
      </c>
      <c r="J195">
        <f>計算表!J197</f>
        <v>0</v>
      </c>
      <c r="K195">
        <f>計算表!K197</f>
        <v>0</v>
      </c>
      <c r="L195">
        <f>計算表!L197</f>
        <v>0</v>
      </c>
      <c r="M195">
        <f>計算表!M197</f>
        <v>0</v>
      </c>
      <c r="N195">
        <f>計算表!N197</f>
        <v>0</v>
      </c>
      <c r="O195">
        <f>計算表!O197</f>
        <v>0</v>
      </c>
      <c r="P195">
        <f>計算表!P197</f>
        <v>0</v>
      </c>
      <c r="Q195">
        <f>計算表!Q197</f>
        <v>0</v>
      </c>
      <c r="R195">
        <f>計算表!R197</f>
        <v>0</v>
      </c>
    </row>
    <row r="196" spans="1:18" x14ac:dyDescent="0.25">
      <c r="A196">
        <f>計算表!A198</f>
        <v>199</v>
      </c>
      <c r="B196">
        <f>計算表!B198</f>
        <v>0</v>
      </c>
      <c r="C196" t="str">
        <f>計算表!C198</f>
        <v>6-裝備</v>
      </c>
      <c r="D196" t="str">
        <f>計算表!D198</f>
        <v>太古詞條數值</v>
      </c>
      <c r="E196" t="str">
        <f>計算表!E198</f>
        <v>基準值×1.2×a</v>
      </c>
      <c r="F196" t="str">
        <f>計算表!F198</f>
        <v>a=太古倍率（=原上限的 135%）。　※實際由「5-太古詞條/太古詞條數值倍率」控制，本列不生效。</v>
      </c>
      <c r="G196">
        <f>計算表!G198</f>
        <v>1.35</v>
      </c>
      <c r="H196">
        <f>計算表!H198</f>
        <v>0</v>
      </c>
      <c r="I196">
        <f>計算表!I198</f>
        <v>0</v>
      </c>
      <c r="J196">
        <f>計算表!J198</f>
        <v>0</v>
      </c>
      <c r="K196">
        <f>計算表!K198</f>
        <v>0</v>
      </c>
      <c r="L196">
        <f>計算表!L198</f>
        <v>0</v>
      </c>
      <c r="M196">
        <f>計算表!M198</f>
        <v>0</v>
      </c>
      <c r="N196">
        <f>計算表!N198</f>
        <v>0</v>
      </c>
      <c r="O196">
        <f>計算表!O198</f>
        <v>0</v>
      </c>
      <c r="P196">
        <f>計算表!P198</f>
        <v>0</v>
      </c>
      <c r="Q196">
        <f>計算表!Q198</f>
        <v>0</v>
      </c>
      <c r="R196">
        <f>計算表!R198</f>
        <v>0</v>
      </c>
    </row>
    <row r="197" spans="1:18" x14ac:dyDescent="0.25">
      <c r="A197">
        <f>計算表!A199</f>
        <v>200</v>
      </c>
      <c r="B197">
        <f>計算表!B199</f>
        <v>0</v>
      </c>
      <c r="C197" t="str">
        <f>計算表!C199</f>
        <v>6-裝備</v>
      </c>
      <c r="D197" t="str">
        <f>計算表!D199</f>
        <v>強化倍率</v>
      </c>
      <c r="E197" t="str">
        <f>計算表!E199</f>
        <v>1 + a×強化等級</v>
      </c>
      <c r="F197" t="str">
        <f>計算表!F199</f>
        <v>裝備每 +1，全詞條數值 +5%。</v>
      </c>
      <c r="G197">
        <f>計算表!G199</f>
        <v>0.05</v>
      </c>
      <c r="H197">
        <f>計算表!H199</f>
        <v>0</v>
      </c>
      <c r="I197">
        <f>計算表!I199</f>
        <v>0</v>
      </c>
      <c r="J197">
        <f>計算表!J199</f>
        <v>0</v>
      </c>
      <c r="K197">
        <f>計算表!K199</f>
        <v>0</v>
      </c>
      <c r="L197">
        <f>計算表!L199</f>
        <v>0</v>
      </c>
      <c r="M197">
        <f>計算表!M199</f>
        <v>0</v>
      </c>
      <c r="N197">
        <f>計算表!N199</f>
        <v>0</v>
      </c>
      <c r="O197">
        <f>計算表!O199</f>
        <v>0</v>
      </c>
      <c r="P197">
        <f>計算表!P199</f>
        <v>0</v>
      </c>
      <c r="Q197">
        <f>計算表!Q199</f>
        <v>0</v>
      </c>
      <c r="R197">
        <f>計算表!R199</f>
        <v>0</v>
      </c>
    </row>
    <row r="198" spans="1:18" x14ac:dyDescent="0.25">
      <c r="A198">
        <f>計算表!A200</f>
        <v>201</v>
      </c>
      <c r="B198">
        <f>計算表!B200</f>
        <v>0</v>
      </c>
      <c r="C198" t="str">
        <f>計算表!C200</f>
        <v>6-裝備</v>
      </c>
      <c r="D198" t="str">
        <f>計算表!D200</f>
        <v>特殊被動數值</v>
      </c>
      <c r="E198" t="str">
        <f>計算表!E200</f>
        <v>base + perR×(稀有度-a)</v>
      </c>
      <c r="F198" t="str">
        <f>計算表!F200</f>
        <v>a=稀有級索引（稀有=基準）。base/perR 見「特殊被動表」。　※指標列：base/perR 見「表-特殊被動」。</v>
      </c>
      <c r="G198">
        <f>計算表!G200</f>
        <v>2</v>
      </c>
      <c r="H198">
        <f>計算表!H200</f>
        <v>0</v>
      </c>
      <c r="I198">
        <f>計算表!I200</f>
        <v>0</v>
      </c>
      <c r="J198">
        <f>計算表!J200</f>
        <v>0</v>
      </c>
      <c r="K198">
        <f>計算表!K200</f>
        <v>0</v>
      </c>
      <c r="L198">
        <f>計算表!L200</f>
        <v>0</v>
      </c>
      <c r="M198">
        <f>計算表!M200</f>
        <v>0</v>
      </c>
      <c r="N198">
        <f>計算表!N200</f>
        <v>0</v>
      </c>
      <c r="O198">
        <f>計算表!O200</f>
        <v>0</v>
      </c>
      <c r="P198">
        <f>計算表!P200</f>
        <v>0</v>
      </c>
      <c r="Q198">
        <f>計算表!Q200</f>
        <v>0</v>
      </c>
      <c r="R198">
        <f>計算表!R200</f>
        <v>0</v>
      </c>
    </row>
    <row r="199" spans="1:18" x14ac:dyDescent="0.25">
      <c r="A199">
        <f>計算表!A201</f>
        <v>202</v>
      </c>
      <c r="B199">
        <f>計算表!B201</f>
        <v>0</v>
      </c>
      <c r="C199" t="str">
        <f>計算表!C201</f>
        <v>6-裝備</v>
      </c>
      <c r="D199" t="str">
        <f>計算表!D201</f>
        <v>神鑄特效數值</v>
      </c>
      <c r="E199" t="str">
        <f>計算表!E201</f>
        <v>base × rnd(0.8, 1.2)</v>
      </c>
      <c r="F199" t="str">
        <f>計算表!F201</f>
        <v>base 見「神鑄特效表」。神力為額外乘區、彼此相乘。　※指標列：base 見「表-神鑄特效」。</v>
      </c>
      <c r="G199">
        <f>計算表!G201</f>
        <v>0</v>
      </c>
      <c r="H199">
        <f>計算表!H201</f>
        <v>0</v>
      </c>
      <c r="I199">
        <f>計算表!I201</f>
        <v>0</v>
      </c>
      <c r="J199">
        <f>計算表!J201</f>
        <v>0</v>
      </c>
      <c r="K199">
        <f>計算表!K201</f>
        <v>0</v>
      </c>
      <c r="L199">
        <f>計算表!L201</f>
        <v>0</v>
      </c>
      <c r="M199">
        <f>計算表!M201</f>
        <v>0</v>
      </c>
      <c r="N199">
        <f>計算表!N201</f>
        <v>0</v>
      </c>
      <c r="O199">
        <f>計算表!O201</f>
        <v>0</v>
      </c>
      <c r="P199">
        <f>計算表!P201</f>
        <v>0</v>
      </c>
      <c r="Q199">
        <f>計算表!Q201</f>
        <v>0</v>
      </c>
      <c r="R199">
        <f>計算表!R201</f>
        <v>0</v>
      </c>
    </row>
    <row r="200" spans="1:18" x14ac:dyDescent="0.25">
      <c r="A200">
        <f>計算表!A202</f>
        <v>203</v>
      </c>
      <c r="B200">
        <f>計算表!B202</f>
        <v>0</v>
      </c>
      <c r="C200" t="str">
        <f>計算表!C202</f>
        <v>6-裝備</v>
      </c>
      <c r="D200" t="str">
        <f>計算表!D202</f>
        <v>附魔-攻擊類</v>
      </c>
      <c r="E200" t="str">
        <f>計算表!E202</f>
        <v>(a+裝備等級×b)×稀有度倍率×(1+c×寶石等級)</v>
      </c>
      <c r="F200" t="str">
        <f>計算表!F202</f>
        <v>火焰附魔再×1.25。寶石等級只在混合合成帶入。</v>
      </c>
      <c r="G200">
        <f>計算表!G202</f>
        <v>5</v>
      </c>
      <c r="H200">
        <f>計算表!H202</f>
        <v>1.2</v>
      </c>
      <c r="I200">
        <f>計算表!I202</f>
        <v>0.15</v>
      </c>
      <c r="J200">
        <f>計算表!J202</f>
        <v>0</v>
      </c>
      <c r="K200">
        <f>計算表!K202</f>
        <v>0</v>
      </c>
      <c r="L200">
        <f>計算表!L202</f>
        <v>0</v>
      </c>
      <c r="M200">
        <f>計算表!M202</f>
        <v>0</v>
      </c>
      <c r="N200">
        <f>計算表!N202</f>
        <v>0</v>
      </c>
      <c r="O200">
        <f>計算表!O202</f>
        <v>0</v>
      </c>
      <c r="P200">
        <f>計算表!P202</f>
        <v>0</v>
      </c>
      <c r="Q200">
        <f>計算表!Q202</f>
        <v>0</v>
      </c>
      <c r="R200">
        <f>計算表!R202</f>
        <v>0</v>
      </c>
    </row>
    <row r="201" spans="1:18" x14ac:dyDescent="0.25">
      <c r="A201">
        <f>計算表!A203</f>
        <v>204</v>
      </c>
      <c r="B201">
        <f>計算表!B203</f>
        <v>0</v>
      </c>
      <c r="C201" t="str">
        <f>計算表!C203</f>
        <v>6-裝備</v>
      </c>
      <c r="D201" t="str">
        <f>計算表!D203</f>
        <v>附魔-防禦/功能類</v>
      </c>
      <c r="E201" t="str">
        <f>計算表!E203</f>
        <v>min(a + 稀有度×b + 寶石等級×c, d)</v>
      </c>
      <c r="F201" t="str">
        <f>計算表!F203</f>
        <v>a=基礎 b=每階 c=每寶石等級 d=上限%。</v>
      </c>
      <c r="G201">
        <f>計算表!G203</f>
        <v>8</v>
      </c>
      <c r="H201">
        <f>計算表!H203</f>
        <v>4</v>
      </c>
      <c r="I201">
        <f>計算表!I203</f>
        <v>3</v>
      </c>
      <c r="J201">
        <f>計算表!J203</f>
        <v>60</v>
      </c>
      <c r="K201">
        <f>計算表!K203</f>
        <v>0</v>
      </c>
      <c r="L201">
        <f>計算表!L203</f>
        <v>0</v>
      </c>
      <c r="M201">
        <f>計算表!M203</f>
        <v>0</v>
      </c>
      <c r="N201">
        <f>計算表!N203</f>
        <v>0</v>
      </c>
      <c r="O201">
        <f>計算表!O203</f>
        <v>0</v>
      </c>
      <c r="P201">
        <f>計算表!P203</f>
        <v>0</v>
      </c>
      <c r="Q201">
        <f>計算表!Q203</f>
        <v>0</v>
      </c>
      <c r="R201">
        <f>計算表!R203</f>
        <v>0</v>
      </c>
    </row>
    <row r="202" spans="1:18" x14ac:dyDescent="0.25">
      <c r="A202">
        <f>計算表!A204</f>
        <v>205</v>
      </c>
      <c r="B202">
        <f>計算表!B204</f>
        <v>0</v>
      </c>
      <c r="C202" t="str">
        <f>計算表!C204</f>
        <v>6-裝備</v>
      </c>
      <c r="D202" t="str">
        <f>計算表!D204</f>
        <v>手動附魔費用</v>
      </c>
      <c r="E202" t="str">
        <f>計算表!E204</f>
        <v>a 本附魔書 + b 附魔精華</v>
      </c>
      <c r="F202" t="str">
        <f>計算表!F204</f>
        <v>取下返還書、不退精華。</v>
      </c>
      <c r="G202">
        <f>計算表!G204</f>
        <v>1</v>
      </c>
      <c r="H202">
        <f>計算表!H204</f>
        <v>1</v>
      </c>
      <c r="I202">
        <f>計算表!I204</f>
        <v>0</v>
      </c>
      <c r="J202">
        <f>計算表!J204</f>
        <v>0</v>
      </c>
      <c r="K202">
        <f>計算表!K204</f>
        <v>0</v>
      </c>
      <c r="L202">
        <f>計算表!L204</f>
        <v>0</v>
      </c>
      <c r="M202">
        <f>計算表!M204</f>
        <v>0</v>
      </c>
      <c r="N202">
        <f>計算表!N204</f>
        <v>0</v>
      </c>
      <c r="O202">
        <f>計算表!O204</f>
        <v>0</v>
      </c>
      <c r="P202">
        <f>計算表!P204</f>
        <v>0</v>
      </c>
      <c r="Q202">
        <f>計算表!Q204</f>
        <v>0</v>
      </c>
      <c r="R202">
        <f>計算表!R204</f>
        <v>0</v>
      </c>
    </row>
    <row r="203" spans="1:18" x14ac:dyDescent="0.25">
      <c r="A203">
        <f>計算表!A205</f>
        <v>206</v>
      </c>
      <c r="B203">
        <f>計算表!B205</f>
        <v>0</v>
      </c>
      <c r="C203" t="str">
        <f>計算表!C205</f>
        <v>6-裝備</v>
      </c>
      <c r="D203" t="str">
        <f>計算表!D205</f>
        <v>戰力評分</v>
      </c>
      <c r="E203" t="str">
        <f>計算表!E205</f>
        <v>Σ(詞條×權重×強化)+Σ(寶石×權重) →被動×1.15 →神鑄特效×(1+a×件數) →+Σ(附魔×1.2攻/×2防) →×(1+稀有度×b)</v>
      </c>
      <c r="F203" t="str">
        <f>計算表!F205</f>
        <v>詞條/寶石權重見 Equipment_Affix 表各詞條列的「戰力權重」欄。a=每條神鑄特效加成 b=稀有度加成。自動換裝門檻：新評分&gt;舊×1.02。</v>
      </c>
      <c r="G203">
        <f>計算表!G205</f>
        <v>0.15</v>
      </c>
      <c r="H203">
        <f>計算表!H205</f>
        <v>0.06</v>
      </c>
      <c r="I203">
        <f>計算表!I205</f>
        <v>0</v>
      </c>
      <c r="J203">
        <f>計算表!J205</f>
        <v>0</v>
      </c>
      <c r="K203">
        <f>計算表!K205</f>
        <v>0</v>
      </c>
      <c r="L203">
        <f>計算表!L205</f>
        <v>0</v>
      </c>
      <c r="M203">
        <f>計算表!M205</f>
        <v>0</v>
      </c>
      <c r="N203">
        <f>計算表!N205</f>
        <v>0</v>
      </c>
      <c r="O203">
        <f>計算表!O205</f>
        <v>0</v>
      </c>
      <c r="P203">
        <f>計算表!P205</f>
        <v>0</v>
      </c>
      <c r="Q203">
        <f>計算表!Q205</f>
        <v>0</v>
      </c>
      <c r="R203">
        <f>計算表!R205</f>
        <v>0</v>
      </c>
    </row>
    <row r="204" spans="1:18" x14ac:dyDescent="0.25">
      <c r="A204">
        <f>計算表!A206</f>
        <v>207</v>
      </c>
      <c r="B204">
        <f>計算表!B206</f>
        <v>0</v>
      </c>
      <c r="C204" t="str">
        <f>計算表!C206</f>
        <v>6-裝備</v>
      </c>
      <c r="D204" t="str">
        <f>計算表!D206</f>
        <v>分解-碎片</v>
      </c>
      <c r="E204" t="str">
        <f>計算表!E206</f>
        <v>max(1, (a+裝備等級×b)×分解係數×rnd(0.85,1.15))</v>
      </c>
      <c r="F204" t="str">
        <f>計算表!F206</f>
        <v>分解係數見「稀有度表」salv 欄。</v>
      </c>
      <c r="G204">
        <f>計算表!G206</f>
        <v>2</v>
      </c>
      <c r="H204">
        <f>計算表!H206</f>
        <v>0.6</v>
      </c>
      <c r="I204">
        <f>計算表!I206</f>
        <v>0</v>
      </c>
      <c r="J204">
        <f>計算表!J206</f>
        <v>0</v>
      </c>
      <c r="K204">
        <f>計算表!K206</f>
        <v>0</v>
      </c>
      <c r="L204">
        <f>計算表!L206</f>
        <v>0</v>
      </c>
      <c r="M204">
        <f>計算表!M206</f>
        <v>0</v>
      </c>
      <c r="N204">
        <f>計算表!N206</f>
        <v>0</v>
      </c>
      <c r="O204">
        <f>計算表!O206</f>
        <v>0</v>
      </c>
      <c r="P204">
        <f>計算表!P206</f>
        <v>0</v>
      </c>
      <c r="Q204">
        <f>計算表!Q206</f>
        <v>0</v>
      </c>
      <c r="R204">
        <f>計算表!R206</f>
        <v>0</v>
      </c>
    </row>
    <row r="205" spans="1:18" x14ac:dyDescent="0.25">
      <c r="A205">
        <f>計算表!A207</f>
        <v>208</v>
      </c>
      <c r="B205">
        <f>計算表!B207</f>
        <v>0</v>
      </c>
      <c r="C205" t="str">
        <f>計算表!C207</f>
        <v>6-裝備</v>
      </c>
      <c r="D205" t="str">
        <f>計算表!D207</f>
        <v>分解-金幣</v>
      </c>
      <c r="E205" t="str">
        <f>計算表!E207</f>
        <v>round((a+裝備等級) × 品質分解係數 × b)</v>
      </c>
      <c r="F205" t="str">
        <f>計算表!F207</f>
        <v>a=基礎金幣；b=分解金幣倍率。淘金濾網金幣為額外來源，不影響本公式。</v>
      </c>
      <c r="G205">
        <f>計算表!G207</f>
        <v>3</v>
      </c>
      <c r="H205">
        <f>計算表!H207</f>
        <v>10</v>
      </c>
      <c r="I205">
        <f>計算表!I207</f>
        <v>0</v>
      </c>
      <c r="J205">
        <f>計算表!J207</f>
        <v>0</v>
      </c>
      <c r="K205">
        <f>計算表!K207</f>
        <v>0</v>
      </c>
      <c r="L205">
        <f>計算表!L207</f>
        <v>0</v>
      </c>
      <c r="M205">
        <f>計算表!M207</f>
        <v>0</v>
      </c>
      <c r="N205">
        <f>計算表!N207</f>
        <v>0</v>
      </c>
      <c r="O205">
        <f>計算表!O207</f>
        <v>0</v>
      </c>
      <c r="P205">
        <f>計算表!P207</f>
        <v>0</v>
      </c>
      <c r="Q205">
        <f>計算表!Q207</f>
        <v>0</v>
      </c>
      <c r="R205">
        <f>計算表!R207</f>
        <v>0</v>
      </c>
    </row>
    <row r="206" spans="1:18" x14ac:dyDescent="0.25">
      <c r="A206">
        <f>計算表!A208</f>
        <v>209</v>
      </c>
      <c r="B206">
        <f>計算表!B208</f>
        <v>0</v>
      </c>
      <c r="C206" t="str">
        <f>計算表!C208</f>
        <v>7-分解速度</v>
      </c>
      <c r="D206" t="str">
        <f>計算表!D208</f>
        <v>分解處理速度</v>
      </c>
      <c r="E206" t="str">
        <f>計算表!E208</f>
        <v>間隔 = a 秒 ÷ (1+加速加成)</v>
      </c>
      <c r="F206" t="str">
        <f>計算表!F208</f>
        <v>加速齒輪依基礎值與每級增加值計算，T10為+250%。　※＝生產線處理間隔，由「7-容量/生產線處理間隔」控制，本列不生效。</v>
      </c>
      <c r="G206">
        <f>計算表!G208</f>
        <v>2</v>
      </c>
      <c r="H206">
        <f>計算表!H208</f>
        <v>0</v>
      </c>
      <c r="I206">
        <f>計算表!I208</f>
        <v>0</v>
      </c>
      <c r="J206">
        <f>計算表!J208</f>
        <v>0</v>
      </c>
      <c r="K206">
        <f>計算表!K208</f>
        <v>0</v>
      </c>
      <c r="L206">
        <f>計算表!L208</f>
        <v>0</v>
      </c>
      <c r="M206">
        <f>計算表!M208</f>
        <v>0</v>
      </c>
      <c r="N206">
        <f>計算表!N208</f>
        <v>0</v>
      </c>
      <c r="O206">
        <f>計算表!O208</f>
        <v>0</v>
      </c>
      <c r="P206">
        <f>計算表!P208</f>
        <v>0</v>
      </c>
      <c r="Q206">
        <f>計算表!Q208</f>
        <v>0</v>
      </c>
      <c r="R206">
        <f>計算表!R208</f>
        <v>0</v>
      </c>
    </row>
    <row r="207" spans="1:18" x14ac:dyDescent="0.25">
      <c r="A207">
        <f>計算表!A209</f>
        <v>210</v>
      </c>
      <c r="B207">
        <f>計算表!B209</f>
        <v>0</v>
      </c>
      <c r="C207" t="str">
        <f>計算表!C209</f>
        <v>7-分解槽</v>
      </c>
      <c r="D207" t="str">
        <f>計算表!D209</f>
        <v>分解槽解鎖費用</v>
      </c>
      <c r="E207" t="str">
        <f>計算表!E209</f>
        <v>a × b^(目標格數-1)</v>
      </c>
      <c r="F207" t="str">
        <f>計算表!F209</f>
        <v>初始 10 格、上限 20 格。</v>
      </c>
      <c r="G207">
        <f>計算表!G209</f>
        <v>10000</v>
      </c>
      <c r="H207">
        <f>計算表!H209</f>
        <v>10000</v>
      </c>
      <c r="I207">
        <f>計算表!I209</f>
        <v>2</v>
      </c>
      <c r="J207">
        <f>計算表!J209</f>
        <v>3</v>
      </c>
      <c r="K207">
        <f>計算表!K209</f>
        <v>0</v>
      </c>
      <c r="L207">
        <f>計算表!L209</f>
        <v>0</v>
      </c>
      <c r="M207">
        <f>計算表!M209</f>
        <v>0</v>
      </c>
      <c r="N207">
        <f>計算表!N209</f>
        <v>0</v>
      </c>
      <c r="O207">
        <f>計算表!O209</f>
        <v>0</v>
      </c>
      <c r="P207">
        <f>計算表!P209</f>
        <v>0</v>
      </c>
      <c r="Q207">
        <f>計算表!Q209</f>
        <v>0</v>
      </c>
      <c r="R207">
        <f>計算表!R209</f>
        <v>0</v>
      </c>
    </row>
    <row r="208" spans="1:18" x14ac:dyDescent="0.25">
      <c r="A208">
        <f>計算表!A210</f>
        <v>211</v>
      </c>
      <c r="B208">
        <f>計算表!B210</f>
        <v>0</v>
      </c>
      <c r="C208" t="str">
        <f>計算表!C210</f>
        <v>7-合成</v>
      </c>
      <c r="D208" t="str">
        <f>計算表!D210</f>
        <v>大成功率</v>
      </c>
      <c r="E208" t="str">
        <f>計算表!E210</f>
        <v>a%</v>
      </c>
      <c r="F208" t="str">
        <f>計算表!F210</f>
        <v>合成功能停用；保留基礎參數供舊資料相容。</v>
      </c>
      <c r="G208">
        <f>計算表!G210</f>
        <v>5</v>
      </c>
      <c r="H208">
        <f>計算表!H210</f>
        <v>0</v>
      </c>
      <c r="I208">
        <f>計算表!I210</f>
        <v>0</v>
      </c>
      <c r="J208">
        <f>計算表!J210</f>
        <v>0</v>
      </c>
      <c r="K208">
        <f>計算表!K210</f>
        <v>0</v>
      </c>
      <c r="L208">
        <f>計算表!L210</f>
        <v>0</v>
      </c>
      <c r="M208">
        <f>計算表!M210</f>
        <v>0</v>
      </c>
      <c r="N208">
        <f>計算表!N210</f>
        <v>0</v>
      </c>
      <c r="O208">
        <f>計算表!O210</f>
        <v>0</v>
      </c>
      <c r="P208">
        <f>計算表!P210</f>
        <v>0</v>
      </c>
      <c r="Q208">
        <f>計算表!Q210</f>
        <v>0</v>
      </c>
      <c r="R208">
        <f>計算表!R210</f>
        <v>0</v>
      </c>
    </row>
    <row r="209" spans="1:18" x14ac:dyDescent="0.25">
      <c r="A209">
        <f>計算表!A211</f>
        <v>212</v>
      </c>
      <c r="B209">
        <f>計算表!B211</f>
        <v>0</v>
      </c>
      <c r="C209" t="str">
        <f>計算表!C211</f>
        <v>7-合成</v>
      </c>
      <c r="D209" t="str">
        <f>計算表!D211</f>
        <v>品質合成</v>
      </c>
      <c r="E209" t="str">
        <f>計算表!E211</f>
        <v>3 件同稀有度 → 1 件高一階（等級=平均）；大成功再+1 階</v>
      </c>
      <c r="F209" t="str">
        <f>計算表!F211</f>
        <v>合成功能已停用(SYNTHESIS_ENABLED=false)，本列未生效。</v>
      </c>
      <c r="G209">
        <f>計算表!G211</f>
        <v>0</v>
      </c>
      <c r="H209">
        <f>計算表!H211</f>
        <v>0</v>
      </c>
      <c r="I209">
        <f>計算表!I211</f>
        <v>0</v>
      </c>
      <c r="J209">
        <f>計算表!J211</f>
        <v>0</v>
      </c>
      <c r="K209">
        <f>計算表!K211</f>
        <v>0</v>
      </c>
      <c r="L209">
        <f>計算表!L211</f>
        <v>0</v>
      </c>
      <c r="M209">
        <f>計算表!M211</f>
        <v>0</v>
      </c>
      <c r="N209">
        <f>計算表!N211</f>
        <v>0</v>
      </c>
      <c r="O209">
        <f>計算表!O211</f>
        <v>0</v>
      </c>
      <c r="P209">
        <f>計算表!P211</f>
        <v>0</v>
      </c>
      <c r="Q209">
        <f>計算表!Q211</f>
        <v>0</v>
      </c>
      <c r="R209">
        <f>計算表!R211</f>
        <v>0</v>
      </c>
    </row>
    <row r="210" spans="1:18" x14ac:dyDescent="0.25">
      <c r="A210">
        <f>計算表!A212</f>
        <v>213</v>
      </c>
      <c r="B210">
        <f>計算表!B212</f>
        <v>0</v>
      </c>
      <c r="C210" t="str">
        <f>計算表!C212</f>
        <v>7-合成</v>
      </c>
      <c r="D210" t="str">
        <f>計算表!D212</f>
        <v>混合合成</v>
      </c>
      <c r="E210" t="str">
        <f>計算表!E212</f>
        <v>1 裝備+1 寶石+1 附魔書 → 附魔（威力吃寶石等級）；大成功稀有度+1</v>
      </c>
      <c r="F210" t="str">
        <f>計算表!F212</f>
        <v>合成功能已停用，本列未生效。</v>
      </c>
      <c r="G210">
        <f>計算表!G212</f>
        <v>0</v>
      </c>
      <c r="H210">
        <f>計算表!H212</f>
        <v>0</v>
      </c>
      <c r="I210">
        <f>計算表!I212</f>
        <v>0</v>
      </c>
      <c r="J210">
        <f>計算表!J212</f>
        <v>0</v>
      </c>
      <c r="K210">
        <f>計算表!K212</f>
        <v>0</v>
      </c>
      <c r="L210">
        <f>計算表!L212</f>
        <v>0</v>
      </c>
      <c r="M210">
        <f>計算表!M212</f>
        <v>0</v>
      </c>
      <c r="N210">
        <f>計算表!N212</f>
        <v>0</v>
      </c>
      <c r="O210">
        <f>計算表!O212</f>
        <v>0</v>
      </c>
      <c r="P210">
        <f>計算表!P212</f>
        <v>0</v>
      </c>
      <c r="Q210">
        <f>計算表!Q212</f>
        <v>0</v>
      </c>
      <c r="R210">
        <f>計算表!R212</f>
        <v>0</v>
      </c>
    </row>
    <row r="211" spans="1:18" x14ac:dyDescent="0.25">
      <c r="A211">
        <f>計算表!A213</f>
        <v>214</v>
      </c>
      <c r="B211">
        <f>計算表!B213</f>
        <v>0</v>
      </c>
      <c r="C211" t="str">
        <f>計算表!C213</f>
        <v>7-合成</v>
      </c>
      <c r="D211" t="str">
        <f>計算表!D213</f>
        <v>合成變異</v>
      </c>
      <c r="E211" t="str">
        <f>計算表!E213</f>
        <v>機率=合成變異率屬性（上限60%）；附魔威力×1.5 並追加 1 條詞條</v>
      </c>
      <c r="F211" t="str">
        <f>計算表!F213</f>
        <v>合成功能已停用，本列未生效。</v>
      </c>
      <c r="G211">
        <f>計算表!G213</f>
        <v>0</v>
      </c>
      <c r="H211">
        <f>計算表!H213</f>
        <v>0</v>
      </c>
      <c r="I211">
        <f>計算表!I213</f>
        <v>0</v>
      </c>
      <c r="J211">
        <f>計算表!J213</f>
        <v>0</v>
      </c>
      <c r="K211">
        <f>計算表!K213</f>
        <v>0</v>
      </c>
      <c r="L211">
        <f>計算表!L213</f>
        <v>0</v>
      </c>
      <c r="M211">
        <f>計算表!M213</f>
        <v>0</v>
      </c>
      <c r="N211">
        <f>計算表!N213</f>
        <v>0</v>
      </c>
      <c r="O211">
        <f>計算表!O213</f>
        <v>0</v>
      </c>
      <c r="P211">
        <f>計算表!P213</f>
        <v>0</v>
      </c>
      <c r="Q211">
        <f>計算表!Q213</f>
        <v>0</v>
      </c>
      <c r="R211">
        <f>計算表!R213</f>
        <v>0</v>
      </c>
    </row>
    <row r="212" spans="1:18" x14ac:dyDescent="0.25">
      <c r="A212">
        <f>計算表!A214</f>
        <v>215</v>
      </c>
      <c r="B212">
        <f>計算表!B214</f>
        <v>0</v>
      </c>
      <c r="C212" t="str">
        <f>計算表!C214</f>
        <v>7-洗煉</v>
      </c>
      <c r="D212" t="str">
        <f>計算表!D214</f>
        <v>混沌精華費用</v>
      </c>
      <c r="E212" t="str">
        <f>計算表!E214</f>
        <v>混沌品質洗煉精華消耗 a</v>
      </c>
      <c r="F212" t="str">
        <f>計算表!F214</f>
        <v>可自行調整。</v>
      </c>
      <c r="G212">
        <f>計算表!G214</f>
        <v>27</v>
      </c>
      <c r="H212">
        <f>計算表!H214</f>
        <v>0</v>
      </c>
      <c r="I212">
        <f>計算表!I214</f>
        <v>0</v>
      </c>
      <c r="J212">
        <f>計算表!J214</f>
        <v>0</v>
      </c>
      <c r="K212">
        <f>計算表!K214</f>
        <v>0</v>
      </c>
      <c r="L212">
        <f>計算表!L214</f>
        <v>0</v>
      </c>
      <c r="M212">
        <f>計算表!M214</f>
        <v>0</v>
      </c>
      <c r="N212">
        <f>計算表!N214</f>
        <v>0</v>
      </c>
      <c r="O212">
        <f>計算表!O214</f>
        <v>0</v>
      </c>
      <c r="P212">
        <f>計算表!P214</f>
        <v>0</v>
      </c>
      <c r="Q212">
        <f>計算表!Q214</f>
        <v>0</v>
      </c>
      <c r="R212">
        <f>計算表!R214</f>
        <v>0</v>
      </c>
    </row>
    <row r="213" spans="1:18" x14ac:dyDescent="0.25">
      <c r="A213">
        <f>計算表!A215</f>
        <v>216</v>
      </c>
      <c r="B213">
        <f>計算表!B215</f>
        <v>0</v>
      </c>
      <c r="C213" t="str">
        <f>計算表!C215</f>
        <v>7-洗煉</v>
      </c>
      <c r="D213" t="str">
        <f>計算表!D215</f>
        <v>神鑄混沌精華費用</v>
      </c>
      <c r="E213" t="str">
        <f>計算表!E215</f>
        <v>神鑄混沌品質洗煉精華消耗 a</v>
      </c>
      <c r="F213" t="str">
        <f>計算表!F215</f>
        <v>可自行調整。</v>
      </c>
      <c r="G213">
        <f>計算表!G215</f>
        <v>36</v>
      </c>
      <c r="H213">
        <f>計算表!H215</f>
        <v>0</v>
      </c>
      <c r="I213">
        <f>計算表!I215</f>
        <v>0</v>
      </c>
      <c r="J213">
        <f>計算表!J215</f>
        <v>0</v>
      </c>
      <c r="K213">
        <f>計算表!K215</f>
        <v>0</v>
      </c>
      <c r="L213">
        <f>計算表!L215</f>
        <v>0</v>
      </c>
      <c r="M213">
        <f>計算表!M215</f>
        <v>0</v>
      </c>
      <c r="N213">
        <f>計算表!N215</f>
        <v>0</v>
      </c>
      <c r="O213">
        <f>計算表!O215</f>
        <v>0</v>
      </c>
      <c r="P213">
        <f>計算表!P215</f>
        <v>0</v>
      </c>
      <c r="Q213">
        <f>計算表!Q215</f>
        <v>0</v>
      </c>
      <c r="R213">
        <f>計算表!R215</f>
        <v>0</v>
      </c>
    </row>
    <row r="214" spans="1:18" x14ac:dyDescent="0.25">
      <c r="A214">
        <f>計算表!A216</f>
        <v>217</v>
      </c>
      <c r="B214">
        <f>計算表!B216</f>
        <v>0</v>
      </c>
      <c r="C214" t="str">
        <f>計算表!C216</f>
        <v>7-洗煉</v>
      </c>
      <c r="D214" t="str">
        <f>計算表!D216</f>
        <v>金幣費用</v>
      </c>
      <c r="E214" t="str">
        <f>計算表!E216</f>
        <v>a × b^稀有度 × (1+裝備等級×c)</v>
      </c>
      <c r="F214">
        <f>計算表!F216</f>
        <v>0</v>
      </c>
      <c r="G214">
        <f>計算表!G216</f>
        <v>40</v>
      </c>
      <c r="H214">
        <f>計算表!H216</f>
        <v>1.7</v>
      </c>
      <c r="I214">
        <f>計算表!I216</f>
        <v>0.15</v>
      </c>
      <c r="J214">
        <f>計算表!J216</f>
        <v>0</v>
      </c>
      <c r="K214">
        <f>計算表!K216</f>
        <v>0</v>
      </c>
      <c r="L214">
        <f>計算表!L216</f>
        <v>0</v>
      </c>
      <c r="M214">
        <f>計算表!M216</f>
        <v>0</v>
      </c>
      <c r="N214">
        <f>計算表!N216</f>
        <v>0</v>
      </c>
      <c r="O214">
        <f>計算表!O216</f>
        <v>0</v>
      </c>
      <c r="P214">
        <f>計算表!P216</f>
        <v>0</v>
      </c>
      <c r="Q214">
        <f>計算表!Q216</f>
        <v>0</v>
      </c>
      <c r="R214">
        <f>計算表!R216</f>
        <v>0</v>
      </c>
    </row>
    <row r="215" spans="1:18" x14ac:dyDescent="0.25">
      <c r="A215">
        <f>計算表!A217</f>
        <v>218</v>
      </c>
      <c r="B215">
        <f>計算表!B217</f>
        <v>0</v>
      </c>
      <c r="C215" t="str">
        <f>計算表!C217</f>
        <v>7-洗煉</v>
      </c>
      <c r="D215" t="str">
        <f>計算表!D217</f>
        <v>精華費用</v>
      </c>
      <c r="E215" t="str">
        <f>計算表!E217</f>
        <v>普通~傳說 1+稀有度；神話a 創世b 神鑄c</v>
      </c>
      <c r="F215" t="str">
        <f>計算表!F217</f>
        <v>a/b/c=神話/創世/神鑄創世固定值。</v>
      </c>
      <c r="G215">
        <f>計算表!G217</f>
        <v>9</v>
      </c>
      <c r="H215">
        <f>計算表!H217</f>
        <v>14</v>
      </c>
      <c r="I215">
        <f>計算表!I217</f>
        <v>20</v>
      </c>
      <c r="J215">
        <f>計算表!J217</f>
        <v>50</v>
      </c>
      <c r="K215">
        <f>計算表!K217</f>
        <v>0</v>
      </c>
      <c r="L215">
        <f>計算表!L217</f>
        <v>0</v>
      </c>
      <c r="M215">
        <f>計算表!M217</f>
        <v>0</v>
      </c>
      <c r="N215">
        <f>計算表!N217</f>
        <v>0</v>
      </c>
      <c r="O215">
        <f>計算表!O217</f>
        <v>0</v>
      </c>
      <c r="P215">
        <f>計算表!P217</f>
        <v>0</v>
      </c>
      <c r="Q215">
        <f>計算表!Q217</f>
        <v>0</v>
      </c>
      <c r="R215">
        <f>計算表!R217</f>
        <v>0</v>
      </c>
    </row>
    <row r="216" spans="1:18" x14ac:dyDescent="0.25">
      <c r="A216">
        <f>計算表!A218</f>
        <v>219</v>
      </c>
      <c r="B216">
        <f>計算表!B218</f>
        <v>0</v>
      </c>
      <c r="C216" t="str">
        <f>計算表!C218</f>
        <v>7-洗煉</v>
      </c>
      <c r="D216" t="str">
        <f>計算表!D218</f>
        <v>數值洗煉分段權重</v>
      </c>
      <c r="E216" t="str">
        <f>計算表!E218</f>
        <v>先平分洗煉數值範圍，再以權重選擇低／高段：A=a；B=b＋（詞條上限率/100）^c</v>
      </c>
      <c r="F216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6">
        <f>計算表!G218</f>
        <v>1</v>
      </c>
      <c r="H216">
        <f>計算表!H218</f>
        <v>1</v>
      </c>
      <c r="I216" s="7" t="s">
        <v>1034</v>
      </c>
      <c r="J216">
        <f>計算表!J218</f>
        <v>0</v>
      </c>
      <c r="K216">
        <f>計算表!K218</f>
        <v>0</v>
      </c>
      <c r="L216">
        <f>計算表!L218</f>
        <v>0</v>
      </c>
      <c r="M216">
        <f>計算表!M218</f>
        <v>0</v>
      </c>
      <c r="N216">
        <f>計算表!N218</f>
        <v>0</v>
      </c>
      <c r="O216">
        <f>計算表!O218</f>
        <v>0</v>
      </c>
      <c r="P216">
        <f>計算表!P218</f>
        <v>0</v>
      </c>
      <c r="Q216">
        <f>計算表!Q218</f>
        <v>0</v>
      </c>
      <c r="R216">
        <f>計算表!R218</f>
        <v>0</v>
      </c>
    </row>
    <row r="217" spans="1:18" x14ac:dyDescent="0.25">
      <c r="A217">
        <f>計算表!A219</f>
        <v>220</v>
      </c>
      <c r="B217">
        <f>計算表!B219</f>
        <v>0</v>
      </c>
      <c r="C217" t="str">
        <f>計算表!C219</f>
        <v>7-容量</v>
      </c>
      <c r="D217" t="str">
        <f>計算表!D219</f>
        <v>輸送帶容量</v>
      </c>
      <c r="E217" t="str">
        <f>計算表!E219</f>
        <v>a（固定上限）</v>
      </c>
      <c r="F217" t="str">
        <f>計算表!F219</f>
        <v>程式實際為固定 20000；超出的新裝備直接丟棄。</v>
      </c>
      <c r="G217">
        <f>計算表!G219</f>
        <v>20000</v>
      </c>
      <c r="H217">
        <f>計算表!H219</f>
        <v>0</v>
      </c>
      <c r="I217">
        <f>計算表!I219</f>
        <v>0</v>
      </c>
      <c r="J217">
        <f>計算表!J219</f>
        <v>0</v>
      </c>
      <c r="K217">
        <f>計算表!K219</f>
        <v>0</v>
      </c>
      <c r="L217">
        <f>計算表!L219</f>
        <v>0</v>
      </c>
      <c r="M217">
        <f>計算表!M219</f>
        <v>0</v>
      </c>
      <c r="N217">
        <f>計算表!N219</f>
        <v>0</v>
      </c>
      <c r="O217">
        <f>計算表!O219</f>
        <v>0</v>
      </c>
      <c r="P217">
        <f>計算表!P219</f>
        <v>0</v>
      </c>
      <c r="Q217">
        <f>計算表!Q219</f>
        <v>0</v>
      </c>
      <c r="R217">
        <f>計算表!R219</f>
        <v>0</v>
      </c>
    </row>
    <row r="218" spans="1:18" x14ac:dyDescent="0.25">
      <c r="A218">
        <f>計算表!A220</f>
        <v>221</v>
      </c>
      <c r="B218">
        <f>計算表!B220</f>
        <v>0</v>
      </c>
      <c r="C218" t="str">
        <f>計算表!C220</f>
        <v>7-容量</v>
      </c>
      <c r="D218" t="str">
        <f>計算表!D220</f>
        <v>合成暫存區</v>
      </c>
      <c r="E218" s="7" t="s">
        <v>603</v>
      </c>
      <c r="F218" s="7" t="s">
        <v>1162</v>
      </c>
      <c r="G218">
        <f>計算表!G220</f>
        <v>30</v>
      </c>
      <c r="H218">
        <f>計算表!H220</f>
        <v>2</v>
      </c>
      <c r="I218">
        <f>計算表!I220</f>
        <v>0</v>
      </c>
      <c r="J218">
        <f>計算表!J220</f>
        <v>0</v>
      </c>
      <c r="K218">
        <f>計算表!K220</f>
        <v>0</v>
      </c>
      <c r="L218">
        <f>計算表!L220</f>
        <v>0</v>
      </c>
      <c r="M218">
        <f>計算表!M220</f>
        <v>0</v>
      </c>
      <c r="N218">
        <f>計算表!N220</f>
        <v>0</v>
      </c>
      <c r="O218">
        <f>計算表!O220</f>
        <v>0</v>
      </c>
      <c r="P218">
        <f>計算表!P220</f>
        <v>0</v>
      </c>
      <c r="Q218">
        <f>計算表!Q220</f>
        <v>0</v>
      </c>
      <c r="R218">
        <f>計算表!R220</f>
        <v>0</v>
      </c>
    </row>
    <row r="219" spans="1:18" x14ac:dyDescent="0.25">
      <c r="A219">
        <f>計算表!A221</f>
        <v>222</v>
      </c>
      <c r="B219">
        <f>計算表!B221</f>
        <v>0</v>
      </c>
      <c r="C219" t="str">
        <f>計算表!C221</f>
        <v>7-容量</v>
      </c>
      <c r="D219" t="str">
        <f>計算表!D221</f>
        <v>背包容量</v>
      </c>
      <c r="E219" t="str">
        <f>計算表!E221</f>
        <v>a + 背包擴充上限次數b</v>
      </c>
      <c r="F219" t="str">
        <f>計算表!F221</f>
        <v>a=初始格數 b為上限值；滿了自動分解新進裝備。</v>
      </c>
      <c r="G219">
        <f>計算表!G221</f>
        <v>100</v>
      </c>
      <c r="H219">
        <f>計算表!H221</f>
        <v>1000</v>
      </c>
      <c r="I219">
        <f>計算表!I221</f>
        <v>0</v>
      </c>
      <c r="J219">
        <f>計算表!J221</f>
        <v>0</v>
      </c>
      <c r="K219">
        <f>計算表!K221</f>
        <v>0</v>
      </c>
      <c r="L219">
        <f>計算表!L221</f>
        <v>0</v>
      </c>
      <c r="M219">
        <f>計算表!M221</f>
        <v>0</v>
      </c>
      <c r="N219">
        <f>計算表!N221</f>
        <v>0</v>
      </c>
      <c r="O219">
        <f>計算表!O221</f>
        <v>0</v>
      </c>
      <c r="P219">
        <f>計算表!P221</f>
        <v>0</v>
      </c>
      <c r="Q219">
        <f>計算表!Q221</f>
        <v>0</v>
      </c>
      <c r="R219">
        <f>計算表!R221</f>
        <v>0</v>
      </c>
    </row>
    <row r="220" spans="1:18" x14ac:dyDescent="0.25">
      <c r="A220">
        <f>計算表!A222</f>
        <v>223</v>
      </c>
      <c r="B220">
        <f>計算表!B222</f>
        <v>0</v>
      </c>
      <c r="C220" t="str">
        <f>計算表!C222</f>
        <v>7-容量</v>
      </c>
      <c r="D220" t="str">
        <f>計算表!D222</f>
        <v>背包擴充費用</v>
      </c>
      <c r="E220" t="str">
        <f>計算表!E222</f>
        <v>a + b × c^購買次數</v>
      </c>
      <c r="F220" t="str">
        <f>計算表!F222</f>
        <v>a=基值值 b=擴充倍數 c=指數底；達上限後不可再擴充。</v>
      </c>
      <c r="G220">
        <f>計算表!G222</f>
        <v>10000</v>
      </c>
      <c r="H220">
        <f>計算表!H222</f>
        <v>10000</v>
      </c>
      <c r="I220">
        <f>計算表!I222</f>
        <v>1.02</v>
      </c>
      <c r="J220">
        <f>計算表!J222</f>
        <v>0</v>
      </c>
      <c r="K220">
        <f>計算表!K222</f>
        <v>0</v>
      </c>
      <c r="L220">
        <f>計算表!L222</f>
        <v>0</v>
      </c>
      <c r="M220">
        <f>計算表!M222</f>
        <v>0</v>
      </c>
      <c r="N220">
        <f>計算表!N222</f>
        <v>0</v>
      </c>
      <c r="O220">
        <f>計算表!O222</f>
        <v>0</v>
      </c>
      <c r="P220">
        <f>計算表!P222</f>
        <v>0</v>
      </c>
      <c r="Q220">
        <f>計算表!Q222</f>
        <v>0</v>
      </c>
      <c r="R220">
        <f>計算表!R222</f>
        <v>0</v>
      </c>
    </row>
    <row r="221" spans="1:18" x14ac:dyDescent="0.25">
      <c r="A221">
        <f>計算表!A223</f>
        <v>224</v>
      </c>
      <c r="B221">
        <f>計算表!B223</f>
        <v>0</v>
      </c>
      <c r="C221" t="str">
        <f>計算表!C223</f>
        <v>7-容量</v>
      </c>
      <c r="D221" t="str">
        <f>計算表!D223</f>
        <v>生產線處理間隔</v>
      </c>
      <c r="E221" t="str">
        <f>計算表!E223</f>
        <v>a 秒/件</v>
      </c>
      <c r="F221">
        <f>計算表!F223</f>
        <v>0</v>
      </c>
      <c r="G221">
        <f>計算表!G223</f>
        <v>2</v>
      </c>
      <c r="H221">
        <f>計算表!H223</f>
        <v>0</v>
      </c>
      <c r="I221">
        <f>計算表!I223</f>
        <v>0</v>
      </c>
      <c r="J221">
        <f>計算表!J223</f>
        <v>0</v>
      </c>
      <c r="K221">
        <f>計算表!K223</f>
        <v>0</v>
      </c>
      <c r="L221">
        <f>計算表!L223</f>
        <v>0</v>
      </c>
      <c r="M221">
        <f>計算表!M223</f>
        <v>0</v>
      </c>
      <c r="N221">
        <f>計算表!N223</f>
        <v>0</v>
      </c>
      <c r="O221">
        <f>計算表!O223</f>
        <v>0</v>
      </c>
      <c r="P221">
        <f>計算表!P223</f>
        <v>0</v>
      </c>
      <c r="Q221">
        <f>計算表!Q223</f>
        <v>0</v>
      </c>
      <c r="R221">
        <f>計算表!R223</f>
        <v>0</v>
      </c>
    </row>
    <row r="222" spans="1:18" x14ac:dyDescent="0.25">
      <c r="A222">
        <f>計算表!A224</f>
        <v>225</v>
      </c>
      <c r="B222">
        <f>計算表!B224</f>
        <v>0</v>
      </c>
      <c r="C222" t="str">
        <f>計算表!C224</f>
        <v>7-強化</v>
      </c>
      <c r="D222" t="str">
        <f>計算表!D224</f>
        <v>基礎成功率</v>
      </c>
      <c r="E222" t="str">
        <f>計算表!E224</f>
        <v>+5 以內 100%；之後 max(a%, 100% - (目標等級-5)×b%)</v>
      </c>
      <c r="F222" t="str">
        <f>計算表!F224</f>
        <v>a=下限 b=每級遞減。實際=基礎+強化成功率屬性。</v>
      </c>
      <c r="G222">
        <f>計算表!G224</f>
        <v>30</v>
      </c>
      <c r="H222">
        <f>計算表!H224</f>
        <v>6</v>
      </c>
      <c r="I222">
        <f>計算表!I224</f>
        <v>0</v>
      </c>
      <c r="J222">
        <f>計算表!J224</f>
        <v>0</v>
      </c>
      <c r="K222">
        <f>計算表!K224</f>
        <v>0</v>
      </c>
      <c r="L222">
        <f>計算表!L224</f>
        <v>0</v>
      </c>
      <c r="M222">
        <f>計算表!M224</f>
        <v>0</v>
      </c>
      <c r="N222">
        <f>計算表!N224</f>
        <v>0</v>
      </c>
      <c r="O222">
        <f>計算表!O224</f>
        <v>0</v>
      </c>
      <c r="P222">
        <f>計算表!P224</f>
        <v>0</v>
      </c>
      <c r="Q222">
        <f>計算表!Q224</f>
        <v>0</v>
      </c>
      <c r="R222">
        <f>計算表!R224</f>
        <v>0</v>
      </c>
    </row>
    <row r="223" spans="1:18" x14ac:dyDescent="0.25">
      <c r="A223">
        <f>計算表!A225</f>
        <v>226</v>
      </c>
      <c r="B223">
        <f>計算表!B225</f>
        <v>0</v>
      </c>
      <c r="C223" t="str">
        <f>計算表!C225</f>
        <v>7-強化</v>
      </c>
      <c r="D223" t="str">
        <f>計算表!D225</f>
        <v>金幣費用</v>
      </c>
      <c r="E223" t="str">
        <f>計算表!E225</f>
        <v>a × b^目前強化等級 × (1+裝備等級×c)</v>
      </c>
      <c r="F223">
        <f>計算表!F225</f>
        <v>0</v>
      </c>
      <c r="G223">
        <f>計算表!G225</f>
        <v>25</v>
      </c>
      <c r="H223">
        <f>計算表!H225</f>
        <v>1.3</v>
      </c>
      <c r="I223">
        <f>計算表!I225</f>
        <v>0.2</v>
      </c>
      <c r="J223">
        <f>計算表!J225</f>
        <v>0</v>
      </c>
      <c r="K223">
        <f>計算表!K225</f>
        <v>0</v>
      </c>
      <c r="L223">
        <f>計算表!L225</f>
        <v>0</v>
      </c>
      <c r="M223">
        <f>計算表!M225</f>
        <v>0</v>
      </c>
      <c r="N223">
        <f>計算表!N225</f>
        <v>0</v>
      </c>
      <c r="O223">
        <f>計算表!O225</f>
        <v>0</v>
      </c>
      <c r="P223">
        <f>計算表!P225</f>
        <v>0</v>
      </c>
      <c r="Q223">
        <f>計算表!Q225</f>
        <v>0</v>
      </c>
      <c r="R223">
        <f>計算表!R225</f>
        <v>0</v>
      </c>
    </row>
    <row r="224" spans="1:18" x14ac:dyDescent="0.25">
      <c r="A224">
        <f>計算表!A226</f>
        <v>227</v>
      </c>
      <c r="B224">
        <f>計算表!B226</f>
        <v>0</v>
      </c>
      <c r="C224" t="str">
        <f>計算表!C226</f>
        <v>7-強化</v>
      </c>
      <c r="D224" t="str">
        <f>計算表!D226</f>
        <v>碎片費用</v>
      </c>
      <c r="E224" t="str">
        <f>計算表!E226</f>
        <v>a × b^目前強化等級 × (1+裝備等級×c)</v>
      </c>
      <c r="F224">
        <f>計算表!F226</f>
        <v>0</v>
      </c>
      <c r="G224">
        <f>計算表!G226</f>
        <v>8</v>
      </c>
      <c r="H224">
        <f>計算表!H226</f>
        <v>1.35</v>
      </c>
      <c r="I224">
        <f>計算表!I226</f>
        <v>0.04</v>
      </c>
      <c r="J224">
        <f>計算表!J226</f>
        <v>0</v>
      </c>
      <c r="K224">
        <f>計算表!K226</f>
        <v>0</v>
      </c>
      <c r="L224">
        <f>計算表!L226</f>
        <v>0</v>
      </c>
      <c r="M224">
        <f>計算表!M226</f>
        <v>0</v>
      </c>
      <c r="N224">
        <f>計算表!N226</f>
        <v>0</v>
      </c>
      <c r="O224">
        <f>計算表!O226</f>
        <v>0</v>
      </c>
      <c r="P224">
        <f>計算表!P226</f>
        <v>0</v>
      </c>
      <c r="Q224">
        <f>計算表!Q226</f>
        <v>0</v>
      </c>
      <c r="R224">
        <f>計算表!R226</f>
        <v>0</v>
      </c>
    </row>
    <row r="225" spans="1:18" x14ac:dyDescent="0.25">
      <c r="A225">
        <f>計算表!A227</f>
        <v>228</v>
      </c>
      <c r="B225">
        <f>計算表!B227</f>
        <v>0</v>
      </c>
      <c r="C225" t="str">
        <f>計算表!C227</f>
        <v>7-強化</v>
      </c>
      <c r="D225" t="str">
        <f>計算表!D227</f>
        <v>失敗懲罰</v>
      </c>
      <c r="E225" t="str">
        <f>計算表!E227</f>
        <v>消耗半數費用，強化等級不變</v>
      </c>
      <c r="F225" t="str">
        <f>計算表!F227</f>
        <v>寫死：失敗消耗半數費用。</v>
      </c>
      <c r="G225">
        <f>計算表!G227</f>
        <v>0</v>
      </c>
      <c r="H225">
        <f>計算表!H227</f>
        <v>0</v>
      </c>
      <c r="I225">
        <f>計算表!I227</f>
        <v>0</v>
      </c>
      <c r="J225">
        <f>計算表!J227</f>
        <v>0</v>
      </c>
      <c r="K225">
        <f>計算表!K227</f>
        <v>0</v>
      </c>
      <c r="L225">
        <f>計算表!L227</f>
        <v>0</v>
      </c>
      <c r="M225">
        <f>計算表!M227</f>
        <v>0</v>
      </c>
      <c r="N225">
        <f>計算表!N227</f>
        <v>0</v>
      </c>
      <c r="O225">
        <f>計算表!O227</f>
        <v>0</v>
      </c>
      <c r="P225">
        <f>計算表!P227</f>
        <v>0</v>
      </c>
      <c r="Q225">
        <f>計算表!Q227</f>
        <v>0</v>
      </c>
      <c r="R225">
        <f>計算表!R227</f>
        <v>0</v>
      </c>
    </row>
    <row r="226" spans="1:18" x14ac:dyDescent="0.25">
      <c r="A226">
        <f>計算表!A228</f>
        <v>229</v>
      </c>
      <c r="B226">
        <f>計算表!B228</f>
        <v>0</v>
      </c>
      <c r="C226" t="str">
        <f>計算表!C228</f>
        <v>8-寶石</v>
      </c>
      <c r="D226" t="str">
        <f>計算表!D228</f>
        <v>能力數值(1~5階)</v>
      </c>
      <c r="E226" t="str">
        <f>計算表!E228</f>
        <v>base × 等級 × (1 + a×(等級-1))</v>
      </c>
      <c r="F226" t="str">
        <f>計算表!F228</f>
        <v>base 見「寶石種類表」。Lv1×1 Lv2×2.4 Lv3×4.2 Lv4×6.4 Lv5×9。</v>
      </c>
      <c r="G226">
        <f>計算表!G228</f>
        <v>0.2</v>
      </c>
      <c r="H226">
        <f>計算表!H228</f>
        <v>0</v>
      </c>
      <c r="I226">
        <f>計算表!I228</f>
        <v>0</v>
      </c>
      <c r="J226">
        <f>計算表!J228</f>
        <v>0</v>
      </c>
      <c r="K226">
        <f>計算表!K228</f>
        <v>0</v>
      </c>
      <c r="L226">
        <f>計算表!L228</f>
        <v>0</v>
      </c>
      <c r="M226">
        <f>計算表!M228</f>
        <v>0</v>
      </c>
      <c r="N226">
        <f>計算表!N228</f>
        <v>0</v>
      </c>
      <c r="O226">
        <f>計算表!O228</f>
        <v>0</v>
      </c>
      <c r="P226">
        <f>計算表!P228</f>
        <v>0</v>
      </c>
      <c r="Q226">
        <f>計算表!Q228</f>
        <v>0</v>
      </c>
      <c r="R226">
        <f>計算表!R228</f>
        <v>0</v>
      </c>
    </row>
    <row r="227" spans="1:18" x14ac:dyDescent="0.25">
      <c r="A227">
        <f>計算表!A229</f>
        <v>230</v>
      </c>
      <c r="B227">
        <f>計算表!B229</f>
        <v>0</v>
      </c>
      <c r="C227" t="str">
        <f>計算表!C229</f>
        <v>8-寶石</v>
      </c>
      <c r="D227" t="str">
        <f>計算表!D229</f>
        <v>能力數值(6~10階神鑄)</v>
      </c>
      <c r="E227" t="str">
        <f>計算表!E229</f>
        <v>五階數值 × a^(階級-5)</v>
      </c>
      <c r="F227" t="str">
        <f>計算表!F229</f>
        <v>每高 1 階能力×a。</v>
      </c>
      <c r="G227">
        <f>計算表!G229</f>
        <v>2</v>
      </c>
      <c r="H227">
        <f>計算表!H229</f>
        <v>0</v>
      </c>
      <c r="I227">
        <f>計算表!I229</f>
        <v>0</v>
      </c>
      <c r="J227">
        <f>計算表!J229</f>
        <v>0</v>
      </c>
      <c r="K227">
        <f>計算表!K229</f>
        <v>0</v>
      </c>
      <c r="L227">
        <f>計算表!L229</f>
        <v>0</v>
      </c>
      <c r="M227">
        <f>計算表!M229</f>
        <v>0</v>
      </c>
      <c r="N227">
        <f>計算表!N229</f>
        <v>0</v>
      </c>
      <c r="O227">
        <f>計算表!O229</f>
        <v>0</v>
      </c>
      <c r="P227">
        <f>計算表!P229</f>
        <v>0</v>
      </c>
      <c r="Q227">
        <f>計算表!Q229</f>
        <v>0</v>
      </c>
      <c r="R227">
        <f>計算表!R229</f>
        <v>0</v>
      </c>
    </row>
    <row r="228" spans="1:18" x14ac:dyDescent="0.25">
      <c r="A228">
        <f>計算表!A230</f>
        <v>231</v>
      </c>
      <c r="B228">
        <f>計算表!B230</f>
        <v>0</v>
      </c>
      <c r="C228" t="str">
        <f>計算表!C230</f>
        <v>8-寶石</v>
      </c>
      <c r="D228" t="str">
        <f>計算表!D230</f>
        <v>寶石升階(工廠自動)</v>
      </c>
      <c r="E228" t="str">
        <f>計算表!E230</f>
        <v>c 顆同種同級 → 1 顆同種高一級</v>
      </c>
      <c r="F228" t="str">
        <f>計算表!F230</f>
        <v>免費、自動（熔爐合成節點開關）。　※合成功能已停用，本列未生效。</v>
      </c>
      <c r="G228">
        <f>計算表!G230</f>
        <v>3</v>
      </c>
      <c r="H228">
        <f>計算表!H230</f>
        <v>0</v>
      </c>
      <c r="I228">
        <f>計算表!I230</f>
        <v>0</v>
      </c>
      <c r="J228">
        <f>計算表!J230</f>
        <v>0</v>
      </c>
      <c r="K228">
        <f>計算表!K230</f>
        <v>0</v>
      </c>
      <c r="L228">
        <f>計算表!L230</f>
        <v>0</v>
      </c>
      <c r="M228">
        <f>計算表!M230</f>
        <v>0</v>
      </c>
      <c r="N228">
        <f>計算表!N230</f>
        <v>0</v>
      </c>
      <c r="O228">
        <f>計算表!O230</f>
        <v>0</v>
      </c>
      <c r="P228">
        <f>計算表!P230</f>
        <v>0</v>
      </c>
      <c r="Q228">
        <f>計算表!Q230</f>
        <v>0</v>
      </c>
      <c r="R228">
        <f>計算表!R230</f>
        <v>0</v>
      </c>
    </row>
    <row r="229" spans="1:18" x14ac:dyDescent="0.25">
      <c r="A229">
        <f>計算表!A231</f>
        <v>232</v>
      </c>
      <c r="B229">
        <f>計算表!B231</f>
        <v>0</v>
      </c>
      <c r="C229" t="str">
        <f>計算表!C231</f>
        <v>8-寶石</v>
      </c>
      <c r="D229" t="str">
        <f>計算表!D231</f>
        <v>寶石合成(手動)</v>
      </c>
      <c r="E229" t="str">
        <f>計算表!E231</f>
        <v>依成品階級消耗 a/b/c 顆同種同級寶石</v>
      </c>
      <c r="F229" t="str">
        <f>計算表!F231</f>
        <v>成品2～5級用a顆、6～9級用b顆、10級用c顆前一階寶石；金幣另見「寶石合成金幣」。</v>
      </c>
      <c r="G229">
        <f>計算表!G231</f>
        <v>3</v>
      </c>
      <c r="H229">
        <f>計算表!H231</f>
        <v>4</v>
      </c>
      <c r="I229">
        <f>計算表!I231</f>
        <v>6</v>
      </c>
      <c r="J229">
        <f>計算表!J231</f>
        <v>0</v>
      </c>
      <c r="K229">
        <f>計算表!K231</f>
        <v>0</v>
      </c>
      <c r="L229">
        <f>計算表!L231</f>
        <v>0</v>
      </c>
      <c r="M229">
        <f>計算表!M231</f>
        <v>0</v>
      </c>
      <c r="N229">
        <f>計算表!N231</f>
        <v>0</v>
      </c>
      <c r="O229">
        <f>計算表!O231</f>
        <v>0</v>
      </c>
      <c r="P229">
        <f>計算表!P231</f>
        <v>0</v>
      </c>
      <c r="Q229">
        <f>計算表!Q231</f>
        <v>0</v>
      </c>
      <c r="R229">
        <f>計算表!R231</f>
        <v>0</v>
      </c>
    </row>
    <row r="230" spans="1:18" x14ac:dyDescent="0.25">
      <c r="A230">
        <f>計算表!A232</f>
        <v>233</v>
      </c>
      <c r="B230">
        <f>計算表!B232</f>
        <v>0</v>
      </c>
      <c r="C230" t="str">
        <f>計算表!C232</f>
        <v>8-寶石</v>
      </c>
      <c r="D230" t="str">
        <f>計算表!D232</f>
        <v>寶石合成金幣</v>
      </c>
      <c r="E230" t="str">
        <f>計算表!E232</f>
        <v>依素材等級 a/b/c/d/e/f/g/h/i</v>
      </c>
      <c r="F230" t="str">
        <f>計算表!F232</f>
        <v>1級→2級用a、2級→3級用b、依序至9級→10級用i；高階沿既有逐階遞增趨勢延伸。</v>
      </c>
      <c r="G230">
        <f>計算表!G232</f>
        <v>100</v>
      </c>
      <c r="H230">
        <f>計算表!H232</f>
        <v>300</v>
      </c>
      <c r="I230">
        <f>計算表!I232</f>
        <v>900</v>
      </c>
      <c r="J230">
        <f>計算表!J232</f>
        <v>2700</v>
      </c>
      <c r="K230">
        <f>計算表!K232</f>
        <v>8100</v>
      </c>
      <c r="L230">
        <f>計算表!L232</f>
        <v>24300</v>
      </c>
      <c r="M230">
        <f>計算表!M232</f>
        <v>72900</v>
      </c>
      <c r="N230">
        <f>計算表!N232</f>
        <v>218700</v>
      </c>
      <c r="O230">
        <f>計算表!O232</f>
        <v>656100</v>
      </c>
      <c r="P230">
        <f>計算表!P232</f>
        <v>0</v>
      </c>
      <c r="Q230">
        <f>計算表!Q232</f>
        <v>0</v>
      </c>
      <c r="R230">
        <f>計算表!R232</f>
        <v>0</v>
      </c>
    </row>
    <row r="231" spans="1:18" x14ac:dyDescent="0.25">
      <c r="A231">
        <f>計算表!A233</f>
        <v>234</v>
      </c>
      <c r="B231">
        <f>計算表!B233</f>
        <v>0</v>
      </c>
      <c r="C231" t="str">
        <f>計算表!C233</f>
        <v>8-寶石</v>
      </c>
      <c r="D231" t="str">
        <f>計算表!D233</f>
        <v>寶石轉換(九宮格)</v>
      </c>
      <c r="E231" t="str">
        <f>計算表!E233</f>
        <v>a 格；每格上限 b 顆；同階任意2顆換1顆指定寶石</v>
      </c>
      <c r="F231" t="str">
        <f>計算表!F233</f>
        <v>融合寶石無法轉換；各階分開湊組；奇數餘1顆保留庫存；不收金幣。</v>
      </c>
      <c r="G231">
        <f>計算表!G233</f>
        <v>9</v>
      </c>
      <c r="H231">
        <f>計算表!H233</f>
        <v>1000</v>
      </c>
      <c r="I231">
        <f>計算表!I233</f>
        <v>0</v>
      </c>
      <c r="J231">
        <f>計算表!J233</f>
        <v>0</v>
      </c>
      <c r="K231">
        <f>計算表!K233</f>
        <v>0</v>
      </c>
      <c r="L231">
        <f>計算表!L233</f>
        <v>0</v>
      </c>
      <c r="M231">
        <f>計算表!M233</f>
        <v>0</v>
      </c>
      <c r="N231">
        <f>計算表!N233</f>
        <v>0</v>
      </c>
      <c r="O231">
        <f>計算表!O233</f>
        <v>0</v>
      </c>
      <c r="P231">
        <f>計算表!P233</f>
        <v>0</v>
      </c>
      <c r="Q231">
        <f>計算表!Q233</f>
        <v>0</v>
      </c>
      <c r="R231">
        <f>計算表!R233</f>
        <v>0</v>
      </c>
    </row>
    <row r="232" spans="1:18" x14ac:dyDescent="0.25">
      <c r="A232">
        <f>計算表!A234</f>
        <v>235</v>
      </c>
      <c r="B232">
        <f>計算表!B234</f>
        <v>0</v>
      </c>
      <c r="C232" t="str">
        <f>計算表!C234</f>
        <v>8-寶石</v>
      </c>
      <c r="D232" t="str">
        <f>計算表!D234</f>
        <v>寶石拆解(一般)</v>
      </c>
      <c r="E232" t="str">
        <f>計算表!E234</f>
        <v>1 顆 N 級 → gemComposeInputCount(N-1) 顆同種前一階寶石</v>
      </c>
      <c r="F232" t="str">
        <f>計算表!F234</f>
        <v>免費無損；2～5級回3顆、6～9級回4顆、10級回6顆9級。數量共用合成配方，無獨立參數，a～l不使用。</v>
      </c>
      <c r="G232">
        <f>計算表!G234</f>
        <v>0</v>
      </c>
      <c r="H232">
        <f>計算表!H234</f>
        <v>0</v>
      </c>
      <c r="I232">
        <f>計算表!I234</f>
        <v>0</v>
      </c>
      <c r="J232">
        <f>計算表!J234</f>
        <v>0</v>
      </c>
      <c r="K232">
        <f>計算表!K234</f>
        <v>0</v>
      </c>
      <c r="L232">
        <f>計算表!L234</f>
        <v>0</v>
      </c>
      <c r="M232">
        <f>計算表!M234</f>
        <v>0</v>
      </c>
      <c r="N232">
        <f>計算表!N234</f>
        <v>0</v>
      </c>
      <c r="O232">
        <f>計算表!O234</f>
        <v>0</v>
      </c>
      <c r="P232">
        <f>計算表!P234</f>
        <v>0</v>
      </c>
      <c r="Q232">
        <f>計算表!Q234</f>
        <v>0</v>
      </c>
      <c r="R232">
        <f>計算表!R234</f>
        <v>0</v>
      </c>
    </row>
    <row r="233" spans="1:18" x14ac:dyDescent="0.25">
      <c r="A233">
        <f>計算表!A235</f>
        <v>236</v>
      </c>
      <c r="B233">
        <f>計算表!B235</f>
        <v>0</v>
      </c>
      <c r="C233" t="str">
        <f>計算表!C235</f>
        <v>8-寶石</v>
      </c>
      <c r="D233" t="str">
        <f>計算表!D235</f>
        <v>寶石拆解(融合)</v>
      </c>
      <c r="E233" t="str">
        <f>計算表!E235</f>
        <v>⌊81×leaves × a⌋ 顆 1 級（依屬性均分）</v>
      </c>
      <c r="F233" t="str">
        <f>計算表!F235</f>
        <v>leaves=素材 5 階總數（融合時雙方相加）。a=舊融合寶石拆解保留率，僅相容API使用，寶石頁無入口。</v>
      </c>
      <c r="G233">
        <f>計算表!G235</f>
        <v>0.7</v>
      </c>
      <c r="H233">
        <f>計算表!H235</f>
        <v>0</v>
      </c>
      <c r="I233">
        <f>計算表!I235</f>
        <v>0</v>
      </c>
      <c r="J233">
        <f>計算表!J235</f>
        <v>0</v>
      </c>
      <c r="K233">
        <f>計算表!K235</f>
        <v>0</v>
      </c>
      <c r="L233">
        <f>計算表!L235</f>
        <v>0</v>
      </c>
      <c r="M233">
        <f>計算表!M235</f>
        <v>0</v>
      </c>
      <c r="N233">
        <f>計算表!N235</f>
        <v>0</v>
      </c>
      <c r="O233">
        <f>計算表!O235</f>
        <v>0</v>
      </c>
      <c r="P233">
        <f>計算表!P235</f>
        <v>0</v>
      </c>
      <c r="Q233">
        <f>計算表!Q235</f>
        <v>0</v>
      </c>
      <c r="R233">
        <f>計算表!R235</f>
        <v>0</v>
      </c>
    </row>
    <row r="234" spans="1:18" x14ac:dyDescent="0.25">
      <c r="A234">
        <f>計算表!A236</f>
        <v>237</v>
      </c>
      <c r="B234">
        <f>計算表!B236</f>
        <v>0</v>
      </c>
      <c r="C234" t="str">
        <f>計算表!C236</f>
        <v>8-寶石</v>
      </c>
      <c r="D234" t="str">
        <f>計算表!D236</f>
        <v>寶石融合成功率</v>
      </c>
      <c r="E234" t="str">
        <f>計算表!E236</f>
        <v>max(a%, b% - c%×雙方融合次數和)</v>
      </c>
      <c r="F234" t="str">
        <f>計算表!F236</f>
        <v>僅 5 階；產出雙屬性。</v>
      </c>
      <c r="G234">
        <f>計算表!G236</f>
        <v>10</v>
      </c>
      <c r="H234">
        <f>計算表!H236</f>
        <v>60</v>
      </c>
      <c r="I234">
        <f>計算表!I236</f>
        <v>10</v>
      </c>
      <c r="J234">
        <f>計算表!J236</f>
        <v>0</v>
      </c>
      <c r="K234">
        <f>計算表!K236</f>
        <v>0</v>
      </c>
      <c r="L234">
        <f>計算表!L236</f>
        <v>0</v>
      </c>
      <c r="M234">
        <f>計算表!M236</f>
        <v>0</v>
      </c>
      <c r="N234">
        <f>計算表!N236</f>
        <v>0</v>
      </c>
      <c r="O234">
        <f>計算表!O236</f>
        <v>0</v>
      </c>
      <c r="P234">
        <f>計算表!P236</f>
        <v>0</v>
      </c>
      <c r="Q234">
        <f>計算表!Q236</f>
        <v>0</v>
      </c>
      <c r="R234">
        <f>計算表!R236</f>
        <v>0</v>
      </c>
    </row>
    <row r="235" spans="1:18" x14ac:dyDescent="0.25">
      <c r="A235">
        <f>計算表!A237</f>
        <v>238</v>
      </c>
      <c r="B235">
        <f>計算表!B237</f>
        <v>0</v>
      </c>
      <c r="C235" t="str">
        <f>計算表!C237</f>
        <v>8-寶石</v>
      </c>
      <c r="D235" t="str">
        <f>計算表!D237</f>
        <v>寶石融合數值</v>
      </c>
      <c r="E235" t="str">
        <f>計算表!E237</f>
        <v>同屬性 rnd(較小值,較大值×2)；異屬性 原值×rnd(0.5,1.5)</v>
      </c>
      <c r="F235" t="str">
        <f>計算表!F237</f>
        <v>失敗：較弱一方降解為 50% 機率 4~8 顆 Lv1 / 50% 機率 2~4 顆 Lv2。　※結構寫死：同屬性 rnd(小,大×2)、異屬性 原值×rnd(0.5,1.5)。</v>
      </c>
      <c r="G235">
        <f>計算表!G237</f>
        <v>0</v>
      </c>
      <c r="H235">
        <f>計算表!H237</f>
        <v>0</v>
      </c>
      <c r="I235">
        <f>計算表!I237</f>
        <v>0</v>
      </c>
      <c r="J235">
        <f>計算表!J237</f>
        <v>0</v>
      </c>
      <c r="K235">
        <f>計算表!K237</f>
        <v>0</v>
      </c>
      <c r="L235">
        <f>計算表!L237</f>
        <v>0</v>
      </c>
      <c r="M235">
        <f>計算表!M237</f>
        <v>0</v>
      </c>
      <c r="N235">
        <f>計算表!N237</f>
        <v>0</v>
      </c>
      <c r="O235">
        <f>計算表!O237</f>
        <v>0</v>
      </c>
      <c r="P235">
        <f>計算表!P237</f>
        <v>0</v>
      </c>
      <c r="Q235">
        <f>計算表!Q237</f>
        <v>0</v>
      </c>
      <c r="R235">
        <f>計算表!R237</f>
        <v>0</v>
      </c>
    </row>
    <row r="236" spans="1:18" x14ac:dyDescent="0.25">
      <c r="A236">
        <f>計算表!A238</f>
        <v>239</v>
      </c>
      <c r="B236">
        <f>計算表!B238</f>
        <v>0</v>
      </c>
      <c r="C236" t="str">
        <f>計算表!C238</f>
        <v>8-寶石商店</v>
      </c>
      <c r="D236" t="str">
        <f>計算表!D238</f>
        <v>升級費用</v>
      </c>
      <c r="E236" t="str">
        <f>計算表!E238</f>
        <v>a + 商店等級^b × c</v>
      </c>
      <c r="F236" t="str">
        <f>計算表!F238</f>
        <v>Lv.1~20；Lv.20 滿級。</v>
      </c>
      <c r="G236">
        <f>計算表!G238</f>
        <v>100000</v>
      </c>
      <c r="H236">
        <f>計算表!H238</f>
        <v>3.5</v>
      </c>
      <c r="I236">
        <f>計算表!I238</f>
        <v>4000000</v>
      </c>
      <c r="J236">
        <f>計算表!J238</f>
        <v>0</v>
      </c>
      <c r="K236">
        <f>計算表!K238</f>
        <v>0</v>
      </c>
      <c r="L236">
        <f>計算表!L238</f>
        <v>0</v>
      </c>
      <c r="M236">
        <f>計算表!M238</f>
        <v>0</v>
      </c>
      <c r="N236">
        <f>計算表!N238</f>
        <v>0</v>
      </c>
      <c r="O236">
        <f>計算表!O238</f>
        <v>0</v>
      </c>
      <c r="P236">
        <f>計算表!P238</f>
        <v>0</v>
      </c>
      <c r="Q236">
        <f>計算表!Q238</f>
        <v>0</v>
      </c>
      <c r="R236">
        <f>計算表!R238</f>
        <v>0</v>
      </c>
    </row>
    <row r="237" spans="1:18" x14ac:dyDescent="0.25">
      <c r="A237">
        <f>計算表!A239</f>
        <v>240</v>
      </c>
      <c r="B237">
        <f>計算表!B239</f>
        <v>0</v>
      </c>
      <c r="C237" t="str">
        <f>計算表!C239</f>
        <v>8-寶石商店</v>
      </c>
      <c r="D237" t="str">
        <f>計算表!D239</f>
        <v>手動刷新費用</v>
      </c>
      <c r="E237" t="str">
        <f>計算表!E239</f>
        <v>a × (下一次重置序號^b)</v>
      </c>
      <c r="F237" t="str">
        <f>計算表!F239</f>
        <v>第一次刷新序號為 1。</v>
      </c>
      <c r="G237">
        <f>計算表!G239</f>
        <v>5000</v>
      </c>
      <c r="H237">
        <f>計算表!H239</f>
        <v>2.5</v>
      </c>
      <c r="I237">
        <f>計算表!I239</f>
        <v>0</v>
      </c>
      <c r="J237">
        <f>計算表!J239</f>
        <v>0</v>
      </c>
      <c r="K237">
        <f>計算表!K239</f>
        <v>0</v>
      </c>
      <c r="L237">
        <f>計算表!L239</f>
        <v>0</v>
      </c>
      <c r="M237">
        <f>計算表!M239</f>
        <v>0</v>
      </c>
      <c r="N237">
        <f>計算表!N239</f>
        <v>0</v>
      </c>
      <c r="O237">
        <f>計算表!O239</f>
        <v>0</v>
      </c>
      <c r="P237">
        <f>計算表!P239</f>
        <v>0</v>
      </c>
      <c r="Q237">
        <f>計算表!Q239</f>
        <v>0</v>
      </c>
      <c r="R237">
        <f>計算表!R239</f>
        <v>0</v>
      </c>
    </row>
    <row r="238" spans="1:18" x14ac:dyDescent="0.25">
      <c r="A238">
        <f>計算表!A240</f>
        <v>241</v>
      </c>
      <c r="B238">
        <f>計算表!B240</f>
        <v>0</v>
      </c>
      <c r="C238" t="str">
        <f>計算表!C240</f>
        <v>8-寶石商店</v>
      </c>
      <c r="D238" t="str">
        <f>計算表!D240</f>
        <v>刷新週期</v>
      </c>
      <c r="E238" t="str">
        <f>計算表!E240</f>
        <v>a 小時重置刷新次數</v>
      </c>
      <c r="F238">
        <f>計算表!F240</f>
        <v>0</v>
      </c>
      <c r="G238">
        <f>計算表!G240</f>
        <v>8</v>
      </c>
      <c r="H238">
        <f>計算表!H240</f>
        <v>0</v>
      </c>
      <c r="I238">
        <f>計算表!I240</f>
        <v>0</v>
      </c>
      <c r="J238">
        <f>計算表!J240</f>
        <v>0</v>
      </c>
      <c r="K238">
        <f>計算表!K240</f>
        <v>0</v>
      </c>
      <c r="L238">
        <f>計算表!L240</f>
        <v>0</v>
      </c>
      <c r="M238">
        <f>計算表!M240</f>
        <v>0</v>
      </c>
      <c r="N238">
        <f>計算表!N240</f>
        <v>0</v>
      </c>
      <c r="O238">
        <f>計算表!O240</f>
        <v>0</v>
      </c>
      <c r="P238">
        <f>計算表!P240</f>
        <v>0</v>
      </c>
      <c r="Q238">
        <f>計算表!Q240</f>
        <v>0</v>
      </c>
      <c r="R238">
        <f>計算表!R240</f>
        <v>0</v>
      </c>
    </row>
    <row r="239" spans="1:18" x14ac:dyDescent="0.25">
      <c r="A239">
        <f>計算表!A241</f>
        <v>242</v>
      </c>
      <c r="B239">
        <f>計算表!B241</f>
        <v>0</v>
      </c>
      <c r="C239" t="str">
        <f>計算表!C241</f>
        <v>8-寶石商店</v>
      </c>
      <c r="D239" t="str">
        <f>計算表!D241</f>
        <v>寶石標價(Lv1~10)</v>
      </c>
      <c r="E239" t="str">
        <f>計算表!E241</f>
        <v>各階價格</v>
      </c>
      <c r="F239" t="str">
        <f>計算表!F241</f>
        <v>a=Lv1 … j=Lv10。</v>
      </c>
      <c r="G239">
        <f>計算表!G241</f>
        <v>10000</v>
      </c>
      <c r="H239">
        <f>計算表!H241</f>
        <v>100000</v>
      </c>
      <c r="I239">
        <f>計算表!I241</f>
        <v>500000</v>
      </c>
      <c r="J239">
        <f>計算表!J241</f>
        <v>2000000</v>
      </c>
      <c r="K239">
        <f>計算表!K241</f>
        <v>10000000</v>
      </c>
      <c r="L239">
        <f>計算表!L241</f>
        <v>50000000</v>
      </c>
      <c r="M239">
        <f>計算表!M241</f>
        <v>200000000</v>
      </c>
      <c r="N239">
        <f>計算表!N241</f>
        <v>1000000000</v>
      </c>
      <c r="O239">
        <f>計算表!O241</f>
        <v>10000000000</v>
      </c>
      <c r="P239">
        <f>計算表!P241</f>
        <v>1000000000000</v>
      </c>
      <c r="Q239">
        <f>計算表!Q241</f>
        <v>0</v>
      </c>
      <c r="R239">
        <f>計算表!R241</f>
        <v>0</v>
      </c>
    </row>
    <row r="240" spans="1:18" x14ac:dyDescent="0.25">
      <c r="A240">
        <f>計算表!A242</f>
        <v>243</v>
      </c>
      <c r="B240">
        <f>計算表!B242</f>
        <v>0</v>
      </c>
      <c r="C240" t="str">
        <f>計算表!C242</f>
        <v>8-寶店刷出階級</v>
      </c>
      <c r="D240" t="str">
        <f>計算表!D242</f>
        <v>商店 Lv.1</v>
      </c>
      <c r="E240" t="str">
        <f>計算表!E242</f>
        <v>寶石階級=機率%（每顆獨立）</v>
      </c>
      <c r="F240" t="str">
        <f>計算表!F242</f>
        <v>格式「階級=機率%」，機率總和 100。</v>
      </c>
      <c r="G240" t="str">
        <f>計算表!G242</f>
        <v>1=75</v>
      </c>
      <c r="H240" t="str">
        <f>計算表!H242</f>
        <v>2=20</v>
      </c>
      <c r="I240" t="str">
        <f>計算表!I242</f>
        <v>3=4</v>
      </c>
      <c r="J240" t="str">
        <f>計算表!J242</f>
        <v>4=1</v>
      </c>
      <c r="K240">
        <f>計算表!K242</f>
        <v>0</v>
      </c>
      <c r="L240">
        <f>計算表!L242</f>
        <v>0</v>
      </c>
      <c r="M240">
        <f>計算表!M242</f>
        <v>0</v>
      </c>
      <c r="N240">
        <f>計算表!N242</f>
        <v>0</v>
      </c>
      <c r="O240">
        <f>計算表!O242</f>
        <v>0</v>
      </c>
      <c r="P240">
        <f>計算表!P242</f>
        <v>0</v>
      </c>
      <c r="Q240">
        <f>計算表!Q242</f>
        <v>0</v>
      </c>
      <c r="R240">
        <f>計算表!R242</f>
        <v>0</v>
      </c>
    </row>
    <row r="241" spans="1:18" x14ac:dyDescent="0.25">
      <c r="A241">
        <f>計算表!A243</f>
        <v>244</v>
      </c>
      <c r="B241">
        <f>計算表!B243</f>
        <v>0</v>
      </c>
      <c r="C241" t="str">
        <f>計算表!C243</f>
        <v>8-寶店刷出階級</v>
      </c>
      <c r="D241" t="str">
        <f>計算表!D243</f>
        <v>商店 Lv.2</v>
      </c>
      <c r="E241" t="str">
        <f>計算表!E243</f>
        <v>寶石階級=機率%（每顆獨立）</v>
      </c>
      <c r="F241" t="str">
        <f>計算表!F243</f>
        <v>格式「階級=機率%」，機率總和 100。</v>
      </c>
      <c r="G241" t="str">
        <f>計算表!G243</f>
        <v>1=73</v>
      </c>
      <c r="H241" t="str">
        <f>計算表!H243</f>
        <v>2=20</v>
      </c>
      <c r="I241" t="str">
        <f>計算表!I243</f>
        <v>3=5</v>
      </c>
      <c r="J241" t="str">
        <f>計算表!J243</f>
        <v>4=2</v>
      </c>
      <c r="K241">
        <f>計算表!K243</f>
        <v>0</v>
      </c>
      <c r="L241">
        <f>計算表!L243</f>
        <v>0</v>
      </c>
      <c r="M241">
        <f>計算表!M243</f>
        <v>0</v>
      </c>
      <c r="N241">
        <f>計算表!N243</f>
        <v>0</v>
      </c>
      <c r="O241">
        <f>計算表!O243</f>
        <v>0</v>
      </c>
      <c r="P241">
        <f>計算表!P243</f>
        <v>0</v>
      </c>
      <c r="Q241">
        <f>計算表!Q243</f>
        <v>0</v>
      </c>
      <c r="R241">
        <f>計算表!R243</f>
        <v>0</v>
      </c>
    </row>
    <row r="242" spans="1:18" x14ac:dyDescent="0.25">
      <c r="A242">
        <f>計算表!A244</f>
        <v>245</v>
      </c>
      <c r="B242">
        <f>計算表!B244</f>
        <v>0</v>
      </c>
      <c r="C242" t="str">
        <f>計算表!C244</f>
        <v>8-寶店刷出階級</v>
      </c>
      <c r="D242" t="str">
        <f>計算表!D244</f>
        <v>商店 Lv.3</v>
      </c>
      <c r="E242" t="str">
        <f>計算表!E244</f>
        <v>寶石階級=機率%（每顆獨立）</v>
      </c>
      <c r="F242" t="str">
        <f>計算表!F244</f>
        <v>格式「階級=機率%」，機率總和 100。</v>
      </c>
      <c r="G242" t="str">
        <f>計算表!G244</f>
        <v>1=71</v>
      </c>
      <c r="H242" t="str">
        <f>計算表!H244</f>
        <v>2=20</v>
      </c>
      <c r="I242" t="str">
        <f>計算表!I244</f>
        <v>3=6</v>
      </c>
      <c r="J242" t="str">
        <f>計算表!J244</f>
        <v>4=3</v>
      </c>
      <c r="K242">
        <f>計算表!K244</f>
        <v>0</v>
      </c>
      <c r="L242">
        <f>計算表!L244</f>
        <v>0</v>
      </c>
      <c r="M242">
        <f>計算表!M244</f>
        <v>0</v>
      </c>
      <c r="N242">
        <f>計算表!N244</f>
        <v>0</v>
      </c>
      <c r="O242">
        <f>計算表!O244</f>
        <v>0</v>
      </c>
      <c r="P242">
        <f>計算表!P244</f>
        <v>0</v>
      </c>
      <c r="Q242">
        <f>計算表!Q244</f>
        <v>0</v>
      </c>
      <c r="R242">
        <f>計算表!R244</f>
        <v>0</v>
      </c>
    </row>
    <row r="243" spans="1:18" x14ac:dyDescent="0.25">
      <c r="A243">
        <f>計算表!A245</f>
        <v>246</v>
      </c>
      <c r="B243">
        <f>計算表!B245</f>
        <v>0</v>
      </c>
      <c r="C243" t="str">
        <f>計算表!C245</f>
        <v>8-寶店刷出階級</v>
      </c>
      <c r="D243" t="str">
        <f>計算表!D245</f>
        <v>商店 Lv.4</v>
      </c>
      <c r="E243" t="str">
        <f>計算表!E245</f>
        <v>寶石階級=機率%（每顆獨立）</v>
      </c>
      <c r="F243" t="str">
        <f>計算表!F245</f>
        <v>格式「階級=機率%」，機率總和 100。</v>
      </c>
      <c r="G243" t="str">
        <f>計算表!G245</f>
        <v>1=70.5</v>
      </c>
      <c r="H243" t="str">
        <f>計算表!H245</f>
        <v>2=20</v>
      </c>
      <c r="I243" t="str">
        <f>計算表!I245</f>
        <v>3=6</v>
      </c>
      <c r="J243" t="str">
        <f>計算表!J245</f>
        <v>4=3</v>
      </c>
      <c r="K243" t="str">
        <f>計算表!K245</f>
        <v>5=0.5</v>
      </c>
      <c r="L243">
        <f>計算表!L245</f>
        <v>0</v>
      </c>
      <c r="M243">
        <f>計算表!M245</f>
        <v>0</v>
      </c>
      <c r="N243">
        <f>計算表!N245</f>
        <v>0</v>
      </c>
      <c r="O243">
        <f>計算表!O245</f>
        <v>0</v>
      </c>
      <c r="P243">
        <f>計算表!P245</f>
        <v>0</v>
      </c>
      <c r="Q243">
        <f>計算表!Q245</f>
        <v>0</v>
      </c>
      <c r="R243">
        <f>計算表!R245</f>
        <v>0</v>
      </c>
    </row>
    <row r="244" spans="1:18" x14ac:dyDescent="0.25">
      <c r="A244">
        <f>計算表!A246</f>
        <v>247</v>
      </c>
      <c r="B244">
        <f>計算表!B246</f>
        <v>0</v>
      </c>
      <c r="C244" t="str">
        <f>計算表!C246</f>
        <v>8-寶店刷出階級</v>
      </c>
      <c r="D244" t="str">
        <f>計算表!D246</f>
        <v>商店 Lv.5</v>
      </c>
      <c r="E244" t="str">
        <f>計算表!E246</f>
        <v>寶石階級=機率%（每顆獨立）</v>
      </c>
      <c r="F244" t="str">
        <f>計算表!F246</f>
        <v>格式「階級=機率%」，機率總和 100。</v>
      </c>
      <c r="G244" t="str">
        <f>計算表!G246</f>
        <v>1=69</v>
      </c>
      <c r="H244" t="str">
        <f>計算表!H246</f>
        <v>2=20</v>
      </c>
      <c r="I244" t="str">
        <f>計算表!I246</f>
        <v>3=6</v>
      </c>
      <c r="J244" t="str">
        <f>計算表!J246</f>
        <v>4=4</v>
      </c>
      <c r="K244" t="str">
        <f>計算表!K246</f>
        <v>5=1</v>
      </c>
      <c r="L244">
        <f>計算表!L246</f>
        <v>0</v>
      </c>
      <c r="M244">
        <f>計算表!M246</f>
        <v>0</v>
      </c>
      <c r="N244">
        <f>計算表!N246</f>
        <v>0</v>
      </c>
      <c r="O244">
        <f>計算表!O246</f>
        <v>0</v>
      </c>
      <c r="P244">
        <f>計算表!P246</f>
        <v>0</v>
      </c>
      <c r="Q244">
        <f>計算表!Q246</f>
        <v>0</v>
      </c>
      <c r="R244">
        <f>計算表!R246</f>
        <v>0</v>
      </c>
    </row>
    <row r="245" spans="1:18" x14ac:dyDescent="0.25">
      <c r="A245">
        <f>計算表!A247</f>
        <v>248</v>
      </c>
      <c r="B245">
        <f>計算表!B247</f>
        <v>0</v>
      </c>
      <c r="C245" t="str">
        <f>計算表!C247</f>
        <v>8-寶店刷出階級</v>
      </c>
      <c r="D245" t="str">
        <f>計算表!D247</f>
        <v>商店 Lv.6</v>
      </c>
      <c r="E245" t="str">
        <f>計算表!E247</f>
        <v>寶石階級=機率%（每顆獨立）</v>
      </c>
      <c r="F245" t="str">
        <f>計算表!F247</f>
        <v>格式「階級=機率%」，機率總和 100。</v>
      </c>
      <c r="G245" t="str">
        <f>計算表!G247</f>
        <v>1=67.5</v>
      </c>
      <c r="H245" t="str">
        <f>計算表!H247</f>
        <v>2=20</v>
      </c>
      <c r="I245" t="str">
        <f>計算表!I247</f>
        <v>3=6</v>
      </c>
      <c r="J245" t="str">
        <f>計算表!J247</f>
        <v>4=5</v>
      </c>
      <c r="K245" t="str">
        <f>計算表!K247</f>
        <v>5=1.5</v>
      </c>
      <c r="L245">
        <f>計算表!L247</f>
        <v>0</v>
      </c>
      <c r="M245">
        <f>計算表!M247</f>
        <v>0</v>
      </c>
      <c r="N245">
        <f>計算表!N247</f>
        <v>0</v>
      </c>
      <c r="O245">
        <f>計算表!O247</f>
        <v>0</v>
      </c>
      <c r="P245">
        <f>計算表!P247</f>
        <v>0</v>
      </c>
      <c r="Q245">
        <f>計算表!Q247</f>
        <v>0</v>
      </c>
      <c r="R245">
        <f>計算表!R247</f>
        <v>0</v>
      </c>
    </row>
    <row r="246" spans="1:18" x14ac:dyDescent="0.25">
      <c r="A246">
        <f>計算表!A248</f>
        <v>249</v>
      </c>
      <c r="B246">
        <f>計算表!B248</f>
        <v>0</v>
      </c>
      <c r="C246" t="str">
        <f>計算表!C248</f>
        <v>8-寶店刷出階級</v>
      </c>
      <c r="D246" t="str">
        <f>計算表!D248</f>
        <v>商店 Lv.7</v>
      </c>
      <c r="E246" t="str">
        <f>計算表!E248</f>
        <v>寶石階級=機率%（每顆獨立）</v>
      </c>
      <c r="F246" t="str">
        <f>計算表!F248</f>
        <v>格式「階級=機率%」，機率總和 100。</v>
      </c>
      <c r="G246" t="str">
        <f>計算表!G248</f>
        <v>1=64</v>
      </c>
      <c r="H246" t="str">
        <f>計算表!H248</f>
        <v>2=20</v>
      </c>
      <c r="I246" t="str">
        <f>計算表!I248</f>
        <v>3=8</v>
      </c>
      <c r="J246" t="str">
        <f>計算表!J248</f>
        <v>4=6</v>
      </c>
      <c r="K246" t="str">
        <f>計算表!K248</f>
        <v>5=2</v>
      </c>
      <c r="L246">
        <f>計算表!L248</f>
        <v>0</v>
      </c>
      <c r="M246">
        <f>計算表!M248</f>
        <v>0</v>
      </c>
      <c r="N246">
        <f>計算表!N248</f>
        <v>0</v>
      </c>
      <c r="O246">
        <f>計算表!O248</f>
        <v>0</v>
      </c>
      <c r="P246">
        <f>計算表!P248</f>
        <v>0</v>
      </c>
      <c r="Q246">
        <f>計算表!Q248</f>
        <v>0</v>
      </c>
      <c r="R246">
        <f>計算表!R248</f>
        <v>0</v>
      </c>
    </row>
    <row r="247" spans="1:18" x14ac:dyDescent="0.25">
      <c r="A247">
        <f>計算表!A249</f>
        <v>250</v>
      </c>
      <c r="B247">
        <f>計算表!B249</f>
        <v>0</v>
      </c>
      <c r="C247" t="str">
        <f>計算表!C249</f>
        <v>8-寶店刷出階級</v>
      </c>
      <c r="D247" t="str">
        <f>計算表!D249</f>
        <v>商店 Lv.8</v>
      </c>
      <c r="E247" t="str">
        <f>計算表!E249</f>
        <v>寶石階級=機率%（每顆獨立）</v>
      </c>
      <c r="F247" t="str">
        <f>計算表!F249</f>
        <v>格式「階級=機率%」，機率總和 100。</v>
      </c>
      <c r="G247" t="str">
        <f>計算表!G249</f>
        <v>1=61.5</v>
      </c>
      <c r="H247" t="str">
        <f>計算表!H249</f>
        <v>2=20</v>
      </c>
      <c r="I247" t="str">
        <f>計算表!I249</f>
        <v>3=9</v>
      </c>
      <c r="J247" t="str">
        <f>計算表!J249</f>
        <v>4=7</v>
      </c>
      <c r="K247" t="str">
        <f>計算表!K249</f>
        <v>5=2.5</v>
      </c>
      <c r="L247">
        <f>計算表!L249</f>
        <v>0</v>
      </c>
      <c r="M247">
        <f>計算表!M249</f>
        <v>0</v>
      </c>
      <c r="N247">
        <f>計算表!N249</f>
        <v>0</v>
      </c>
      <c r="O247">
        <f>計算表!O249</f>
        <v>0</v>
      </c>
      <c r="P247">
        <f>計算表!P249</f>
        <v>0</v>
      </c>
      <c r="Q247">
        <f>計算表!Q249</f>
        <v>0</v>
      </c>
      <c r="R247">
        <f>計算表!R249</f>
        <v>0</v>
      </c>
    </row>
    <row r="248" spans="1:18" x14ac:dyDescent="0.25">
      <c r="A248">
        <f>計算表!A250</f>
        <v>251</v>
      </c>
      <c r="B248">
        <f>計算表!B250</f>
        <v>0</v>
      </c>
      <c r="C248" t="str">
        <f>計算表!C250</f>
        <v>8-寶店刷出階級</v>
      </c>
      <c r="D248" t="str">
        <f>計算表!D250</f>
        <v>商店 Lv.9</v>
      </c>
      <c r="E248" t="str">
        <f>計算表!E250</f>
        <v>寶石階級=機率%（每顆獨立）</v>
      </c>
      <c r="F248" t="str">
        <f>計算表!F250</f>
        <v>格式「階級=機率%」，機率總和 100。</v>
      </c>
      <c r="G248" t="str">
        <f>計算表!G250</f>
        <v>1=59</v>
      </c>
      <c r="H248" t="str">
        <f>計算表!H250</f>
        <v>2=20</v>
      </c>
      <c r="I248" t="str">
        <f>計算表!I250</f>
        <v>3=10</v>
      </c>
      <c r="J248" t="str">
        <f>計算表!J250</f>
        <v>4=8</v>
      </c>
      <c r="K248" t="str">
        <f>計算表!K250</f>
        <v>5=3</v>
      </c>
      <c r="L248">
        <f>計算表!L250</f>
        <v>0</v>
      </c>
      <c r="M248">
        <f>計算表!M250</f>
        <v>0</v>
      </c>
      <c r="N248">
        <f>計算表!N250</f>
        <v>0</v>
      </c>
      <c r="O248">
        <f>計算表!O250</f>
        <v>0</v>
      </c>
      <c r="P248">
        <f>計算表!P250</f>
        <v>0</v>
      </c>
      <c r="Q248">
        <f>計算表!Q250</f>
        <v>0</v>
      </c>
      <c r="R248">
        <f>計算表!R250</f>
        <v>0</v>
      </c>
    </row>
    <row r="249" spans="1:18" x14ac:dyDescent="0.25">
      <c r="A249">
        <f>計算表!A251</f>
        <v>252</v>
      </c>
      <c r="B249">
        <f>計算表!B251</f>
        <v>0</v>
      </c>
      <c r="C249" t="str">
        <f>計算表!C251</f>
        <v>8-寶店刷出階級</v>
      </c>
      <c r="D249" t="str">
        <f>計算表!D251</f>
        <v>商店 Lv.10</v>
      </c>
      <c r="E249" t="str">
        <f>計算表!E251</f>
        <v>寶石階級=機率%（每顆獨立）</v>
      </c>
      <c r="F249" t="str">
        <f>計算表!F251</f>
        <v>格式「階級=機率%」，機率總和 100。</v>
      </c>
      <c r="G249" t="str">
        <f>計算表!G251</f>
        <v>1=58</v>
      </c>
      <c r="H249" t="str">
        <f>計算表!H251</f>
        <v>2=20</v>
      </c>
      <c r="I249" t="str">
        <f>計算表!I251</f>
        <v>3=10</v>
      </c>
      <c r="J249" t="str">
        <f>計算表!J251</f>
        <v>4=8</v>
      </c>
      <c r="K249" t="str">
        <f>計算表!K251</f>
        <v>5=3.5</v>
      </c>
      <c r="L249" t="str">
        <f>計算表!L251</f>
        <v>6=0.5</v>
      </c>
      <c r="M249">
        <f>計算表!M251</f>
        <v>0</v>
      </c>
      <c r="N249">
        <f>計算表!N251</f>
        <v>0</v>
      </c>
      <c r="O249">
        <f>計算表!O251</f>
        <v>0</v>
      </c>
      <c r="P249">
        <f>計算表!P251</f>
        <v>0</v>
      </c>
      <c r="Q249">
        <f>計算表!Q251</f>
        <v>0</v>
      </c>
      <c r="R249">
        <f>計算表!R251</f>
        <v>0</v>
      </c>
    </row>
    <row r="250" spans="1:18" x14ac:dyDescent="0.25">
      <c r="A250">
        <f>計算表!A252</f>
        <v>253</v>
      </c>
      <c r="B250">
        <f>計算表!B252</f>
        <v>0</v>
      </c>
      <c r="C250" t="str">
        <f>計算表!C252</f>
        <v>8-寶店刷出階級</v>
      </c>
      <c r="D250" t="str">
        <f>計算表!D252</f>
        <v>商店 Lv.11</v>
      </c>
      <c r="E250" t="str">
        <f>計算表!E252</f>
        <v>寶石階級=機率%（每顆獨立）</v>
      </c>
      <c r="F250" t="str">
        <f>計算表!F252</f>
        <v>格式「階級=機率%」，機率總和 100。</v>
      </c>
      <c r="G250" t="str">
        <f>計算表!G252</f>
        <v>1=57.25</v>
      </c>
      <c r="H250" t="str">
        <f>計算表!H252</f>
        <v>2=20</v>
      </c>
      <c r="I250" t="str">
        <f>計算表!I252</f>
        <v>3=10</v>
      </c>
      <c r="J250" t="str">
        <f>計算表!J252</f>
        <v>4=8</v>
      </c>
      <c r="K250" t="str">
        <f>計算表!K252</f>
        <v>5=4</v>
      </c>
      <c r="L250" t="str">
        <f>計算表!L252</f>
        <v>6=0.75</v>
      </c>
      <c r="M250">
        <f>計算表!M252</f>
        <v>0</v>
      </c>
      <c r="N250">
        <f>計算表!N252</f>
        <v>0</v>
      </c>
      <c r="O250">
        <f>計算表!O252</f>
        <v>0</v>
      </c>
      <c r="P250">
        <f>計算表!P252</f>
        <v>0</v>
      </c>
      <c r="Q250">
        <f>計算表!Q252</f>
        <v>0</v>
      </c>
      <c r="R250">
        <f>計算表!R252</f>
        <v>0</v>
      </c>
    </row>
    <row r="251" spans="1:18" x14ac:dyDescent="0.25">
      <c r="A251">
        <f>計算表!A253</f>
        <v>254</v>
      </c>
      <c r="B251">
        <f>計算表!B253</f>
        <v>0</v>
      </c>
      <c r="C251" t="str">
        <f>計算表!C253</f>
        <v>8-寶店刷出階級</v>
      </c>
      <c r="D251" t="str">
        <f>計算表!D253</f>
        <v>商店 Lv.12</v>
      </c>
      <c r="E251" t="str">
        <f>計算表!E253</f>
        <v>寶石階級=機率%（每顆獨立）</v>
      </c>
      <c r="F251" t="str">
        <f>計算表!F253</f>
        <v>格式「階級=機率%」，機率總和 100。</v>
      </c>
      <c r="G251" t="str">
        <f>計算表!G253</f>
        <v>1=53.5</v>
      </c>
      <c r="H251" t="str">
        <f>計算表!H253</f>
        <v>2=20</v>
      </c>
      <c r="I251" t="str">
        <f>計算表!I253</f>
        <v>3=12</v>
      </c>
      <c r="J251" t="str">
        <f>計算表!J253</f>
        <v>4=9</v>
      </c>
      <c r="K251" t="str">
        <f>計算表!K253</f>
        <v>5=4.5</v>
      </c>
      <c r="L251" t="str">
        <f>計算表!L253</f>
        <v>6=1</v>
      </c>
      <c r="M251">
        <f>計算表!M253</f>
        <v>0</v>
      </c>
      <c r="N251">
        <f>計算表!N253</f>
        <v>0</v>
      </c>
      <c r="O251">
        <f>計算表!O253</f>
        <v>0</v>
      </c>
      <c r="P251">
        <f>計算表!P253</f>
        <v>0</v>
      </c>
      <c r="Q251">
        <f>計算表!Q253</f>
        <v>0</v>
      </c>
      <c r="R251">
        <f>計算表!R253</f>
        <v>0</v>
      </c>
    </row>
    <row r="252" spans="1:18" x14ac:dyDescent="0.25">
      <c r="A252">
        <f>計算表!A254</f>
        <v>255</v>
      </c>
      <c r="B252">
        <f>計算表!B254</f>
        <v>0</v>
      </c>
      <c r="C252" t="str">
        <f>計算表!C254</f>
        <v>8-寶店刷出階級</v>
      </c>
      <c r="D252" t="str">
        <f>計算表!D254</f>
        <v>商店 Lv.13</v>
      </c>
      <c r="E252" t="str">
        <f>計算表!E254</f>
        <v>寶石階級=機率%（每顆獨立）</v>
      </c>
      <c r="F252" t="str">
        <f>計算表!F254</f>
        <v>格式「階級=機率%」，機率總和 100。</v>
      </c>
      <c r="G252" t="str">
        <f>計算表!G254</f>
        <v>1=53.25</v>
      </c>
      <c r="H252" t="str">
        <f>計算表!H254</f>
        <v>2=20</v>
      </c>
      <c r="I252" t="str">
        <f>計算表!I254</f>
        <v>3=12</v>
      </c>
      <c r="J252" t="str">
        <f>計算表!J254</f>
        <v>4=9</v>
      </c>
      <c r="K252" t="str">
        <f>計算表!K254</f>
        <v>5=4.5</v>
      </c>
      <c r="L252" t="str">
        <f>計算表!L254</f>
        <v>6=1.25</v>
      </c>
      <c r="M252">
        <f>計算表!M254</f>
        <v>0</v>
      </c>
      <c r="N252">
        <f>計算表!N254</f>
        <v>0</v>
      </c>
      <c r="O252">
        <f>計算表!O254</f>
        <v>0</v>
      </c>
      <c r="P252">
        <f>計算表!P254</f>
        <v>0</v>
      </c>
      <c r="Q252">
        <f>計算表!Q254</f>
        <v>0</v>
      </c>
      <c r="R252">
        <f>計算表!R254</f>
        <v>0</v>
      </c>
    </row>
    <row r="253" spans="1:18" x14ac:dyDescent="0.25">
      <c r="A253">
        <f>計算表!A255</f>
        <v>256</v>
      </c>
      <c r="B253">
        <f>計算表!B255</f>
        <v>0</v>
      </c>
      <c r="C253" t="str">
        <f>計算表!C255</f>
        <v>8-寶店刷出階級</v>
      </c>
      <c r="D253" t="str">
        <f>計算表!D255</f>
        <v>商店 Lv.14</v>
      </c>
      <c r="E253" t="str">
        <f>計算表!E255</f>
        <v>寶石階級=機率%（每顆獨立）</v>
      </c>
      <c r="F253" t="str">
        <f>計算表!F255</f>
        <v>格式「階級=機率%」，機率總和 100。</v>
      </c>
      <c r="G253" t="str">
        <f>計算表!G255</f>
        <v>1=53</v>
      </c>
      <c r="H253" t="str">
        <f>計算表!H255</f>
        <v>2=20</v>
      </c>
      <c r="I253" t="str">
        <f>計算表!I255</f>
        <v>3=12</v>
      </c>
      <c r="J253" t="str">
        <f>計算表!J255</f>
        <v>4=9</v>
      </c>
      <c r="K253" t="str">
        <f>計算表!K255</f>
        <v>5=4.5</v>
      </c>
      <c r="L253" t="str">
        <f>計算表!L255</f>
        <v>6=1.5</v>
      </c>
      <c r="M253">
        <f>計算表!M255</f>
        <v>0</v>
      </c>
      <c r="N253">
        <f>計算表!N255</f>
        <v>0</v>
      </c>
      <c r="O253">
        <f>計算表!O255</f>
        <v>0</v>
      </c>
      <c r="P253">
        <f>計算表!P255</f>
        <v>0</v>
      </c>
      <c r="Q253">
        <f>計算表!Q255</f>
        <v>0</v>
      </c>
      <c r="R253">
        <f>計算表!R255</f>
        <v>0</v>
      </c>
    </row>
    <row r="254" spans="1:18" x14ac:dyDescent="0.25">
      <c r="A254">
        <f>計算表!A256</f>
        <v>257</v>
      </c>
      <c r="B254">
        <f>計算表!B256</f>
        <v>0</v>
      </c>
      <c r="C254" t="str">
        <f>計算表!C256</f>
        <v>8-寶店刷出階級</v>
      </c>
      <c r="D254" t="str">
        <f>計算表!D256</f>
        <v>商店 Lv.15</v>
      </c>
      <c r="E254" t="str">
        <f>計算表!E256</f>
        <v>寶石階級=機率%（每顆獨立）</v>
      </c>
      <c r="F254" t="str">
        <f>計算表!F256</f>
        <v>格式「階級=機率%」，機率總和 100。</v>
      </c>
      <c r="G254" t="str">
        <f>計算表!G256</f>
        <v>1=51.5</v>
      </c>
      <c r="H254" t="str">
        <f>計算表!H256</f>
        <v>2=20</v>
      </c>
      <c r="I254" t="str">
        <f>計算表!I256</f>
        <v>3=12</v>
      </c>
      <c r="J254" t="str">
        <f>計算表!J256</f>
        <v>4=10</v>
      </c>
      <c r="K254" t="str">
        <f>計算表!K256</f>
        <v>5=5</v>
      </c>
      <c r="L254" t="str">
        <f>計算表!L256</f>
        <v>6=1</v>
      </c>
      <c r="M254" t="str">
        <f>計算表!M256</f>
        <v>7=0.5</v>
      </c>
      <c r="N254">
        <f>計算表!N256</f>
        <v>0</v>
      </c>
      <c r="O254">
        <f>計算表!O256</f>
        <v>0</v>
      </c>
      <c r="P254">
        <f>計算表!P256</f>
        <v>0</v>
      </c>
      <c r="Q254">
        <f>計算表!Q256</f>
        <v>0</v>
      </c>
      <c r="R254">
        <f>計算表!R256</f>
        <v>0</v>
      </c>
    </row>
    <row r="255" spans="1:18" x14ac:dyDescent="0.25">
      <c r="A255">
        <f>計算表!A257</f>
        <v>258</v>
      </c>
      <c r="B255">
        <f>計算表!B257</f>
        <v>0</v>
      </c>
      <c r="C255" t="str">
        <f>計算表!C257</f>
        <v>8-寶店刷出階級</v>
      </c>
      <c r="D255" t="str">
        <f>計算表!D257</f>
        <v>商店 Lv.16</v>
      </c>
      <c r="E255" t="str">
        <f>計算表!E257</f>
        <v>寶石階級=機率%（每顆獨立）</v>
      </c>
      <c r="F255" t="str">
        <f>計算表!F257</f>
        <v>格式「階級=機率%」，機率總和 100。</v>
      </c>
      <c r="G255" t="str">
        <f>計算表!G257</f>
        <v>1=50.75</v>
      </c>
      <c r="H255" t="str">
        <f>計算表!H257</f>
        <v>2=20</v>
      </c>
      <c r="I255" t="str">
        <f>計算表!I257</f>
        <v>3=12</v>
      </c>
      <c r="J255" t="str">
        <f>計算表!J257</f>
        <v>4=10</v>
      </c>
      <c r="K255" t="str">
        <f>計算表!K257</f>
        <v>5=5</v>
      </c>
      <c r="L255" t="str">
        <f>計算表!L257</f>
        <v>6=1.25</v>
      </c>
      <c r="M255" t="str">
        <f>計算表!M257</f>
        <v>7=1</v>
      </c>
      <c r="N255">
        <f>計算表!N257</f>
        <v>0</v>
      </c>
      <c r="O255">
        <f>計算表!O257</f>
        <v>0</v>
      </c>
      <c r="P255">
        <f>計算表!P257</f>
        <v>0</v>
      </c>
      <c r="Q255">
        <f>計算表!Q257</f>
        <v>0</v>
      </c>
      <c r="R255">
        <f>計算表!R257</f>
        <v>0</v>
      </c>
    </row>
    <row r="256" spans="1:18" x14ac:dyDescent="0.25">
      <c r="A256">
        <f>計算表!A258</f>
        <v>259</v>
      </c>
      <c r="B256">
        <f>計算表!B258</f>
        <v>0</v>
      </c>
      <c r="C256" t="str">
        <f>計算表!C258</f>
        <v>8-寶店刷出階級</v>
      </c>
      <c r="D256" t="str">
        <f>計算表!D258</f>
        <v>商店 Lv.17</v>
      </c>
      <c r="E256" t="str">
        <f>計算表!E258</f>
        <v>寶石階級=機率%（每顆獨立）</v>
      </c>
      <c r="F256" t="str">
        <f>計算表!F258</f>
        <v>格式「階級=機率%」，機率總和 100。</v>
      </c>
      <c r="G256" t="str">
        <f>計算表!G258</f>
        <v>1=50.5</v>
      </c>
      <c r="H256" t="str">
        <f>計算表!H258</f>
        <v>2=20</v>
      </c>
      <c r="I256" t="str">
        <f>計算表!I258</f>
        <v>3=12</v>
      </c>
      <c r="J256" t="str">
        <f>計算表!J258</f>
        <v>4=10</v>
      </c>
      <c r="K256" t="str">
        <f>計算表!K258</f>
        <v>5=5</v>
      </c>
      <c r="L256" t="str">
        <f>計算表!L258</f>
        <v>6=1.25</v>
      </c>
      <c r="M256" t="str">
        <f>計算表!M258</f>
        <v>7=1.25</v>
      </c>
      <c r="N256">
        <f>計算表!N258</f>
        <v>0</v>
      </c>
      <c r="O256">
        <f>計算表!O258</f>
        <v>0</v>
      </c>
      <c r="P256">
        <f>計算表!P258</f>
        <v>0</v>
      </c>
      <c r="Q256">
        <f>計算表!Q258</f>
        <v>0</v>
      </c>
      <c r="R256">
        <f>計算表!R258</f>
        <v>0</v>
      </c>
    </row>
    <row r="257" spans="1:18" x14ac:dyDescent="0.25">
      <c r="A257">
        <f>計算表!A259</f>
        <v>260</v>
      </c>
      <c r="B257">
        <f>計算表!B259</f>
        <v>0</v>
      </c>
      <c r="C257" t="str">
        <f>計算表!C259</f>
        <v>8-寶店刷出階級</v>
      </c>
      <c r="D257" t="str">
        <f>計算表!D259</f>
        <v>商店 Lv.18</v>
      </c>
      <c r="E257" t="str">
        <f>計算表!E259</f>
        <v>寶石階級=機率%（每顆獨立）</v>
      </c>
      <c r="F257" t="str">
        <f>計算表!F259</f>
        <v>格式「階級=機率%」，機率總和 100。</v>
      </c>
      <c r="G257" t="str">
        <f>計算表!G259</f>
        <v>1=50</v>
      </c>
      <c r="H257" t="str">
        <f>計算表!H259</f>
        <v>2=20</v>
      </c>
      <c r="I257" t="str">
        <f>計算表!I259</f>
        <v>3=12</v>
      </c>
      <c r="J257" t="str">
        <f>計算表!J259</f>
        <v>4=10</v>
      </c>
      <c r="K257" t="str">
        <f>計算表!K259</f>
        <v>5=5</v>
      </c>
      <c r="L257" t="str">
        <f>計算表!L259</f>
        <v>6=1.25</v>
      </c>
      <c r="M257" t="str">
        <f>計算表!M259</f>
        <v>7=1.25</v>
      </c>
      <c r="N257" t="str">
        <f>計算表!N259</f>
        <v>8=0.5</v>
      </c>
      <c r="O257">
        <f>計算表!O259</f>
        <v>0</v>
      </c>
      <c r="P257">
        <f>計算表!P259</f>
        <v>0</v>
      </c>
      <c r="Q257">
        <f>計算表!Q259</f>
        <v>0</v>
      </c>
      <c r="R257">
        <f>計算表!R259</f>
        <v>0</v>
      </c>
    </row>
    <row r="258" spans="1:18" x14ac:dyDescent="0.25">
      <c r="A258">
        <f>計算表!A260</f>
        <v>261</v>
      </c>
      <c r="B258">
        <f>計算表!B260</f>
        <v>0</v>
      </c>
      <c r="C258" t="str">
        <f>計算表!C260</f>
        <v>8-寶店刷出階級</v>
      </c>
      <c r="D258" t="str">
        <f>計算表!D260</f>
        <v>商店 Lv.19</v>
      </c>
      <c r="E258" t="str">
        <f>計算表!E260</f>
        <v>寶石階級=機率%（每顆獨立）</v>
      </c>
      <c r="F258" t="str">
        <f>計算表!F260</f>
        <v>格式「階級=機率%」，機率總和 100。</v>
      </c>
      <c r="G258" t="str">
        <f>計算表!G260</f>
        <v>1=49.65</v>
      </c>
      <c r="H258" t="str">
        <f>計算表!H260</f>
        <v>2=20</v>
      </c>
      <c r="I258" t="str">
        <f>計算表!I260</f>
        <v>3=12</v>
      </c>
      <c r="J258" t="str">
        <f>計算表!J260</f>
        <v>4=10</v>
      </c>
      <c r="K258" t="str">
        <f>計算表!K260</f>
        <v>5=5</v>
      </c>
      <c r="L258" t="str">
        <f>計算表!L260</f>
        <v>6=1.25</v>
      </c>
      <c r="M258" t="str">
        <f>計算表!M260</f>
        <v>7=1.25</v>
      </c>
      <c r="N258" t="str">
        <f>計算表!N260</f>
        <v>8=0.75</v>
      </c>
      <c r="O258" t="str">
        <f>計算表!O260</f>
        <v>9=0.1</v>
      </c>
      <c r="P258">
        <f>計算表!P260</f>
        <v>0</v>
      </c>
      <c r="Q258">
        <f>計算表!Q260</f>
        <v>0</v>
      </c>
      <c r="R258">
        <f>計算表!R260</f>
        <v>0</v>
      </c>
    </row>
    <row r="259" spans="1:18" x14ac:dyDescent="0.25">
      <c r="A259">
        <f>計算表!A261</f>
        <v>262</v>
      </c>
      <c r="B259">
        <f>計算表!B261</f>
        <v>0</v>
      </c>
      <c r="C259" t="str">
        <f>計算表!C261</f>
        <v>8-寶店刷出階級</v>
      </c>
      <c r="D259" t="str">
        <f>計算表!D261</f>
        <v>商店 Lv.20</v>
      </c>
      <c r="E259" t="str">
        <f>計算表!E261</f>
        <v>寶石階級=機率%（每顆獨立）</v>
      </c>
      <c r="F259" t="str">
        <f>計算表!F261</f>
        <v>格式「階級=機率%」，機率總和 100。</v>
      </c>
      <c r="G259" t="str">
        <f>計算表!G261</f>
        <v>1=48.9</v>
      </c>
      <c r="H259" t="str">
        <f>計算表!H261</f>
        <v>2=20</v>
      </c>
      <c r="I259" t="str">
        <f>計算表!I261</f>
        <v>3=12</v>
      </c>
      <c r="J259" t="str">
        <f>計算表!J261</f>
        <v>4=10</v>
      </c>
      <c r="K259" t="str">
        <f>計算表!K261</f>
        <v>5=5</v>
      </c>
      <c r="L259" t="str">
        <f>計算表!L261</f>
        <v>6=1.25</v>
      </c>
      <c r="M259" t="str">
        <f>計算表!M261</f>
        <v>7=1.25</v>
      </c>
      <c r="N259" t="str">
        <f>計算表!N261</f>
        <v>8=1</v>
      </c>
      <c r="O259" t="str">
        <f>計算表!O261</f>
        <v>9=0.5</v>
      </c>
      <c r="P259" t="str">
        <f>計算表!P261</f>
        <v>10=0.1</v>
      </c>
      <c r="Q259">
        <f>計算表!Q261</f>
        <v>0</v>
      </c>
      <c r="R259">
        <f>計算表!R261</f>
        <v>0</v>
      </c>
    </row>
    <row r="260" spans="1:18" x14ac:dyDescent="0.25">
      <c r="A260">
        <f>計算表!A262</f>
        <v>263</v>
      </c>
      <c r="B260">
        <f>計算表!B262</f>
        <v>0</v>
      </c>
      <c r="C260" t="str">
        <f>計算表!C262</f>
        <v>8-寶店刷出數量</v>
      </c>
      <c r="D260" t="str">
        <f>計算表!D262</f>
        <v>商店 Lv.1</v>
      </c>
      <c r="E260" t="str">
        <f>計算表!E262</f>
        <v>刷出數量=機率%（每格獨立）</v>
      </c>
      <c r="F260" t="str">
        <f>計算表!F262</f>
        <v>格式「刷出數量=機率%」，機率總和 100。</v>
      </c>
      <c r="G260" t="str">
        <f>計算表!G262</f>
        <v>5=50</v>
      </c>
      <c r="H260" t="str">
        <f>計算表!H262</f>
        <v>6=50</v>
      </c>
      <c r="I260">
        <f>計算表!I262</f>
        <v>0</v>
      </c>
      <c r="J260">
        <f>計算表!J262</f>
        <v>0</v>
      </c>
      <c r="K260">
        <f>計算表!K262</f>
        <v>0</v>
      </c>
      <c r="L260">
        <f>計算表!L262</f>
        <v>0</v>
      </c>
      <c r="M260">
        <f>計算表!M262</f>
        <v>0</v>
      </c>
      <c r="N260">
        <f>計算表!N262</f>
        <v>0</v>
      </c>
      <c r="O260">
        <f>計算表!O262</f>
        <v>0</v>
      </c>
      <c r="P260">
        <f>計算表!P262</f>
        <v>0</v>
      </c>
      <c r="Q260">
        <f>計算表!Q262</f>
        <v>0</v>
      </c>
      <c r="R260">
        <f>計算表!R262</f>
        <v>0</v>
      </c>
    </row>
    <row r="261" spans="1:18" x14ac:dyDescent="0.25">
      <c r="A261">
        <f>計算表!A263</f>
        <v>264</v>
      </c>
      <c r="B261">
        <f>計算表!B263</f>
        <v>0</v>
      </c>
      <c r="C261" t="str">
        <f>計算表!C263</f>
        <v>8-寶店刷出數量</v>
      </c>
      <c r="D261" t="str">
        <f>計算表!D263</f>
        <v>商店 Lv.2</v>
      </c>
      <c r="E261" t="str">
        <f>計算表!E263</f>
        <v>刷出數量=機率%（每格獨立）</v>
      </c>
      <c r="F261" t="str">
        <f>計算表!F263</f>
        <v>格式「刷出數量=機率%」，機率總和 100。</v>
      </c>
      <c r="G261" t="str">
        <f>計算表!G263</f>
        <v>5=50</v>
      </c>
      <c r="H261" t="str">
        <f>計算表!H263</f>
        <v>6=40</v>
      </c>
      <c r="I261" t="str">
        <f>計算表!I263</f>
        <v>7=10</v>
      </c>
      <c r="J261">
        <f>計算表!J263</f>
        <v>0</v>
      </c>
      <c r="K261">
        <f>計算表!K263</f>
        <v>0</v>
      </c>
      <c r="L261">
        <f>計算表!L263</f>
        <v>0</v>
      </c>
      <c r="M261">
        <f>計算表!M263</f>
        <v>0</v>
      </c>
      <c r="N261">
        <f>計算表!N263</f>
        <v>0</v>
      </c>
      <c r="O261">
        <f>計算表!O263</f>
        <v>0</v>
      </c>
      <c r="P261">
        <f>計算表!P263</f>
        <v>0</v>
      </c>
      <c r="Q261">
        <f>計算表!Q263</f>
        <v>0</v>
      </c>
      <c r="R261">
        <f>計算表!R263</f>
        <v>0</v>
      </c>
    </row>
    <row r="262" spans="1:18" x14ac:dyDescent="0.25">
      <c r="A262">
        <f>計算表!A264</f>
        <v>265</v>
      </c>
      <c r="B262">
        <f>計算表!B264</f>
        <v>0</v>
      </c>
      <c r="C262" t="str">
        <f>計算表!C264</f>
        <v>8-寶店刷出數量</v>
      </c>
      <c r="D262" t="str">
        <f>計算表!D264</f>
        <v>商店 Lv.3</v>
      </c>
      <c r="E262" t="str">
        <f>計算表!E264</f>
        <v>刷出數量=機率%（每格獨立）</v>
      </c>
      <c r="F262" t="str">
        <f>計算表!F264</f>
        <v>格式「刷出數量=機率%」，機率總和 100。</v>
      </c>
      <c r="G262" t="str">
        <f>計算表!G264</f>
        <v>5=50</v>
      </c>
      <c r="H262" t="str">
        <f>計算表!H264</f>
        <v>6=30</v>
      </c>
      <c r="I262" t="str">
        <f>計算表!I264</f>
        <v>7=10</v>
      </c>
      <c r="J262" t="str">
        <f>計算表!J264</f>
        <v>8=10</v>
      </c>
      <c r="K262">
        <f>計算表!K264</f>
        <v>0</v>
      </c>
      <c r="L262">
        <f>計算表!L264</f>
        <v>0</v>
      </c>
      <c r="M262">
        <f>計算表!M264</f>
        <v>0</v>
      </c>
      <c r="N262">
        <f>計算表!N264</f>
        <v>0</v>
      </c>
      <c r="O262">
        <f>計算表!O264</f>
        <v>0</v>
      </c>
      <c r="P262">
        <f>計算表!P264</f>
        <v>0</v>
      </c>
      <c r="Q262">
        <f>計算表!Q264</f>
        <v>0</v>
      </c>
      <c r="R262">
        <f>計算表!R264</f>
        <v>0</v>
      </c>
    </row>
    <row r="263" spans="1:18" x14ac:dyDescent="0.25">
      <c r="A263">
        <f>計算表!A265</f>
        <v>266</v>
      </c>
      <c r="B263">
        <f>計算表!B265</f>
        <v>0</v>
      </c>
      <c r="C263" t="str">
        <f>計算表!C265</f>
        <v>8-寶店刷出數量</v>
      </c>
      <c r="D263" t="str">
        <f>計算表!D265</f>
        <v>商店 Lv.4</v>
      </c>
      <c r="E263" t="str">
        <f>計算表!E265</f>
        <v>刷出數量=機率%（每格獨立）</v>
      </c>
      <c r="F263" t="str">
        <f>計算表!F265</f>
        <v>格式「刷出數量=機率%」，機率總和 100。</v>
      </c>
      <c r="G263" t="str">
        <f>計算表!G265</f>
        <v>5=45</v>
      </c>
      <c r="H263" t="str">
        <f>計算表!H265</f>
        <v>6=30</v>
      </c>
      <c r="I263" t="str">
        <f>計算表!I265</f>
        <v>7=15</v>
      </c>
      <c r="J263" t="str">
        <f>計算表!J265</f>
        <v>8=10</v>
      </c>
      <c r="K263">
        <f>計算表!K265</f>
        <v>0</v>
      </c>
      <c r="L263">
        <f>計算表!L265</f>
        <v>0</v>
      </c>
      <c r="M263">
        <f>計算表!M265</f>
        <v>0</v>
      </c>
      <c r="N263">
        <f>計算表!N265</f>
        <v>0</v>
      </c>
      <c r="O263">
        <f>計算表!O265</f>
        <v>0</v>
      </c>
      <c r="P263">
        <f>計算表!P265</f>
        <v>0</v>
      </c>
      <c r="Q263">
        <f>計算表!Q265</f>
        <v>0</v>
      </c>
      <c r="R263">
        <f>計算表!R265</f>
        <v>0</v>
      </c>
    </row>
    <row r="264" spans="1:18" x14ac:dyDescent="0.25">
      <c r="A264">
        <f>計算表!A266</f>
        <v>267</v>
      </c>
      <c r="B264">
        <f>計算表!B266</f>
        <v>0</v>
      </c>
      <c r="C264" t="str">
        <f>計算表!C266</f>
        <v>8-寶店刷出數量</v>
      </c>
      <c r="D264" t="str">
        <f>計算表!D266</f>
        <v>商店 Lv.5</v>
      </c>
      <c r="E264" t="str">
        <f>計算表!E266</f>
        <v>刷出數量=機率%（每格獨立）</v>
      </c>
      <c r="F264" t="str">
        <f>計算表!F266</f>
        <v>格式「刷出數量=機率%」，機率總和 100。</v>
      </c>
      <c r="G264" t="str">
        <f>計算表!G266</f>
        <v>5=40</v>
      </c>
      <c r="H264" t="str">
        <f>計算表!H266</f>
        <v>6=30</v>
      </c>
      <c r="I264" t="str">
        <f>計算表!I266</f>
        <v>7=15</v>
      </c>
      <c r="J264" t="str">
        <f>計算表!J266</f>
        <v>8=15</v>
      </c>
      <c r="K264">
        <f>計算表!K266</f>
        <v>0</v>
      </c>
      <c r="L264">
        <f>計算表!L266</f>
        <v>0</v>
      </c>
      <c r="M264">
        <f>計算表!M266</f>
        <v>0</v>
      </c>
      <c r="N264">
        <f>計算表!N266</f>
        <v>0</v>
      </c>
      <c r="O264">
        <f>計算表!O266</f>
        <v>0</v>
      </c>
      <c r="P264">
        <f>計算表!P266</f>
        <v>0</v>
      </c>
      <c r="Q264">
        <f>計算表!Q266</f>
        <v>0</v>
      </c>
      <c r="R264">
        <f>計算表!R266</f>
        <v>0</v>
      </c>
    </row>
    <row r="265" spans="1:18" x14ac:dyDescent="0.25">
      <c r="A265">
        <f>計算表!A267</f>
        <v>268</v>
      </c>
      <c r="B265">
        <f>計算表!B267</f>
        <v>0</v>
      </c>
      <c r="C265" t="str">
        <f>計算表!C267</f>
        <v>8-寶店刷出數量</v>
      </c>
      <c r="D265" t="str">
        <f>計算表!D267</f>
        <v>商店 Lv.6</v>
      </c>
      <c r="E265" t="str">
        <f>計算表!E267</f>
        <v>刷出數量=機率%（每格獨立）</v>
      </c>
      <c r="F265" t="str">
        <f>計算表!F267</f>
        <v>格式「刷出數量=機率%」，機率總和 100。</v>
      </c>
      <c r="G265" t="str">
        <f>計算表!G267</f>
        <v>5=35</v>
      </c>
      <c r="H265" t="str">
        <f>計算表!H267</f>
        <v>6=30</v>
      </c>
      <c r="I265" t="str">
        <f>計算表!I267</f>
        <v>7=15</v>
      </c>
      <c r="J265" t="str">
        <f>計算表!J267</f>
        <v>8=15</v>
      </c>
      <c r="K265" t="str">
        <f>計算表!K267</f>
        <v>9=5</v>
      </c>
      <c r="L265">
        <f>計算表!L267</f>
        <v>0</v>
      </c>
      <c r="M265">
        <f>計算表!M267</f>
        <v>0</v>
      </c>
      <c r="N265">
        <f>計算表!N267</f>
        <v>0</v>
      </c>
      <c r="O265">
        <f>計算表!O267</f>
        <v>0</v>
      </c>
      <c r="P265">
        <f>計算表!P267</f>
        <v>0</v>
      </c>
      <c r="Q265">
        <f>計算表!Q267</f>
        <v>0</v>
      </c>
      <c r="R265">
        <f>計算表!R267</f>
        <v>0</v>
      </c>
    </row>
    <row r="266" spans="1:18" x14ac:dyDescent="0.25">
      <c r="A266">
        <f>計算表!A268</f>
        <v>269</v>
      </c>
      <c r="B266">
        <f>計算表!B268</f>
        <v>0</v>
      </c>
      <c r="C266" t="str">
        <f>計算表!C268</f>
        <v>8-寶店刷出數量</v>
      </c>
      <c r="D266" t="str">
        <f>計算表!D268</f>
        <v>商店 Lv.7</v>
      </c>
      <c r="E266" t="str">
        <f>計算表!E268</f>
        <v>刷出數量=機率%（每格獨立）</v>
      </c>
      <c r="F266" t="str">
        <f>計算表!F268</f>
        <v>格式「刷出數量=機率%」，機率總和 100。</v>
      </c>
      <c r="G266" t="str">
        <f>計算表!G268</f>
        <v>6=35</v>
      </c>
      <c r="H266" t="str">
        <f>計算表!H268</f>
        <v>7=30</v>
      </c>
      <c r="I266" t="str">
        <f>計算表!I268</f>
        <v>8=15</v>
      </c>
      <c r="J266" t="str">
        <f>計算表!J268</f>
        <v>9=15</v>
      </c>
      <c r="K266" t="str">
        <f>計算表!K268</f>
        <v>10=5</v>
      </c>
      <c r="L266">
        <f>計算表!L268</f>
        <v>0</v>
      </c>
      <c r="M266">
        <f>計算表!M268</f>
        <v>0</v>
      </c>
      <c r="N266">
        <f>計算表!N268</f>
        <v>0</v>
      </c>
      <c r="O266">
        <f>計算表!O268</f>
        <v>0</v>
      </c>
      <c r="P266">
        <f>計算表!P268</f>
        <v>0</v>
      </c>
      <c r="Q266">
        <f>計算表!Q268</f>
        <v>0</v>
      </c>
      <c r="R266">
        <f>計算表!R268</f>
        <v>0</v>
      </c>
    </row>
    <row r="267" spans="1:18" x14ac:dyDescent="0.25">
      <c r="A267">
        <f>計算表!A269</f>
        <v>270</v>
      </c>
      <c r="B267">
        <f>計算表!B269</f>
        <v>0</v>
      </c>
      <c r="C267" t="str">
        <f>計算表!C269</f>
        <v>8-寶店刷出數量</v>
      </c>
      <c r="D267" t="str">
        <f>計算表!D269</f>
        <v>商店 Lv.8</v>
      </c>
      <c r="E267" t="str">
        <f>計算表!E269</f>
        <v>刷出數量=機率%（每格獨立）</v>
      </c>
      <c r="F267" t="str">
        <f>計算表!F269</f>
        <v>格式「刷出數量=機率%」，機率總和 100。</v>
      </c>
      <c r="G267" t="str">
        <f>計算表!G269</f>
        <v>6=30</v>
      </c>
      <c r="H267" t="str">
        <f>計算表!H269</f>
        <v>7=30</v>
      </c>
      <c r="I267" t="str">
        <f>計算表!I269</f>
        <v>8=15</v>
      </c>
      <c r="J267" t="str">
        <f>計算表!J269</f>
        <v>9=15</v>
      </c>
      <c r="K267" t="str">
        <f>計算表!K269</f>
        <v>10=10</v>
      </c>
      <c r="L267">
        <f>計算表!L269</f>
        <v>0</v>
      </c>
      <c r="M267">
        <f>計算表!M269</f>
        <v>0</v>
      </c>
      <c r="N267">
        <f>計算表!N269</f>
        <v>0</v>
      </c>
      <c r="O267">
        <f>計算表!O269</f>
        <v>0</v>
      </c>
      <c r="P267">
        <f>計算表!P269</f>
        <v>0</v>
      </c>
      <c r="Q267">
        <f>計算表!Q269</f>
        <v>0</v>
      </c>
      <c r="R267">
        <f>計算表!R269</f>
        <v>0</v>
      </c>
    </row>
    <row r="268" spans="1:18" x14ac:dyDescent="0.25">
      <c r="A268">
        <f>計算表!A270</f>
        <v>271</v>
      </c>
      <c r="B268">
        <f>計算表!B270</f>
        <v>0</v>
      </c>
      <c r="C268" t="str">
        <f>計算表!C270</f>
        <v>8-寶店刷出數量</v>
      </c>
      <c r="D268" t="str">
        <f>計算表!D270</f>
        <v>商店 Lv.9</v>
      </c>
      <c r="E268" t="str">
        <f>計算表!E270</f>
        <v>刷出數量=機率%（每格獨立）</v>
      </c>
      <c r="F268" t="str">
        <f>計算表!F270</f>
        <v>格式「刷出數量=機率%」，機率總和 100。</v>
      </c>
      <c r="G268" t="str">
        <f>計算表!G270</f>
        <v>7=30</v>
      </c>
      <c r="H268" t="str">
        <f>計算表!H270</f>
        <v>8=30</v>
      </c>
      <c r="I268" t="str">
        <f>計算表!I270</f>
        <v>9=15</v>
      </c>
      <c r="J268" t="str">
        <f>計算表!J270</f>
        <v>10=15</v>
      </c>
      <c r="K268" t="str">
        <f>計算表!K270</f>
        <v>11=10</v>
      </c>
      <c r="L268">
        <f>計算表!L270</f>
        <v>0</v>
      </c>
      <c r="M268">
        <f>計算表!M270</f>
        <v>0</v>
      </c>
      <c r="N268">
        <f>計算表!N270</f>
        <v>0</v>
      </c>
      <c r="O268">
        <f>計算表!O270</f>
        <v>0</v>
      </c>
      <c r="P268">
        <f>計算表!P270</f>
        <v>0</v>
      </c>
      <c r="Q268">
        <f>計算表!Q270</f>
        <v>0</v>
      </c>
      <c r="R268">
        <f>計算表!R270</f>
        <v>0</v>
      </c>
    </row>
    <row r="269" spans="1:18" x14ac:dyDescent="0.25">
      <c r="A269">
        <f>計算表!A271</f>
        <v>272</v>
      </c>
      <c r="B269">
        <f>計算表!B271</f>
        <v>0</v>
      </c>
      <c r="C269" t="str">
        <f>計算表!C271</f>
        <v>8-寶店刷出數量</v>
      </c>
      <c r="D269" t="str">
        <f>計算表!D271</f>
        <v>商店 Lv.10</v>
      </c>
      <c r="E269" t="str">
        <f>計算表!E271</f>
        <v>刷出數量=機率%（每格獨立）</v>
      </c>
      <c r="F269" t="str">
        <f>計算表!F271</f>
        <v>格式「刷出數量=機率%」，機率總和 100。</v>
      </c>
      <c r="G269" t="str">
        <f>計算表!G271</f>
        <v>8=30</v>
      </c>
      <c r="H269" t="str">
        <f>計算表!H271</f>
        <v>9=30</v>
      </c>
      <c r="I269" t="str">
        <f>計算表!I271</f>
        <v>10=15</v>
      </c>
      <c r="J269" t="str">
        <f>計算表!J271</f>
        <v>11=15</v>
      </c>
      <c r="K269" t="str">
        <f>計算表!K271</f>
        <v>12=10</v>
      </c>
      <c r="L269">
        <f>計算表!L271</f>
        <v>0</v>
      </c>
      <c r="M269">
        <f>計算表!M271</f>
        <v>0</v>
      </c>
      <c r="N269">
        <f>計算表!N271</f>
        <v>0</v>
      </c>
      <c r="O269">
        <f>計算表!O271</f>
        <v>0</v>
      </c>
      <c r="P269">
        <f>計算表!P271</f>
        <v>0</v>
      </c>
      <c r="Q269">
        <f>計算表!Q271</f>
        <v>0</v>
      </c>
      <c r="R269">
        <f>計算表!R271</f>
        <v>0</v>
      </c>
    </row>
    <row r="270" spans="1:18" x14ac:dyDescent="0.25">
      <c r="A270">
        <f>計算表!A272</f>
        <v>273</v>
      </c>
      <c r="B270">
        <f>計算表!B272</f>
        <v>0</v>
      </c>
      <c r="C270" t="str">
        <f>計算表!C272</f>
        <v>8-寶店刷出數量</v>
      </c>
      <c r="D270" t="str">
        <f>計算表!D272</f>
        <v>商店 Lv.11</v>
      </c>
      <c r="E270" t="str">
        <f>計算表!E272</f>
        <v>刷出數量=機率%（每格獨立）</v>
      </c>
      <c r="F270" t="str">
        <f>計算表!F272</f>
        <v>格式「刷出數量=機率%」，機率總和 100。</v>
      </c>
      <c r="G270" t="str">
        <f>計算表!G272</f>
        <v>9=30</v>
      </c>
      <c r="H270" t="str">
        <f>計算表!H272</f>
        <v>10=30</v>
      </c>
      <c r="I270" t="str">
        <f>計算表!I272</f>
        <v>11=15</v>
      </c>
      <c r="J270" t="str">
        <f>計算表!J272</f>
        <v>12=15</v>
      </c>
      <c r="K270" t="str">
        <f>計算表!K272</f>
        <v>13=10</v>
      </c>
      <c r="L270">
        <f>計算表!L272</f>
        <v>0</v>
      </c>
      <c r="M270">
        <f>計算表!M272</f>
        <v>0</v>
      </c>
      <c r="N270">
        <f>計算表!N272</f>
        <v>0</v>
      </c>
      <c r="O270">
        <f>計算表!O272</f>
        <v>0</v>
      </c>
      <c r="P270">
        <f>計算表!P272</f>
        <v>0</v>
      </c>
      <c r="Q270">
        <f>計算表!Q272</f>
        <v>0</v>
      </c>
      <c r="R270">
        <f>計算表!R272</f>
        <v>0</v>
      </c>
    </row>
    <row r="271" spans="1:18" x14ac:dyDescent="0.25">
      <c r="A271">
        <f>計算表!A273</f>
        <v>274</v>
      </c>
      <c r="B271">
        <f>計算表!B273</f>
        <v>0</v>
      </c>
      <c r="C271" t="str">
        <f>計算表!C273</f>
        <v>8-寶店刷出數量</v>
      </c>
      <c r="D271" t="str">
        <f>計算表!D273</f>
        <v>商店 Lv.12</v>
      </c>
      <c r="E271" t="str">
        <f>計算表!E273</f>
        <v>刷出數量=機率%（每格獨立）</v>
      </c>
      <c r="F271" t="str">
        <f>計算表!F273</f>
        <v>格式「刷出數量=機率%」，機率總和 100。</v>
      </c>
      <c r="G271" t="str">
        <f>計算表!G273</f>
        <v>10=30</v>
      </c>
      <c r="H271" t="str">
        <f>計算表!H273</f>
        <v>11=30</v>
      </c>
      <c r="I271" t="str">
        <f>計算表!I273</f>
        <v>12=15</v>
      </c>
      <c r="J271" t="str">
        <f>計算表!J273</f>
        <v>13=15</v>
      </c>
      <c r="K271" t="str">
        <f>計算表!K273</f>
        <v>14=10</v>
      </c>
      <c r="L271">
        <f>計算表!L273</f>
        <v>0</v>
      </c>
      <c r="M271">
        <f>計算表!M273</f>
        <v>0</v>
      </c>
      <c r="N271">
        <f>計算表!N273</f>
        <v>0</v>
      </c>
      <c r="O271">
        <f>計算表!O273</f>
        <v>0</v>
      </c>
      <c r="P271">
        <f>計算表!P273</f>
        <v>0</v>
      </c>
      <c r="Q271">
        <f>計算表!Q273</f>
        <v>0</v>
      </c>
      <c r="R271">
        <f>計算表!R273</f>
        <v>0</v>
      </c>
    </row>
    <row r="272" spans="1:18" x14ac:dyDescent="0.25">
      <c r="A272">
        <f>計算表!A274</f>
        <v>275</v>
      </c>
      <c r="B272">
        <f>計算表!B274</f>
        <v>0</v>
      </c>
      <c r="C272" t="str">
        <f>計算表!C274</f>
        <v>8-寶店刷出數量</v>
      </c>
      <c r="D272" t="str">
        <f>計算表!D274</f>
        <v>商店 Lv.13</v>
      </c>
      <c r="E272" t="str">
        <f>計算表!E274</f>
        <v>刷出數量=機率%（每格獨立）</v>
      </c>
      <c r="F272" t="str">
        <f>計算表!F274</f>
        <v>格式「刷出數量=機率%」，機率總和 100。</v>
      </c>
      <c r="G272" t="str">
        <f>計算表!G274</f>
        <v>11=30</v>
      </c>
      <c r="H272" t="str">
        <f>計算表!H274</f>
        <v>12=30</v>
      </c>
      <c r="I272" t="str">
        <f>計算表!I274</f>
        <v>13=15</v>
      </c>
      <c r="J272" t="str">
        <f>計算表!J274</f>
        <v>14=15</v>
      </c>
      <c r="K272" t="str">
        <f>計算表!K274</f>
        <v>15=10</v>
      </c>
      <c r="L272">
        <f>計算表!L274</f>
        <v>0</v>
      </c>
      <c r="M272">
        <f>計算表!M274</f>
        <v>0</v>
      </c>
      <c r="N272">
        <f>計算表!N274</f>
        <v>0</v>
      </c>
      <c r="O272">
        <f>計算表!O274</f>
        <v>0</v>
      </c>
      <c r="P272">
        <f>計算表!P274</f>
        <v>0</v>
      </c>
      <c r="Q272">
        <f>計算表!Q274</f>
        <v>0</v>
      </c>
      <c r="R272">
        <f>計算表!R274</f>
        <v>0</v>
      </c>
    </row>
    <row r="273" spans="1:18" x14ac:dyDescent="0.25">
      <c r="A273">
        <f>計算表!A275</f>
        <v>276</v>
      </c>
      <c r="B273">
        <f>計算表!B275</f>
        <v>0</v>
      </c>
      <c r="C273" t="str">
        <f>計算表!C275</f>
        <v>8-寶店刷出數量</v>
      </c>
      <c r="D273" t="str">
        <f>計算表!D275</f>
        <v>商店 Lv.14</v>
      </c>
      <c r="E273" t="str">
        <f>計算表!E275</f>
        <v>刷出數量=機率%（每格獨立）</v>
      </c>
      <c r="F273" t="str">
        <f>計算表!F275</f>
        <v>格式「刷出數量=機率%」，機率總和 100。</v>
      </c>
      <c r="G273" t="str">
        <f>計算表!G275</f>
        <v>12=30</v>
      </c>
      <c r="H273" t="str">
        <f>計算表!H275</f>
        <v>13=30</v>
      </c>
      <c r="I273" t="str">
        <f>計算表!I275</f>
        <v>14=15</v>
      </c>
      <c r="J273" t="str">
        <f>計算表!J275</f>
        <v>15=15</v>
      </c>
      <c r="K273" t="str">
        <f>計算表!K275</f>
        <v>16=10</v>
      </c>
      <c r="L273">
        <f>計算表!L275</f>
        <v>0</v>
      </c>
      <c r="M273">
        <f>計算表!M275</f>
        <v>0</v>
      </c>
      <c r="N273">
        <f>計算表!N275</f>
        <v>0</v>
      </c>
      <c r="O273">
        <f>計算表!O275</f>
        <v>0</v>
      </c>
      <c r="P273">
        <f>計算表!P275</f>
        <v>0</v>
      </c>
      <c r="Q273">
        <f>計算表!Q275</f>
        <v>0</v>
      </c>
      <c r="R273">
        <f>計算表!R275</f>
        <v>0</v>
      </c>
    </row>
    <row r="274" spans="1:18" x14ac:dyDescent="0.25">
      <c r="A274">
        <f>計算表!A276</f>
        <v>277</v>
      </c>
      <c r="B274">
        <f>計算表!B276</f>
        <v>0</v>
      </c>
      <c r="C274" t="str">
        <f>計算表!C276</f>
        <v>8-寶店刷出數量</v>
      </c>
      <c r="D274" t="str">
        <f>計算表!D276</f>
        <v>商店 Lv.15</v>
      </c>
      <c r="E274" t="str">
        <f>計算表!E276</f>
        <v>刷出數量=機率%（每格獨立）</v>
      </c>
      <c r="F274" t="str">
        <f>計算表!F276</f>
        <v>格式「刷出數量=機率%」，機率總和 100。</v>
      </c>
      <c r="G274" t="str">
        <f>計算表!G276</f>
        <v>13=30</v>
      </c>
      <c r="H274" t="str">
        <f>計算表!H276</f>
        <v>14=30</v>
      </c>
      <c r="I274" t="str">
        <f>計算表!I276</f>
        <v>15=15</v>
      </c>
      <c r="J274" t="str">
        <f>計算表!J276</f>
        <v>16=15</v>
      </c>
      <c r="K274" t="str">
        <f>計算表!K276</f>
        <v>17=10</v>
      </c>
      <c r="L274">
        <f>計算表!L276</f>
        <v>0</v>
      </c>
      <c r="M274">
        <f>計算表!M276</f>
        <v>0</v>
      </c>
      <c r="N274">
        <f>計算表!N276</f>
        <v>0</v>
      </c>
      <c r="O274">
        <f>計算表!O276</f>
        <v>0</v>
      </c>
      <c r="P274">
        <f>計算表!P276</f>
        <v>0</v>
      </c>
      <c r="Q274">
        <f>計算表!Q276</f>
        <v>0</v>
      </c>
      <c r="R274">
        <f>計算表!R276</f>
        <v>0</v>
      </c>
    </row>
    <row r="275" spans="1:18" x14ac:dyDescent="0.25">
      <c r="A275">
        <f>計算表!A277</f>
        <v>278</v>
      </c>
      <c r="B275">
        <f>計算表!B277</f>
        <v>0</v>
      </c>
      <c r="C275" t="str">
        <f>計算表!C277</f>
        <v>8-寶店刷出數量</v>
      </c>
      <c r="D275" t="str">
        <f>計算表!D277</f>
        <v>商店 Lv.16</v>
      </c>
      <c r="E275" t="str">
        <f>計算表!E277</f>
        <v>刷出數量=機率%（每格獨立）</v>
      </c>
      <c r="F275" t="str">
        <f>計算表!F277</f>
        <v>格式「刷出數量=機率%」，機率總和 100。</v>
      </c>
      <c r="G275" t="str">
        <f>計算表!G277</f>
        <v>14=30</v>
      </c>
      <c r="H275" t="str">
        <f>計算表!H277</f>
        <v>15=30</v>
      </c>
      <c r="I275" t="str">
        <f>計算表!I277</f>
        <v>16=15</v>
      </c>
      <c r="J275" t="str">
        <f>計算表!J277</f>
        <v>17=15</v>
      </c>
      <c r="K275" t="str">
        <f>計算表!K277</f>
        <v>18=10</v>
      </c>
      <c r="L275">
        <f>計算表!L277</f>
        <v>0</v>
      </c>
      <c r="M275">
        <f>計算表!M277</f>
        <v>0</v>
      </c>
      <c r="N275">
        <f>計算表!N277</f>
        <v>0</v>
      </c>
      <c r="O275">
        <f>計算表!O277</f>
        <v>0</v>
      </c>
      <c r="P275">
        <f>計算表!P277</f>
        <v>0</v>
      </c>
      <c r="Q275">
        <f>計算表!Q277</f>
        <v>0</v>
      </c>
      <c r="R275">
        <f>計算表!R277</f>
        <v>0</v>
      </c>
    </row>
    <row r="276" spans="1:18" x14ac:dyDescent="0.25">
      <c r="A276">
        <f>計算表!A278</f>
        <v>279</v>
      </c>
      <c r="B276">
        <f>計算表!B278</f>
        <v>0</v>
      </c>
      <c r="C276" t="str">
        <f>計算表!C278</f>
        <v>8-寶店刷出數量</v>
      </c>
      <c r="D276" t="str">
        <f>計算表!D278</f>
        <v>商店 Lv.17</v>
      </c>
      <c r="E276" t="str">
        <f>計算表!E278</f>
        <v>刷出數量=機率%（每格獨立）</v>
      </c>
      <c r="F276" t="str">
        <f>計算表!F278</f>
        <v>格式「刷出數量=機率%」，機率總和 100。</v>
      </c>
      <c r="G276" t="str">
        <f>計算表!G278</f>
        <v>15=30</v>
      </c>
      <c r="H276" t="str">
        <f>計算表!H278</f>
        <v>16=30</v>
      </c>
      <c r="I276" t="str">
        <f>計算表!I278</f>
        <v>17=15</v>
      </c>
      <c r="J276" t="str">
        <f>計算表!J278</f>
        <v>18=15</v>
      </c>
      <c r="K276" t="str">
        <f>計算表!K278</f>
        <v>19=10</v>
      </c>
      <c r="L276">
        <f>計算表!L278</f>
        <v>0</v>
      </c>
      <c r="M276">
        <f>計算表!M278</f>
        <v>0</v>
      </c>
      <c r="N276">
        <f>計算表!N278</f>
        <v>0</v>
      </c>
      <c r="O276">
        <f>計算表!O278</f>
        <v>0</v>
      </c>
      <c r="P276">
        <f>計算表!P278</f>
        <v>0</v>
      </c>
      <c r="Q276">
        <f>計算表!Q278</f>
        <v>0</v>
      </c>
      <c r="R276">
        <f>計算表!R278</f>
        <v>0</v>
      </c>
    </row>
    <row r="277" spans="1:18" x14ac:dyDescent="0.25">
      <c r="A277">
        <f>計算表!A279</f>
        <v>280</v>
      </c>
      <c r="B277">
        <f>計算表!B279</f>
        <v>0</v>
      </c>
      <c r="C277" t="str">
        <f>計算表!C279</f>
        <v>8-寶店刷出數量</v>
      </c>
      <c r="D277" t="str">
        <f>計算表!D279</f>
        <v>商店 Lv.18</v>
      </c>
      <c r="E277" t="str">
        <f>計算表!E279</f>
        <v>刷出數量=機率%（每格獨立）</v>
      </c>
      <c r="F277" t="str">
        <f>計算表!F279</f>
        <v>格式「刷出數量=機率%」，機率總和 100。</v>
      </c>
      <c r="G277" t="str">
        <f>計算表!G279</f>
        <v>15=10</v>
      </c>
      <c r="H277" t="str">
        <f>計算表!H279</f>
        <v>16=20</v>
      </c>
      <c r="I277" t="str">
        <f>計算表!I279</f>
        <v>17=30</v>
      </c>
      <c r="J277" t="str">
        <f>計算表!J279</f>
        <v>18=15</v>
      </c>
      <c r="K277" t="str">
        <f>計算表!K279</f>
        <v>19=15</v>
      </c>
      <c r="L277" t="str">
        <f>計算表!L279</f>
        <v>20=10</v>
      </c>
      <c r="M277">
        <f>計算表!M279</f>
        <v>0</v>
      </c>
      <c r="N277">
        <f>計算表!N279</f>
        <v>0</v>
      </c>
      <c r="O277">
        <f>計算表!O279</f>
        <v>0</v>
      </c>
      <c r="P277">
        <f>計算表!P279</f>
        <v>0</v>
      </c>
      <c r="Q277">
        <f>計算表!Q279</f>
        <v>0</v>
      </c>
      <c r="R277">
        <f>計算表!R279</f>
        <v>0</v>
      </c>
    </row>
    <row r="278" spans="1:18" x14ac:dyDescent="0.25">
      <c r="A278">
        <f>計算表!A280</f>
        <v>281</v>
      </c>
      <c r="B278">
        <f>計算表!B280</f>
        <v>0</v>
      </c>
      <c r="C278" t="str">
        <f>計算表!C280</f>
        <v>8-寶店刷出數量</v>
      </c>
      <c r="D278" t="str">
        <f>計算表!D280</f>
        <v>商店 Lv.19</v>
      </c>
      <c r="E278" t="str">
        <f>計算表!E280</f>
        <v>刷出數量=機率%（每格獨立）</v>
      </c>
      <c r="F278" t="str">
        <f>計算表!F280</f>
        <v>格式「刷出數量=機率%」，機率總和 100。</v>
      </c>
      <c r="G278" t="str">
        <f>計算表!G280</f>
        <v>15=10</v>
      </c>
      <c r="H278" t="str">
        <f>計算表!H280</f>
        <v>16=20</v>
      </c>
      <c r="I278" t="str">
        <f>計算表!I280</f>
        <v>17=30</v>
      </c>
      <c r="J278" t="str">
        <f>計算表!J280</f>
        <v>18=15</v>
      </c>
      <c r="K278" t="str">
        <f>計算表!K280</f>
        <v>19=15</v>
      </c>
      <c r="L278" t="str">
        <f>計算表!L280</f>
        <v>20=10</v>
      </c>
      <c r="M278">
        <f>計算表!M280</f>
        <v>0</v>
      </c>
      <c r="N278">
        <f>計算表!N280</f>
        <v>0</v>
      </c>
      <c r="O278">
        <f>計算表!O280</f>
        <v>0</v>
      </c>
      <c r="P278">
        <f>計算表!P280</f>
        <v>0</v>
      </c>
      <c r="Q278">
        <f>計算表!Q280</f>
        <v>0</v>
      </c>
      <c r="R278">
        <f>計算表!R280</f>
        <v>0</v>
      </c>
    </row>
    <row r="279" spans="1:18" x14ac:dyDescent="0.25">
      <c r="A279">
        <f>計算表!A281</f>
        <v>282</v>
      </c>
      <c r="B279">
        <f>計算表!B281</f>
        <v>0</v>
      </c>
      <c r="C279" t="str">
        <f>計算表!C281</f>
        <v>8-寶店刷出數量</v>
      </c>
      <c r="D279" t="str">
        <f>計算表!D281</f>
        <v>商店 Lv.20</v>
      </c>
      <c r="E279" t="str">
        <f>計算表!E281</f>
        <v>刷出數量=機率%（每格獨立）</v>
      </c>
      <c r="F279" t="str">
        <f>計算表!F281</f>
        <v>格式「刷出數量=機率%」，機率總和 100。</v>
      </c>
      <c r="G279" t="str">
        <f>計算表!G281</f>
        <v>15=10</v>
      </c>
      <c r="H279" t="str">
        <f>計算表!H281</f>
        <v>16=20</v>
      </c>
      <c r="I279" t="str">
        <f>計算表!I281</f>
        <v>17=30</v>
      </c>
      <c r="J279" t="str">
        <f>計算表!J281</f>
        <v>18=15</v>
      </c>
      <c r="K279" t="str">
        <f>計算表!K281</f>
        <v>19=15</v>
      </c>
      <c r="L279" t="str">
        <f>計算表!L281</f>
        <v>20=10</v>
      </c>
      <c r="M279">
        <f>計算表!M281</f>
        <v>0</v>
      </c>
      <c r="N279">
        <f>計算表!N281</f>
        <v>0</v>
      </c>
      <c r="O279">
        <f>計算表!O281</f>
        <v>0</v>
      </c>
      <c r="P279">
        <f>計算表!P281</f>
        <v>0</v>
      </c>
      <c r="Q279">
        <f>計算表!Q281</f>
        <v>0</v>
      </c>
      <c r="R279">
        <f>計算表!R281</f>
        <v>0</v>
      </c>
    </row>
    <row r="280" spans="1:18" x14ac:dyDescent="0.25">
      <c r="A280">
        <f>計算表!A285</f>
        <v>286</v>
      </c>
      <c r="B280">
        <f>計算表!B285</f>
        <v>0</v>
      </c>
      <c r="C280" t="str">
        <f>計算表!C285</f>
        <v>9-技能</v>
      </c>
      <c r="D280" t="str">
        <f>計算表!D285</f>
        <v>實際冷卻</v>
      </c>
      <c r="E280" t="str">
        <f>計算表!E285</f>
        <v>技能冷卻 × (1 - 冷卻縮減%)</v>
      </c>
      <c r="F280" t="str">
        <f>計算表!F285</f>
        <v>規則寫死：技能CD×(1-冷卻縮減%)。</v>
      </c>
      <c r="G280">
        <f>計算表!G285</f>
        <v>0</v>
      </c>
      <c r="H280">
        <f>計算表!H285</f>
        <v>0</v>
      </c>
      <c r="I280">
        <f>計算表!I285</f>
        <v>0</v>
      </c>
      <c r="J280">
        <f>計算表!J285</f>
        <v>0</v>
      </c>
      <c r="K280">
        <f>計算表!K285</f>
        <v>0</v>
      </c>
      <c r="L280">
        <f>計算表!L285</f>
        <v>0</v>
      </c>
      <c r="M280">
        <f>計算表!M285</f>
        <v>0</v>
      </c>
      <c r="N280">
        <f>計算表!N285</f>
        <v>0</v>
      </c>
      <c r="O280">
        <f>計算表!O285</f>
        <v>0</v>
      </c>
      <c r="P280">
        <f>計算表!P285</f>
        <v>0</v>
      </c>
      <c r="Q280">
        <f>計算表!Q285</f>
        <v>0</v>
      </c>
      <c r="R280">
        <f>計算表!R285</f>
        <v>0</v>
      </c>
    </row>
    <row r="281" spans="1:18" x14ac:dyDescent="0.25">
      <c r="A281">
        <f>計算表!A286</f>
        <v>287</v>
      </c>
      <c r="B281">
        <f>計算表!B286</f>
        <v>0</v>
      </c>
      <c r="C281" t="str">
        <f>計算表!C286</f>
        <v>9-技能</v>
      </c>
      <c r="D281" t="str">
        <f>計算表!D286</f>
        <v>施放硬直</v>
      </c>
      <c r="E281" t="str">
        <f>計算表!E286</f>
        <v>0 秒</v>
      </c>
      <c r="F281" t="str">
        <f>計算表!F286</f>
        <v>普攻與技能並行；技能施放間隔由技能共用冷卻（GCD）控制。</v>
      </c>
      <c r="G281">
        <f>計算表!G286</f>
        <v>0.2</v>
      </c>
      <c r="H281">
        <f>計算表!H286</f>
        <v>0</v>
      </c>
      <c r="I281">
        <f>計算表!I286</f>
        <v>0</v>
      </c>
      <c r="J281">
        <f>計算表!J286</f>
        <v>0</v>
      </c>
      <c r="K281">
        <f>計算表!K286</f>
        <v>0</v>
      </c>
      <c r="L281">
        <f>計算表!L286</f>
        <v>0</v>
      </c>
      <c r="M281">
        <f>計算表!M286</f>
        <v>0</v>
      </c>
      <c r="N281">
        <f>計算表!N286</f>
        <v>0</v>
      </c>
      <c r="O281">
        <f>計算表!O286</f>
        <v>0</v>
      </c>
      <c r="P281">
        <f>計算表!P286</f>
        <v>0</v>
      </c>
      <c r="Q281">
        <f>計算表!Q286</f>
        <v>0</v>
      </c>
      <c r="R281">
        <f>計算表!R286</f>
        <v>0</v>
      </c>
    </row>
    <row r="282" spans="1:18" x14ac:dyDescent="0.25">
      <c r="A282">
        <f>計算表!A287</f>
        <v>288</v>
      </c>
      <c r="B282">
        <f>計算表!B287</f>
        <v>0</v>
      </c>
      <c r="C282" t="str">
        <f>計算表!C287</f>
        <v>9-技能</v>
      </c>
      <c r="D282" t="str">
        <f>計算表!D287</f>
        <v>技能施放最短間隔</v>
      </c>
      <c r="E282" t="str">
        <f>計算表!E287</f>
        <v>a 秒（固定，不受冷卻縮減影響）</v>
      </c>
      <c r="F282" t="str">
        <f>計算表!F287</f>
        <v>技能最短施放間隔；普攻擊殺後換目標也沿用此間隔。</v>
      </c>
      <c r="G282">
        <f>計算表!G287</f>
        <v>0.5</v>
      </c>
      <c r="H282">
        <f>計算表!H287</f>
        <v>0</v>
      </c>
      <c r="I282">
        <f>計算表!I287</f>
        <v>0</v>
      </c>
      <c r="J282">
        <f>計算表!J287</f>
        <v>0</v>
      </c>
      <c r="K282">
        <f>計算表!K287</f>
        <v>0</v>
      </c>
      <c r="L282">
        <f>計算表!L287</f>
        <v>0</v>
      </c>
      <c r="M282">
        <f>計算表!M287</f>
        <v>0</v>
      </c>
      <c r="N282">
        <f>計算表!N287</f>
        <v>0</v>
      </c>
      <c r="O282">
        <f>計算表!O287</f>
        <v>0</v>
      </c>
      <c r="P282">
        <f>計算表!P287</f>
        <v>0</v>
      </c>
      <c r="Q282">
        <f>計算表!Q287</f>
        <v>0</v>
      </c>
      <c r="R282">
        <f>計算表!R287</f>
        <v>0</v>
      </c>
    </row>
    <row r="283" spans="1:18" x14ac:dyDescent="0.25">
      <c r="A283">
        <f>計算表!A300</f>
        <v>303</v>
      </c>
      <c r="B283">
        <f>計算表!B300</f>
        <v>0</v>
      </c>
      <c r="C283" t="str">
        <f>計算表!C300</f>
        <v>表-自動機組零件</v>
      </c>
      <c r="D283" t="str">
        <f>計算表!D300</f>
        <v>加速齒輪</v>
      </c>
      <c r="E283" t="str">
        <f>計算表!E300</f>
        <v>效果值 = a + b × (等級-1)</v>
      </c>
      <c r="F283" t="str">
        <f>計算表!F300</f>
        <v>a=基礎值 b=每級增加值；節點為 salvage。</v>
      </c>
      <c r="G283">
        <f>計算表!G300</f>
        <v>25</v>
      </c>
      <c r="H283">
        <f>計算表!H300</f>
        <v>25</v>
      </c>
      <c r="I283" t="str">
        <f>計算表!I300</f>
        <v>salvage</v>
      </c>
      <c r="J283">
        <f>計算表!J300</f>
        <v>0</v>
      </c>
      <c r="K283">
        <f>計算表!K300</f>
        <v>0</v>
      </c>
      <c r="L283">
        <f>計算表!L300</f>
        <v>0</v>
      </c>
      <c r="M283">
        <f>計算表!M300</f>
        <v>0</v>
      </c>
      <c r="N283">
        <f>計算表!N300</f>
        <v>0</v>
      </c>
      <c r="O283">
        <f>計算表!O300</f>
        <v>0</v>
      </c>
      <c r="P283">
        <f>計算表!P300</f>
        <v>0</v>
      </c>
      <c r="Q283">
        <f>計算表!Q300</f>
        <v>0</v>
      </c>
      <c r="R283">
        <f>計算表!R300</f>
        <v>0</v>
      </c>
    </row>
    <row r="284" spans="1:18" x14ac:dyDescent="0.25">
      <c r="A284">
        <f>計算表!A301</f>
        <v>304</v>
      </c>
      <c r="B284">
        <f>計算表!B301</f>
        <v>0</v>
      </c>
      <c r="C284" t="str">
        <f>計算表!C301</f>
        <v>表-自動機組零件</v>
      </c>
      <c r="D284" t="str">
        <f>計算表!D301</f>
        <v>碎片熔煉爐</v>
      </c>
      <c r="E284" t="str">
        <f>計算表!E301</f>
        <v>效果值 = a + b × (等級-1)</v>
      </c>
      <c r="F284" t="str">
        <f>計算表!F301</f>
        <v>a=基礎值 b=每級增加值；節點為 salvage。分解碎片產量加成。</v>
      </c>
      <c r="G284">
        <f>計算表!G301</f>
        <v>20</v>
      </c>
      <c r="H284">
        <f>計算表!H301</f>
        <v>20</v>
      </c>
      <c r="I284" t="str">
        <f>計算表!I301</f>
        <v>salvage</v>
      </c>
      <c r="J284">
        <f>計算表!J301</f>
        <v>0</v>
      </c>
      <c r="K284">
        <f>計算表!K301</f>
        <v>0</v>
      </c>
      <c r="L284">
        <f>計算表!L301</f>
        <v>0</v>
      </c>
      <c r="M284">
        <f>計算表!M301</f>
        <v>0</v>
      </c>
      <c r="N284">
        <f>計算表!N301</f>
        <v>0</v>
      </c>
      <c r="O284">
        <f>計算表!O301</f>
        <v>0</v>
      </c>
      <c r="P284">
        <f>計算表!P301</f>
        <v>0</v>
      </c>
      <c r="Q284">
        <f>計算表!Q301</f>
        <v>0</v>
      </c>
      <c r="R284">
        <f>計算表!R301</f>
        <v>0</v>
      </c>
    </row>
    <row r="285" spans="1:18" x14ac:dyDescent="0.25">
      <c r="A285">
        <f>計算表!A302</f>
        <v>305</v>
      </c>
      <c r="B285">
        <f>計算表!B302</f>
        <v>0</v>
      </c>
      <c r="C285" t="str">
        <f>計算表!C302</f>
        <v>表-自動機組零件</v>
      </c>
      <c r="D285" t="str">
        <f>計算表!D302</f>
        <v>淘金濾網</v>
      </c>
      <c r="E285" t="str">
        <f>計算表!E302</f>
        <v>效果值 = a + b × (等級-1)</v>
      </c>
      <c r="F285" t="str">
        <f>計算表!F302</f>
        <v>a=基礎值 b=每級增加值；分解時獲得當前關卡敵人金幣的 a%。</v>
      </c>
      <c r="G285">
        <f>計算表!G302</f>
        <v>3</v>
      </c>
      <c r="H285">
        <f>計算表!H302</f>
        <v>1.5</v>
      </c>
      <c r="I285" t="str">
        <f>計算表!I302</f>
        <v>salvage</v>
      </c>
      <c r="J285">
        <f>計算表!J302</f>
        <v>0</v>
      </c>
      <c r="K285">
        <f>計算表!K302</f>
        <v>0</v>
      </c>
      <c r="L285">
        <f>計算表!L302</f>
        <v>0</v>
      </c>
      <c r="M285">
        <f>計算表!M302</f>
        <v>0</v>
      </c>
      <c r="N285">
        <f>計算表!N302</f>
        <v>0</v>
      </c>
      <c r="O285">
        <f>計算表!O302</f>
        <v>0</v>
      </c>
      <c r="P285">
        <f>計算表!P302</f>
        <v>0</v>
      </c>
      <c r="Q285">
        <f>計算表!Q302</f>
        <v>0</v>
      </c>
      <c r="R285">
        <f>計算表!R302</f>
        <v>0</v>
      </c>
    </row>
    <row r="286" spans="1:18" x14ac:dyDescent="0.25">
      <c r="A286">
        <f>計算表!A303</f>
        <v>306</v>
      </c>
      <c r="B286">
        <f>計算表!B303</f>
        <v>0</v>
      </c>
      <c r="C286" t="str">
        <f>計算表!C303</f>
        <v>表-自動機組零件</v>
      </c>
      <c r="D286" t="str">
        <f>計算表!D303</f>
        <v>精粹透鏡</v>
      </c>
      <c r="E286" t="str">
        <f>計算表!E303</f>
        <v>效果值 = a + b × (等級-1)</v>
      </c>
      <c r="F286" t="str">
        <f>計算表!F303</f>
        <v>a=基礎值 b=每級增加值；節點為 salvage。附魔精華拆解產出率加成。</v>
      </c>
      <c r="G286">
        <f>計算表!G303</f>
        <v>20</v>
      </c>
      <c r="H286">
        <f>計算表!H303</f>
        <v>20</v>
      </c>
      <c r="I286" t="str">
        <f>計算表!I303</f>
        <v>salvage</v>
      </c>
      <c r="J286">
        <f>計算表!J303</f>
        <v>0</v>
      </c>
      <c r="K286">
        <f>計算表!K303</f>
        <v>0</v>
      </c>
      <c r="L286">
        <f>計算表!L303</f>
        <v>0</v>
      </c>
      <c r="M286">
        <f>計算表!M303</f>
        <v>0</v>
      </c>
      <c r="N286">
        <f>計算表!N303</f>
        <v>0</v>
      </c>
      <c r="O286">
        <f>計算表!O303</f>
        <v>0</v>
      </c>
      <c r="P286">
        <f>計算表!P303</f>
        <v>0</v>
      </c>
      <c r="Q286">
        <f>計算表!Q303</f>
        <v>0</v>
      </c>
      <c r="R286">
        <f>計算表!R303</f>
        <v>0</v>
      </c>
    </row>
    <row r="287" spans="1:18" x14ac:dyDescent="0.25">
      <c r="A287">
        <f>計算表!A304</f>
        <v>307</v>
      </c>
      <c r="B287">
        <f>計算表!B304</f>
        <v>0</v>
      </c>
      <c r="C287" t="str">
        <f>計算表!C304</f>
        <v>表-自動機組零件</v>
      </c>
      <c r="D287" t="str">
        <f>計算表!D304</f>
        <v>知識核心</v>
      </c>
      <c r="E287" t="str">
        <f>計算表!E304</f>
        <v>效果值 = a + b × (等級-1)</v>
      </c>
      <c r="F287" t="str">
        <f>計算表!F304</f>
        <v>a=基礎值 b=每級增加值；分解時獲得當前關卡敵人經驗的 a%。</v>
      </c>
      <c r="G287">
        <f>計算表!G304</f>
        <v>3</v>
      </c>
      <c r="H287">
        <f>計算表!H304</f>
        <v>1.5</v>
      </c>
      <c r="I287" t="str">
        <f>計算表!I304</f>
        <v>salvage</v>
      </c>
      <c r="J287">
        <f>計算表!J304</f>
        <v>0</v>
      </c>
      <c r="K287">
        <f>計算表!K304</f>
        <v>0</v>
      </c>
      <c r="L287">
        <f>計算表!L304</f>
        <v>0</v>
      </c>
      <c r="M287">
        <f>計算表!M304</f>
        <v>0</v>
      </c>
      <c r="N287">
        <f>計算表!N304</f>
        <v>0</v>
      </c>
      <c r="O287">
        <f>計算表!O304</f>
        <v>0</v>
      </c>
      <c r="P287">
        <f>計算表!P304</f>
        <v>0</v>
      </c>
      <c r="Q287">
        <f>計算表!Q304</f>
        <v>0</v>
      </c>
      <c r="R287">
        <f>計算表!R304</f>
        <v>0</v>
      </c>
    </row>
    <row r="288" spans="1:18" x14ac:dyDescent="0.25">
      <c r="A288">
        <f>計算表!A305</f>
        <v>308</v>
      </c>
      <c r="B288">
        <f>計算表!B305</f>
        <v>0</v>
      </c>
      <c r="C288" t="str">
        <f>計算表!C305</f>
        <v>表-自動機組零件</v>
      </c>
      <c r="D288" t="str">
        <f>計算表!D305</f>
        <v>寶石採集器</v>
      </c>
      <c r="E288" t="str">
        <f>計算表!E305</f>
        <v>效果值 = a + b × (等級-1)</v>
      </c>
      <c r="F288" t="str">
        <f>計算表!F305</f>
        <v>a=基礎值 b=每級增加值；分解時有 a% 機率獲得 1 級寶石。</v>
      </c>
      <c r="G288">
        <f>計算表!G305</f>
        <v>3</v>
      </c>
      <c r="H288">
        <f>計算表!H305</f>
        <v>1.5</v>
      </c>
      <c r="I288" t="str">
        <f>計算表!I305</f>
        <v>salvage</v>
      </c>
      <c r="J288">
        <f>計算表!J305</f>
        <v>0</v>
      </c>
      <c r="K288">
        <f>計算表!K305</f>
        <v>0</v>
      </c>
      <c r="L288">
        <f>計算表!L305</f>
        <v>0</v>
      </c>
      <c r="M288">
        <f>計算表!M305</f>
        <v>0</v>
      </c>
      <c r="N288">
        <f>計算表!N305</f>
        <v>0</v>
      </c>
      <c r="O288">
        <f>計算表!O305</f>
        <v>0</v>
      </c>
      <c r="P288">
        <f>計算表!P305</f>
        <v>0</v>
      </c>
      <c r="Q288">
        <f>計算表!Q305</f>
        <v>0</v>
      </c>
      <c r="R288">
        <f>計算表!R305</f>
        <v>0</v>
      </c>
    </row>
    <row r="289" spans="1:18" x14ac:dyDescent="0.25">
      <c r="A289">
        <f>計算表!A306</f>
        <v>309</v>
      </c>
      <c r="B289">
        <f>計算表!B306</f>
        <v>0</v>
      </c>
      <c r="C289" t="str">
        <f>計算表!C306</f>
        <v>表-自動機組零件</v>
      </c>
      <c r="D289" t="str">
        <f>計算表!D306</f>
        <v>幸運之心</v>
      </c>
      <c r="E289" t="str">
        <f>計算表!E306</f>
        <v>效果值 = a + b × (等級-1)</v>
      </c>
      <c r="F289" t="str">
        <f>計算表!F306</f>
        <v>a=基礎值 b=每級增加值；分解時有 a% 機率使所有產物變為 3 倍。</v>
      </c>
      <c r="G289">
        <f>計算表!G306</f>
        <v>3</v>
      </c>
      <c r="H289">
        <f>計算表!H306</f>
        <v>1.5</v>
      </c>
      <c r="I289" t="str">
        <f>計算表!I306</f>
        <v>salvage</v>
      </c>
      <c r="J289">
        <f>計算表!J306</f>
        <v>0</v>
      </c>
      <c r="K289">
        <f>計算表!K306</f>
        <v>0</v>
      </c>
      <c r="L289">
        <f>計算表!L306</f>
        <v>0</v>
      </c>
      <c r="M289">
        <f>計算表!M306</f>
        <v>0</v>
      </c>
      <c r="N289">
        <f>計算表!N306</f>
        <v>0</v>
      </c>
      <c r="O289">
        <f>計算表!O306</f>
        <v>0</v>
      </c>
      <c r="P289">
        <f>計算表!P306</f>
        <v>0</v>
      </c>
      <c r="Q289">
        <f>計算表!Q306</f>
        <v>0</v>
      </c>
      <c r="R289">
        <f>計算表!R306</f>
        <v>0</v>
      </c>
    </row>
    <row r="290" spans="1:18" x14ac:dyDescent="0.25">
      <c r="A290">
        <f>計算表!A307</f>
        <v>310</v>
      </c>
      <c r="B290">
        <f>計算表!B307</f>
        <v>0</v>
      </c>
      <c r="C290" t="str">
        <f>計算表!C307</f>
        <v>表-自動機組零件</v>
      </c>
      <c r="D290" t="str">
        <f>計算表!D307</f>
        <v>太古精華萃取器</v>
      </c>
      <c r="E290" t="str">
        <f>計算表!E307</f>
        <v>效果值 = a + b × (等級-1)</v>
      </c>
      <c r="F290" t="str">
        <f>計算表!F307</f>
        <v>a=基礎值 b=每級增加值；分解太古精華掉落率加成。</v>
      </c>
      <c r="G290">
        <f>計算表!G307</f>
        <v>25</v>
      </c>
      <c r="H290">
        <f>計算表!H307</f>
        <v>25</v>
      </c>
      <c r="I290" t="str">
        <f>計算表!I307</f>
        <v>salvage</v>
      </c>
      <c r="J290">
        <f>計算表!J307</f>
        <v>0</v>
      </c>
      <c r="K290">
        <f>計算表!K307</f>
        <v>0</v>
      </c>
      <c r="L290">
        <f>計算表!L307</f>
        <v>0</v>
      </c>
      <c r="M290">
        <f>計算表!M307</f>
        <v>0</v>
      </c>
      <c r="N290">
        <f>計算表!N307</f>
        <v>0</v>
      </c>
      <c r="O290">
        <f>計算表!O307</f>
        <v>0</v>
      </c>
      <c r="P290">
        <f>計算表!P307</f>
        <v>0</v>
      </c>
      <c r="Q290">
        <f>計算表!Q307</f>
        <v>0</v>
      </c>
      <c r="R290">
        <f>計算表!R307</f>
        <v>0</v>
      </c>
    </row>
    <row r="291" spans="1:18" x14ac:dyDescent="0.25">
      <c r="A291">
        <f>計算表!A308</f>
        <v>311</v>
      </c>
      <c r="B291">
        <f>計算表!B308</f>
        <v>0</v>
      </c>
      <c r="C291" t="str">
        <f>計算表!C308</f>
        <v>表-自動機組零件</v>
      </c>
      <c r="D291" t="str">
        <f>計算表!D308</f>
        <v>熔爐核心</v>
      </c>
      <c r="E291" t="str">
        <f>計算表!E308</f>
        <v>效果值 = a + b × (等級-1)</v>
      </c>
      <c r="F291" t="str">
        <f>計算表!F308</f>
        <v>a=基礎值 b=每級增加值；熔爐上的其他零件效果額外提升 a%，多個核心直接疊加。</v>
      </c>
      <c r="G291">
        <f>計算表!G308</f>
        <v>5</v>
      </c>
      <c r="H291">
        <f>計算表!H308</f>
        <v>2.5</v>
      </c>
      <c r="I291" t="str">
        <f>計算表!I308</f>
        <v>salvage</v>
      </c>
      <c r="J291">
        <f>計算表!J308</f>
        <v>0</v>
      </c>
      <c r="K291">
        <f>計算表!K308</f>
        <v>0</v>
      </c>
      <c r="L291">
        <f>計算表!L308</f>
        <v>0</v>
      </c>
      <c r="M291">
        <f>計算表!M308</f>
        <v>0</v>
      </c>
      <c r="N291">
        <f>計算表!N308</f>
        <v>0</v>
      </c>
      <c r="O291">
        <f>計算表!O308</f>
        <v>0</v>
      </c>
      <c r="P291">
        <f>計算表!P308</f>
        <v>0</v>
      </c>
      <c r="Q291">
        <f>計算表!Q308</f>
        <v>0</v>
      </c>
      <c r="R291">
        <f>計算表!R308</f>
        <v>0</v>
      </c>
    </row>
    <row r="292" spans="1:18" x14ac:dyDescent="0.25">
      <c r="A292">
        <f>計算表!A309</f>
        <v>312</v>
      </c>
      <c r="B292">
        <f>計算表!B309</f>
        <v>0</v>
      </c>
      <c r="C292" t="str">
        <f>計算表!C309</f>
        <v>表-固定參數</v>
      </c>
      <c r="D292" t="str">
        <f>計算表!D309</f>
        <v>出怪間隔</v>
      </c>
      <c r="E292" t="str">
        <f>計算表!E309</f>
        <v>a 秒</v>
      </c>
      <c r="F292" t="str">
        <f>計算表!F309</f>
        <v>RESPAWN_DELAY。</v>
      </c>
      <c r="G292" t="str">
        <f>計算表!G309</f>
        <v>{0.75,1,1.5,1.75,2,2,2,3,3,3,4,5}</v>
      </c>
      <c r="H292">
        <f>計算表!H309</f>
        <v>3</v>
      </c>
      <c r="I292">
        <f>計算表!I309</f>
        <v>0</v>
      </c>
      <c r="J292">
        <f>計算表!J309</f>
        <v>0</v>
      </c>
      <c r="K292">
        <f>計算表!K309</f>
        <v>0</v>
      </c>
      <c r="L292">
        <f>計算表!L309</f>
        <v>0</v>
      </c>
      <c r="M292">
        <f>計算表!M309</f>
        <v>0</v>
      </c>
      <c r="N292">
        <f>計算表!N309</f>
        <v>0</v>
      </c>
      <c r="O292">
        <f>計算表!O309</f>
        <v>0</v>
      </c>
      <c r="P292">
        <f>計算表!P309</f>
        <v>0</v>
      </c>
      <c r="Q292">
        <f>計算表!Q309</f>
        <v>0</v>
      </c>
      <c r="R292">
        <f>計算表!R309</f>
        <v>0</v>
      </c>
    </row>
    <row r="293" spans="1:18" x14ac:dyDescent="0.25">
      <c r="A293">
        <f>計算表!A310</f>
        <v>313</v>
      </c>
      <c r="B293">
        <f>計算表!B310</f>
        <v>0</v>
      </c>
      <c r="C293" t="str">
        <f>計算表!C310</f>
        <v>表-固定參數</v>
      </c>
      <c r="D293" t="str">
        <f>計算表!D310</f>
        <v>死亡復活時間</v>
      </c>
      <c r="E293" t="str">
        <f>計算表!E310</f>
        <v>a 秒</v>
      </c>
      <c r="F293" t="str">
        <f>計算表!F310</f>
        <v>REVIVE_DELAY。</v>
      </c>
      <c r="G293">
        <f>計算表!G310</f>
        <v>5</v>
      </c>
      <c r="H293">
        <f>計算表!H310</f>
        <v>0</v>
      </c>
      <c r="I293">
        <f>計算表!I310</f>
        <v>0</v>
      </c>
      <c r="J293">
        <f>計算表!J310</f>
        <v>0</v>
      </c>
      <c r="K293">
        <f>計算表!K310</f>
        <v>0</v>
      </c>
      <c r="L293">
        <f>計算表!L310</f>
        <v>0</v>
      </c>
      <c r="M293">
        <f>計算表!M310</f>
        <v>0</v>
      </c>
      <c r="N293">
        <f>計算表!N310</f>
        <v>0</v>
      </c>
      <c r="O293">
        <f>計算表!O310</f>
        <v>0</v>
      </c>
      <c r="P293">
        <f>計算表!P310</f>
        <v>0</v>
      </c>
      <c r="Q293">
        <f>計算表!Q310</f>
        <v>0</v>
      </c>
      <c r="R293">
        <f>計算表!R310</f>
        <v>0</v>
      </c>
    </row>
    <row r="294" spans="1:18" x14ac:dyDescent="0.25">
      <c r="A294">
        <f>計算表!A311</f>
        <v>314</v>
      </c>
      <c r="B294">
        <f>計算表!B311</f>
        <v>0</v>
      </c>
      <c r="C294" t="str">
        <f>計算表!C311</f>
        <v>表-固定參數</v>
      </c>
      <c r="D294" t="str">
        <f>計算表!D311</f>
        <v>零件階級上限</v>
      </c>
      <c r="E294" t="str">
        <f>計算表!E311</f>
        <v>T a</v>
      </c>
      <c r="F294" t="str">
        <f>計算表!F311</f>
        <v>PART_MAX_TIER。</v>
      </c>
      <c r="G294">
        <f>計算表!G311</f>
        <v>10</v>
      </c>
      <c r="H294">
        <f>計算表!H311</f>
        <v>0</v>
      </c>
      <c r="I294">
        <f>計算表!I311</f>
        <v>0</v>
      </c>
      <c r="J294">
        <f>計算表!J311</f>
        <v>0</v>
      </c>
      <c r="K294">
        <f>計算表!K311</f>
        <v>0</v>
      </c>
      <c r="L294">
        <f>計算表!L311</f>
        <v>0</v>
      </c>
      <c r="M294">
        <f>計算表!M311</f>
        <v>0</v>
      </c>
      <c r="N294">
        <f>計算表!N311</f>
        <v>0</v>
      </c>
      <c r="O294">
        <f>計算表!O311</f>
        <v>0</v>
      </c>
      <c r="P294">
        <f>計算表!P311</f>
        <v>0</v>
      </c>
      <c r="Q294">
        <f>計算表!Q311</f>
        <v>0</v>
      </c>
      <c r="R294">
        <f>計算表!R311</f>
        <v>0</v>
      </c>
    </row>
    <row r="295" spans="1:18" x14ac:dyDescent="0.25">
      <c r="A295">
        <f>計算表!A312</f>
        <v>315</v>
      </c>
      <c r="B295">
        <f>計算表!B312</f>
        <v>0</v>
      </c>
      <c r="C295" t="str">
        <f>計算表!C312</f>
        <v>表-固定參數</v>
      </c>
      <c r="D295" t="str">
        <f>計算表!D312</f>
        <v>零件庫存保留</v>
      </c>
      <c r="E295" t="str">
        <f>計算表!E312</f>
        <v>每種未安裝最多保留 a 顆</v>
      </c>
      <c r="F295" t="str">
        <f>計算表!F312</f>
        <v>PART_KEEP_PER_KEY，多餘自動分解。</v>
      </c>
      <c r="G295">
        <f>計算表!G312</f>
        <v>10</v>
      </c>
      <c r="H295">
        <f>計算表!H312</f>
        <v>0</v>
      </c>
      <c r="I295">
        <f>計算表!I312</f>
        <v>0</v>
      </c>
      <c r="J295">
        <f>計算表!J312</f>
        <v>0</v>
      </c>
      <c r="K295">
        <f>計算表!K312</f>
        <v>0</v>
      </c>
      <c r="L295">
        <f>計算表!L312</f>
        <v>0</v>
      </c>
      <c r="M295">
        <f>計算表!M312</f>
        <v>0</v>
      </c>
      <c r="N295">
        <f>計算表!N312</f>
        <v>0</v>
      </c>
      <c r="O295">
        <f>計算表!O312</f>
        <v>0</v>
      </c>
      <c r="P295">
        <f>計算表!P312</f>
        <v>0</v>
      </c>
      <c r="Q295">
        <f>計算表!Q312</f>
        <v>0</v>
      </c>
      <c r="R295">
        <f>計算表!R312</f>
        <v>0</v>
      </c>
    </row>
    <row r="296" spans="1:18" x14ac:dyDescent="0.25">
      <c r="A296">
        <f>計算表!A313</f>
        <v>316</v>
      </c>
      <c r="B296">
        <f>計算表!B313</f>
        <v>0</v>
      </c>
      <c r="C296" t="str">
        <f>計算表!C313</f>
        <v>表-固定參數</v>
      </c>
      <c r="D296" t="str">
        <f>計算表!D313</f>
        <v>合成節點槽位</v>
      </c>
      <c r="E296" t="str">
        <f>計算表!E313</f>
        <v>a 格</v>
      </c>
      <c r="F296" t="str">
        <f>計算表!F313</f>
        <v>分解槽為金幣解鎖 10~20 格。　※合成功能已停用，本列未生效。</v>
      </c>
      <c r="G296">
        <f>計算表!G313</f>
        <v>2</v>
      </c>
      <c r="H296">
        <f>計算表!H313</f>
        <v>0</v>
      </c>
      <c r="I296">
        <f>計算表!I313</f>
        <v>0</v>
      </c>
      <c r="J296">
        <f>計算表!J313</f>
        <v>0</v>
      </c>
      <c r="K296">
        <f>計算表!K313</f>
        <v>0</v>
      </c>
      <c r="L296">
        <f>計算表!L313</f>
        <v>0</v>
      </c>
      <c r="M296">
        <f>計算表!M313</f>
        <v>0</v>
      </c>
      <c r="N296">
        <f>計算表!N313</f>
        <v>0</v>
      </c>
      <c r="O296">
        <f>計算表!O313</f>
        <v>0</v>
      </c>
      <c r="P296">
        <f>計算表!P313</f>
        <v>0</v>
      </c>
      <c r="Q296">
        <f>計算表!Q313</f>
        <v>0</v>
      </c>
      <c r="R296">
        <f>計算表!R313</f>
        <v>0</v>
      </c>
    </row>
    <row r="297" spans="1:18" x14ac:dyDescent="0.25">
      <c r="A297">
        <f>計算表!A314</f>
        <v>317</v>
      </c>
      <c r="B297">
        <f>計算表!B314</f>
        <v>0</v>
      </c>
      <c r="C297" t="str">
        <f>計算表!C314</f>
        <v>表-固定參數</v>
      </c>
      <c r="D297" t="str">
        <f>計算表!D314</f>
        <v>寶石一般上限 / 神鑄上限</v>
      </c>
      <c r="E297" t="str">
        <f>計算表!E314</f>
        <v>一般 a 階；神鑄可到 b 階</v>
      </c>
      <c r="F297" t="str">
        <f>計算表!F314</f>
        <v>GEM_MAX_LEVEL / GEM_FORGE_MAX_LEVEL。</v>
      </c>
      <c r="G297">
        <f>計算表!G314</f>
        <v>5</v>
      </c>
      <c r="H297">
        <f>計算表!H314</f>
        <v>10</v>
      </c>
      <c r="I297">
        <f>計算表!I314</f>
        <v>0</v>
      </c>
      <c r="J297">
        <f>計算表!J314</f>
        <v>0</v>
      </c>
      <c r="K297">
        <f>計算表!K314</f>
        <v>0</v>
      </c>
      <c r="L297">
        <f>計算表!L314</f>
        <v>0</v>
      </c>
      <c r="M297">
        <f>計算表!M314</f>
        <v>0</v>
      </c>
      <c r="N297">
        <f>計算表!N314</f>
        <v>0</v>
      </c>
      <c r="O297">
        <f>計算表!O314</f>
        <v>0</v>
      </c>
      <c r="P297">
        <f>計算表!P314</f>
        <v>0</v>
      </c>
      <c r="Q297">
        <f>計算表!Q314</f>
        <v>0</v>
      </c>
      <c r="R297">
        <f>計算表!R314</f>
        <v>0</v>
      </c>
    </row>
    <row r="298" spans="1:18" x14ac:dyDescent="0.25">
      <c r="A298">
        <f>計算表!A315</f>
        <v>318</v>
      </c>
      <c r="B298">
        <f>計算表!B315</f>
        <v>0</v>
      </c>
      <c r="C298" t="str">
        <f>計算表!C315</f>
        <v>表-固定參數</v>
      </c>
      <c r="D298" t="str">
        <f>計算表!D315</f>
        <v>詞條數硬上限</v>
      </c>
      <c r="E298" t="str">
        <f>計算表!E315</f>
        <v>a 條</v>
      </c>
      <c r="F298" t="str">
        <f>計算表!F315</f>
        <v>MAX_AFFIXES = 單件裝備詞條數的安全硬上限；目前稀有度表最高 10 條。</v>
      </c>
      <c r="G298">
        <f>計算表!G315</f>
        <v>10</v>
      </c>
      <c r="H298">
        <f>計算表!H315</f>
        <v>0</v>
      </c>
      <c r="I298">
        <f>計算表!I315</f>
        <v>0</v>
      </c>
      <c r="J298">
        <f>計算表!J315</f>
        <v>0</v>
      </c>
      <c r="K298">
        <f>計算表!K315</f>
        <v>0</v>
      </c>
      <c r="L298">
        <f>計算表!L315</f>
        <v>0</v>
      </c>
      <c r="M298">
        <f>計算表!M315</f>
        <v>0</v>
      </c>
      <c r="N298">
        <f>計算表!N315</f>
        <v>0</v>
      </c>
      <c r="O298">
        <f>計算表!O315</f>
        <v>0</v>
      </c>
      <c r="P298">
        <f>計算表!P315</f>
        <v>0</v>
      </c>
      <c r="Q298">
        <f>計算表!Q315</f>
        <v>0</v>
      </c>
      <c r="R298">
        <f>計算表!R315</f>
        <v>0</v>
      </c>
    </row>
    <row r="299" spans="1:18" x14ac:dyDescent="0.25">
      <c r="A299">
        <f>計算表!A316</f>
        <v>319</v>
      </c>
      <c r="B299">
        <f>計算表!B316</f>
        <v>0</v>
      </c>
      <c r="C299" t="str">
        <f>計算表!C316</f>
        <v>表-固定參數</v>
      </c>
      <c r="D299" t="str">
        <f>計算表!D316</f>
        <v>零件升級金錢消耗</v>
      </c>
      <c r="E299" t="str">
        <f>計算表!E316</f>
        <v>a + b × c^升級後等級</v>
      </c>
      <c r="F299" t="str">
        <f>計算表!F316</f>
        <v>零件升級至下一級的金幣消耗；指數中的零件等級是升級後目標等級，例如 T5→T6 代入 6。</v>
      </c>
      <c r="G299">
        <f>計算表!G316</f>
        <v>20000</v>
      </c>
      <c r="H299">
        <f>計算表!H316</f>
        <v>10000</v>
      </c>
      <c r="I299">
        <f>計算表!I316</f>
        <v>6</v>
      </c>
      <c r="J299">
        <f>計算表!J316</f>
        <v>0</v>
      </c>
      <c r="K299">
        <f>計算表!K316</f>
        <v>0</v>
      </c>
      <c r="L299">
        <f>計算表!L316</f>
        <v>0</v>
      </c>
      <c r="M299">
        <f>計算表!M316</f>
        <v>0</v>
      </c>
      <c r="N299">
        <f>計算表!N316</f>
        <v>0</v>
      </c>
      <c r="O299">
        <f>計算表!O316</f>
        <v>0</v>
      </c>
      <c r="P299">
        <f>計算表!P316</f>
        <v>0</v>
      </c>
      <c r="Q299">
        <f>計算表!Q316</f>
        <v>0</v>
      </c>
      <c r="R299">
        <f>計算表!R316</f>
        <v>0</v>
      </c>
    </row>
    <row r="300" spans="1:18" x14ac:dyDescent="0.25">
      <c r="A300">
        <f>計算表!A317</f>
        <v>320</v>
      </c>
      <c r="B300">
        <f>計算表!B317</f>
        <v>0</v>
      </c>
      <c r="C300" t="str">
        <f>計算表!C317</f>
        <v>表-固定參數</v>
      </c>
      <c r="D300" t="str">
        <f>計算表!D317</f>
        <v>換目標間隔</v>
      </c>
      <c r="E300" t="str">
        <f>計算表!E317</f>
        <v>公式 a 秒</v>
      </c>
      <c r="F300" t="str">
        <f>計算表!F317</f>
        <v>轉頭打下一隻敵人的間隔時間</v>
      </c>
      <c r="G300">
        <f>計算表!G317</f>
        <v>0.35</v>
      </c>
      <c r="H300">
        <f>計算表!H317</f>
        <v>0</v>
      </c>
      <c r="I300">
        <f>計算表!I317</f>
        <v>0</v>
      </c>
      <c r="J300">
        <f>計算表!J317</f>
        <v>0</v>
      </c>
      <c r="K300">
        <f>計算表!K317</f>
        <v>0</v>
      </c>
      <c r="L300">
        <f>計算表!L317</f>
        <v>0</v>
      </c>
      <c r="M300">
        <f>計算表!M317</f>
        <v>0</v>
      </c>
      <c r="N300">
        <f>計算表!N317</f>
        <v>0</v>
      </c>
      <c r="O300">
        <f>計算表!O317</f>
        <v>0</v>
      </c>
      <c r="P300">
        <f>計算表!P317</f>
        <v>0</v>
      </c>
      <c r="Q300">
        <f>計算表!Q317</f>
        <v>0</v>
      </c>
      <c r="R300">
        <f>計算表!R317</f>
        <v>0</v>
      </c>
    </row>
    <row r="301" spans="1:18" x14ac:dyDescent="0.25">
      <c r="A301">
        <f>計算表!A318</f>
        <v>321</v>
      </c>
      <c r="B301">
        <f>計算表!B318</f>
        <v>0</v>
      </c>
      <c r="C301" t="str">
        <f>計算表!C318</f>
        <v>表-稀有度</v>
      </c>
      <c r="D301" t="str">
        <f>計算表!D318</f>
        <v>普通</v>
      </c>
      <c r="E301" t="str">
        <f>計算表!E318</f>
        <v>（查表）</v>
      </c>
      <c r="F301" t="str">
        <f>計算表!F318</f>
        <v>a=詞條數值倍率 b=詞條數下限 c=詞條數上限 d=寶石插槽 e=附魔欄位 f=分解係數 g=符文孔數（0＝沒有符文孔；上限與雙手武器加成見 Runes 表）。</v>
      </c>
      <c r="G301">
        <f>計算表!G318</f>
        <v>1</v>
      </c>
      <c r="H301">
        <f>計算表!H318</f>
        <v>1</v>
      </c>
      <c r="I301">
        <f>計算表!I318</f>
        <v>1</v>
      </c>
      <c r="J301">
        <f>計算表!J318</f>
        <v>0</v>
      </c>
      <c r="K301">
        <f>計算表!K318</f>
        <v>0</v>
      </c>
      <c r="L301">
        <f>計算表!L318</f>
        <v>1</v>
      </c>
      <c r="M301">
        <f>計算表!M318</f>
        <v>0</v>
      </c>
      <c r="N301">
        <f>計算表!N318</f>
        <v>0</v>
      </c>
      <c r="O301">
        <f>計算表!O318</f>
        <v>0</v>
      </c>
      <c r="P301">
        <f>計算表!P318</f>
        <v>0</v>
      </c>
      <c r="Q301">
        <f>計算表!Q318</f>
        <v>0</v>
      </c>
      <c r="R301">
        <f>計算表!R318</f>
        <v>0</v>
      </c>
    </row>
    <row r="302" spans="1:18" x14ac:dyDescent="0.25">
      <c r="A302">
        <f>計算表!A319</f>
        <v>322</v>
      </c>
      <c r="B302">
        <f>計算表!B319</f>
        <v>0</v>
      </c>
      <c r="C302" t="str">
        <f>計算表!C319</f>
        <v>表-稀有度</v>
      </c>
      <c r="D302" t="str">
        <f>計算表!D319</f>
        <v>精良</v>
      </c>
      <c r="E302" t="str">
        <f>計算表!E319</f>
        <v>（查表）</v>
      </c>
      <c r="F302" t="str">
        <f>計算表!F319</f>
        <v>a=詞條數值倍率 b=詞條數下限 c=詞條數上限 d=寶石插槽 e=附魔欄位 f=分解係數 g=符文孔數（0＝沒有符文孔；上限與雙手武器加成見 Runes 表）。</v>
      </c>
      <c r="G302">
        <f>計算表!G319</f>
        <v>1.35</v>
      </c>
      <c r="H302">
        <f>計算表!H319</f>
        <v>2</v>
      </c>
      <c r="I302">
        <f>計算表!I319</f>
        <v>2</v>
      </c>
      <c r="J302">
        <f>計算表!J319</f>
        <v>1</v>
      </c>
      <c r="K302">
        <f>計算表!K319</f>
        <v>1</v>
      </c>
      <c r="L302">
        <f>計算表!L319</f>
        <v>1.7</v>
      </c>
      <c r="M302">
        <f>計算表!M319</f>
        <v>1</v>
      </c>
      <c r="N302">
        <f>計算表!N319</f>
        <v>0</v>
      </c>
      <c r="O302">
        <f>計算表!O319</f>
        <v>0</v>
      </c>
      <c r="P302">
        <f>計算表!P319</f>
        <v>0</v>
      </c>
      <c r="Q302">
        <f>計算表!Q319</f>
        <v>0</v>
      </c>
      <c r="R302">
        <f>計算表!R319</f>
        <v>0</v>
      </c>
    </row>
    <row r="303" spans="1:18" x14ac:dyDescent="0.25">
      <c r="A303">
        <f>計算表!A320</f>
        <v>323</v>
      </c>
      <c r="B303">
        <f>計算表!B320</f>
        <v>0</v>
      </c>
      <c r="C303" t="str">
        <f>計算表!C320</f>
        <v>表-稀有度</v>
      </c>
      <c r="D303" t="str">
        <f>計算表!D320</f>
        <v>稀有</v>
      </c>
      <c r="E303" t="str">
        <f>計算表!E320</f>
        <v>（查表）</v>
      </c>
      <c r="F303" t="str">
        <f>計算表!F320</f>
        <v>a=詞條數值倍率 b=詞條數下限 c=詞條數上限 d=寶石插槽 e=附魔欄位 f=分解係數 g=符文孔數（0＝沒有符文孔；上限與雙手武器加成見 Runes 表）。</v>
      </c>
      <c r="G303">
        <f>計算表!G320</f>
        <v>1.75</v>
      </c>
      <c r="H303">
        <f>計算表!H320</f>
        <v>2</v>
      </c>
      <c r="I303">
        <f>計算表!I320</f>
        <v>2</v>
      </c>
      <c r="J303">
        <f>計算表!J320</f>
        <v>1</v>
      </c>
      <c r="K303">
        <f>計算表!K320</f>
        <v>1</v>
      </c>
      <c r="L303">
        <f>計算表!L320</f>
        <v>2.8</v>
      </c>
      <c r="M303">
        <f>計算表!M320</f>
        <v>1</v>
      </c>
      <c r="N303">
        <f>計算表!N320</f>
        <v>0</v>
      </c>
      <c r="O303">
        <f>計算表!O320</f>
        <v>0</v>
      </c>
      <c r="P303">
        <f>計算表!P320</f>
        <v>0</v>
      </c>
      <c r="Q303">
        <f>計算表!Q320</f>
        <v>0</v>
      </c>
      <c r="R303">
        <f>計算表!R320</f>
        <v>0</v>
      </c>
    </row>
    <row r="304" spans="1:18" x14ac:dyDescent="0.25">
      <c r="A304">
        <f>計算表!A321</f>
        <v>324</v>
      </c>
      <c r="B304">
        <f>計算表!B321</f>
        <v>0</v>
      </c>
      <c r="C304" t="str">
        <f>計算表!C321</f>
        <v>表-稀有度</v>
      </c>
      <c r="D304" t="str">
        <f>計算表!D321</f>
        <v>獨特</v>
      </c>
      <c r="E304" t="str">
        <f>計算表!E321</f>
        <v>（查表）</v>
      </c>
      <c r="F304" t="str">
        <f>計算表!F321</f>
        <v>a=詞條數值倍率 b=詞條數下限 c=詞條數上限 d=寶石插槽 e=附魔欄位 f=分解係數 g=符文孔數（0＝沒有符文孔；上限與雙手武器加成見 Runes 表）。</v>
      </c>
      <c r="G304" s="7" t="s">
        <v>1035</v>
      </c>
      <c r="H304">
        <f>計算表!H321</f>
        <v>3</v>
      </c>
      <c r="I304">
        <f>計算表!I321</f>
        <v>3</v>
      </c>
      <c r="J304">
        <f>計算表!J321</f>
        <v>1</v>
      </c>
      <c r="K304">
        <f>計算表!K321</f>
        <v>1</v>
      </c>
      <c r="L304">
        <f>計算表!L321</f>
        <v>4.5</v>
      </c>
      <c r="M304">
        <f>計算表!M321</f>
        <v>1</v>
      </c>
      <c r="N304">
        <f>計算表!N321</f>
        <v>0</v>
      </c>
      <c r="O304">
        <f>計算表!O321</f>
        <v>0</v>
      </c>
      <c r="P304">
        <f>計算表!P321</f>
        <v>0</v>
      </c>
      <c r="Q304">
        <f>計算表!Q321</f>
        <v>0</v>
      </c>
      <c r="R304">
        <f>計算表!R321</f>
        <v>0</v>
      </c>
    </row>
    <row r="305" spans="1:18" x14ac:dyDescent="0.25">
      <c r="A305">
        <f>計算表!A322</f>
        <v>325</v>
      </c>
      <c r="B305">
        <f>計算表!B322</f>
        <v>0</v>
      </c>
      <c r="C305" t="str">
        <f>計算表!C322</f>
        <v>表-稀有度</v>
      </c>
      <c r="D305" t="str">
        <f>計算表!D322</f>
        <v>史詩</v>
      </c>
      <c r="E305" t="str">
        <f>計算表!E322</f>
        <v>（查表）</v>
      </c>
      <c r="F305" t="str">
        <f>計算表!F322</f>
        <v>a=詞條數值倍率 b=詞條數下限 c=詞條數上限 d=寶石插槽 e=附魔欄位 f=分解係數 g=符文孔數（0＝沒有符文孔；上限與雙手武器加成見 Runes 表）。</v>
      </c>
      <c r="G305">
        <f>計算表!G322</f>
        <v>3</v>
      </c>
      <c r="H305">
        <f>計算表!H322</f>
        <v>4</v>
      </c>
      <c r="I305">
        <f>計算表!I322</f>
        <v>4</v>
      </c>
      <c r="J305">
        <f>計算表!J322</f>
        <v>2</v>
      </c>
      <c r="K305">
        <f>計算表!K322</f>
        <v>2</v>
      </c>
      <c r="L305">
        <f>計算表!L322</f>
        <v>7.5</v>
      </c>
      <c r="M305">
        <f>計算表!M322</f>
        <v>2</v>
      </c>
      <c r="N305">
        <f>計算表!N322</f>
        <v>0</v>
      </c>
      <c r="O305">
        <f>計算表!O322</f>
        <v>0</v>
      </c>
      <c r="P305">
        <f>計算表!P322</f>
        <v>0</v>
      </c>
      <c r="Q305">
        <f>計算表!Q322</f>
        <v>0</v>
      </c>
      <c r="R305">
        <f>計算表!R322</f>
        <v>0</v>
      </c>
    </row>
    <row r="306" spans="1:18" x14ac:dyDescent="0.25">
      <c r="A306">
        <f>計算表!A323</f>
        <v>326</v>
      </c>
      <c r="B306">
        <f>計算表!B323</f>
        <v>0</v>
      </c>
      <c r="C306" t="str">
        <f>計算表!C323</f>
        <v>表-稀有度</v>
      </c>
      <c r="D306" t="str">
        <f>計算表!D323</f>
        <v>傳說</v>
      </c>
      <c r="E306" t="str">
        <f>計算表!E323</f>
        <v>（查表）</v>
      </c>
      <c r="F306" t="str">
        <f>計算表!F323</f>
        <v>a=詞條數值倍率 b=詞條數下限 c=詞條數上限 d=寶石插槽 e=附魔欄位 f=分解係數 g=符文孔數（0＝沒有符文孔；上限與雙手武器加成見 Runes 表）。</v>
      </c>
      <c r="G306">
        <f>計算表!G323</f>
        <v>4</v>
      </c>
      <c r="H306">
        <f>計算表!H323</f>
        <v>5</v>
      </c>
      <c r="I306">
        <f>計算表!I323</f>
        <v>5</v>
      </c>
      <c r="J306">
        <f>計算表!J323</f>
        <v>2</v>
      </c>
      <c r="K306">
        <f>計算表!K323</f>
        <v>2</v>
      </c>
      <c r="L306">
        <f>計算表!L323</f>
        <v>12</v>
      </c>
      <c r="M306">
        <f>計算表!M323</f>
        <v>2</v>
      </c>
      <c r="N306">
        <f>計算表!N323</f>
        <v>0</v>
      </c>
      <c r="O306">
        <f>計算表!O323</f>
        <v>0</v>
      </c>
      <c r="P306">
        <f>計算表!P323</f>
        <v>0</v>
      </c>
      <c r="Q306">
        <f>計算表!Q323</f>
        <v>0</v>
      </c>
      <c r="R306">
        <f>計算表!R323</f>
        <v>0</v>
      </c>
    </row>
    <row r="307" spans="1:18" x14ac:dyDescent="0.25">
      <c r="A307">
        <f>計算表!A324</f>
        <v>327</v>
      </c>
      <c r="B307">
        <f>計算表!B324</f>
        <v>0</v>
      </c>
      <c r="C307" t="str">
        <f>計算表!C324</f>
        <v>表-稀有度</v>
      </c>
      <c r="D307" t="str">
        <f>計算表!D324</f>
        <v>神話</v>
      </c>
      <c r="E307" t="str">
        <f>計算表!E324</f>
        <v>（查表）</v>
      </c>
      <c r="F307" t="str">
        <f>計算表!F324</f>
        <v>a=詞條數值倍率 b=詞條數下限 c=詞條數上限 d=寶石插槽 e=附魔欄位 f=分解係數 g=符文孔數（0＝沒有符文孔；上限與雙手武器加成見 Runes 表）。</v>
      </c>
      <c r="G307">
        <f>計算表!G324</f>
        <v>5.2</v>
      </c>
      <c r="H307">
        <f>計算表!H324</f>
        <v>6</v>
      </c>
      <c r="I307">
        <f>計算表!I324</f>
        <v>6</v>
      </c>
      <c r="J307">
        <f>計算表!J324</f>
        <v>2</v>
      </c>
      <c r="K307">
        <f>計算表!K324</f>
        <v>2</v>
      </c>
      <c r="L307">
        <f>計算表!L324</f>
        <v>19</v>
      </c>
      <c r="M307">
        <f>計算表!M324</f>
        <v>2</v>
      </c>
      <c r="N307">
        <f>計算表!N324</f>
        <v>0</v>
      </c>
      <c r="O307">
        <f>計算表!O324</f>
        <v>0</v>
      </c>
      <c r="P307">
        <f>計算表!P324</f>
        <v>0</v>
      </c>
      <c r="Q307">
        <f>計算表!Q324</f>
        <v>0</v>
      </c>
      <c r="R307">
        <f>計算表!R324</f>
        <v>0</v>
      </c>
    </row>
    <row r="308" spans="1:18" x14ac:dyDescent="0.25">
      <c r="A308">
        <f>計算表!A325</f>
        <v>328</v>
      </c>
      <c r="B308">
        <f>計算表!B325</f>
        <v>0</v>
      </c>
      <c r="C308" t="str">
        <f>計算表!C325</f>
        <v>表-稀有度</v>
      </c>
      <c r="D308" t="str">
        <f>計算表!D325</f>
        <v>創世</v>
      </c>
      <c r="E308" t="str">
        <f>計算表!E325</f>
        <v>（查表）</v>
      </c>
      <c r="F308" t="str">
        <f>計算表!F325</f>
        <v>a=詞條數值倍率 b=詞條數下限 c=詞條數上限 d=寶石插槽 e=附魔欄位 f=分解係數 g=符文孔數（0＝沒有符文孔；上限與雙手武器加成見 Runes 表）。</v>
      </c>
      <c r="G308">
        <f>計算表!G325</f>
        <v>6.8</v>
      </c>
      <c r="H308">
        <f>計算表!H325</f>
        <v>7</v>
      </c>
      <c r="I308">
        <f>計算表!I325</f>
        <v>7</v>
      </c>
      <c r="J308">
        <f>計算表!J325</f>
        <v>3</v>
      </c>
      <c r="K308">
        <f>計算表!K325</f>
        <v>3</v>
      </c>
      <c r="L308">
        <f>計算表!L325</f>
        <v>30</v>
      </c>
      <c r="M308">
        <f>計算表!M325</f>
        <v>3</v>
      </c>
      <c r="N308">
        <f>計算表!N325</f>
        <v>0</v>
      </c>
      <c r="O308">
        <f>計算表!O325</f>
        <v>0</v>
      </c>
      <c r="P308">
        <f>計算表!P325</f>
        <v>0</v>
      </c>
      <c r="Q308">
        <f>計算表!Q325</f>
        <v>0</v>
      </c>
      <c r="R308">
        <f>計算表!R325</f>
        <v>0</v>
      </c>
    </row>
    <row r="309" spans="1:18" x14ac:dyDescent="0.25">
      <c r="A309">
        <f>計算表!A326</f>
        <v>329</v>
      </c>
      <c r="B309">
        <f>計算表!B326</f>
        <v>0</v>
      </c>
      <c r="C309" t="str">
        <f>計算表!C326</f>
        <v>表-稀有度</v>
      </c>
      <c r="D309" t="str">
        <f>計算表!D326</f>
        <v>神鑄創世</v>
      </c>
      <c r="E309" t="str">
        <f>計算表!E326</f>
        <v>（查表）</v>
      </c>
      <c r="F309" t="str">
        <f>計算表!F326</f>
        <v>a=詞條數值倍率 b=詞條數下限 c=詞條數上限 d=寶石插槽 e=附魔欄位 f=分解係數 g=符文孔數（0＝沒有符文孔；上限與雙手武器加成見 Runes 表）。</v>
      </c>
      <c r="G309" s="7" t="s">
        <v>1036</v>
      </c>
      <c r="H309">
        <f>計算表!H326</f>
        <v>8</v>
      </c>
      <c r="I309">
        <f>計算表!I326</f>
        <v>8</v>
      </c>
      <c r="J309">
        <f>計算表!J326</f>
        <v>3</v>
      </c>
      <c r="K309">
        <f>計算表!K326</f>
        <v>3</v>
      </c>
      <c r="L309">
        <f>計算表!L326</f>
        <v>45</v>
      </c>
      <c r="M309">
        <f>計算表!M326</f>
        <v>3</v>
      </c>
      <c r="N309">
        <f>計算表!N326</f>
        <v>0</v>
      </c>
      <c r="O309">
        <f>計算表!O326</f>
        <v>0</v>
      </c>
      <c r="P309">
        <f>計算表!P326</f>
        <v>0</v>
      </c>
      <c r="Q309">
        <f>計算表!Q326</f>
        <v>0</v>
      </c>
      <c r="R309">
        <f>計算表!R326</f>
        <v>0</v>
      </c>
    </row>
    <row r="310" spans="1:18" x14ac:dyDescent="0.25">
      <c r="A310">
        <f>計算表!A327</f>
        <v>330</v>
      </c>
      <c r="B310">
        <f>計算表!B327</f>
        <v>0</v>
      </c>
      <c r="C310" t="str">
        <f>計算表!C327</f>
        <v>表-稀有度</v>
      </c>
      <c r="D310" t="str">
        <f>計算表!D327</f>
        <v>混沌</v>
      </c>
      <c r="E310" t="str">
        <f>計算表!E327</f>
        <v>（查表）</v>
      </c>
      <c r="F310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0">
        <f>計算表!G327</f>
        <v>15.3</v>
      </c>
      <c r="H310">
        <f>計算表!H327</f>
        <v>9</v>
      </c>
      <c r="I310">
        <f>計算表!I327</f>
        <v>9</v>
      </c>
      <c r="J310">
        <f>計算表!J327</f>
        <v>4</v>
      </c>
      <c r="K310">
        <f>計算表!K327</f>
        <v>3</v>
      </c>
      <c r="L310">
        <f>計算表!L327</f>
        <v>67.5</v>
      </c>
      <c r="M310">
        <f>計算表!M327</f>
        <v>4</v>
      </c>
      <c r="N310">
        <f>計算表!N327</f>
        <v>0</v>
      </c>
      <c r="O310">
        <f>計算表!O327</f>
        <v>0</v>
      </c>
      <c r="P310">
        <f>計算表!P327</f>
        <v>0</v>
      </c>
      <c r="Q310">
        <f>計算表!Q327</f>
        <v>0</v>
      </c>
      <c r="R310">
        <f>計算表!R327</f>
        <v>0</v>
      </c>
    </row>
    <row r="311" spans="1:18" x14ac:dyDescent="0.25">
      <c r="A311">
        <f>計算表!A328</f>
        <v>331</v>
      </c>
      <c r="B311">
        <f>計算表!B328</f>
        <v>0</v>
      </c>
      <c r="C311" t="str">
        <f>計算表!C328</f>
        <v>表-稀有度</v>
      </c>
      <c r="D311" t="str">
        <f>計算表!D328</f>
        <v>神鑄混沌</v>
      </c>
      <c r="E311" t="str">
        <f>計算表!E328</f>
        <v>（查表）</v>
      </c>
      <c r="F311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1">
        <f>計算表!G328</f>
        <v>22.95</v>
      </c>
      <c r="H311">
        <f>計算表!H328</f>
        <v>10</v>
      </c>
      <c r="I311">
        <f>計算表!I328</f>
        <v>10</v>
      </c>
      <c r="J311">
        <f>計算表!J328</f>
        <v>4</v>
      </c>
      <c r="K311">
        <f>計算表!K328</f>
        <v>3</v>
      </c>
      <c r="L311">
        <f>計算表!L328</f>
        <v>101.25</v>
      </c>
      <c r="M311">
        <f>計算表!M328</f>
        <v>4</v>
      </c>
      <c r="N311">
        <f>計算表!N328</f>
        <v>0</v>
      </c>
      <c r="O311">
        <f>計算表!O328</f>
        <v>0</v>
      </c>
      <c r="P311">
        <f>計算表!P328</f>
        <v>0</v>
      </c>
      <c r="Q311">
        <f>計算表!Q328</f>
        <v>0</v>
      </c>
      <c r="R311">
        <f>計算表!R328</f>
        <v>0</v>
      </c>
    </row>
    <row r="312" spans="1:18" x14ac:dyDescent="0.25">
      <c r="A312">
        <f>計算表!A329</f>
        <v>332</v>
      </c>
      <c r="B312">
        <f>計算表!B329</f>
        <v>0</v>
      </c>
      <c r="C312" t="str">
        <f>計算表!C329</f>
        <v>6-裝備</v>
      </c>
      <c r="D312" t="str">
        <f>計算表!D329</f>
        <v>等級前不出現的屬性</v>
      </c>
      <c r="E312" t="str">
        <f>計算表!E329</f>
        <v>裝備等級（或角色等級）≤ 等級 時，陣列內的詞條不出現</v>
      </c>
      <c r="F312" t="str">
        <f>計算表!F329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2">
        <f>計算表!G329</f>
        <v>200</v>
      </c>
      <c r="H312" t="str">
        <f>計算表!H329</f>
        <v>{elemDmgFire,elemDmgIce,elemDmgLightning,elemDmgPoison,elemDmgLight,elemDmgDark,elemDmgEarth,elemDmgWind,resFire,resIce,resLightning,resPoison,resLight,resDark,resEarth,resWind,resAll}</v>
      </c>
      <c r="I312">
        <f>計算表!I329</f>
        <v>0</v>
      </c>
      <c r="J312">
        <f>計算表!J329</f>
        <v>0</v>
      </c>
      <c r="K312">
        <f>計算表!K329</f>
        <v>0</v>
      </c>
      <c r="L312">
        <f>計算表!L329</f>
        <v>0</v>
      </c>
      <c r="M312">
        <f>計算表!M329</f>
        <v>0</v>
      </c>
      <c r="N312">
        <f>計算表!N329</f>
        <v>0</v>
      </c>
      <c r="O312">
        <f>計算表!O329</f>
        <v>0</v>
      </c>
      <c r="P312">
        <f>計算表!P329</f>
        <v>0</v>
      </c>
      <c r="Q312">
        <f>計算表!Q329</f>
        <v>0</v>
      </c>
      <c r="R312">
        <f>計算表!R329</f>
        <v>0</v>
      </c>
    </row>
    <row r="313" spans="1:18" x14ac:dyDescent="0.25">
      <c r="A313">
        <f>計算表!A330</f>
        <v>333</v>
      </c>
      <c r="B313">
        <f>計算表!B330</f>
        <v>0</v>
      </c>
      <c r="C313" t="str">
        <f>計算表!C330</f>
        <v>4-菁英群組</v>
      </c>
      <c r="D313" t="str">
        <f>計算表!D330</f>
        <v>普通關菁英機率(荒漠)</v>
      </c>
      <c r="E313" t="str">
        <f>計算表!E330</f>
        <v>每波有 x% 機率改出菁英群</v>
      </c>
      <c r="F313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3" s="7" t="str">
        <f>計算表!G330</f>
        <v>{1~10,1}</v>
      </c>
      <c r="H313" s="7" t="str">
        <f>計算表!H330</f>
        <v>{11~50,3}</v>
      </c>
      <c r="I313" s="7" t="str">
        <f>計算表!I330</f>
        <v>{51~100,5}</v>
      </c>
      <c r="J313" s="7" t="str">
        <f>計算表!J330</f>
        <v>{101~9999,7}</v>
      </c>
      <c r="K313">
        <f>計算表!K330</f>
        <v>0</v>
      </c>
      <c r="L313">
        <f>計算表!L330</f>
        <v>0</v>
      </c>
      <c r="M313">
        <f>計算表!M330</f>
        <v>0</v>
      </c>
      <c r="N313">
        <f>計算表!N330</f>
        <v>0</v>
      </c>
      <c r="O313">
        <f>計算表!O330</f>
        <v>0</v>
      </c>
      <c r="P313">
        <f>計算表!P330</f>
        <v>0</v>
      </c>
      <c r="Q313">
        <f>計算表!Q330</f>
        <v>0</v>
      </c>
      <c r="R313">
        <f>計算表!R330</f>
        <v>0</v>
      </c>
    </row>
    <row r="314" spans="1:18" x14ac:dyDescent="0.25">
      <c r="A314">
        <f>計算表!A331</f>
        <v>334</v>
      </c>
      <c r="B314">
        <f>計算表!B331</f>
        <v>0</v>
      </c>
      <c r="C314" t="str">
        <f>計算表!C331</f>
        <v>4-菁英群組</v>
      </c>
      <c r="D314" t="str">
        <f>計算表!D331</f>
        <v>普通關菁英機率(冰原)</v>
      </c>
      <c r="E314" t="str">
        <f>計算表!E331</f>
        <v>每波有 x% 機率改出菁英群</v>
      </c>
      <c r="F314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4" s="7" t="str">
        <f>計算表!G331</f>
        <v>{1~100,6}</v>
      </c>
      <c r="H314" s="7" t="str">
        <f>計算表!H331</f>
        <v>{101~9999,9}</v>
      </c>
      <c r="I314">
        <f>計算表!I331</f>
        <v>0</v>
      </c>
      <c r="J314">
        <f>計算表!J331</f>
        <v>0</v>
      </c>
      <c r="K314">
        <f>計算表!K331</f>
        <v>0</v>
      </c>
      <c r="L314">
        <f>計算表!L331</f>
        <v>0</v>
      </c>
      <c r="M314">
        <f>計算表!M331</f>
        <v>0</v>
      </c>
      <c r="N314">
        <f>計算表!N331</f>
        <v>0</v>
      </c>
      <c r="O314">
        <f>計算表!O331</f>
        <v>0</v>
      </c>
      <c r="P314">
        <f>計算表!P331</f>
        <v>0</v>
      </c>
      <c r="Q314">
        <f>計算表!Q331</f>
        <v>0</v>
      </c>
      <c r="R314">
        <f>計算表!R331</f>
        <v>0</v>
      </c>
    </row>
    <row r="315" spans="1:18" x14ac:dyDescent="0.25">
      <c r="A315">
        <f>計算表!A332</f>
        <v>335</v>
      </c>
      <c r="B315">
        <f>計算表!B332</f>
        <v>0</v>
      </c>
      <c r="C315" t="str">
        <f>計算表!C332</f>
        <v>4-菁英群組</v>
      </c>
      <c r="D315" t="str">
        <f>計算表!D332</f>
        <v>普通關菁英機率(沼澤)</v>
      </c>
      <c r="E315" t="str">
        <f>計算表!E332</f>
        <v>每波有 x% 機率改出菁英群</v>
      </c>
      <c r="F315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5" s="7" t="str">
        <f>計算表!G332</f>
        <v>{1~100,8}</v>
      </c>
      <c r="H315" s="7" t="str">
        <f>計算表!H332</f>
        <v>{101~9999,11}</v>
      </c>
      <c r="I315">
        <f>計算表!I332</f>
        <v>0</v>
      </c>
      <c r="J315">
        <f>計算表!J332</f>
        <v>0</v>
      </c>
      <c r="K315">
        <f>計算表!K332</f>
        <v>0</v>
      </c>
      <c r="L315">
        <f>計算表!L332</f>
        <v>0</v>
      </c>
      <c r="M315">
        <f>計算表!M332</f>
        <v>0</v>
      </c>
      <c r="N315">
        <f>計算表!N332</f>
        <v>0</v>
      </c>
      <c r="O315">
        <f>計算表!O332</f>
        <v>0</v>
      </c>
      <c r="P315">
        <f>計算表!P332</f>
        <v>0</v>
      </c>
      <c r="Q315">
        <f>計算表!Q332</f>
        <v>0</v>
      </c>
      <c r="R315">
        <f>計算表!R332</f>
        <v>0</v>
      </c>
    </row>
    <row r="316" spans="1:18" x14ac:dyDescent="0.25">
      <c r="A316">
        <f>計算表!A333</f>
        <v>336</v>
      </c>
      <c r="B316">
        <f>計算表!B333</f>
        <v>0</v>
      </c>
      <c r="C316" t="str">
        <f>計算表!C333</f>
        <v>4-菁英群組</v>
      </c>
      <c r="D316" t="str">
        <f>計算表!D333</f>
        <v>普通關菁英機率(亡靈山脈)</v>
      </c>
      <c r="E316" t="str">
        <f>計算表!E333</f>
        <v>每波有 x% 機率改出菁英群</v>
      </c>
      <c r="F316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6" s="7" t="str">
        <f>計算表!G333</f>
        <v>{1~200,10}</v>
      </c>
      <c r="H316" s="7" t="str">
        <f>計算表!H333</f>
        <v>{201~9999,13}</v>
      </c>
      <c r="I316">
        <f>計算表!I333</f>
        <v>0</v>
      </c>
      <c r="J316">
        <f>計算表!J333</f>
        <v>0</v>
      </c>
      <c r="K316">
        <f>計算表!K333</f>
        <v>0</v>
      </c>
      <c r="L316">
        <f>計算表!L333</f>
        <v>0</v>
      </c>
      <c r="M316">
        <f>計算表!M333</f>
        <v>0</v>
      </c>
      <c r="N316">
        <f>計算表!N333</f>
        <v>0</v>
      </c>
      <c r="O316">
        <f>計算表!O333</f>
        <v>0</v>
      </c>
      <c r="P316">
        <f>計算表!P333</f>
        <v>0</v>
      </c>
      <c r="Q316">
        <f>計算表!Q333</f>
        <v>0</v>
      </c>
      <c r="R316">
        <f>計算表!R333</f>
        <v>0</v>
      </c>
    </row>
    <row r="317" spans="1:18" x14ac:dyDescent="0.25">
      <c r="A317">
        <f>計算表!A334</f>
        <v>337</v>
      </c>
      <c r="B317">
        <f>計算表!B334</f>
        <v>0</v>
      </c>
      <c r="C317" t="str">
        <f>計算表!C334</f>
        <v>4-菁英群組</v>
      </c>
      <c r="D317" t="str">
        <f>計算表!D334</f>
        <v>普通關菁英機率(其他地圖)</v>
      </c>
      <c r="E317" t="str">
        <f>計算表!E334</f>
        <v>每波有 x% 機率改出菁英群</v>
      </c>
      <c r="F317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7" s="7" t="str">
        <f>計算表!G334</f>
        <v>{1~9999,12}</v>
      </c>
      <c r="H317">
        <f>計算表!H334</f>
        <v>0</v>
      </c>
      <c r="I317">
        <f>計算表!I334</f>
        <v>0</v>
      </c>
      <c r="J317">
        <f>計算表!J334</f>
        <v>0</v>
      </c>
      <c r="K317">
        <f>計算表!K334</f>
        <v>0</v>
      </c>
      <c r="L317">
        <f>計算表!L334</f>
        <v>0</v>
      </c>
      <c r="M317">
        <f>計算表!M334</f>
        <v>0</v>
      </c>
      <c r="N317">
        <f>計算表!N334</f>
        <v>0</v>
      </c>
      <c r="O317">
        <f>計算表!O334</f>
        <v>0</v>
      </c>
      <c r="P317">
        <f>計算表!P334</f>
        <v>0</v>
      </c>
      <c r="Q317">
        <f>計算表!Q334</f>
        <v>0</v>
      </c>
      <c r="R317">
        <f>計算表!R334</f>
        <v>0</v>
      </c>
    </row>
    <row r="318" spans="1:18" x14ac:dyDescent="0.25">
      <c r="A318">
        <f>計算表!A335</f>
        <v>338</v>
      </c>
      <c r="B318">
        <f>計算表!B335</f>
        <v>0</v>
      </c>
      <c r="C318" t="str">
        <f>計算表!C335</f>
        <v>4-菁英群組</v>
      </c>
      <c r="D318" t="str">
        <f>計算表!D335</f>
        <v>群組成員數權重(荒漠)</v>
      </c>
      <c r="E318" t="str">
        <f>計算表!E335</f>
        <v>權重表：{關卡下限~上限,隻數,權重}</v>
      </c>
      <c r="F318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18" s="7" t="str">
        <f>計算表!G335</f>
        <v>{1~100,2,60}</v>
      </c>
      <c r="H318" s="7" t="str">
        <f>計算表!H335</f>
        <v>{1~100,3,30}</v>
      </c>
      <c r="I318" s="7" t="str">
        <f>計算表!I335</f>
        <v>{1~100,4,10}</v>
      </c>
      <c r="J318" s="7" t="str">
        <f>計算表!J335</f>
        <v>{101~9999,2,40}</v>
      </c>
      <c r="K318" s="7" t="str">
        <f>計算表!K335</f>
        <v>{101~9999,3,40}</v>
      </c>
      <c r="L318" s="7" t="str">
        <f>計算表!L335</f>
        <v>{101~9999,4,20}</v>
      </c>
      <c r="M318">
        <f>計算表!M335</f>
        <v>0</v>
      </c>
      <c r="N318">
        <f>計算表!N335</f>
        <v>0</v>
      </c>
      <c r="O318">
        <f>計算表!O335</f>
        <v>0</v>
      </c>
      <c r="P318">
        <f>計算表!P335</f>
        <v>0</v>
      </c>
      <c r="Q318">
        <f>計算表!Q335</f>
        <v>0</v>
      </c>
      <c r="R318">
        <f>計算表!R335</f>
        <v>0</v>
      </c>
    </row>
    <row r="319" spans="1:18" x14ac:dyDescent="0.25">
      <c r="A319">
        <f>計算表!A336</f>
        <v>339</v>
      </c>
      <c r="B319">
        <f>計算表!B336</f>
        <v>0</v>
      </c>
      <c r="C319" t="str">
        <f>計算表!C336</f>
        <v>4-菁英群組</v>
      </c>
      <c r="D319" t="str">
        <f>計算表!D336</f>
        <v>群組成員數權重(冰原)</v>
      </c>
      <c r="E319" t="str">
        <f>計算表!E336</f>
        <v>權重表：{關卡下限~上限,隻數,權重}</v>
      </c>
      <c r="F319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19" s="7" t="str">
        <f>計算表!G336</f>
        <v>{1~9999,2,50}</v>
      </c>
      <c r="H319" s="7" t="str">
        <f>計算表!H336</f>
        <v>{1~9999,3,35}</v>
      </c>
      <c r="I319" s="7" t="str">
        <f>計算表!I336</f>
        <v>{1~9999,4,15}</v>
      </c>
      <c r="J319">
        <f>計算表!J336</f>
        <v>0</v>
      </c>
      <c r="K319">
        <f>計算表!K336</f>
        <v>0</v>
      </c>
      <c r="L319">
        <f>計算表!L336</f>
        <v>0</v>
      </c>
      <c r="M319">
        <f>計算表!M336</f>
        <v>0</v>
      </c>
      <c r="N319">
        <f>計算表!N336</f>
        <v>0</v>
      </c>
      <c r="O319">
        <f>計算表!O336</f>
        <v>0</v>
      </c>
      <c r="P319">
        <f>計算表!P336</f>
        <v>0</v>
      </c>
      <c r="Q319">
        <f>計算表!Q336</f>
        <v>0</v>
      </c>
      <c r="R319">
        <f>計算表!R336</f>
        <v>0</v>
      </c>
    </row>
    <row r="320" spans="1:18" x14ac:dyDescent="0.25">
      <c r="A320">
        <f>計算表!A337</f>
        <v>340</v>
      </c>
      <c r="B320">
        <f>計算表!B337</f>
        <v>0</v>
      </c>
      <c r="C320" t="str">
        <f>計算表!C337</f>
        <v>4-菁英群組</v>
      </c>
      <c r="D320" t="str">
        <f>計算表!D337</f>
        <v>群組成員數權重(沼澤)</v>
      </c>
      <c r="E320" t="str">
        <f>計算表!E337</f>
        <v>權重表：{關卡下限~上限,隻數,權重}</v>
      </c>
      <c r="F320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0" s="7" t="str">
        <f>計算表!G337</f>
        <v>{1~9999,2,40}</v>
      </c>
      <c r="H320" s="7" t="str">
        <f>計算表!H337</f>
        <v>{1~9999,3,40}</v>
      </c>
      <c r="I320" s="7" t="str">
        <f>計算表!I337</f>
        <v>{1~9999,4,20}</v>
      </c>
      <c r="J320">
        <f>計算表!J337</f>
        <v>0</v>
      </c>
      <c r="K320">
        <f>計算表!K337</f>
        <v>0</v>
      </c>
      <c r="L320">
        <f>計算表!L337</f>
        <v>0</v>
      </c>
      <c r="M320">
        <f>計算表!M337</f>
        <v>0</v>
      </c>
      <c r="N320">
        <f>計算表!N337</f>
        <v>0</v>
      </c>
      <c r="O320">
        <f>計算表!O337</f>
        <v>0</v>
      </c>
      <c r="P320">
        <f>計算表!P337</f>
        <v>0</v>
      </c>
      <c r="Q320">
        <f>計算表!Q337</f>
        <v>0</v>
      </c>
      <c r="R320">
        <f>計算表!R337</f>
        <v>0</v>
      </c>
    </row>
    <row r="321" spans="1:18" x14ac:dyDescent="0.25">
      <c r="A321">
        <f>計算表!A338</f>
        <v>341</v>
      </c>
      <c r="B321">
        <f>計算表!B338</f>
        <v>0</v>
      </c>
      <c r="C321" t="str">
        <f>計算表!C338</f>
        <v>4-菁英群組</v>
      </c>
      <c r="D321" t="str">
        <f>計算表!D338</f>
        <v>群組成員數權重(亡靈山脈)</v>
      </c>
      <c r="E321" t="str">
        <f>計算表!E338</f>
        <v>權重表：{關卡下限~上限,隻數,權重}</v>
      </c>
      <c r="F321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1" s="7" t="str">
        <f>計算表!G338</f>
        <v>{1~9999,2,30}</v>
      </c>
      <c r="H321" s="7" t="str">
        <f>計算表!H338</f>
        <v>{1~9999,3,40}</v>
      </c>
      <c r="I321" s="7" t="str">
        <f>計算表!I338</f>
        <v>{1~9999,4,30}</v>
      </c>
      <c r="J321">
        <f>計算表!J338</f>
        <v>0</v>
      </c>
      <c r="K321">
        <f>計算表!K338</f>
        <v>0</v>
      </c>
      <c r="L321">
        <f>計算表!L338</f>
        <v>0</v>
      </c>
      <c r="M321">
        <f>計算表!M338</f>
        <v>0</v>
      </c>
      <c r="N321">
        <f>計算表!N338</f>
        <v>0</v>
      </c>
      <c r="O321">
        <f>計算表!O338</f>
        <v>0</v>
      </c>
      <c r="P321">
        <f>計算表!P338</f>
        <v>0</v>
      </c>
      <c r="Q321">
        <f>計算表!Q338</f>
        <v>0</v>
      </c>
      <c r="R321">
        <f>計算表!R338</f>
        <v>0</v>
      </c>
    </row>
    <row r="322" spans="1:18" x14ac:dyDescent="0.25">
      <c r="A322">
        <f>計算表!A339</f>
        <v>342</v>
      </c>
      <c r="B322">
        <f>計算表!B339</f>
        <v>0</v>
      </c>
      <c r="C322" t="str">
        <f>計算表!C339</f>
        <v>4-菁英群組</v>
      </c>
      <c r="D322" t="str">
        <f>計算表!D339</f>
        <v>群組成員數權重(其他地圖)</v>
      </c>
      <c r="E322" t="str">
        <f>計算表!E339</f>
        <v>權重表：{關卡下限~上限,隻數,權重}</v>
      </c>
      <c r="F322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2" s="7" t="str">
        <f>計算表!G339</f>
        <v>{1~9999,2,25}</v>
      </c>
      <c r="H322" s="7" t="str">
        <f>計算表!H339</f>
        <v>{1~9999,3,40}</v>
      </c>
      <c r="I322" s="7" t="str">
        <f>計算表!I339</f>
        <v>{1~9999,4,35}</v>
      </c>
      <c r="J322">
        <f>計算表!J339</f>
        <v>0</v>
      </c>
      <c r="K322">
        <f>計算表!K339</f>
        <v>0</v>
      </c>
      <c r="L322">
        <f>計算表!L339</f>
        <v>0</v>
      </c>
      <c r="M322">
        <f>計算表!M339</f>
        <v>0</v>
      </c>
      <c r="N322">
        <f>計算表!N339</f>
        <v>0</v>
      </c>
      <c r="O322">
        <f>計算表!O339</f>
        <v>0</v>
      </c>
      <c r="P322">
        <f>計算表!P339</f>
        <v>0</v>
      </c>
      <c r="Q322">
        <f>計算表!Q339</f>
        <v>0</v>
      </c>
      <c r="R322">
        <f>計算表!R339</f>
        <v>0</v>
      </c>
    </row>
    <row r="323" spans="1:18" x14ac:dyDescent="0.25">
      <c r="A323">
        <f>計算表!A340</f>
        <v>343</v>
      </c>
      <c r="B323">
        <f>計算表!B340</f>
        <v>0</v>
      </c>
      <c r="C323" t="str">
        <f>計算表!C340</f>
        <v>4-菁英群組</v>
      </c>
      <c r="D323" t="str">
        <f>計算表!D340</f>
        <v>純菁英群機率(荒漠)</v>
      </c>
      <c r="E323" t="str">
        <f>計算表!E340</f>
        <v>全員菁英的機率 x%，其餘為菁英帶小兵</v>
      </c>
      <c r="F323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計算表!G340</f>
        <v>{1~100,15}</v>
      </c>
      <c r="H323" s="7" t="str">
        <f>計算表!H340</f>
        <v>{101~9999,30}</v>
      </c>
      <c r="I323">
        <f>計算表!I340</f>
        <v>0</v>
      </c>
      <c r="J323">
        <f>計算表!J340</f>
        <v>0</v>
      </c>
      <c r="K323">
        <f>計算表!K340</f>
        <v>0</v>
      </c>
      <c r="L323">
        <f>計算表!L340</f>
        <v>0</v>
      </c>
      <c r="M323">
        <f>計算表!M340</f>
        <v>0</v>
      </c>
      <c r="N323">
        <f>計算表!N340</f>
        <v>0</v>
      </c>
      <c r="O323">
        <f>計算表!O340</f>
        <v>0</v>
      </c>
      <c r="P323">
        <f>計算表!P340</f>
        <v>0</v>
      </c>
      <c r="Q323">
        <f>計算表!Q340</f>
        <v>0</v>
      </c>
      <c r="R323">
        <f>計算表!R340</f>
        <v>0</v>
      </c>
    </row>
    <row r="324" spans="1:18" x14ac:dyDescent="0.25">
      <c r="A324">
        <f>計算表!A341</f>
        <v>344</v>
      </c>
      <c r="B324">
        <f>計算表!B341</f>
        <v>0</v>
      </c>
      <c r="C324" t="str">
        <f>計算表!C341</f>
        <v>4-菁英群組</v>
      </c>
      <c r="D324" t="str">
        <f>計算表!D341</f>
        <v>純菁英群機率(冰原)</v>
      </c>
      <c r="E324" t="str">
        <f>計算表!E341</f>
        <v>全員菁英的機率 x%，其餘為菁英帶小兵</v>
      </c>
      <c r="F324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計算表!G341</f>
        <v>{1~100,25}</v>
      </c>
      <c r="H324" s="7" t="str">
        <f>計算表!H341</f>
        <v>{101~9999,35}</v>
      </c>
      <c r="I324">
        <f>計算表!I341</f>
        <v>0</v>
      </c>
      <c r="J324">
        <f>計算表!J341</f>
        <v>0</v>
      </c>
      <c r="K324">
        <f>計算表!K341</f>
        <v>0</v>
      </c>
      <c r="L324">
        <f>計算表!L341</f>
        <v>0</v>
      </c>
      <c r="M324">
        <f>計算表!M341</f>
        <v>0</v>
      </c>
      <c r="N324">
        <f>計算表!N341</f>
        <v>0</v>
      </c>
      <c r="O324">
        <f>計算表!O341</f>
        <v>0</v>
      </c>
      <c r="P324">
        <f>計算表!P341</f>
        <v>0</v>
      </c>
      <c r="Q324">
        <f>計算表!Q341</f>
        <v>0</v>
      </c>
      <c r="R324">
        <f>計算表!R341</f>
        <v>0</v>
      </c>
    </row>
    <row r="325" spans="1:18" x14ac:dyDescent="0.25">
      <c r="A325">
        <f>計算表!A342</f>
        <v>345</v>
      </c>
      <c r="B325">
        <f>計算表!B342</f>
        <v>0</v>
      </c>
      <c r="C325" t="str">
        <f>計算表!C342</f>
        <v>4-菁英群組</v>
      </c>
      <c r="D325" t="str">
        <f>計算表!D342</f>
        <v>純菁英群機率(沼澤)</v>
      </c>
      <c r="E325" t="str">
        <f>計算表!E342</f>
        <v>全員菁英的機率 x%，其餘為菁英帶小兵</v>
      </c>
      <c r="F325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計算表!G342</f>
        <v>{1~9999,35}</v>
      </c>
      <c r="H325">
        <f>計算表!H342</f>
        <v>0</v>
      </c>
      <c r="I325">
        <f>計算表!I342</f>
        <v>0</v>
      </c>
      <c r="J325">
        <f>計算表!J342</f>
        <v>0</v>
      </c>
      <c r="K325">
        <f>計算表!K342</f>
        <v>0</v>
      </c>
      <c r="L325">
        <f>計算表!L342</f>
        <v>0</v>
      </c>
      <c r="M325">
        <f>計算表!M342</f>
        <v>0</v>
      </c>
      <c r="N325">
        <f>計算表!N342</f>
        <v>0</v>
      </c>
      <c r="O325">
        <f>計算表!O342</f>
        <v>0</v>
      </c>
      <c r="P325">
        <f>計算表!P342</f>
        <v>0</v>
      </c>
      <c r="Q325">
        <f>計算表!Q342</f>
        <v>0</v>
      </c>
      <c r="R325">
        <f>計算表!R342</f>
        <v>0</v>
      </c>
    </row>
    <row r="326" spans="1:18" x14ac:dyDescent="0.25">
      <c r="A326">
        <f>計算表!A343</f>
        <v>346</v>
      </c>
      <c r="B326">
        <f>計算表!B343</f>
        <v>0</v>
      </c>
      <c r="C326" t="str">
        <f>計算表!C343</f>
        <v>4-菁英群組</v>
      </c>
      <c r="D326" t="str">
        <f>計算表!D343</f>
        <v>純菁英群機率(亡靈山脈)</v>
      </c>
      <c r="E326" t="str">
        <f>計算表!E343</f>
        <v>全員菁英的機率 x%，其餘為菁英帶小兵</v>
      </c>
      <c r="F326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計算表!G343</f>
        <v>{1~9999,45}</v>
      </c>
      <c r="H326">
        <f>計算表!H343</f>
        <v>0</v>
      </c>
      <c r="I326">
        <f>計算表!I343</f>
        <v>0</v>
      </c>
      <c r="J326">
        <f>計算表!J343</f>
        <v>0</v>
      </c>
      <c r="K326">
        <f>計算表!K343</f>
        <v>0</v>
      </c>
      <c r="L326">
        <f>計算表!L343</f>
        <v>0</v>
      </c>
      <c r="M326">
        <f>計算表!M343</f>
        <v>0</v>
      </c>
      <c r="N326">
        <f>計算表!N343</f>
        <v>0</v>
      </c>
      <c r="O326">
        <f>計算表!O343</f>
        <v>0</v>
      </c>
      <c r="P326">
        <f>計算表!P343</f>
        <v>0</v>
      </c>
      <c r="Q326">
        <f>計算表!Q343</f>
        <v>0</v>
      </c>
      <c r="R326">
        <f>計算表!R343</f>
        <v>0</v>
      </c>
    </row>
    <row r="327" spans="1:18" x14ac:dyDescent="0.25">
      <c r="A327">
        <f>計算表!A344</f>
        <v>347</v>
      </c>
      <c r="B327">
        <f>計算表!B344</f>
        <v>0</v>
      </c>
      <c r="C327" t="str">
        <f>計算表!C344</f>
        <v>4-菁英群組</v>
      </c>
      <c r="D327" t="str">
        <f>計算表!D344</f>
        <v>純菁英群機率(其他地圖)</v>
      </c>
      <c r="E327" t="str">
        <f>計算表!E344</f>
        <v>全員菁英的機率 x%，其餘為菁英帶小兵</v>
      </c>
      <c r="F327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計算表!G344</f>
        <v>{1~9999,55}</v>
      </c>
      <c r="H327">
        <f>計算表!H344</f>
        <v>0</v>
      </c>
      <c r="I327">
        <f>計算表!I344</f>
        <v>0</v>
      </c>
      <c r="J327">
        <f>計算表!J344</f>
        <v>0</v>
      </c>
      <c r="K327">
        <f>計算表!K344</f>
        <v>0</v>
      </c>
      <c r="L327">
        <f>計算表!L344</f>
        <v>0</v>
      </c>
      <c r="M327">
        <f>計算表!M344</f>
        <v>0</v>
      </c>
      <c r="N327">
        <f>計算表!N344</f>
        <v>0</v>
      </c>
      <c r="O327">
        <f>計算表!O344</f>
        <v>0</v>
      </c>
      <c r="P327">
        <f>計算表!P344</f>
        <v>0</v>
      </c>
      <c r="Q327">
        <f>計算表!Q344</f>
        <v>0</v>
      </c>
      <c r="R327">
        <f>計算表!R344</f>
        <v>0</v>
      </c>
    </row>
    <row r="328" spans="1:18" x14ac:dyDescent="0.25">
      <c r="A328">
        <f>計算表!A345</f>
        <v>348</v>
      </c>
      <c r="B328">
        <f>計算表!B345</f>
        <v>0</v>
      </c>
      <c r="C328" t="str">
        <f>計算表!C345</f>
        <v>4-菁英群組</v>
      </c>
      <c r="D328" t="str">
        <f>計算表!D345</f>
        <v>普通關菁英群數量權重</v>
      </c>
      <c r="E328" t="str">
        <f>計算表!E345</f>
        <v>權重表：{群數,權重}</v>
      </c>
      <c r="F328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28" s="7" t="str">
        <f>計算表!G345</f>
        <v>{1,75}</v>
      </c>
      <c r="H328" s="7" t="str">
        <f>計算表!H345</f>
        <v>{2,22}</v>
      </c>
      <c r="I328" s="7" t="str">
        <f>計算表!I345</f>
        <v>{3,3}</v>
      </c>
      <c r="J328">
        <f>計算表!J345</f>
        <v>0</v>
      </c>
      <c r="K328">
        <f>計算表!K345</f>
        <v>0</v>
      </c>
      <c r="L328">
        <f>計算表!L345</f>
        <v>0</v>
      </c>
      <c r="M328">
        <f>計算表!M345</f>
        <v>0</v>
      </c>
      <c r="N328">
        <f>計算表!N345</f>
        <v>0</v>
      </c>
      <c r="O328">
        <f>計算表!O345</f>
        <v>0</v>
      </c>
      <c r="P328">
        <f>計算表!P345</f>
        <v>0</v>
      </c>
      <c r="Q328">
        <f>計算表!Q345</f>
        <v>0</v>
      </c>
      <c r="R328">
        <f>計算表!R345</f>
        <v>0</v>
      </c>
    </row>
    <row r="329" spans="1:18" x14ac:dyDescent="0.25">
      <c r="A329">
        <f>計算表!A346</f>
        <v>349</v>
      </c>
      <c r="B329">
        <f>計算表!B346</f>
        <v>0</v>
      </c>
      <c r="C329" t="str">
        <f>計算表!C346</f>
        <v>4-菁英群組</v>
      </c>
      <c r="D329" t="str">
        <f>計算表!D346</f>
        <v>菁英技能數量權重</v>
      </c>
      <c r="E329" t="str">
        <f>計算表!E346</f>
        <v>權重表：{關卡下限~上限,1個,2個,3個}</v>
      </c>
      <c r="F329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29" s="7" t="str">
        <f>計算表!G346</f>
        <v>{1~100,70,28,2}</v>
      </c>
      <c r="H329" s="7" t="str">
        <f>計算表!H346</f>
        <v>{101~300,45,45,10}</v>
      </c>
      <c r="I329" s="7" t="str">
        <f>計算表!I346</f>
        <v>{301~9999,25,50,25}</v>
      </c>
      <c r="J329">
        <f>計算表!J346</f>
        <v>0</v>
      </c>
      <c r="K329">
        <f>計算表!K346</f>
        <v>0</v>
      </c>
      <c r="L329">
        <f>計算表!L346</f>
        <v>0</v>
      </c>
      <c r="M329">
        <f>計算表!M346</f>
        <v>0</v>
      </c>
      <c r="N329">
        <f>計算表!N346</f>
        <v>0</v>
      </c>
      <c r="O329">
        <f>計算表!O346</f>
        <v>0</v>
      </c>
      <c r="P329">
        <f>計算表!P346</f>
        <v>0</v>
      </c>
      <c r="Q329">
        <f>計算表!Q346</f>
        <v>0</v>
      </c>
      <c r="R329">
        <f>計算表!R346</f>
        <v>0</v>
      </c>
    </row>
    <row r="330" spans="1:18" x14ac:dyDescent="0.25">
      <c r="A330">
        <f>計算表!A347</f>
        <v>350</v>
      </c>
      <c r="B330">
        <f>計算表!B347</f>
        <v>0</v>
      </c>
      <c r="C330" t="str">
        <f>計算表!C347</f>
        <v>4-菁英群組</v>
      </c>
      <c r="D330" t="str">
        <f>計算表!D347</f>
        <v>混合群與小兵</v>
      </c>
      <c r="E330" t="str">
        <f>計算表!E347</f>
        <v>帶隊菁英 a 隻；小兵生命×b 攻擊×c 金幣經驗×d</v>
      </c>
      <c r="F330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30">
        <f>計算表!G347</f>
        <v>1</v>
      </c>
      <c r="H330">
        <f>計算表!H347</f>
        <v>1</v>
      </c>
      <c r="I330">
        <f>計算表!I347</f>
        <v>1</v>
      </c>
      <c r="J330">
        <f>計算表!J347</f>
        <v>1</v>
      </c>
      <c r="K330">
        <f>計算表!K347</f>
        <v>0</v>
      </c>
      <c r="L330">
        <f>計算表!L347</f>
        <v>0</v>
      </c>
      <c r="M330">
        <f>計算表!M347</f>
        <v>0</v>
      </c>
      <c r="N330">
        <f>計算表!N347</f>
        <v>0</v>
      </c>
      <c r="O330">
        <f>計算表!O347</f>
        <v>0</v>
      </c>
      <c r="P330">
        <f>計算表!P347</f>
        <v>0</v>
      </c>
      <c r="Q330">
        <f>計算表!Q347</f>
        <v>0</v>
      </c>
      <c r="R330">
        <f>計算表!R347</f>
        <v>0</v>
      </c>
    </row>
    <row r="331" spans="1:18" x14ac:dyDescent="0.25">
      <c r="A331">
        <f>計算表!A348</f>
        <v>351</v>
      </c>
      <c r="B331">
        <f>計算表!B348</f>
        <v>0</v>
      </c>
      <c r="C331" t="str">
        <f>計算表!C348</f>
        <v>4-菁英群組</v>
      </c>
      <c r="D331" t="str">
        <f>計算表!D348</f>
        <v>菁英技能全域設定</v>
      </c>
      <c r="E331" t="str">
        <f>計算表!E348</f>
        <v>傷害×a% 冷卻×b%；首次施放≤c 秒；場域上限 d；召喚上限 e；鏈結連線 f</v>
      </c>
      <c r="F331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1">
        <f>計算表!G348</f>
        <v>100</v>
      </c>
      <c r="H331">
        <f>計算表!H348</f>
        <v>100</v>
      </c>
      <c r="I331">
        <f>計算表!I348</f>
        <v>3.5</v>
      </c>
      <c r="J331" s="7" t="s">
        <v>1176</v>
      </c>
      <c r="K331">
        <f>計算表!K348</f>
        <v>10</v>
      </c>
      <c r="L331">
        <f>計算表!L348</f>
        <v>1</v>
      </c>
      <c r="M331">
        <f>計算表!M348</f>
        <v>0</v>
      </c>
      <c r="N331">
        <f>計算表!N348</f>
        <v>0</v>
      </c>
      <c r="O331">
        <f>計算表!O348</f>
        <v>0</v>
      </c>
      <c r="P331">
        <f>計算表!P348</f>
        <v>0</v>
      </c>
      <c r="Q331">
        <f>計算表!Q348</f>
        <v>0</v>
      </c>
      <c r="R331">
        <f>計算表!R348</f>
        <v>0</v>
      </c>
    </row>
    <row r="332" spans="1:18" x14ac:dyDescent="0.25">
      <c r="A332">
        <f>計算表!A349</f>
        <v>352</v>
      </c>
      <c r="B332">
        <f>計算表!B349</f>
        <v>0</v>
      </c>
      <c r="C332" t="str">
        <f>計算表!C349</f>
        <v>8-戰鬥畫面</v>
      </c>
      <c r="D332" t="str">
        <f>計算表!D349</f>
        <v>戰鬥鏡頭距離</v>
      </c>
      <c r="E332" t="str">
        <f>計算表!E349</f>
        <v>鏡頭距離=a%；畫面縮放=100÷a</v>
      </c>
      <c r="F332" t="str">
        <f>計算表!F349</f>
        <v>a＝相對原鏡頭距離（%）。100＝原距離；125＝拉遠25%；數值越大視野越廣。套用後重載遊戲，影響野外與BOSS畫面。</v>
      </c>
      <c r="G332">
        <f>計算表!G349</f>
        <v>125</v>
      </c>
      <c r="H332">
        <f>計算表!H349</f>
        <v>0</v>
      </c>
      <c r="I332">
        <f>計算表!I349</f>
        <v>0</v>
      </c>
      <c r="J332">
        <f>計算表!J349</f>
        <v>0</v>
      </c>
      <c r="K332">
        <f>計算表!K349</f>
        <v>0</v>
      </c>
      <c r="L332">
        <f>計算表!L349</f>
        <v>0</v>
      </c>
      <c r="M332">
        <f>計算表!M349</f>
        <v>0</v>
      </c>
      <c r="N332">
        <f>計算表!N349</f>
        <v>0</v>
      </c>
      <c r="O332">
        <f>計算表!O349</f>
        <v>0</v>
      </c>
      <c r="P332">
        <f>計算表!P349</f>
        <v>0</v>
      </c>
      <c r="Q332">
        <f>計算表!Q349</f>
        <v>0</v>
      </c>
      <c r="R332">
        <f>計算表!R349</f>
        <v>0</v>
      </c>
    </row>
    <row r="333" spans="1:18" x14ac:dyDescent="0.25">
      <c r="A333">
        <f>計算表!A350</f>
        <v>353</v>
      </c>
      <c r="B333">
        <f>計算表!B350</f>
        <v>0</v>
      </c>
      <c r="C333" t="str">
        <f>計算表!C350</f>
        <v>4-菁英群組</v>
      </c>
      <c r="D333" t="str">
        <f>計算表!D350</f>
        <v>高級菁英機率</v>
      </c>
      <c r="E333" t="str">
        <f>計算表!E350</f>
        <v>每隻菁英有 a% 機率升級成高級菁英（普通關）；菁英關 b%</v>
      </c>
      <c r="F333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3">
        <f>計算表!G350</f>
        <v>6</v>
      </c>
      <c r="H333">
        <f>計算表!H350</f>
        <v>20</v>
      </c>
      <c r="I333">
        <f>計算表!I350</f>
        <v>0</v>
      </c>
      <c r="J333">
        <f>計算表!J350</f>
        <v>0</v>
      </c>
      <c r="K333">
        <f>計算表!K350</f>
        <v>0</v>
      </c>
      <c r="L333">
        <f>計算表!L350</f>
        <v>0</v>
      </c>
      <c r="M333">
        <f>計算表!M350</f>
        <v>0</v>
      </c>
      <c r="N333">
        <f>計算表!N350</f>
        <v>0</v>
      </c>
      <c r="O333">
        <f>計算表!O350</f>
        <v>0</v>
      </c>
      <c r="P333">
        <f>計算表!P350</f>
        <v>0</v>
      </c>
      <c r="Q333">
        <f>計算表!Q350</f>
        <v>0</v>
      </c>
      <c r="R333">
        <f>計算表!R350</f>
        <v>0</v>
      </c>
    </row>
    <row r="334" spans="1:18" x14ac:dyDescent="0.25">
      <c r="A334">
        <f>計算表!A351</f>
        <v>354</v>
      </c>
      <c r="B334">
        <f>計算表!B351</f>
        <v>0</v>
      </c>
      <c r="C334" t="str">
        <f>計算表!C351</f>
        <v>4-菁英群組</v>
      </c>
      <c r="D334" t="str">
        <f>計算表!D351</f>
        <v>高級菁英倍率</v>
      </c>
      <c r="E334" t="str">
        <f>計算表!E351</f>
        <v>生命×a 攻擊×b 金幣經驗×c（相對同階段普通怪）</v>
      </c>
      <c r="F334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4">
        <f>計算表!G351</f>
        <v>8</v>
      </c>
      <c r="H334">
        <f>計算表!H351</f>
        <v>3</v>
      </c>
      <c r="I334">
        <f>計算表!I351</f>
        <v>4</v>
      </c>
      <c r="J334">
        <f>計算表!J351</f>
        <v>0</v>
      </c>
      <c r="K334">
        <f>計算表!K351</f>
        <v>0</v>
      </c>
      <c r="L334">
        <f>計算表!L351</f>
        <v>0</v>
      </c>
      <c r="M334">
        <f>計算表!M351</f>
        <v>0</v>
      </c>
      <c r="N334">
        <f>計算表!N351</f>
        <v>0</v>
      </c>
      <c r="O334">
        <f>計算表!O351</f>
        <v>0</v>
      </c>
      <c r="P334">
        <f>計算表!P351</f>
        <v>0</v>
      </c>
      <c r="Q334">
        <f>計算表!Q351</f>
        <v>0</v>
      </c>
      <c r="R334">
        <f>計算表!R351</f>
        <v>0</v>
      </c>
    </row>
    <row r="335" spans="1:18" x14ac:dyDescent="0.25">
      <c r="A335">
        <f>計算表!A352</f>
        <v>355</v>
      </c>
      <c r="B335">
        <f>計算表!B352</f>
        <v>0</v>
      </c>
      <c r="C335" t="str">
        <f>計算表!C352</f>
        <v>4-菁英群組</v>
      </c>
      <c r="D335" t="str">
        <f>計算表!D352</f>
        <v>敵人體型倍率</v>
      </c>
      <c r="E335" t="str">
        <f>計算表!E352</f>
        <v>菁英×a 高級菁英×b 野外BOSS×c 封魔塔BOSS d~e（相對普通敵人）</v>
      </c>
      <c r="F335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35">
        <f>計算表!G352</f>
        <v>1.6</v>
      </c>
      <c r="H335">
        <f>計算表!H352</f>
        <v>2.2000000000000002</v>
      </c>
      <c r="I335">
        <f>計算表!I352</f>
        <v>3.4</v>
      </c>
      <c r="J335">
        <f>計算表!J352</f>
        <v>5</v>
      </c>
      <c r="K335">
        <f>計算表!K352</f>
        <v>7</v>
      </c>
      <c r="L335">
        <f>計算表!L352</f>
        <v>0</v>
      </c>
      <c r="M335">
        <f>計算表!M352</f>
        <v>0</v>
      </c>
      <c r="N335">
        <f>計算表!N352</f>
        <v>0</v>
      </c>
      <c r="O335">
        <f>計算表!O352</f>
        <v>0</v>
      </c>
      <c r="P335">
        <f>計算表!P352</f>
        <v>0</v>
      </c>
      <c r="Q335">
        <f>計算表!Q352</f>
        <v>0</v>
      </c>
      <c r="R335">
        <f>計算表!R352</f>
        <v>0</v>
      </c>
    </row>
    <row r="336" spans="1:18" x14ac:dyDescent="0.25">
      <c r="A336">
        <f>計算表!A353</f>
        <v>356</v>
      </c>
      <c r="B336">
        <f>計算表!B353</f>
        <v>0</v>
      </c>
      <c r="C336" t="str">
        <f>計算表!C353</f>
        <v>4-菁英群組</v>
      </c>
      <c r="D336" t="str">
        <f>計算表!D353</f>
        <v>跑位設定</v>
      </c>
      <c r="E336" t="str">
        <f>計算表!E353</f>
        <v>菁英、高級菁英、野外 BOSS、封魔塔 BOSS 每 a~b 秒換一次位置</v>
      </c>
      <c r="F336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36">
        <f>計算表!G353</f>
        <v>4</v>
      </c>
      <c r="H336">
        <f>計算表!H353</f>
        <v>8</v>
      </c>
      <c r="I336">
        <f>計算表!I353</f>
        <v>1.6</v>
      </c>
      <c r="J336">
        <f>計算表!J353</f>
        <v>0</v>
      </c>
      <c r="K336">
        <f>計算表!K353</f>
        <v>0</v>
      </c>
      <c r="L336">
        <f>計算表!L353</f>
        <v>0</v>
      </c>
      <c r="M336">
        <f>計算表!M353</f>
        <v>0</v>
      </c>
      <c r="N336">
        <f>計算表!N353</f>
        <v>0</v>
      </c>
      <c r="O336">
        <f>計算表!O353</f>
        <v>0</v>
      </c>
      <c r="P336">
        <f>計算表!P353</f>
        <v>0</v>
      </c>
      <c r="Q336">
        <f>計算表!Q353</f>
        <v>0</v>
      </c>
      <c r="R336">
        <f>計算表!R353</f>
        <v>0</v>
      </c>
    </row>
    <row r="337" spans="1:18" x14ac:dyDescent="0.25">
      <c r="A337">
        <f>計算表!A354</f>
        <v>357</v>
      </c>
      <c r="B337">
        <f>計算表!B354</f>
        <v>0</v>
      </c>
      <c r="C337" t="str">
        <f>計算表!C354</f>
        <v>4-遠方怪群</v>
      </c>
      <c r="D337" t="str">
        <f>計算表!D354</f>
        <v>預先生成</v>
      </c>
      <c r="E337" t="str">
        <f>計算表!E354</f>
        <v>格點間距a米；預載b米內／c米外；隨機f～d群，每群最多e隻</v>
      </c>
      <c r="F337" t="str">
        <f>計算表!F354</f>
        <v>初次隨機抽定群數，整群死亡後在遠方隨機空位補回。存活群保留，部分死亡不補單隻；與近身波次獨立，共用戰場總容量。</v>
      </c>
      <c r="G337">
        <f>計算表!G354</f>
        <v>100</v>
      </c>
      <c r="H337">
        <f>計算表!H354</f>
        <v>160</v>
      </c>
      <c r="I337">
        <f>計算表!I354</f>
        <v>70</v>
      </c>
      <c r="J337">
        <f>計算表!J354</f>
        <v>8</v>
      </c>
      <c r="K337">
        <f>計算表!K354</f>
        <v>4</v>
      </c>
      <c r="L337">
        <f>計算表!L354</f>
        <v>4</v>
      </c>
      <c r="M337">
        <f>計算表!M354</f>
        <v>0</v>
      </c>
      <c r="N337">
        <f>計算表!N354</f>
        <v>0</v>
      </c>
      <c r="O337">
        <f>計算表!O354</f>
        <v>0</v>
      </c>
      <c r="P337">
        <f>計算表!P354</f>
        <v>0</v>
      </c>
      <c r="Q337">
        <f>計算表!Q354</f>
        <v>0</v>
      </c>
      <c r="R337">
        <f>計算表!R354</f>
        <v>0</v>
      </c>
    </row>
    <row r="338" spans="1:18" x14ac:dyDescent="0.25">
      <c r="A338">
        <f>計算表!A355</f>
        <v>358</v>
      </c>
      <c r="B338">
        <f>計算表!B355</f>
        <v>0</v>
      </c>
      <c r="C338" t="str">
        <f>計算表!C355</f>
        <v>4-遠方怪群</v>
      </c>
      <c r="D338" t="str">
        <f>計算表!D355</f>
        <v>未警戒遊走</v>
      </c>
      <c r="E338" t="str">
        <f>計算表!E355</f>
        <v>出生點半徑a米內；跑速×b；到點停留c~d秒</v>
      </c>
      <c r="F338" t="str">
        <f>計算表!F355</f>
        <v>僅遠方預置怪群未發現玩家時生效。以各隻出生世界座標為固定中心隨機走停；玩家進入NPC視野或怪物受擊後停止遊走並追擊。</v>
      </c>
      <c r="G338">
        <f>計算表!G355</f>
        <v>8</v>
      </c>
      <c r="H338">
        <f>計算表!H355</f>
        <v>0.25</v>
      </c>
      <c r="I338">
        <f>計算表!I355</f>
        <v>0.8</v>
      </c>
      <c r="J338">
        <f>計算表!J355</f>
        <v>2.5</v>
      </c>
      <c r="K338">
        <f>計算表!K355</f>
        <v>0</v>
      </c>
      <c r="L338">
        <f>計算表!L355</f>
        <v>0</v>
      </c>
      <c r="M338">
        <f>計算表!M355</f>
        <v>0</v>
      </c>
      <c r="N338">
        <f>計算表!N355</f>
        <v>0</v>
      </c>
      <c r="O338">
        <f>計算表!O355</f>
        <v>0</v>
      </c>
      <c r="P338">
        <f>計算表!P355</f>
        <v>0</v>
      </c>
      <c r="Q338">
        <f>計算表!Q355</f>
        <v>0</v>
      </c>
      <c r="R338">
        <f>計算表!R355</f>
        <v>0</v>
      </c>
    </row>
    <row r="339" spans="1:18" x14ac:dyDescent="0.25">
      <c r="A339">
        <f>計算表!A356</f>
        <v>359</v>
      </c>
      <c r="B339">
        <f>計算表!B356</f>
        <v>0</v>
      </c>
      <c r="C339" t="str">
        <f>計算表!C356</f>
        <v>4-菁英群組</v>
      </c>
      <c r="D339" t="str">
        <f>計算表!D356</f>
        <v>封魔塔BOSS玩家技能</v>
      </c>
      <c r="E339" t="str">
        <f>計算表!E356</f>
        <v>傷害×a% 跳動×b% 範圍×c% 增益×d% 控場×e% 護盾×f% 復活生命×g%；被動最短間隔 h 秒</v>
      </c>
      <c r="F339" t="str">
        <f>計算表!F356</f>
        <v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v>
      </c>
      <c r="G339">
        <f>計算表!G356</f>
        <v>25</v>
      </c>
      <c r="H339">
        <f>計算表!H356</f>
        <v>20</v>
      </c>
      <c r="I339">
        <f>計算表!I356</f>
        <v>60</v>
      </c>
      <c r="J339">
        <f>計算表!J356</f>
        <v>25</v>
      </c>
      <c r="K339">
        <f>計算表!K356</f>
        <v>50</v>
      </c>
      <c r="L339">
        <f>計算表!L356</f>
        <v>15</v>
      </c>
      <c r="M339">
        <f>計算表!M356</f>
        <v>40</v>
      </c>
      <c r="N339">
        <f>計算表!N356</f>
        <v>4</v>
      </c>
      <c r="O339">
        <f>計算表!O356</f>
        <v>0</v>
      </c>
      <c r="P339">
        <f>計算表!P356</f>
        <v>0</v>
      </c>
      <c r="Q339">
        <f>計算表!Q356</f>
        <v>0</v>
      </c>
      <c r="R339">
        <f>計算表!R356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6"/>
  <sheetViews>
    <sheetView topLeftCell="A324" workbookViewId="0">
      <selection activeCell="E358" sqref="E35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922</v>
      </c>
      <c r="D2" t="s">
        <v>923</v>
      </c>
      <c r="E2" t="s">
        <v>924</v>
      </c>
      <c r="F2" t="s">
        <v>925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922</v>
      </c>
      <c r="D3" t="s">
        <v>926</v>
      </c>
      <c r="E3" t="s">
        <v>924</v>
      </c>
      <c r="F3" t="s">
        <v>927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922</v>
      </c>
      <c r="D4" t="s">
        <v>928</v>
      </c>
      <c r="E4" t="s">
        <v>924</v>
      </c>
      <c r="F4" t="s">
        <v>929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819</v>
      </c>
      <c r="D5" t="s">
        <v>820</v>
      </c>
      <c r="E5" t="s">
        <v>821</v>
      </c>
      <c r="F5" t="s">
        <v>822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819</v>
      </c>
      <c r="D6" t="s">
        <v>823</v>
      </c>
      <c r="E6" t="s">
        <v>824</v>
      </c>
      <c r="F6" t="s">
        <v>825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819</v>
      </c>
      <c r="D7" t="s">
        <v>826</v>
      </c>
      <c r="E7" t="s">
        <v>827</v>
      </c>
      <c r="F7" t="s">
        <v>828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819</v>
      </c>
      <c r="D8" t="s">
        <v>829</v>
      </c>
      <c r="E8" t="s">
        <v>830</v>
      </c>
      <c r="F8" t="s">
        <v>831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897</v>
      </c>
      <c r="E14" t="s">
        <v>898</v>
      </c>
      <c r="F14" t="s">
        <v>899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900</v>
      </c>
      <c r="E15" t="s">
        <v>901</v>
      </c>
      <c r="F15" t="s">
        <v>1187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1188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1188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1188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1188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1188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1188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1188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1188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1188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1188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1188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1188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1188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1188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1188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1188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1188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1188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1188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1188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1188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1037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1038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988</v>
      </c>
      <c r="F67" s="3" t="s">
        <v>989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1039</v>
      </c>
      <c r="F71" t="s">
        <v>1040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1045</v>
      </c>
      <c r="F86" s="7" t="s">
        <v>1046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930</v>
      </c>
      <c r="E95" s="2" t="s">
        <v>931</v>
      </c>
      <c r="F95" s="2" t="s">
        <v>932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1123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951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937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933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934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935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4" si="2">A130+1</f>
        <v>131</v>
      </c>
      <c r="B131">
        <v>0</v>
      </c>
      <c r="C131" t="s">
        <v>269</v>
      </c>
      <c r="D131" t="s">
        <v>936</v>
      </c>
      <c r="E131" t="s">
        <v>270</v>
      </c>
      <c r="F131" t="s">
        <v>271</v>
      </c>
      <c r="G131" s="3" t="s">
        <v>982</v>
      </c>
      <c r="H131" t="s">
        <v>283</v>
      </c>
      <c r="I131" t="s">
        <v>284</v>
      </c>
      <c r="J131" s="3" t="s">
        <v>976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975</v>
      </c>
      <c r="E132" t="s">
        <v>270</v>
      </c>
      <c r="F132" t="s">
        <v>271</v>
      </c>
      <c r="G132" s="3" t="s">
        <v>978</v>
      </c>
      <c r="H132" s="3" t="s">
        <v>979</v>
      </c>
      <c r="I132" s="3" t="s">
        <v>977</v>
      </c>
      <c r="J132" s="3" t="s">
        <v>980</v>
      </c>
      <c r="K132" s="3" t="s">
        <v>981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983</v>
      </c>
      <c r="E133" t="s">
        <v>270</v>
      </c>
      <c r="F133" t="s">
        <v>271</v>
      </c>
      <c r="G133" s="3" t="s">
        <v>974</v>
      </c>
      <c r="H133" s="3" t="s">
        <v>947</v>
      </c>
      <c r="I133" s="3" t="s">
        <v>984</v>
      </c>
      <c r="J133" s="3" t="s">
        <v>985</v>
      </c>
      <c r="K133" s="3" t="s">
        <v>972</v>
      </c>
      <c r="L133" s="3" t="s">
        <v>973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938</v>
      </c>
      <c r="E134" t="s">
        <v>270</v>
      </c>
      <c r="F134" t="s">
        <v>1122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939</v>
      </c>
      <c r="E135" t="s">
        <v>270</v>
      </c>
      <c r="F135" t="s">
        <v>1122</v>
      </c>
      <c r="G135" s="3" t="s">
        <v>944</v>
      </c>
      <c r="H135" s="3" t="s">
        <v>942</v>
      </c>
      <c r="I135" s="3" t="s">
        <v>943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940</v>
      </c>
      <c r="E136" t="s">
        <v>270</v>
      </c>
      <c r="F136" t="s">
        <v>1122</v>
      </c>
      <c r="G136" s="3" t="s">
        <v>945</v>
      </c>
      <c r="H136" s="3" t="s">
        <v>946</v>
      </c>
      <c r="I136" s="3" t="s">
        <v>947</v>
      </c>
      <c r="J136" s="3" t="s">
        <v>949</v>
      </c>
      <c r="K136" s="3" t="s">
        <v>948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941</v>
      </c>
      <c r="E137" t="s">
        <v>270</v>
      </c>
      <c r="F137" t="s">
        <v>1122</v>
      </c>
      <c r="G137" s="3" t="s">
        <v>960</v>
      </c>
      <c r="H137" s="3" t="s">
        <v>961</v>
      </c>
      <c r="I137" s="3" t="s">
        <v>962</v>
      </c>
      <c r="J137" s="3" t="s">
        <v>963</v>
      </c>
      <c r="K137" s="3" t="s">
        <v>964</v>
      </c>
      <c r="L137" s="3" t="s">
        <v>965</v>
      </c>
      <c r="M137" s="3" t="s">
        <v>966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950</v>
      </c>
      <c r="E138" t="s">
        <v>270</v>
      </c>
      <c r="F138" t="s">
        <v>1122</v>
      </c>
      <c r="G138" s="3" t="s">
        <v>953</v>
      </c>
      <c r="H138" s="3" t="s">
        <v>954</v>
      </c>
      <c r="I138" s="3" t="s">
        <v>952</v>
      </c>
      <c r="J138" s="3" t="s">
        <v>955</v>
      </c>
      <c r="K138" s="3" t="s">
        <v>956</v>
      </c>
      <c r="L138" s="3" t="s">
        <v>957</v>
      </c>
      <c r="M138" s="3" t="s">
        <v>958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389</v>
      </c>
      <c r="D143" t="s">
        <v>390</v>
      </c>
      <c r="E143" t="s">
        <v>391</v>
      </c>
      <c r="F143" t="s">
        <v>392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389</v>
      </c>
      <c r="D144" t="s">
        <v>393</v>
      </c>
      <c r="E144" t="s">
        <v>394</v>
      </c>
      <c r="F144" t="s">
        <v>395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389</v>
      </c>
      <c r="D145" t="s">
        <v>396</v>
      </c>
      <c r="E145" t="s">
        <v>397</v>
      </c>
      <c r="F145" t="s">
        <v>398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389</v>
      </c>
      <c r="D146" t="s">
        <v>399</v>
      </c>
      <c r="E146" t="s">
        <v>400</v>
      </c>
      <c r="F146" t="s">
        <v>401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389</v>
      </c>
      <c r="D147" t="s">
        <v>402</v>
      </c>
      <c r="E147" t="s">
        <v>403</v>
      </c>
      <c r="F147" t="s">
        <v>404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389</v>
      </c>
      <c r="D148" t="s">
        <v>405</v>
      </c>
      <c r="E148" t="s">
        <v>406</v>
      </c>
      <c r="F148" t="s">
        <v>407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389</v>
      </c>
      <c r="D149" t="s">
        <v>408</v>
      </c>
      <c r="E149" t="s">
        <v>409</v>
      </c>
      <c r="F149" t="s">
        <v>410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389</v>
      </c>
      <c r="D150" t="s">
        <v>411</v>
      </c>
      <c r="E150" t="s">
        <v>412</v>
      </c>
      <c r="F150" t="s">
        <v>413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389</v>
      </c>
      <c r="D151" t="s">
        <v>414</v>
      </c>
      <c r="E151" t="s">
        <v>415</v>
      </c>
      <c r="F151" t="s">
        <v>416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389</v>
      </c>
      <c r="D152" t="s">
        <v>417</v>
      </c>
      <c r="E152" t="s">
        <v>418</v>
      </c>
      <c r="F152" t="s">
        <v>419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389</v>
      </c>
      <c r="D153" t="s">
        <v>420</v>
      </c>
      <c r="E153" t="s">
        <v>421</v>
      </c>
      <c r="F153" t="s">
        <v>422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389</v>
      </c>
      <c r="D154" t="s">
        <v>423</v>
      </c>
      <c r="E154" t="s">
        <v>424</v>
      </c>
      <c r="F154" t="s">
        <v>425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389</v>
      </c>
      <c r="D155" t="s">
        <v>426</v>
      </c>
      <c r="E155" t="s">
        <v>427</v>
      </c>
      <c r="F155" t="s">
        <v>428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444</v>
      </c>
      <c r="D156" t="s">
        <v>445</v>
      </c>
      <c r="E156" t="s">
        <v>446</v>
      </c>
      <c r="F156" t="s">
        <v>447</v>
      </c>
      <c r="G156" t="s">
        <v>448</v>
      </c>
      <c r="H156" t="s">
        <v>449</v>
      </c>
      <c r="I156" t="s">
        <v>450</v>
      </c>
      <c r="J156" t="s">
        <v>451</v>
      </c>
      <c r="K156" t="s">
        <v>452</v>
      </c>
      <c r="L156" t="s">
        <v>453</v>
      </c>
      <c r="M156" t="s">
        <v>454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444</v>
      </c>
      <c r="D157" t="s">
        <v>455</v>
      </c>
      <c r="E157" t="s">
        <v>446</v>
      </c>
      <c r="F157" t="s">
        <v>447</v>
      </c>
      <c r="G157" t="s">
        <v>448</v>
      </c>
      <c r="H157" t="s">
        <v>449</v>
      </c>
      <c r="I157" t="s">
        <v>450</v>
      </c>
      <c r="J157" t="s">
        <v>451</v>
      </c>
      <c r="K157" t="s">
        <v>452</v>
      </c>
      <c r="L157" t="s">
        <v>453</v>
      </c>
      <c r="M157" t="s">
        <v>454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444</v>
      </c>
      <c r="D158" t="s">
        <v>456</v>
      </c>
      <c r="E158" t="s">
        <v>446</v>
      </c>
      <c r="F158" t="s">
        <v>447</v>
      </c>
      <c r="G158" t="s">
        <v>457</v>
      </c>
      <c r="H158" t="s">
        <v>458</v>
      </c>
      <c r="I158" t="s">
        <v>450</v>
      </c>
      <c r="J158" t="s">
        <v>451</v>
      </c>
      <c r="K158" t="s">
        <v>452</v>
      </c>
      <c r="L158" t="s">
        <v>453</v>
      </c>
      <c r="M158" t="s">
        <v>454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444</v>
      </c>
      <c r="D159" t="s">
        <v>459</v>
      </c>
      <c r="E159" t="s">
        <v>446</v>
      </c>
      <c r="F159" t="s">
        <v>447</v>
      </c>
      <c r="G159" t="s">
        <v>460</v>
      </c>
      <c r="H159" t="s">
        <v>458</v>
      </c>
      <c r="I159" t="s">
        <v>461</v>
      </c>
      <c r="J159" t="s">
        <v>462</v>
      </c>
      <c r="K159" t="s">
        <v>452</v>
      </c>
      <c r="L159" t="s">
        <v>453</v>
      </c>
      <c r="M159" t="s">
        <v>454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444</v>
      </c>
      <c r="D160" t="s">
        <v>463</v>
      </c>
      <c r="E160" t="s">
        <v>446</v>
      </c>
      <c r="F160" t="s">
        <v>447</v>
      </c>
      <c r="G160" t="s">
        <v>464</v>
      </c>
      <c r="H160" t="s">
        <v>465</v>
      </c>
      <c r="I160" t="s">
        <v>461</v>
      </c>
      <c r="J160" t="s">
        <v>462</v>
      </c>
      <c r="K160" t="s">
        <v>466</v>
      </c>
      <c r="L160" t="s">
        <v>467</v>
      </c>
      <c r="M160" t="s">
        <v>468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444</v>
      </c>
      <c r="D161" t="s">
        <v>469</v>
      </c>
      <c r="E161" t="s">
        <v>446</v>
      </c>
      <c r="F161" t="s">
        <v>447</v>
      </c>
      <c r="G161" t="s">
        <v>470</v>
      </c>
      <c r="H161" t="s">
        <v>471</v>
      </c>
      <c r="I161" t="s">
        <v>472</v>
      </c>
      <c r="J161" t="s">
        <v>473</v>
      </c>
      <c r="K161" t="s">
        <v>474</v>
      </c>
      <c r="L161" t="s">
        <v>475</v>
      </c>
      <c r="M161" t="s">
        <v>476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444</v>
      </c>
      <c r="D162" t="s">
        <v>477</v>
      </c>
      <c r="E162" t="s">
        <v>446</v>
      </c>
      <c r="F162" t="s">
        <v>447</v>
      </c>
      <c r="G162" t="s">
        <v>478</v>
      </c>
      <c r="H162" t="s">
        <v>479</v>
      </c>
      <c r="I162" t="s">
        <v>480</v>
      </c>
      <c r="J162" t="s">
        <v>481</v>
      </c>
      <c r="K162" t="s">
        <v>482</v>
      </c>
      <c r="L162" t="s">
        <v>483</v>
      </c>
      <c r="M162" t="s">
        <v>484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444</v>
      </c>
      <c r="D163" t="s">
        <v>485</v>
      </c>
      <c r="E163" t="s">
        <v>446</v>
      </c>
      <c r="F163" t="s">
        <v>447</v>
      </c>
      <c r="G163" t="s">
        <v>478</v>
      </c>
      <c r="H163" t="s">
        <v>449</v>
      </c>
      <c r="I163" t="s">
        <v>450</v>
      </c>
      <c r="J163" t="s">
        <v>451</v>
      </c>
      <c r="K163" t="s">
        <v>486</v>
      </c>
      <c r="L163" t="s">
        <v>487</v>
      </c>
      <c r="M163" t="s">
        <v>488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429</v>
      </c>
      <c r="D164" t="s">
        <v>430</v>
      </c>
      <c r="E164" t="s">
        <v>431</v>
      </c>
      <c r="F164" t="s">
        <v>432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429</v>
      </c>
      <c r="D165" t="s">
        <v>247</v>
      </c>
      <c r="E165" t="s">
        <v>433</v>
      </c>
      <c r="F165" t="s">
        <v>434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429</v>
      </c>
      <c r="D166" t="s">
        <v>435</v>
      </c>
      <c r="E166" t="s">
        <v>436</v>
      </c>
      <c r="F166" t="s">
        <v>437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429</v>
      </c>
      <c r="D167" t="s">
        <v>438</v>
      </c>
      <c r="E167" t="s">
        <v>439</v>
      </c>
      <c r="F167" t="s">
        <v>440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429</v>
      </c>
      <c r="D168" t="s">
        <v>441</v>
      </c>
      <c r="E168" t="s">
        <v>442</v>
      </c>
      <c r="F168" t="s">
        <v>443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A169+2</f>
        <v>171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172</v>
      </c>
      <c r="B171">
        <v>0</v>
      </c>
      <c r="C171" t="s">
        <v>369</v>
      </c>
      <c r="D171" t="s">
        <v>370</v>
      </c>
      <c r="E171" t="s">
        <v>371</v>
      </c>
      <c r="F171" t="s">
        <v>372</v>
      </c>
      <c r="G171">
        <v>200</v>
      </c>
      <c r="H171">
        <v>6.0000000000000001E-3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173</v>
      </c>
      <c r="B172">
        <v>0</v>
      </c>
      <c r="C172" t="s">
        <v>369</v>
      </c>
      <c r="D172" t="s">
        <v>373</v>
      </c>
      <c r="E172" t="s">
        <v>374</v>
      </c>
      <c r="F172" t="s">
        <v>375</v>
      </c>
      <c r="G172">
        <v>55</v>
      </c>
      <c r="H172" t="s">
        <v>376</v>
      </c>
      <c r="I172" t="s">
        <v>377</v>
      </c>
      <c r="J172" t="s">
        <v>307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174</v>
      </c>
      <c r="B173">
        <v>0</v>
      </c>
      <c r="C173" t="s">
        <v>369</v>
      </c>
      <c r="D173" t="s">
        <v>378</v>
      </c>
      <c r="E173" t="s">
        <v>374</v>
      </c>
      <c r="F173" t="s">
        <v>375</v>
      </c>
      <c r="G173">
        <v>25</v>
      </c>
      <c r="H173" t="s">
        <v>376</v>
      </c>
      <c r="I173">
        <v>2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175</v>
      </c>
      <c r="B174">
        <v>0</v>
      </c>
      <c r="C174" t="s">
        <v>369</v>
      </c>
      <c r="D174" t="s">
        <v>379</v>
      </c>
      <c r="E174" t="s">
        <v>374</v>
      </c>
      <c r="F174" t="s">
        <v>375</v>
      </c>
      <c r="G174">
        <v>12</v>
      </c>
      <c r="H174" t="s">
        <v>376</v>
      </c>
      <c r="I174">
        <v>2.5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176</v>
      </c>
      <c r="B175">
        <v>0</v>
      </c>
      <c r="C175" t="s">
        <v>369</v>
      </c>
      <c r="D175" t="s">
        <v>380</v>
      </c>
      <c r="E175" t="s">
        <v>374</v>
      </c>
      <c r="F175" t="s">
        <v>375</v>
      </c>
      <c r="G175">
        <v>5.5</v>
      </c>
      <c r="H175" t="s">
        <v>376</v>
      </c>
      <c r="I175">
        <v>3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177</v>
      </c>
      <c r="B176">
        <v>0</v>
      </c>
      <c r="C176" t="s">
        <v>369</v>
      </c>
      <c r="D176" t="s">
        <v>381</v>
      </c>
      <c r="E176" t="s">
        <v>374</v>
      </c>
      <c r="F176" t="s">
        <v>375</v>
      </c>
      <c r="G176">
        <v>1.8</v>
      </c>
      <c r="H176" t="s">
        <v>376</v>
      </c>
      <c r="I176">
        <v>3.5</v>
      </c>
      <c r="J176" t="s">
        <v>382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178</v>
      </c>
      <c r="B177">
        <v>0</v>
      </c>
      <c r="C177" t="s">
        <v>369</v>
      </c>
      <c r="D177" t="s">
        <v>383</v>
      </c>
      <c r="E177" t="s">
        <v>374</v>
      </c>
      <c r="F177" t="s">
        <v>375</v>
      </c>
      <c r="G177">
        <v>0.35</v>
      </c>
      <c r="H177" t="s">
        <v>376</v>
      </c>
      <c r="I177">
        <v>4</v>
      </c>
      <c r="J177" t="s">
        <v>384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179</v>
      </c>
      <c r="B178">
        <v>0</v>
      </c>
      <c r="C178" t="s">
        <v>369</v>
      </c>
      <c r="D178" t="s">
        <v>385</v>
      </c>
      <c r="E178" t="s">
        <v>374</v>
      </c>
      <c r="F178" t="s">
        <v>375</v>
      </c>
      <c r="G178">
        <v>0.08</v>
      </c>
      <c r="H178" t="s">
        <v>376</v>
      </c>
      <c r="I178">
        <v>4.5</v>
      </c>
      <c r="J178" t="s">
        <v>386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180</v>
      </c>
      <c r="B179">
        <v>0</v>
      </c>
      <c r="C179" t="s">
        <v>369</v>
      </c>
      <c r="D179" t="s">
        <v>387</v>
      </c>
      <c r="E179" t="s">
        <v>374</v>
      </c>
      <c r="F179" t="s">
        <v>375</v>
      </c>
      <c r="G179">
        <v>1.4999999999999999E-2</v>
      </c>
      <c r="H179" t="s">
        <v>376</v>
      </c>
      <c r="I179">
        <v>5</v>
      </c>
      <c r="J179" t="s">
        <v>388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181</v>
      </c>
      <c r="B180">
        <v>0</v>
      </c>
      <c r="C180" t="s">
        <v>523</v>
      </c>
      <c r="D180" t="s">
        <v>524</v>
      </c>
      <c r="E180" t="s">
        <v>525</v>
      </c>
      <c r="F180" t="s">
        <v>526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182</v>
      </c>
      <c r="B181">
        <v>0</v>
      </c>
      <c r="C181" t="s">
        <v>523</v>
      </c>
      <c r="D181" t="s">
        <v>527</v>
      </c>
      <c r="E181" t="s">
        <v>528</v>
      </c>
      <c r="F181" t="s">
        <v>529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183</v>
      </c>
      <c r="B182">
        <v>0</v>
      </c>
      <c r="C182" t="s">
        <v>523</v>
      </c>
      <c r="D182" t="s">
        <v>919</v>
      </c>
      <c r="E182" t="s">
        <v>920</v>
      </c>
      <c r="F182" t="s">
        <v>921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184</v>
      </c>
      <c r="B183">
        <v>0</v>
      </c>
      <c r="C183" t="s">
        <v>530</v>
      </c>
      <c r="D183" t="s">
        <v>531</v>
      </c>
      <c r="E183" t="s">
        <v>532</v>
      </c>
      <c r="F183" t="s">
        <v>533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185</v>
      </c>
      <c r="B184">
        <v>0</v>
      </c>
      <c r="C184" t="s">
        <v>530</v>
      </c>
      <c r="D184" t="s">
        <v>534</v>
      </c>
      <c r="E184" t="s">
        <v>535</v>
      </c>
      <c r="F184" t="s">
        <v>536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186</v>
      </c>
      <c r="B185">
        <v>0</v>
      </c>
      <c r="C185" t="s">
        <v>530</v>
      </c>
      <c r="D185" t="s">
        <v>537</v>
      </c>
      <c r="E185" t="s">
        <v>538</v>
      </c>
      <c r="F185" t="s">
        <v>539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187</v>
      </c>
      <c r="B186">
        <v>0</v>
      </c>
      <c r="C186" t="s">
        <v>530</v>
      </c>
      <c r="D186" t="s">
        <v>540</v>
      </c>
      <c r="E186" t="s">
        <v>538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188</v>
      </c>
      <c r="B187">
        <v>0</v>
      </c>
      <c r="C187" t="s">
        <v>530</v>
      </c>
      <c r="D187" t="s">
        <v>541</v>
      </c>
      <c r="E187" t="s">
        <v>542</v>
      </c>
      <c r="F187" t="s">
        <v>543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189</v>
      </c>
      <c r="B188">
        <v>0</v>
      </c>
      <c r="C188" t="s">
        <v>530</v>
      </c>
      <c r="D188" t="s">
        <v>550</v>
      </c>
      <c r="E188" t="s">
        <v>532</v>
      </c>
      <c r="F188" t="s">
        <v>551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190</v>
      </c>
      <c r="B189">
        <v>0</v>
      </c>
      <c r="C189" t="s">
        <v>530</v>
      </c>
      <c r="D189" t="s">
        <v>552</v>
      </c>
      <c r="E189" t="s">
        <v>553</v>
      </c>
      <c r="F189" t="s">
        <v>554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191</v>
      </c>
      <c r="B190">
        <v>0</v>
      </c>
      <c r="C190" t="s">
        <v>530</v>
      </c>
      <c r="D190" t="s">
        <v>555</v>
      </c>
      <c r="E190" t="s">
        <v>556</v>
      </c>
      <c r="F190" t="s">
        <v>557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192</v>
      </c>
      <c r="B191">
        <v>0</v>
      </c>
      <c r="C191" t="s">
        <v>530</v>
      </c>
      <c r="D191" t="s">
        <v>558</v>
      </c>
      <c r="E191" t="s">
        <v>559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193</v>
      </c>
      <c r="B192">
        <v>0</v>
      </c>
      <c r="C192" t="s">
        <v>530</v>
      </c>
      <c r="D192" t="s">
        <v>560</v>
      </c>
      <c r="E192" t="s">
        <v>561</v>
      </c>
      <c r="F192" t="s">
        <v>562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25">
      <c r="A193">
        <f t="shared" si="2"/>
        <v>194</v>
      </c>
      <c r="B193">
        <v>0</v>
      </c>
      <c r="C193" t="s">
        <v>530</v>
      </c>
      <c r="D193" t="s">
        <v>563</v>
      </c>
      <c r="E193" t="s">
        <v>564</v>
      </c>
      <c r="F193" t="s">
        <v>565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25">
      <c r="A194">
        <f t="shared" si="2"/>
        <v>195</v>
      </c>
      <c r="B194">
        <v>0</v>
      </c>
      <c r="C194" t="s">
        <v>530</v>
      </c>
      <c r="D194" t="s">
        <v>888</v>
      </c>
      <c r="E194" t="s">
        <v>889</v>
      </c>
      <c r="F194" t="s">
        <v>890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25">
      <c r="A195">
        <f t="shared" ref="A195:A258" si="3">A194+1</f>
        <v>196</v>
      </c>
      <c r="B195">
        <v>0</v>
      </c>
      <c r="C195" t="s">
        <v>530</v>
      </c>
      <c r="D195" t="s">
        <v>891</v>
      </c>
      <c r="E195" t="s">
        <v>892</v>
      </c>
      <c r="F195" t="s">
        <v>893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25">
      <c r="A196">
        <f t="shared" si="3"/>
        <v>197</v>
      </c>
      <c r="B196">
        <v>0</v>
      </c>
      <c r="C196" t="s">
        <v>530</v>
      </c>
      <c r="D196" t="s">
        <v>894</v>
      </c>
      <c r="E196" t="s">
        <v>895</v>
      </c>
      <c r="F196" t="s">
        <v>896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25">
      <c r="A197">
        <f t="shared" si="3"/>
        <v>198</v>
      </c>
      <c r="B197">
        <v>0</v>
      </c>
      <c r="C197" t="s">
        <v>489</v>
      </c>
      <c r="D197" t="s">
        <v>490</v>
      </c>
      <c r="E197" t="s">
        <v>491</v>
      </c>
      <c r="F197" t="s">
        <v>492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25">
      <c r="A198">
        <f t="shared" si="3"/>
        <v>199</v>
      </c>
      <c r="B198">
        <v>0</v>
      </c>
      <c r="C198" t="s">
        <v>489</v>
      </c>
      <c r="D198" t="s">
        <v>493</v>
      </c>
      <c r="E198" t="s">
        <v>494</v>
      </c>
      <c r="F198" t="s">
        <v>495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25">
      <c r="A199">
        <f t="shared" si="3"/>
        <v>200</v>
      </c>
      <c r="B199">
        <v>0</v>
      </c>
      <c r="C199" t="s">
        <v>489</v>
      </c>
      <c r="D199" t="s">
        <v>496</v>
      </c>
      <c r="E199" t="s">
        <v>497</v>
      </c>
      <c r="F199" t="s">
        <v>498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25">
      <c r="A200">
        <f t="shared" si="3"/>
        <v>201</v>
      </c>
      <c r="B200">
        <v>0</v>
      </c>
      <c r="C200" t="s">
        <v>489</v>
      </c>
      <c r="D200" t="s">
        <v>499</v>
      </c>
      <c r="E200" t="s">
        <v>500</v>
      </c>
      <c r="F200" t="s">
        <v>501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25">
      <c r="A201">
        <f t="shared" si="3"/>
        <v>202</v>
      </c>
      <c r="B201">
        <v>0</v>
      </c>
      <c r="C201" t="s">
        <v>489</v>
      </c>
      <c r="D201" t="s">
        <v>502</v>
      </c>
      <c r="E201" t="s">
        <v>503</v>
      </c>
      <c r="F201" t="s">
        <v>504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25">
      <c r="A202">
        <f t="shared" si="3"/>
        <v>203</v>
      </c>
      <c r="B202">
        <v>0</v>
      </c>
      <c r="C202" t="s">
        <v>489</v>
      </c>
      <c r="D202" t="s">
        <v>505</v>
      </c>
      <c r="E202" t="s">
        <v>506</v>
      </c>
      <c r="F202" t="s">
        <v>507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25">
      <c r="A203">
        <f t="shared" si="3"/>
        <v>204</v>
      </c>
      <c r="B203">
        <v>0</v>
      </c>
      <c r="C203" t="s">
        <v>489</v>
      </c>
      <c r="D203" t="s">
        <v>508</v>
      </c>
      <c r="E203" t="s">
        <v>509</v>
      </c>
      <c r="F203" t="s">
        <v>510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25">
      <c r="A204">
        <f t="shared" si="3"/>
        <v>205</v>
      </c>
      <c r="B204">
        <v>0</v>
      </c>
      <c r="C204" t="s">
        <v>489</v>
      </c>
      <c r="D204" t="s">
        <v>511</v>
      </c>
      <c r="E204" t="s">
        <v>512</v>
      </c>
      <c r="F204" t="s">
        <v>513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25">
      <c r="A205">
        <f t="shared" si="3"/>
        <v>206</v>
      </c>
      <c r="B205">
        <v>0</v>
      </c>
      <c r="C205" t="s">
        <v>489</v>
      </c>
      <c r="D205" t="s">
        <v>514</v>
      </c>
      <c r="E205" t="s">
        <v>515</v>
      </c>
      <c r="F205" t="s">
        <v>516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25">
      <c r="A206">
        <f t="shared" si="3"/>
        <v>207</v>
      </c>
      <c r="B206">
        <v>0</v>
      </c>
      <c r="C206" t="s">
        <v>489</v>
      </c>
      <c r="D206" t="s">
        <v>517</v>
      </c>
      <c r="E206" t="s">
        <v>518</v>
      </c>
      <c r="F206" t="s">
        <v>519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25">
      <c r="A207">
        <f t="shared" si="3"/>
        <v>208</v>
      </c>
      <c r="B207">
        <v>0</v>
      </c>
      <c r="C207" t="s">
        <v>489</v>
      </c>
      <c r="D207" t="s">
        <v>520</v>
      </c>
      <c r="E207" t="s">
        <v>521</v>
      </c>
      <c r="F207" t="s">
        <v>522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25">
      <c r="A208">
        <f t="shared" si="3"/>
        <v>209</v>
      </c>
      <c r="B208">
        <v>0</v>
      </c>
      <c r="C208" t="s">
        <v>595</v>
      </c>
      <c r="D208" t="s">
        <v>596</v>
      </c>
      <c r="E208" t="s">
        <v>597</v>
      </c>
      <c r="F208" t="s">
        <v>1196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25">
      <c r="A209">
        <f t="shared" si="3"/>
        <v>210</v>
      </c>
      <c r="B209">
        <v>0</v>
      </c>
      <c r="C209" t="s">
        <v>598</v>
      </c>
      <c r="D209" t="s">
        <v>599</v>
      </c>
      <c r="E209" s="3" t="s">
        <v>959</v>
      </c>
      <c r="F209" t="s">
        <v>600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25">
      <c r="A210">
        <f t="shared" si="3"/>
        <v>211</v>
      </c>
      <c r="B210">
        <v>0</v>
      </c>
      <c r="C210" t="s">
        <v>583</v>
      </c>
      <c r="D210" t="s">
        <v>584</v>
      </c>
      <c r="E210" t="s">
        <v>585</v>
      </c>
      <c r="F210" t="s">
        <v>586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25">
      <c r="A211">
        <f t="shared" si="3"/>
        <v>212</v>
      </c>
      <c r="B211">
        <v>0</v>
      </c>
      <c r="C211" t="s">
        <v>583</v>
      </c>
      <c r="D211" t="s">
        <v>587</v>
      </c>
      <c r="E211" t="s">
        <v>588</v>
      </c>
      <c r="F211" t="s">
        <v>589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25">
      <c r="A212">
        <f t="shared" si="3"/>
        <v>213</v>
      </c>
      <c r="B212">
        <v>0</v>
      </c>
      <c r="C212" t="s">
        <v>583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25">
      <c r="A213">
        <f t="shared" si="3"/>
        <v>214</v>
      </c>
      <c r="B213">
        <v>0</v>
      </c>
      <c r="C213" t="s">
        <v>583</v>
      </c>
      <c r="D213" t="s">
        <v>593</v>
      </c>
      <c r="E213" t="s">
        <v>594</v>
      </c>
      <c r="F213" t="s">
        <v>592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25">
      <c r="A214">
        <f t="shared" si="3"/>
        <v>215</v>
      </c>
      <c r="B214">
        <v>0</v>
      </c>
      <c r="C214" t="s">
        <v>544</v>
      </c>
      <c r="D214" t="s">
        <v>545</v>
      </c>
      <c r="E214" t="s">
        <v>546</v>
      </c>
      <c r="F214" t="s">
        <v>547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25">
      <c r="A215">
        <f t="shared" si="3"/>
        <v>216</v>
      </c>
      <c r="B215">
        <v>0</v>
      </c>
      <c r="C215" t="s">
        <v>544</v>
      </c>
      <c r="D215" t="s">
        <v>548</v>
      </c>
      <c r="E215" t="s">
        <v>549</v>
      </c>
      <c r="F215" t="s">
        <v>547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25">
      <c r="A216">
        <f t="shared" si="3"/>
        <v>217</v>
      </c>
      <c r="B216">
        <v>0</v>
      </c>
      <c r="C216" t="s">
        <v>544</v>
      </c>
      <c r="D216" t="s">
        <v>570</v>
      </c>
      <c r="E216" t="s">
        <v>576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25">
      <c r="A217">
        <f t="shared" si="3"/>
        <v>218</v>
      </c>
      <c r="B217">
        <v>0</v>
      </c>
      <c r="C217" t="s">
        <v>544</v>
      </c>
      <c r="D217" t="s">
        <v>577</v>
      </c>
      <c r="E217" t="s">
        <v>578</v>
      </c>
      <c r="F217" t="s">
        <v>579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25">
      <c r="A218">
        <f t="shared" si="3"/>
        <v>219</v>
      </c>
      <c r="B218">
        <v>0</v>
      </c>
      <c r="C218" t="s">
        <v>544</v>
      </c>
      <c r="D218" t="s">
        <v>580</v>
      </c>
      <c r="E218" t="s">
        <v>581</v>
      </c>
      <c r="F218" t="s">
        <v>582</v>
      </c>
      <c r="G218">
        <v>1</v>
      </c>
      <c r="H218">
        <v>1</v>
      </c>
      <c r="I218">
        <v>0.33329999999999999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25">
      <c r="A219">
        <f t="shared" si="3"/>
        <v>220</v>
      </c>
      <c r="B219">
        <v>0</v>
      </c>
      <c r="C219" t="s">
        <v>601</v>
      </c>
      <c r="D219" t="s">
        <v>602</v>
      </c>
      <c r="E219" t="s">
        <v>603</v>
      </c>
      <c r="F219" t="s">
        <v>604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25">
      <c r="A220">
        <f t="shared" si="3"/>
        <v>221</v>
      </c>
      <c r="B220">
        <v>0</v>
      </c>
      <c r="C220" t="s">
        <v>601</v>
      </c>
      <c r="D220" t="s">
        <v>605</v>
      </c>
      <c r="E220" t="s">
        <v>606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25">
      <c r="A221">
        <f t="shared" si="3"/>
        <v>222</v>
      </c>
      <c r="B221">
        <v>0</v>
      </c>
      <c r="C221" t="s">
        <v>601</v>
      </c>
      <c r="D221" t="s">
        <v>607</v>
      </c>
      <c r="E221" t="s">
        <v>608</v>
      </c>
      <c r="F221" t="s">
        <v>609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25">
      <c r="A222">
        <f t="shared" si="3"/>
        <v>223</v>
      </c>
      <c r="B222">
        <v>0</v>
      </c>
      <c r="C222" t="s">
        <v>601</v>
      </c>
      <c r="D222" t="s">
        <v>610</v>
      </c>
      <c r="E222" t="s">
        <v>611</v>
      </c>
      <c r="F222" t="s">
        <v>612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25">
      <c r="A223">
        <f t="shared" si="3"/>
        <v>224</v>
      </c>
      <c r="B223">
        <v>0</v>
      </c>
      <c r="C223" t="s">
        <v>601</v>
      </c>
      <c r="D223" t="s">
        <v>613</v>
      </c>
      <c r="E223" t="s">
        <v>614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25">
      <c r="A224">
        <f t="shared" si="3"/>
        <v>225</v>
      </c>
      <c r="B224">
        <v>0</v>
      </c>
      <c r="C224" t="s">
        <v>566</v>
      </c>
      <c r="D224" t="s">
        <v>567</v>
      </c>
      <c r="E224" t="s">
        <v>568</v>
      </c>
      <c r="F224" t="s">
        <v>569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25">
      <c r="A225">
        <f t="shared" si="3"/>
        <v>226</v>
      </c>
      <c r="B225">
        <v>0</v>
      </c>
      <c r="C225" t="s">
        <v>566</v>
      </c>
      <c r="D225" t="s">
        <v>570</v>
      </c>
      <c r="E225" t="s">
        <v>571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25">
      <c r="A226">
        <f t="shared" si="3"/>
        <v>227</v>
      </c>
      <c r="B226">
        <v>0</v>
      </c>
      <c r="C226" t="s">
        <v>566</v>
      </c>
      <c r="D226" t="s">
        <v>572</v>
      </c>
      <c r="E226" t="s">
        <v>571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25">
      <c r="A227">
        <f t="shared" si="3"/>
        <v>228</v>
      </c>
      <c r="B227">
        <v>0</v>
      </c>
      <c r="C227" t="s">
        <v>566</v>
      </c>
      <c r="D227" t="s">
        <v>573</v>
      </c>
      <c r="E227" t="s">
        <v>574</v>
      </c>
      <c r="F227" t="s">
        <v>575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25">
      <c r="A228">
        <f t="shared" si="3"/>
        <v>229</v>
      </c>
      <c r="B228">
        <v>0</v>
      </c>
      <c r="C228" t="s">
        <v>615</v>
      </c>
      <c r="D228" t="s">
        <v>616</v>
      </c>
      <c r="E228" t="s">
        <v>617</v>
      </c>
      <c r="F228" t="s">
        <v>618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25">
      <c r="A229">
        <f t="shared" si="3"/>
        <v>230</v>
      </c>
      <c r="B229">
        <v>0</v>
      </c>
      <c r="C229" t="s">
        <v>615</v>
      </c>
      <c r="D229" t="s">
        <v>619</v>
      </c>
      <c r="E229" t="s">
        <v>620</v>
      </c>
      <c r="F229" t="s">
        <v>621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25">
      <c r="A230">
        <f t="shared" si="3"/>
        <v>231</v>
      </c>
      <c r="B230">
        <v>0</v>
      </c>
      <c r="C230" t="s">
        <v>615</v>
      </c>
      <c r="D230" t="s">
        <v>622</v>
      </c>
      <c r="E230" t="s">
        <v>623</v>
      </c>
      <c r="F230" t="s">
        <v>624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25">
      <c r="A231">
        <f t="shared" si="3"/>
        <v>232</v>
      </c>
      <c r="B231">
        <v>0</v>
      </c>
      <c r="C231" t="s">
        <v>615</v>
      </c>
      <c r="D231" t="s">
        <v>625</v>
      </c>
      <c r="E231" t="s">
        <v>1179</v>
      </c>
      <c r="F231" t="s">
        <v>1180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25">
      <c r="A232">
        <f t="shared" si="3"/>
        <v>233</v>
      </c>
      <c r="B232">
        <v>0</v>
      </c>
      <c r="C232" t="s">
        <v>615</v>
      </c>
      <c r="D232" t="s">
        <v>626</v>
      </c>
      <c r="E232" t="s">
        <v>1181</v>
      </c>
      <c r="F232" t="s">
        <v>1182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234</v>
      </c>
      <c r="B233">
        <v>0</v>
      </c>
      <c r="C233" t="s">
        <v>615</v>
      </c>
      <c r="D233" t="s">
        <v>627</v>
      </c>
      <c r="E233" t="s">
        <v>1183</v>
      </c>
      <c r="F233" t="s">
        <v>1184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235</v>
      </c>
      <c r="B234">
        <v>0</v>
      </c>
      <c r="C234" t="s">
        <v>615</v>
      </c>
      <c r="D234" t="s">
        <v>628</v>
      </c>
      <c r="E234" t="s">
        <v>1189</v>
      </c>
      <c r="F234" t="s">
        <v>1190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236</v>
      </c>
      <c r="B235">
        <v>0</v>
      </c>
      <c r="C235" t="s">
        <v>615</v>
      </c>
      <c r="D235" t="s">
        <v>629</v>
      </c>
      <c r="E235" t="s">
        <v>630</v>
      </c>
      <c r="F235" t="s">
        <v>1191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237</v>
      </c>
      <c r="B236">
        <v>0</v>
      </c>
      <c r="C236" t="s">
        <v>615</v>
      </c>
      <c r="D236" t="s">
        <v>631</v>
      </c>
      <c r="E236" t="s">
        <v>632</v>
      </c>
      <c r="F236" t="s">
        <v>633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238</v>
      </c>
      <c r="B237">
        <v>0</v>
      </c>
      <c r="C237" t="s">
        <v>615</v>
      </c>
      <c r="D237" t="s">
        <v>634</v>
      </c>
      <c r="E237" t="s">
        <v>635</v>
      </c>
      <c r="F237" t="s">
        <v>636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239</v>
      </c>
      <c r="B238">
        <v>0</v>
      </c>
      <c r="C238" t="s">
        <v>637</v>
      </c>
      <c r="D238" t="s">
        <v>638</v>
      </c>
      <c r="E238" t="s">
        <v>639</v>
      </c>
      <c r="F238" t="s">
        <v>640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240</v>
      </c>
      <c r="B239">
        <v>0</v>
      </c>
      <c r="C239" t="s">
        <v>637</v>
      </c>
      <c r="D239" t="s">
        <v>641</v>
      </c>
      <c r="E239" t="s">
        <v>642</v>
      </c>
      <c r="F239" t="s">
        <v>643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241</v>
      </c>
      <c r="B240">
        <v>0</v>
      </c>
      <c r="C240" t="s">
        <v>637</v>
      </c>
      <c r="D240" t="s">
        <v>644</v>
      </c>
      <c r="E240" t="s">
        <v>645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242</v>
      </c>
      <c r="B241">
        <v>0</v>
      </c>
      <c r="C241" t="s">
        <v>637</v>
      </c>
      <c r="D241" t="s">
        <v>646</v>
      </c>
      <c r="E241" t="s">
        <v>647</v>
      </c>
      <c r="F241" t="s">
        <v>648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25">
      <c r="A242">
        <f t="shared" si="3"/>
        <v>243</v>
      </c>
      <c r="B242">
        <v>0</v>
      </c>
      <c r="C242" t="s">
        <v>720</v>
      </c>
      <c r="D242" t="s">
        <v>650</v>
      </c>
      <c r="E242" t="s">
        <v>721</v>
      </c>
      <c r="F242" t="s">
        <v>722</v>
      </c>
      <c r="G242" t="s">
        <v>723</v>
      </c>
      <c r="H242" t="s">
        <v>724</v>
      </c>
      <c r="I242" t="s">
        <v>725</v>
      </c>
      <c r="J242" t="s">
        <v>726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244</v>
      </c>
      <c r="B243">
        <v>0</v>
      </c>
      <c r="C243" t="s">
        <v>720</v>
      </c>
      <c r="D243" t="s">
        <v>655</v>
      </c>
      <c r="E243" t="s">
        <v>721</v>
      </c>
      <c r="F243" t="s">
        <v>722</v>
      </c>
      <c r="G243" t="s">
        <v>727</v>
      </c>
      <c r="H243" t="s">
        <v>724</v>
      </c>
      <c r="I243" t="s">
        <v>728</v>
      </c>
      <c r="J243" t="s">
        <v>729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245</v>
      </c>
      <c r="B244">
        <v>0</v>
      </c>
      <c r="C244" t="s">
        <v>720</v>
      </c>
      <c r="D244" t="s">
        <v>658</v>
      </c>
      <c r="E244" t="s">
        <v>721</v>
      </c>
      <c r="F244" t="s">
        <v>722</v>
      </c>
      <c r="G244" t="s">
        <v>730</v>
      </c>
      <c r="H244" t="s">
        <v>724</v>
      </c>
      <c r="I244" t="s">
        <v>731</v>
      </c>
      <c r="J244" t="s">
        <v>732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246</v>
      </c>
      <c r="B245">
        <v>0</v>
      </c>
      <c r="C245" t="s">
        <v>720</v>
      </c>
      <c r="D245" t="s">
        <v>661</v>
      </c>
      <c r="E245" t="s">
        <v>721</v>
      </c>
      <c r="F245" t="s">
        <v>722</v>
      </c>
      <c r="G245" t="s">
        <v>733</v>
      </c>
      <c r="H245" t="s">
        <v>724</v>
      </c>
      <c r="I245" t="s">
        <v>731</v>
      </c>
      <c r="J245" t="s">
        <v>732</v>
      </c>
      <c r="K245" t="s">
        <v>734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247</v>
      </c>
      <c r="B246">
        <v>0</v>
      </c>
      <c r="C246" t="s">
        <v>720</v>
      </c>
      <c r="D246" t="s">
        <v>664</v>
      </c>
      <c r="E246" t="s">
        <v>721</v>
      </c>
      <c r="F246" t="s">
        <v>722</v>
      </c>
      <c r="G246" t="s">
        <v>735</v>
      </c>
      <c r="H246" t="s">
        <v>724</v>
      </c>
      <c r="I246" t="s">
        <v>731</v>
      </c>
      <c r="J246" t="s">
        <v>736</v>
      </c>
      <c r="K246" t="s">
        <v>737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248</v>
      </c>
      <c r="B247">
        <v>0</v>
      </c>
      <c r="C247" t="s">
        <v>720</v>
      </c>
      <c r="D247" t="s">
        <v>667</v>
      </c>
      <c r="E247" t="s">
        <v>721</v>
      </c>
      <c r="F247" t="s">
        <v>722</v>
      </c>
      <c r="G247" t="s">
        <v>738</v>
      </c>
      <c r="H247" t="s">
        <v>724</v>
      </c>
      <c r="I247" t="s">
        <v>731</v>
      </c>
      <c r="J247" t="s">
        <v>739</v>
      </c>
      <c r="K247" t="s">
        <v>740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249</v>
      </c>
      <c r="B248">
        <v>0</v>
      </c>
      <c r="C248" t="s">
        <v>720</v>
      </c>
      <c r="D248" t="s">
        <v>670</v>
      </c>
      <c r="E248" t="s">
        <v>721</v>
      </c>
      <c r="F248" t="s">
        <v>722</v>
      </c>
      <c r="G248" t="s">
        <v>741</v>
      </c>
      <c r="H248" t="s">
        <v>724</v>
      </c>
      <c r="I248" t="s">
        <v>742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250</v>
      </c>
      <c r="B249">
        <v>0</v>
      </c>
      <c r="C249" t="s">
        <v>720</v>
      </c>
      <c r="D249" t="s">
        <v>675</v>
      </c>
      <c r="E249" t="s">
        <v>721</v>
      </c>
      <c r="F249" t="s">
        <v>722</v>
      </c>
      <c r="G249" t="s">
        <v>745</v>
      </c>
      <c r="H249" t="s">
        <v>724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251</v>
      </c>
      <c r="B250">
        <v>0</v>
      </c>
      <c r="C250" t="s">
        <v>720</v>
      </c>
      <c r="D250" t="s">
        <v>677</v>
      </c>
      <c r="E250" t="s">
        <v>721</v>
      </c>
      <c r="F250" t="s">
        <v>722</v>
      </c>
      <c r="G250" t="s">
        <v>749</v>
      </c>
      <c r="H250" t="s">
        <v>724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252</v>
      </c>
      <c r="B251">
        <v>0</v>
      </c>
      <c r="C251" t="s">
        <v>720</v>
      </c>
      <c r="D251" t="s">
        <v>681</v>
      </c>
      <c r="E251" t="s">
        <v>721</v>
      </c>
      <c r="F251" t="s">
        <v>722</v>
      </c>
      <c r="G251" t="s">
        <v>753</v>
      </c>
      <c r="H251" t="s">
        <v>724</v>
      </c>
      <c r="I251" t="s">
        <v>750</v>
      </c>
      <c r="J251" t="s">
        <v>751</v>
      </c>
      <c r="K251" t="s">
        <v>754</v>
      </c>
      <c r="L251" t="s">
        <v>755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253</v>
      </c>
      <c r="B252">
        <v>0</v>
      </c>
      <c r="C252" t="s">
        <v>720</v>
      </c>
      <c r="D252" t="s">
        <v>685</v>
      </c>
      <c r="E252" t="s">
        <v>721</v>
      </c>
      <c r="F252" t="s">
        <v>722</v>
      </c>
      <c r="G252" t="s">
        <v>756</v>
      </c>
      <c r="H252" t="s">
        <v>724</v>
      </c>
      <c r="I252" t="s">
        <v>750</v>
      </c>
      <c r="J252" t="s">
        <v>751</v>
      </c>
      <c r="K252" t="s">
        <v>757</v>
      </c>
      <c r="L252" t="s">
        <v>758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254</v>
      </c>
      <c r="B253">
        <v>0</v>
      </c>
      <c r="C253" t="s">
        <v>720</v>
      </c>
      <c r="D253" t="s">
        <v>689</v>
      </c>
      <c r="E253" t="s">
        <v>721</v>
      </c>
      <c r="F253" t="s">
        <v>722</v>
      </c>
      <c r="G253" t="s">
        <v>759</v>
      </c>
      <c r="H253" t="s">
        <v>724</v>
      </c>
      <c r="I253" t="s">
        <v>760</v>
      </c>
      <c r="J253" t="s">
        <v>761</v>
      </c>
      <c r="K253" t="s">
        <v>762</v>
      </c>
      <c r="L253" t="s">
        <v>763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255</v>
      </c>
      <c r="B254">
        <v>0</v>
      </c>
      <c r="C254" t="s">
        <v>720</v>
      </c>
      <c r="D254" t="s">
        <v>693</v>
      </c>
      <c r="E254" t="s">
        <v>721</v>
      </c>
      <c r="F254" t="s">
        <v>722</v>
      </c>
      <c r="G254" t="s">
        <v>764</v>
      </c>
      <c r="H254" t="s">
        <v>724</v>
      </c>
      <c r="I254" t="s">
        <v>760</v>
      </c>
      <c r="J254" t="s">
        <v>761</v>
      </c>
      <c r="K254" t="s">
        <v>762</v>
      </c>
      <c r="L254" t="s">
        <v>765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256</v>
      </c>
      <c r="B255">
        <v>0</v>
      </c>
      <c r="C255" t="s">
        <v>720</v>
      </c>
      <c r="D255" t="s">
        <v>697</v>
      </c>
      <c r="E255" t="s">
        <v>721</v>
      </c>
      <c r="F255" t="s">
        <v>722</v>
      </c>
      <c r="G255" t="s">
        <v>766</v>
      </c>
      <c r="H255" t="s">
        <v>724</v>
      </c>
      <c r="I255" t="s">
        <v>760</v>
      </c>
      <c r="J255" t="s">
        <v>761</v>
      </c>
      <c r="K255" t="s">
        <v>762</v>
      </c>
      <c r="L255" t="s">
        <v>767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257</v>
      </c>
      <c r="B256">
        <v>0</v>
      </c>
      <c r="C256" t="s">
        <v>720</v>
      </c>
      <c r="D256" t="s">
        <v>701</v>
      </c>
      <c r="E256" t="s">
        <v>721</v>
      </c>
      <c r="F256" t="s">
        <v>722</v>
      </c>
      <c r="G256" t="s">
        <v>768</v>
      </c>
      <c r="H256" t="s">
        <v>724</v>
      </c>
      <c r="I256" t="s">
        <v>760</v>
      </c>
      <c r="J256" t="s">
        <v>769</v>
      </c>
      <c r="K256" t="s">
        <v>770</v>
      </c>
      <c r="L256" t="s">
        <v>763</v>
      </c>
      <c r="M256" t="s">
        <v>771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258</v>
      </c>
      <c r="B257">
        <v>0</v>
      </c>
      <c r="C257" t="s">
        <v>720</v>
      </c>
      <c r="D257" t="s">
        <v>705</v>
      </c>
      <c r="E257" t="s">
        <v>721</v>
      </c>
      <c r="F257" t="s">
        <v>722</v>
      </c>
      <c r="G257" t="s">
        <v>772</v>
      </c>
      <c r="H257" t="s">
        <v>724</v>
      </c>
      <c r="I257" t="s">
        <v>760</v>
      </c>
      <c r="J257" t="s">
        <v>769</v>
      </c>
      <c r="K257" t="s">
        <v>770</v>
      </c>
      <c r="L257" t="s">
        <v>765</v>
      </c>
      <c r="M257" t="s">
        <v>773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259</v>
      </c>
      <c r="B258">
        <v>0</v>
      </c>
      <c r="C258" t="s">
        <v>720</v>
      </c>
      <c r="D258" t="s">
        <v>709</v>
      </c>
      <c r="E258" t="s">
        <v>721</v>
      </c>
      <c r="F258" t="s">
        <v>722</v>
      </c>
      <c r="G258" t="s">
        <v>774</v>
      </c>
      <c r="H258" t="s">
        <v>724</v>
      </c>
      <c r="I258" t="s">
        <v>760</v>
      </c>
      <c r="J258" t="s">
        <v>769</v>
      </c>
      <c r="K258" t="s">
        <v>770</v>
      </c>
      <c r="L258" t="s">
        <v>765</v>
      </c>
      <c r="M258" t="s">
        <v>775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ref="A259:A320" si="8">A258+1</f>
        <v>260</v>
      </c>
      <c r="B259">
        <v>0</v>
      </c>
      <c r="C259" t="s">
        <v>720</v>
      </c>
      <c r="D259" t="s">
        <v>713</v>
      </c>
      <c r="E259" t="s">
        <v>721</v>
      </c>
      <c r="F259" t="s">
        <v>722</v>
      </c>
      <c r="G259" t="s">
        <v>776</v>
      </c>
      <c r="H259" t="s">
        <v>724</v>
      </c>
      <c r="I259" t="s">
        <v>760</v>
      </c>
      <c r="J259" t="s">
        <v>769</v>
      </c>
      <c r="K259" t="s">
        <v>770</v>
      </c>
      <c r="L259" t="s">
        <v>765</v>
      </c>
      <c r="M259" t="s">
        <v>775</v>
      </c>
      <c r="N259" t="s">
        <v>777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8"/>
        <v>261</v>
      </c>
      <c r="B260">
        <v>0</v>
      </c>
      <c r="C260" t="s">
        <v>720</v>
      </c>
      <c r="D260" t="s">
        <v>718</v>
      </c>
      <c r="E260" t="s">
        <v>721</v>
      </c>
      <c r="F260" t="s">
        <v>722</v>
      </c>
      <c r="G260" t="s">
        <v>778</v>
      </c>
      <c r="H260" t="s">
        <v>724</v>
      </c>
      <c r="I260" t="s">
        <v>760</v>
      </c>
      <c r="J260" t="s">
        <v>769</v>
      </c>
      <c r="K260" t="s">
        <v>770</v>
      </c>
      <c r="L260" t="s">
        <v>765</v>
      </c>
      <c r="M260" t="s">
        <v>775</v>
      </c>
      <c r="N260" t="s">
        <v>779</v>
      </c>
      <c r="O260" t="s">
        <v>780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262</v>
      </c>
      <c r="B261">
        <v>0</v>
      </c>
      <c r="C261" t="s">
        <v>720</v>
      </c>
      <c r="D261" t="s">
        <v>719</v>
      </c>
      <c r="E261" t="s">
        <v>721</v>
      </c>
      <c r="F261" t="s">
        <v>722</v>
      </c>
      <c r="G261" t="s">
        <v>781</v>
      </c>
      <c r="H261" t="s">
        <v>724</v>
      </c>
      <c r="I261" t="s">
        <v>760</v>
      </c>
      <c r="J261" t="s">
        <v>769</v>
      </c>
      <c r="K261" t="s">
        <v>770</v>
      </c>
      <c r="L261" t="s">
        <v>765</v>
      </c>
      <c r="M261" t="s">
        <v>775</v>
      </c>
      <c r="N261" t="s">
        <v>782</v>
      </c>
      <c r="O261" t="s">
        <v>783</v>
      </c>
      <c r="P261" t="s">
        <v>784</v>
      </c>
      <c r="Q261">
        <v>0</v>
      </c>
      <c r="R261">
        <v>0</v>
      </c>
    </row>
    <row r="262" spans="1:18" x14ac:dyDescent="0.25">
      <c r="A262">
        <f t="shared" si="8"/>
        <v>263</v>
      </c>
      <c r="B262">
        <v>0</v>
      </c>
      <c r="C262" t="s">
        <v>649</v>
      </c>
      <c r="D262" t="s">
        <v>650</v>
      </c>
      <c r="E262" t="s">
        <v>651</v>
      </c>
      <c r="F262" t="s">
        <v>652</v>
      </c>
      <c r="G262" t="s">
        <v>653</v>
      </c>
      <c r="H262" t="s">
        <v>654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264</v>
      </c>
      <c r="B263">
        <v>0</v>
      </c>
      <c r="C263" t="s">
        <v>649</v>
      </c>
      <c r="D263" t="s">
        <v>655</v>
      </c>
      <c r="E263" t="s">
        <v>651</v>
      </c>
      <c r="F263" t="s">
        <v>652</v>
      </c>
      <c r="G263" t="s">
        <v>653</v>
      </c>
      <c r="H263" t="s">
        <v>656</v>
      </c>
      <c r="I263" t="s">
        <v>657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265</v>
      </c>
      <c r="B264">
        <v>0</v>
      </c>
      <c r="C264" t="s">
        <v>649</v>
      </c>
      <c r="D264" t="s">
        <v>658</v>
      </c>
      <c r="E264" t="s">
        <v>651</v>
      </c>
      <c r="F264" t="s">
        <v>652</v>
      </c>
      <c r="G264" t="s">
        <v>653</v>
      </c>
      <c r="H264" t="s">
        <v>659</v>
      </c>
      <c r="I264" t="s">
        <v>657</v>
      </c>
      <c r="J264" t="s">
        <v>660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266</v>
      </c>
      <c r="B265">
        <v>0</v>
      </c>
      <c r="C265" t="s">
        <v>649</v>
      </c>
      <c r="D265" t="s">
        <v>661</v>
      </c>
      <c r="E265" t="s">
        <v>651</v>
      </c>
      <c r="F265" t="s">
        <v>652</v>
      </c>
      <c r="G265" t="s">
        <v>662</v>
      </c>
      <c r="H265" t="s">
        <v>659</v>
      </c>
      <c r="I265" t="s">
        <v>663</v>
      </c>
      <c r="J265" t="s">
        <v>660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267</v>
      </c>
      <c r="B266">
        <v>0</v>
      </c>
      <c r="C266" t="s">
        <v>649</v>
      </c>
      <c r="D266" t="s">
        <v>664</v>
      </c>
      <c r="E266" t="s">
        <v>651</v>
      </c>
      <c r="F266" t="s">
        <v>652</v>
      </c>
      <c r="G266" t="s">
        <v>665</v>
      </c>
      <c r="H266" t="s">
        <v>659</v>
      </c>
      <c r="I266" t="s">
        <v>663</v>
      </c>
      <c r="J266" t="s">
        <v>666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268</v>
      </c>
      <c r="B267">
        <v>0</v>
      </c>
      <c r="C267" t="s">
        <v>649</v>
      </c>
      <c r="D267" t="s">
        <v>667</v>
      </c>
      <c r="E267" t="s">
        <v>651</v>
      </c>
      <c r="F267" t="s">
        <v>652</v>
      </c>
      <c r="G267" t="s">
        <v>668</v>
      </c>
      <c r="H267" t="s">
        <v>659</v>
      </c>
      <c r="I267" t="s">
        <v>663</v>
      </c>
      <c r="J267" t="s">
        <v>666</v>
      </c>
      <c r="K267" t="s">
        <v>669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269</v>
      </c>
      <c r="B268">
        <v>0</v>
      </c>
      <c r="C268" t="s">
        <v>649</v>
      </c>
      <c r="D268" t="s">
        <v>670</v>
      </c>
      <c r="E268" t="s">
        <v>651</v>
      </c>
      <c r="F268" t="s">
        <v>652</v>
      </c>
      <c r="G268" t="s">
        <v>671</v>
      </c>
      <c r="H268" t="s">
        <v>672</v>
      </c>
      <c r="I268" t="s">
        <v>666</v>
      </c>
      <c r="J268" t="s">
        <v>673</v>
      </c>
      <c r="K268" t="s">
        <v>674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270</v>
      </c>
      <c r="B269">
        <v>0</v>
      </c>
      <c r="C269" t="s">
        <v>649</v>
      </c>
      <c r="D269" t="s">
        <v>675</v>
      </c>
      <c r="E269" t="s">
        <v>651</v>
      </c>
      <c r="F269" t="s">
        <v>652</v>
      </c>
      <c r="G269" t="s">
        <v>659</v>
      </c>
      <c r="H269" t="s">
        <v>672</v>
      </c>
      <c r="I269" t="s">
        <v>666</v>
      </c>
      <c r="J269" t="s">
        <v>673</v>
      </c>
      <c r="K269" t="s">
        <v>676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271</v>
      </c>
      <c r="B270">
        <v>0</v>
      </c>
      <c r="C270" t="s">
        <v>649</v>
      </c>
      <c r="D270" t="s">
        <v>677</v>
      </c>
      <c r="E270" t="s">
        <v>651</v>
      </c>
      <c r="F270" t="s">
        <v>652</v>
      </c>
      <c r="G270" t="s">
        <v>672</v>
      </c>
      <c r="H270" t="s">
        <v>678</v>
      </c>
      <c r="I270" t="s">
        <v>673</v>
      </c>
      <c r="J270" t="s">
        <v>679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272</v>
      </c>
      <c r="B271">
        <v>0</v>
      </c>
      <c r="C271" t="s">
        <v>649</v>
      </c>
      <c r="D271" t="s">
        <v>681</v>
      </c>
      <c r="E271" t="s">
        <v>651</v>
      </c>
      <c r="F271" t="s">
        <v>652</v>
      </c>
      <c r="G271" t="s">
        <v>678</v>
      </c>
      <c r="H271" t="s">
        <v>682</v>
      </c>
      <c r="I271" t="s">
        <v>679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273</v>
      </c>
      <c r="B272">
        <v>0</v>
      </c>
      <c r="C272" t="s">
        <v>649</v>
      </c>
      <c r="D272" t="s">
        <v>685</v>
      </c>
      <c r="E272" t="s">
        <v>651</v>
      </c>
      <c r="F272" t="s">
        <v>652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274</v>
      </c>
      <c r="B273">
        <v>0</v>
      </c>
      <c r="C273" t="s">
        <v>649</v>
      </c>
      <c r="D273" t="s">
        <v>689</v>
      </c>
      <c r="E273" t="s">
        <v>651</v>
      </c>
      <c r="F273" t="s">
        <v>652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275</v>
      </c>
      <c r="B274">
        <v>0</v>
      </c>
      <c r="C274" t="s">
        <v>649</v>
      </c>
      <c r="D274" t="s">
        <v>693</v>
      </c>
      <c r="E274" t="s">
        <v>651</v>
      </c>
      <c r="F274" t="s">
        <v>652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276</v>
      </c>
      <c r="B275">
        <v>0</v>
      </c>
      <c r="C275" t="s">
        <v>649</v>
      </c>
      <c r="D275" t="s">
        <v>697</v>
      </c>
      <c r="E275" t="s">
        <v>651</v>
      </c>
      <c r="F275" t="s">
        <v>652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277</v>
      </c>
      <c r="B276">
        <v>0</v>
      </c>
      <c r="C276" t="s">
        <v>649</v>
      </c>
      <c r="D276" t="s">
        <v>701</v>
      </c>
      <c r="E276" t="s">
        <v>651</v>
      </c>
      <c r="F276" t="s">
        <v>652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278</v>
      </c>
      <c r="B277">
        <v>0</v>
      </c>
      <c r="C277" t="s">
        <v>649</v>
      </c>
      <c r="D277" t="s">
        <v>705</v>
      </c>
      <c r="E277" t="s">
        <v>651</v>
      </c>
      <c r="F277" t="s">
        <v>652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279</v>
      </c>
      <c r="B278">
        <v>0</v>
      </c>
      <c r="C278" t="s">
        <v>649</v>
      </c>
      <c r="D278" t="s">
        <v>709</v>
      </c>
      <c r="E278" t="s">
        <v>651</v>
      </c>
      <c r="F278" t="s">
        <v>652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280</v>
      </c>
      <c r="B279">
        <v>0</v>
      </c>
      <c r="C279" t="s">
        <v>649</v>
      </c>
      <c r="D279" t="s">
        <v>713</v>
      </c>
      <c r="E279" t="s">
        <v>651</v>
      </c>
      <c r="F279" t="s">
        <v>652</v>
      </c>
      <c r="G279" t="s">
        <v>696</v>
      </c>
      <c r="H279" t="s">
        <v>714</v>
      </c>
      <c r="I279" t="s">
        <v>715</v>
      </c>
      <c r="J279" t="s">
        <v>711</v>
      </c>
      <c r="K279" t="s">
        <v>716</v>
      </c>
      <c r="L279" t="s">
        <v>717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281</v>
      </c>
      <c r="B280">
        <v>0</v>
      </c>
      <c r="C280" t="s">
        <v>649</v>
      </c>
      <c r="D280" t="s">
        <v>718</v>
      </c>
      <c r="E280" t="s">
        <v>651</v>
      </c>
      <c r="F280" t="s">
        <v>652</v>
      </c>
      <c r="G280" t="s">
        <v>696</v>
      </c>
      <c r="H280" t="s">
        <v>714</v>
      </c>
      <c r="I280" t="s">
        <v>715</v>
      </c>
      <c r="J280" t="s">
        <v>711</v>
      </c>
      <c r="K280" t="s">
        <v>716</v>
      </c>
      <c r="L280" t="s">
        <v>717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282</v>
      </c>
      <c r="B281">
        <v>0</v>
      </c>
      <c r="C281" t="s">
        <v>649</v>
      </c>
      <c r="D281" t="s">
        <v>719</v>
      </c>
      <c r="E281" t="s">
        <v>651</v>
      </c>
      <c r="F281" t="s">
        <v>652</v>
      </c>
      <c r="G281" t="s">
        <v>696</v>
      </c>
      <c r="H281" t="s">
        <v>714</v>
      </c>
      <c r="I281" t="s">
        <v>715</v>
      </c>
      <c r="J281" t="s">
        <v>711</v>
      </c>
      <c r="K281" t="s">
        <v>716</v>
      </c>
      <c r="L281" t="s">
        <v>717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283</v>
      </c>
      <c r="B282">
        <v>0</v>
      </c>
      <c r="C282" t="s">
        <v>785</v>
      </c>
      <c r="D282" t="s">
        <v>786</v>
      </c>
      <c r="E282" t="s">
        <v>787</v>
      </c>
      <c r="F282" t="s">
        <v>788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284</v>
      </c>
      <c r="B283">
        <v>0</v>
      </c>
      <c r="C283" t="s">
        <v>785</v>
      </c>
      <c r="D283" t="s">
        <v>789</v>
      </c>
      <c r="E283" t="s">
        <v>790</v>
      </c>
      <c r="F283" t="s">
        <v>791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285</v>
      </c>
      <c r="B284">
        <v>0</v>
      </c>
      <c r="C284" t="s">
        <v>785</v>
      </c>
      <c r="D284" t="s">
        <v>792</v>
      </c>
      <c r="E284" t="s">
        <v>793</v>
      </c>
      <c r="F284" t="s">
        <v>794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286</v>
      </c>
      <c r="B285">
        <v>0</v>
      </c>
      <c r="C285" t="s">
        <v>785</v>
      </c>
      <c r="D285" t="s">
        <v>795</v>
      </c>
      <c r="E285" t="s">
        <v>796</v>
      </c>
      <c r="F285" t="s">
        <v>797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287</v>
      </c>
      <c r="B286">
        <v>0</v>
      </c>
      <c r="C286" t="s">
        <v>785</v>
      </c>
      <c r="D286" t="s">
        <v>798</v>
      </c>
      <c r="E286" t="s">
        <v>799</v>
      </c>
      <c r="F286" t="s">
        <v>800</v>
      </c>
      <c r="G286">
        <v>0.2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288</v>
      </c>
      <c r="B287">
        <v>0</v>
      </c>
      <c r="C287" t="s">
        <v>785</v>
      </c>
      <c r="D287" s="1" t="s">
        <v>986</v>
      </c>
      <c r="E287" s="3" t="s">
        <v>987</v>
      </c>
      <c r="F287" t="s">
        <v>801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A287+3</f>
        <v>291</v>
      </c>
      <c r="B288">
        <v>0</v>
      </c>
      <c r="C288" t="s">
        <v>785</v>
      </c>
      <c r="D288" t="s">
        <v>802</v>
      </c>
      <c r="E288" t="s">
        <v>803</v>
      </c>
      <c r="F288" t="s">
        <v>804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292</v>
      </c>
      <c r="B289">
        <v>0</v>
      </c>
      <c r="C289" t="s">
        <v>805</v>
      </c>
      <c r="D289" t="s">
        <v>806</v>
      </c>
      <c r="E289" t="s">
        <v>807</v>
      </c>
      <c r="F289" t="s">
        <v>808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293</v>
      </c>
      <c r="B290">
        <v>0</v>
      </c>
      <c r="C290" t="s">
        <v>805</v>
      </c>
      <c r="D290" t="s">
        <v>809</v>
      </c>
      <c r="E290" t="s">
        <v>810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294</v>
      </c>
      <c r="B291">
        <v>0</v>
      </c>
      <c r="C291" t="s">
        <v>805</v>
      </c>
      <c r="D291" t="s">
        <v>811</v>
      </c>
      <c r="E291" t="s">
        <v>585</v>
      </c>
      <c r="F291" t="s">
        <v>812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295</v>
      </c>
      <c r="B292">
        <v>0</v>
      </c>
      <c r="C292" t="s">
        <v>805</v>
      </c>
      <c r="D292" t="s">
        <v>813</v>
      </c>
      <c r="E292" t="s">
        <v>814</v>
      </c>
      <c r="F292" t="s">
        <v>815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296</v>
      </c>
      <c r="B293">
        <v>0</v>
      </c>
      <c r="C293" t="s">
        <v>805</v>
      </c>
      <c r="D293" t="s">
        <v>816</v>
      </c>
      <c r="E293" t="s">
        <v>817</v>
      </c>
      <c r="F293" t="s">
        <v>818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297</v>
      </c>
      <c r="B294">
        <v>0</v>
      </c>
      <c r="C294" t="s">
        <v>805</v>
      </c>
      <c r="D294" t="s">
        <v>902</v>
      </c>
      <c r="E294" t="s">
        <v>903</v>
      </c>
      <c r="F294" t="s">
        <v>904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298</v>
      </c>
      <c r="B295">
        <v>0</v>
      </c>
      <c r="C295" t="s">
        <v>805</v>
      </c>
      <c r="D295" t="s">
        <v>905</v>
      </c>
      <c r="E295" t="s">
        <v>906</v>
      </c>
      <c r="F295" t="s">
        <v>907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299</v>
      </c>
      <c r="B296">
        <v>0</v>
      </c>
      <c r="C296" t="s">
        <v>805</v>
      </c>
      <c r="D296" t="s">
        <v>908</v>
      </c>
      <c r="E296" t="s">
        <v>909</v>
      </c>
      <c r="F296" t="s">
        <v>910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300</v>
      </c>
      <c r="B297">
        <v>0</v>
      </c>
      <c r="C297" t="s">
        <v>805</v>
      </c>
      <c r="D297" t="s">
        <v>911</v>
      </c>
      <c r="E297" t="s">
        <v>912</v>
      </c>
      <c r="F297" t="s">
        <v>913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301</v>
      </c>
      <c r="B298">
        <v>0</v>
      </c>
      <c r="C298" t="s">
        <v>805</v>
      </c>
      <c r="D298" t="s">
        <v>914</v>
      </c>
      <c r="E298" t="s">
        <v>585</v>
      </c>
      <c r="F298" t="s">
        <v>915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302</v>
      </c>
      <c r="B299">
        <v>0</v>
      </c>
      <c r="C299" t="s">
        <v>805</v>
      </c>
      <c r="D299" t="s">
        <v>916</v>
      </c>
      <c r="E299" t="s">
        <v>917</v>
      </c>
      <c r="F299" t="s">
        <v>918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303</v>
      </c>
      <c r="B300">
        <v>0</v>
      </c>
      <c r="C300" t="s">
        <v>842</v>
      </c>
      <c r="D300" t="s">
        <v>843</v>
      </c>
      <c r="E300" t="s">
        <v>844</v>
      </c>
      <c r="F300" t="s">
        <v>1197</v>
      </c>
      <c r="G300">
        <v>25</v>
      </c>
      <c r="H300">
        <v>25</v>
      </c>
      <c r="I300" t="s">
        <v>845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304</v>
      </c>
      <c r="B301">
        <v>0</v>
      </c>
      <c r="C301" t="s">
        <v>842</v>
      </c>
      <c r="D301" t="s">
        <v>846</v>
      </c>
      <c r="E301" t="s">
        <v>844</v>
      </c>
      <c r="F301" t="s">
        <v>847</v>
      </c>
      <c r="G301">
        <v>20</v>
      </c>
      <c r="H301">
        <v>20</v>
      </c>
      <c r="I301" t="s">
        <v>845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305</v>
      </c>
      <c r="B302">
        <v>0</v>
      </c>
      <c r="C302" t="s">
        <v>842</v>
      </c>
      <c r="D302" t="s">
        <v>848</v>
      </c>
      <c r="E302" t="s">
        <v>844</v>
      </c>
      <c r="F302" t="s">
        <v>849</v>
      </c>
      <c r="G302">
        <v>3</v>
      </c>
      <c r="H302">
        <v>1.5</v>
      </c>
      <c r="I302" t="s">
        <v>845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306</v>
      </c>
      <c r="B303">
        <v>0</v>
      </c>
      <c r="C303" t="s">
        <v>842</v>
      </c>
      <c r="D303" t="s">
        <v>850</v>
      </c>
      <c r="E303" t="s">
        <v>844</v>
      </c>
      <c r="F303" t="s">
        <v>851</v>
      </c>
      <c r="G303">
        <v>20</v>
      </c>
      <c r="H303">
        <v>20</v>
      </c>
      <c r="I303" t="s">
        <v>845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307</v>
      </c>
      <c r="B304">
        <v>0</v>
      </c>
      <c r="C304" t="s">
        <v>842</v>
      </c>
      <c r="D304" t="s">
        <v>852</v>
      </c>
      <c r="E304" t="s">
        <v>844</v>
      </c>
      <c r="F304" t="s">
        <v>853</v>
      </c>
      <c r="G304">
        <v>3</v>
      </c>
      <c r="H304">
        <v>1.5</v>
      </c>
      <c r="I304" t="s">
        <v>845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308</v>
      </c>
      <c r="B305">
        <v>0</v>
      </c>
      <c r="C305" t="s">
        <v>842</v>
      </c>
      <c r="D305" t="s">
        <v>854</v>
      </c>
      <c r="E305" t="s">
        <v>844</v>
      </c>
      <c r="F305" t="s">
        <v>855</v>
      </c>
      <c r="G305">
        <v>3</v>
      </c>
      <c r="H305">
        <v>1.5</v>
      </c>
      <c r="I305" t="s">
        <v>845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309</v>
      </c>
      <c r="B306">
        <v>0</v>
      </c>
      <c r="C306" t="s">
        <v>842</v>
      </c>
      <c r="D306" t="s">
        <v>856</v>
      </c>
      <c r="E306" t="s">
        <v>844</v>
      </c>
      <c r="F306" t="s">
        <v>857</v>
      </c>
      <c r="G306">
        <v>3</v>
      </c>
      <c r="H306">
        <v>1.5</v>
      </c>
      <c r="I306" t="s">
        <v>845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310</v>
      </c>
      <c r="B307">
        <v>0</v>
      </c>
      <c r="C307" t="s">
        <v>842</v>
      </c>
      <c r="D307" t="s">
        <v>858</v>
      </c>
      <c r="E307" t="s">
        <v>844</v>
      </c>
      <c r="F307" t="s">
        <v>859</v>
      </c>
      <c r="G307">
        <v>25</v>
      </c>
      <c r="H307">
        <v>25</v>
      </c>
      <c r="I307" t="s">
        <v>845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311</v>
      </c>
      <c r="B308">
        <v>0</v>
      </c>
      <c r="C308" t="s">
        <v>842</v>
      </c>
      <c r="D308" t="s">
        <v>860</v>
      </c>
      <c r="E308" t="s">
        <v>844</v>
      </c>
      <c r="F308" t="s">
        <v>861</v>
      </c>
      <c r="G308">
        <v>5</v>
      </c>
      <c r="H308">
        <v>2.5</v>
      </c>
      <c r="I308" t="s">
        <v>845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312</v>
      </c>
      <c r="B309">
        <v>0</v>
      </c>
      <c r="C309" t="s">
        <v>862</v>
      </c>
      <c r="D309" t="s">
        <v>863</v>
      </c>
      <c r="E309" s="3" t="s">
        <v>967</v>
      </c>
      <c r="F309" t="s">
        <v>864</v>
      </c>
      <c r="G309" s="3" t="s">
        <v>971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313</v>
      </c>
      <c r="B310">
        <v>0</v>
      </c>
      <c r="C310" t="s">
        <v>862</v>
      </c>
      <c r="D310" t="s">
        <v>865</v>
      </c>
      <c r="E310" t="s">
        <v>866</v>
      </c>
      <c r="F310" t="s">
        <v>867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314</v>
      </c>
      <c r="B311">
        <v>0</v>
      </c>
      <c r="C311" t="s">
        <v>862</v>
      </c>
      <c r="D311" t="s">
        <v>868</v>
      </c>
      <c r="E311" t="s">
        <v>869</v>
      </c>
      <c r="F311" t="s">
        <v>870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315</v>
      </c>
      <c r="B312">
        <v>0</v>
      </c>
      <c r="C312" t="s">
        <v>862</v>
      </c>
      <c r="D312" t="s">
        <v>871</v>
      </c>
      <c r="E312" t="s">
        <v>872</v>
      </c>
      <c r="F312" t="s">
        <v>873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316</v>
      </c>
      <c r="B313">
        <v>0</v>
      </c>
      <c r="C313" t="s">
        <v>862</v>
      </c>
      <c r="D313" t="s">
        <v>874</v>
      </c>
      <c r="E313" t="s">
        <v>875</v>
      </c>
      <c r="F313" t="s">
        <v>876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317</v>
      </c>
      <c r="B314">
        <v>0</v>
      </c>
      <c r="C314" t="s">
        <v>862</v>
      </c>
      <c r="D314" t="s">
        <v>877</v>
      </c>
      <c r="E314" t="s">
        <v>878</v>
      </c>
      <c r="F314" t="s">
        <v>879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318</v>
      </c>
      <c r="B315">
        <v>0</v>
      </c>
      <c r="C315" t="s">
        <v>862</v>
      </c>
      <c r="D315" t="s">
        <v>880</v>
      </c>
      <c r="E315" t="s">
        <v>881</v>
      </c>
      <c r="F315" t="s">
        <v>882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319</v>
      </c>
      <c r="B316">
        <v>0</v>
      </c>
      <c r="C316" t="s">
        <v>862</v>
      </c>
      <c r="D316" t="s">
        <v>883</v>
      </c>
      <c r="E316" t="s">
        <v>884</v>
      </c>
      <c r="F316" t="s">
        <v>885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.75" x14ac:dyDescent="0.25">
      <c r="A317">
        <f t="shared" si="8"/>
        <v>320</v>
      </c>
      <c r="B317">
        <v>0</v>
      </c>
      <c r="C317" t="s">
        <v>862</v>
      </c>
      <c r="D317" t="s">
        <v>968</v>
      </c>
      <c r="E317" t="s">
        <v>969</v>
      </c>
      <c r="F317" s="5" t="s">
        <v>970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321</v>
      </c>
      <c r="B318">
        <v>0</v>
      </c>
      <c r="C318" t="s">
        <v>832</v>
      </c>
      <c r="D318" t="s">
        <v>833</v>
      </c>
      <c r="E318" t="s">
        <v>36</v>
      </c>
      <c r="F318" s="7" t="s">
        <v>1048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322</v>
      </c>
      <c r="B319">
        <v>0</v>
      </c>
      <c r="C319" t="s">
        <v>832</v>
      </c>
      <c r="D319" t="s">
        <v>834</v>
      </c>
      <c r="E319" t="s">
        <v>36</v>
      </c>
      <c r="F319" s="7" t="s">
        <v>1048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323</v>
      </c>
      <c r="B320">
        <v>0</v>
      </c>
      <c r="C320" t="s">
        <v>832</v>
      </c>
      <c r="D320" t="s">
        <v>835</v>
      </c>
      <c r="E320" t="s">
        <v>36</v>
      </c>
      <c r="F320" s="7" t="s">
        <v>1048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ref="A321:A329" si="9">A320+1</f>
        <v>324</v>
      </c>
      <c r="B321">
        <v>0</v>
      </c>
      <c r="C321" t="s">
        <v>832</v>
      </c>
      <c r="D321" t="s">
        <v>836</v>
      </c>
      <c r="E321" t="s">
        <v>36</v>
      </c>
      <c r="F321" s="7" t="s">
        <v>1048</v>
      </c>
      <c r="G321">
        <v>2.2999999999999998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9"/>
        <v>325</v>
      </c>
      <c r="B322">
        <v>0</v>
      </c>
      <c r="C322" t="s">
        <v>832</v>
      </c>
      <c r="D322" t="s">
        <v>837</v>
      </c>
      <c r="E322" t="s">
        <v>36</v>
      </c>
      <c r="F322" s="7" t="s">
        <v>1048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326</v>
      </c>
      <c r="B323">
        <v>0</v>
      </c>
      <c r="C323" t="s">
        <v>832</v>
      </c>
      <c r="D323" t="s">
        <v>838</v>
      </c>
      <c r="E323" t="s">
        <v>36</v>
      </c>
      <c r="F323" s="7" t="s">
        <v>1048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327</v>
      </c>
      <c r="B324">
        <v>0</v>
      </c>
      <c r="C324" t="s">
        <v>832</v>
      </c>
      <c r="D324" t="s">
        <v>839</v>
      </c>
      <c r="E324" t="s">
        <v>36</v>
      </c>
      <c r="F324" s="7" t="s">
        <v>1048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328</v>
      </c>
      <c r="B325">
        <v>0</v>
      </c>
      <c r="C325" t="s">
        <v>832</v>
      </c>
      <c r="D325" t="s">
        <v>840</v>
      </c>
      <c r="E325" t="s">
        <v>36</v>
      </c>
      <c r="F325" s="7" t="s">
        <v>1048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329</v>
      </c>
      <c r="B326">
        <v>0</v>
      </c>
      <c r="C326" t="s">
        <v>832</v>
      </c>
      <c r="D326" t="s">
        <v>841</v>
      </c>
      <c r="E326" t="s">
        <v>36</v>
      </c>
      <c r="F326" s="7" t="s">
        <v>1048</v>
      </c>
      <c r="G326">
        <v>10.199999999999999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330</v>
      </c>
      <c r="B327">
        <v>0</v>
      </c>
      <c r="C327" t="s">
        <v>832</v>
      </c>
      <c r="D327" t="s">
        <v>886</v>
      </c>
      <c r="E327" t="s">
        <v>36</v>
      </c>
      <c r="F327" s="7" t="s">
        <v>1049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331</v>
      </c>
      <c r="B328">
        <v>0</v>
      </c>
      <c r="C328" t="s">
        <v>832</v>
      </c>
      <c r="D328" t="s">
        <v>887</v>
      </c>
      <c r="E328" t="s">
        <v>36</v>
      </c>
      <c r="F328" s="7" t="s">
        <v>1049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332</v>
      </c>
      <c r="B329">
        <v>0</v>
      </c>
      <c r="C329" t="s">
        <v>1041</v>
      </c>
      <c r="D329" t="s">
        <v>1042</v>
      </c>
      <c r="E329" t="s">
        <v>1043</v>
      </c>
      <c r="F329" t="s">
        <v>1044</v>
      </c>
      <c r="G329">
        <v>200</v>
      </c>
      <c r="H329" s="3" t="s">
        <v>1047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ref="A330:A348" si="10">A329+1</f>
        <v>333</v>
      </c>
      <c r="B330">
        <v>0</v>
      </c>
      <c r="C330" t="s">
        <v>1050</v>
      </c>
      <c r="D330" s="2" t="s">
        <v>1051</v>
      </c>
      <c r="E330" t="s">
        <v>1052</v>
      </c>
      <c r="F330" t="s">
        <v>1053</v>
      </c>
      <c r="G330" s="7" t="s">
        <v>1054</v>
      </c>
      <c r="H330" s="7" t="s">
        <v>1055</v>
      </c>
      <c r="I330" s="7" t="s">
        <v>1056</v>
      </c>
      <c r="J330" s="7" t="s">
        <v>1057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10"/>
        <v>334</v>
      </c>
      <c r="B331">
        <v>0</v>
      </c>
      <c r="C331" t="s">
        <v>1050</v>
      </c>
      <c r="D331" s="2" t="s">
        <v>1058</v>
      </c>
      <c r="E331" t="s">
        <v>1052</v>
      </c>
      <c r="F331" t="s">
        <v>1053</v>
      </c>
      <c r="G331" s="7" t="s">
        <v>1059</v>
      </c>
      <c r="H331" s="7" t="s">
        <v>1060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335</v>
      </c>
      <c r="B332">
        <v>0</v>
      </c>
      <c r="C332" t="s">
        <v>1050</v>
      </c>
      <c r="D332" s="2" t="s">
        <v>1061</v>
      </c>
      <c r="E332" t="s">
        <v>1052</v>
      </c>
      <c r="F332" t="s">
        <v>1053</v>
      </c>
      <c r="G332" s="7" t="s">
        <v>1062</v>
      </c>
      <c r="H332" s="7" t="s">
        <v>1063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336</v>
      </c>
      <c r="B333">
        <v>0</v>
      </c>
      <c r="C333" t="s">
        <v>1050</v>
      </c>
      <c r="D333" s="2" t="s">
        <v>1064</v>
      </c>
      <c r="E333" t="s">
        <v>1052</v>
      </c>
      <c r="F333" t="s">
        <v>1053</v>
      </c>
      <c r="G333" s="7" t="s">
        <v>1065</v>
      </c>
      <c r="H333" s="7" t="s">
        <v>1066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337</v>
      </c>
      <c r="B334">
        <v>0</v>
      </c>
      <c r="C334" t="s">
        <v>1050</v>
      </c>
      <c r="D334" s="2" t="s">
        <v>1067</v>
      </c>
      <c r="E334" t="s">
        <v>1052</v>
      </c>
      <c r="F334" t="s">
        <v>1053</v>
      </c>
      <c r="G334" s="7" t="s">
        <v>1068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338</v>
      </c>
      <c r="B335">
        <v>0</v>
      </c>
      <c r="C335" t="s">
        <v>1050</v>
      </c>
      <c r="D335" s="2" t="s">
        <v>1069</v>
      </c>
      <c r="E335" t="s">
        <v>1070</v>
      </c>
      <c r="F335" t="s">
        <v>1071</v>
      </c>
      <c r="G335" s="7" t="s">
        <v>1072</v>
      </c>
      <c r="H335" s="7" t="s">
        <v>1073</v>
      </c>
      <c r="I335" s="7" t="s">
        <v>1074</v>
      </c>
      <c r="J335" s="7" t="s">
        <v>1075</v>
      </c>
      <c r="K335" s="7" t="s">
        <v>1076</v>
      </c>
      <c r="L335" s="7" t="s">
        <v>1077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339</v>
      </c>
      <c r="B336">
        <v>0</v>
      </c>
      <c r="C336" t="s">
        <v>1050</v>
      </c>
      <c r="D336" s="2" t="s">
        <v>1078</v>
      </c>
      <c r="E336" t="s">
        <v>1070</v>
      </c>
      <c r="F336" t="s">
        <v>1071</v>
      </c>
      <c r="G336" s="7" t="s">
        <v>1079</v>
      </c>
      <c r="H336" s="7" t="s">
        <v>1080</v>
      </c>
      <c r="I336" s="7" t="s">
        <v>1081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340</v>
      </c>
      <c r="B337">
        <v>0</v>
      </c>
      <c r="C337" t="s">
        <v>1050</v>
      </c>
      <c r="D337" s="2" t="s">
        <v>1082</v>
      </c>
      <c r="E337" t="s">
        <v>1070</v>
      </c>
      <c r="F337" t="s">
        <v>1071</v>
      </c>
      <c r="G337" s="7" t="s">
        <v>1083</v>
      </c>
      <c r="H337" s="7" t="s">
        <v>1084</v>
      </c>
      <c r="I337" s="7" t="s">
        <v>1085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341</v>
      </c>
      <c r="B338">
        <v>0</v>
      </c>
      <c r="C338" t="s">
        <v>1050</v>
      </c>
      <c r="D338" s="2" t="s">
        <v>1086</v>
      </c>
      <c r="E338" t="s">
        <v>1070</v>
      </c>
      <c r="F338" t="s">
        <v>1071</v>
      </c>
      <c r="G338" s="7" t="s">
        <v>1087</v>
      </c>
      <c r="H338" s="7" t="s">
        <v>1084</v>
      </c>
      <c r="I338" s="7" t="s">
        <v>1088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342</v>
      </c>
      <c r="B339">
        <v>0</v>
      </c>
      <c r="C339" t="s">
        <v>1050</v>
      </c>
      <c r="D339" s="2" t="s">
        <v>1089</v>
      </c>
      <c r="E339" t="s">
        <v>1070</v>
      </c>
      <c r="F339" t="s">
        <v>1071</v>
      </c>
      <c r="G339" s="7" t="s">
        <v>1090</v>
      </c>
      <c r="H339" s="7" t="s">
        <v>1084</v>
      </c>
      <c r="I339" s="7" t="s">
        <v>1091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343</v>
      </c>
      <c r="B340">
        <v>0</v>
      </c>
      <c r="C340" t="s">
        <v>1050</v>
      </c>
      <c r="D340" s="2" t="s">
        <v>1092</v>
      </c>
      <c r="E340" t="s">
        <v>1093</v>
      </c>
      <c r="F340" t="s">
        <v>1094</v>
      </c>
      <c r="G340" s="7" t="s">
        <v>1095</v>
      </c>
      <c r="H340" s="7" t="s">
        <v>1096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344</v>
      </c>
      <c r="B341">
        <v>0</v>
      </c>
      <c r="C341" t="s">
        <v>1050</v>
      </c>
      <c r="D341" s="2" t="s">
        <v>1097</v>
      </c>
      <c r="E341" t="s">
        <v>1093</v>
      </c>
      <c r="F341" t="s">
        <v>1094</v>
      </c>
      <c r="G341" s="7" t="s">
        <v>1098</v>
      </c>
      <c r="H341" s="7" t="s">
        <v>1099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345</v>
      </c>
      <c r="B342">
        <v>0</v>
      </c>
      <c r="C342" t="s">
        <v>1050</v>
      </c>
      <c r="D342" s="2" t="s">
        <v>1100</v>
      </c>
      <c r="E342" t="s">
        <v>1093</v>
      </c>
      <c r="F342" t="s">
        <v>1094</v>
      </c>
      <c r="G342" s="7" t="s">
        <v>1101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346</v>
      </c>
      <c r="B343">
        <v>0</v>
      </c>
      <c r="C343" t="s">
        <v>1050</v>
      </c>
      <c r="D343" s="2" t="s">
        <v>1102</v>
      </c>
      <c r="E343" t="s">
        <v>1093</v>
      </c>
      <c r="F343" t="s">
        <v>1094</v>
      </c>
      <c r="G343" s="7" t="s">
        <v>1103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347</v>
      </c>
      <c r="B344">
        <v>0</v>
      </c>
      <c r="C344" t="s">
        <v>1050</v>
      </c>
      <c r="D344" s="2" t="s">
        <v>1104</v>
      </c>
      <c r="E344" t="s">
        <v>1093</v>
      </c>
      <c r="F344" t="s">
        <v>1094</v>
      </c>
      <c r="G344" s="7" t="s">
        <v>1105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348</v>
      </c>
      <c r="B345">
        <v>0</v>
      </c>
      <c r="C345" t="s">
        <v>1050</v>
      </c>
      <c r="D345" s="2" t="s">
        <v>1106</v>
      </c>
      <c r="E345" t="s">
        <v>1107</v>
      </c>
      <c r="F345" t="s">
        <v>1108</v>
      </c>
      <c r="G345" s="7" t="s">
        <v>1109</v>
      </c>
      <c r="H345" s="7" t="s">
        <v>1110</v>
      </c>
      <c r="I345" s="7" t="s">
        <v>1111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349</v>
      </c>
      <c r="B346">
        <v>0</v>
      </c>
      <c r="C346" t="s">
        <v>1050</v>
      </c>
      <c r="D346" s="2" t="s">
        <v>1112</v>
      </c>
      <c r="E346" t="s">
        <v>1113</v>
      </c>
      <c r="F346" t="s">
        <v>1140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350</v>
      </c>
      <c r="B347">
        <v>0</v>
      </c>
      <c r="C347" t="s">
        <v>1050</v>
      </c>
      <c r="D347" s="2" t="s">
        <v>1117</v>
      </c>
      <c r="E347" t="s">
        <v>1118</v>
      </c>
      <c r="F347" t="s">
        <v>1119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351</v>
      </c>
      <c r="B348">
        <v>0</v>
      </c>
      <c r="C348" t="s">
        <v>1050</v>
      </c>
      <c r="D348" s="2" t="s">
        <v>1120</v>
      </c>
      <c r="E348" t="s">
        <v>1121</v>
      </c>
      <c r="F348" t="s">
        <v>1139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v>352</v>
      </c>
      <c r="B349">
        <v>0</v>
      </c>
      <c r="C349" t="s">
        <v>1124</v>
      </c>
      <c r="D349" s="2" t="s">
        <v>1125</v>
      </c>
      <c r="E349" t="s">
        <v>1126</v>
      </c>
      <c r="F349" t="s">
        <v>1127</v>
      </c>
      <c r="G349">
        <v>125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>A349+1</f>
        <v>353</v>
      </c>
      <c r="B350">
        <v>0</v>
      </c>
      <c r="C350" t="s">
        <v>1050</v>
      </c>
      <c r="D350" s="2" t="s">
        <v>1128</v>
      </c>
      <c r="E350" t="s">
        <v>1129</v>
      </c>
      <c r="F350" t="s">
        <v>1130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354</v>
      </c>
      <c r="B351">
        <v>0</v>
      </c>
      <c r="C351" t="s">
        <v>1050</v>
      </c>
      <c r="D351" s="2" t="s">
        <v>1131</v>
      </c>
      <c r="E351" t="s">
        <v>1132</v>
      </c>
      <c r="F351" t="s">
        <v>1133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355</v>
      </c>
      <c r="B352">
        <v>0</v>
      </c>
      <c r="C352" t="s">
        <v>1050</v>
      </c>
      <c r="D352" s="2" t="s">
        <v>1134</v>
      </c>
      <c r="E352" t="s">
        <v>1135</v>
      </c>
      <c r="F352" t="s">
        <v>1136</v>
      </c>
      <c r="G352">
        <v>1.6</v>
      </c>
      <c r="H352">
        <v>2.2000000000000002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356</v>
      </c>
      <c r="B353">
        <v>0</v>
      </c>
      <c r="C353" t="s">
        <v>1050</v>
      </c>
      <c r="D353" s="2" t="s">
        <v>1137</v>
      </c>
      <c r="E353" t="s">
        <v>1138</v>
      </c>
      <c r="F353" t="s">
        <v>1169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ref="A354:A356" si="11">A353+1</f>
        <v>357</v>
      </c>
      <c r="B354">
        <v>0</v>
      </c>
      <c r="C354" t="s">
        <v>1174</v>
      </c>
      <c r="D354" t="s">
        <v>1175</v>
      </c>
      <c r="E354" t="s">
        <v>1198</v>
      </c>
      <c r="F354" t="s">
        <v>1199</v>
      </c>
      <c r="G354" s="8">
        <v>100</v>
      </c>
      <c r="H354" s="8">
        <v>160</v>
      </c>
      <c r="I354" s="8">
        <v>70</v>
      </c>
      <c r="J354" s="8">
        <v>8</v>
      </c>
      <c r="K354" s="8">
        <v>4</v>
      </c>
      <c r="L354" s="8">
        <v>4</v>
      </c>
      <c r="M354" s="8">
        <v>0</v>
      </c>
      <c r="N354" s="8">
        <v>0</v>
      </c>
      <c r="O354" s="8">
        <v>0</v>
      </c>
      <c r="P354" s="8">
        <v>0</v>
      </c>
      <c r="Q354" s="8">
        <v>0</v>
      </c>
      <c r="R354" s="8">
        <v>0</v>
      </c>
    </row>
    <row r="355" spans="1:18" x14ac:dyDescent="0.25">
      <c r="A355">
        <f t="shared" si="11"/>
        <v>358</v>
      </c>
      <c r="B355">
        <v>0</v>
      </c>
      <c r="C355" t="s">
        <v>1174</v>
      </c>
      <c r="D355" t="s">
        <v>1177</v>
      </c>
      <c r="E355" t="s">
        <v>1178</v>
      </c>
      <c r="F355" t="s">
        <v>1200</v>
      </c>
      <c r="G355" s="8">
        <v>8</v>
      </c>
      <c r="H355" s="8">
        <v>0.25</v>
      </c>
      <c r="I355" s="8">
        <v>0.8</v>
      </c>
      <c r="J355" s="8">
        <v>2.5</v>
      </c>
      <c r="K355" s="8">
        <v>0</v>
      </c>
      <c r="L355" s="8">
        <v>0</v>
      </c>
      <c r="M355" s="8">
        <v>0</v>
      </c>
      <c r="N355" s="8">
        <v>0</v>
      </c>
      <c r="O355" s="8">
        <v>0</v>
      </c>
      <c r="P355" s="8">
        <v>0</v>
      </c>
      <c r="Q355" s="8">
        <v>0</v>
      </c>
      <c r="R355" s="8">
        <v>0</v>
      </c>
    </row>
    <row r="356" spans="1:18" x14ac:dyDescent="0.25">
      <c r="A356">
        <f t="shared" si="11"/>
        <v>359</v>
      </c>
      <c r="B356">
        <v>0</v>
      </c>
      <c r="C356" t="s">
        <v>1050</v>
      </c>
      <c r="D356" t="s">
        <v>1170</v>
      </c>
      <c r="E356" t="s">
        <v>1171</v>
      </c>
      <c r="F356" t="s">
        <v>1172</v>
      </c>
      <c r="G356" s="8">
        <v>25</v>
      </c>
      <c r="H356" s="8">
        <v>20</v>
      </c>
      <c r="I356" s="8">
        <v>60</v>
      </c>
      <c r="J356" s="8">
        <v>25</v>
      </c>
      <c r="K356" s="8">
        <v>50</v>
      </c>
      <c r="L356" s="8">
        <v>15</v>
      </c>
      <c r="M356" s="8">
        <v>40</v>
      </c>
      <c r="N356" s="8">
        <v>4</v>
      </c>
      <c r="O356" s="8">
        <v>0</v>
      </c>
      <c r="P356" s="8">
        <v>0</v>
      </c>
      <c r="Q356" s="8">
        <v>0</v>
      </c>
      <c r="R356" s="8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2026-10-27T09:49:28Z</dcterms:modified>
</cp:coreProperties>
</file>
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E60AFF71-F809-4D28-B7F2-8A777987FCE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A362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Q362" i="1"/>
  <c r="R362" i="1"/>
  <c r="A363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Q363" i="1"/>
  <c r="R363" i="1"/>
  <c r="A364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Q364" i="1"/>
  <c r="R364" i="1"/>
  <c r="A365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Q365" i="1"/>
  <c r="R365" i="1"/>
  <c r="A366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Q366" i="1"/>
  <c r="R366" i="1"/>
  <c r="A367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Q367" i="1"/>
  <c r="R367" i="1"/>
  <c r="A368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Q368" i="1"/>
  <c r="R368" i="1"/>
  <c r="A369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Q369" i="1"/>
  <c r="R369" i="1"/>
  <c r="A370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Q370" i="1"/>
  <c r="R370" i="1"/>
  <c r="A371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Q371" i="1"/>
  <c r="R371" i="1"/>
  <c r="A372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Q372" i="1"/>
  <c r="R372" i="1"/>
  <c r="A373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Q373" i="1"/>
  <c r="R373" i="1"/>
  <c r="A374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Q374" i="1"/>
  <c r="R374" i="1"/>
  <c r="A375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Q375" i="1"/>
  <c r="R375" i="1"/>
  <c r="A376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Q376" i="1"/>
  <c r="R376" i="1"/>
  <c r="A377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Q377" i="1"/>
  <c r="R377" i="1"/>
  <c r="A378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Q378" i="1"/>
  <c r="R378" i="1"/>
  <c r="A379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Q379" i="1"/>
  <c r="R379" i="1"/>
  <c r="A380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Q380" i="1"/>
  <c r="R380" i="1"/>
  <c r="A381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Q381" i="1"/>
  <c r="R381" i="1"/>
  <c r="A382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Q382" i="1"/>
  <c r="R382" i="1"/>
  <c r="A383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Q383" i="1"/>
  <c r="R383" i="1"/>
  <c r="A384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Q384" i="1"/>
  <c r="R384" i="1"/>
  <c r="A385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Q385" i="1"/>
  <c r="R385" i="1"/>
  <c r="A386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Q386" i="1"/>
  <c r="R386" i="1"/>
  <c r="A387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Q387" i="1"/>
  <c r="R387" i="1"/>
  <c r="A388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Q388" i="1"/>
  <c r="R388" i="1"/>
  <c r="A389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Q389" i="1"/>
  <c r="R389" i="1"/>
  <c r="A390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Q390" i="1"/>
  <c r="R390" i="1"/>
  <c r="A391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Q391" i="1"/>
  <c r="R391" i="1"/>
  <c r="A392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Q392" i="1"/>
  <c r="R392" i="1"/>
  <c r="A393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Q393" i="1"/>
  <c r="R393" i="1"/>
  <c r="A394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Q394" i="1"/>
  <c r="R394" i="1"/>
  <c r="A395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Q395" i="1"/>
  <c r="R395" i="1"/>
  <c r="A396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Q396" i="1"/>
  <c r="R396" i="1"/>
  <c r="A397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Q397" i="1"/>
  <c r="R397" i="1"/>
  <c r="A398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Q398" i="1"/>
  <c r="R398" i="1"/>
  <c r="A399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Q399" i="1"/>
  <c r="R399" i="1"/>
  <c r="A400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Q400" i="1"/>
  <c r="R400" i="1"/>
  <c r="A401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Q401" i="1"/>
  <c r="R401" i="1"/>
  <c r="A402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Q402" i="1"/>
  <c r="R402" i="1"/>
  <c r="A403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Q403" i="1"/>
  <c r="R403" i="1"/>
  <c r="A404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Q404" i="1"/>
  <c r="R404" i="1"/>
  <c r="A405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Q405" i="1"/>
  <c r="R405" i="1"/>
  <c r="A406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Q406" i="1"/>
  <c r="R406" i="1"/>
  <c r="A407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Q407" i="1"/>
  <c r="R407" i="1"/>
  <c r="A408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Q408" i="1"/>
  <c r="R408" i="1"/>
  <c r="A409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Q409" i="1"/>
  <c r="R409" i="1"/>
  <c r="A410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Q410" i="1"/>
  <c r="R410" i="1"/>
  <c r="A411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Q411" i="1"/>
  <c r="R411" i="1"/>
  <c r="A412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Q412" i="1"/>
  <c r="R412" i="1"/>
  <c r="A413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Q413" i="1"/>
  <c r="R413" i="1"/>
  <c r="A414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Q414" i="1"/>
  <c r="R414" i="1"/>
  <c r="A415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Q415" i="1"/>
  <c r="R415" i="1"/>
  <c r="A416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Q416" i="1"/>
  <c r="R416" i="1"/>
  <c r="A417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Q417" i="1"/>
  <c r="R417" i="1"/>
  <c r="A418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Q418" i="1"/>
  <c r="R418" i="1"/>
  <c r="A419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Q419" i="1"/>
  <c r="R419" i="1"/>
  <c r="A420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Q420" i="1"/>
  <c r="R420" i="1"/>
  <c r="A421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Q421" i="1"/>
  <c r="R421" i="1"/>
  <c r="A422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Q422" i="1"/>
  <c r="R422" i="1"/>
  <c r="A423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Q423" i="1"/>
  <c r="R423" i="1"/>
  <c r="A424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Q424" i="1"/>
  <c r="R424" i="1"/>
  <c r="A425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Q425" i="1"/>
  <c r="R425" i="1"/>
  <c r="A426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Q426" i="1"/>
  <c r="R426" i="1"/>
  <c r="A427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Q427" i="1"/>
  <c r="R427" i="1"/>
  <c r="A428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Q428" i="1"/>
  <c r="R428" i="1"/>
  <c r="A429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Q429" i="1"/>
  <c r="R429" i="1"/>
  <c r="A430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Q430" i="1"/>
  <c r="R430" i="1"/>
  <c r="A431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Q431" i="1"/>
  <c r="R431" i="1"/>
  <c r="A432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Q432" i="1"/>
  <c r="R432" i="1"/>
  <c r="A433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Q433" i="1"/>
  <c r="R433" i="1"/>
  <c r="A434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Q434" i="1"/>
  <c r="R434" i="1"/>
  <c r="A435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Q435" i="1"/>
  <c r="R435" i="1"/>
  <c r="A436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Q436" i="1"/>
  <c r="R436" i="1"/>
  <c r="A437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Q437" i="1"/>
  <c r="R437" i="1"/>
  <c r="A438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Q438" i="1"/>
  <c r="R438" i="1"/>
  <c r="A439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Q439" i="1"/>
  <c r="R439" i="1"/>
  <c r="A440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Q440" i="1"/>
  <c r="R440" i="1"/>
  <c r="A441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Q441" i="1"/>
  <c r="R441" i="1"/>
  <c r="A442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Q442" i="1"/>
  <c r="R442" i="1"/>
  <c r="A443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Q443" i="1"/>
  <c r="R443" i="1"/>
  <c r="A444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Q444" i="1"/>
  <c r="R444" i="1"/>
  <c r="A445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Q445" i="1"/>
  <c r="R445" i="1"/>
  <c r="A446" i="1"/>
  <c r="B446" i="1"/>
  <c r="C446" i="1"/>
  <c r="D446" i="1"/>
  <c r="E446" i="1"/>
  <c r="F446" i="1"/>
  <c r="G446" i="1"/>
  <c r="H446" i="1"/>
  <c r="I446" i="1"/>
  <c r="J446" i="1"/>
  <c r="K446" i="1"/>
  <c r="L446" i="1"/>
  <c r="M446" i="1"/>
  <c r="N446" i="1"/>
  <c r="O446" i="1"/>
  <c r="P446" i="1"/>
  <c r="Q446" i="1"/>
  <c r="R446" i="1"/>
  <c r="A447" i="1"/>
  <c r="B447" i="1"/>
  <c r="C447" i="1"/>
  <c r="D447" i="1"/>
  <c r="E447" i="1"/>
  <c r="F447" i="1"/>
  <c r="G447" i="1"/>
  <c r="H447" i="1"/>
  <c r="I447" i="1"/>
  <c r="J447" i="1"/>
  <c r="K447" i="1"/>
  <c r="L447" i="1"/>
  <c r="M447" i="1"/>
  <c r="N447" i="1"/>
  <c r="O447" i="1"/>
  <c r="P447" i="1"/>
  <c r="Q447" i="1"/>
  <c r="R447" i="1"/>
  <c r="A448" i="1"/>
  <c r="B448" i="1"/>
  <c r="C448" i="1"/>
  <c r="D448" i="1"/>
  <c r="E448" i="1"/>
  <c r="F448" i="1"/>
  <c r="G448" i="1"/>
  <c r="H448" i="1"/>
  <c r="I448" i="1"/>
  <c r="J448" i="1"/>
  <c r="K448" i="1"/>
  <c r="L448" i="1"/>
  <c r="M448" i="1"/>
  <c r="N448" i="1"/>
  <c r="O448" i="1"/>
  <c r="P448" i="1"/>
  <c r="Q448" i="1"/>
  <c r="R448" i="1"/>
  <c r="A449" i="1"/>
  <c r="B449" i="1"/>
  <c r="C449" i="1"/>
  <c r="D449" i="1"/>
  <c r="E449" i="1"/>
  <c r="F449" i="1"/>
  <c r="G449" i="1"/>
  <c r="H449" i="1"/>
  <c r="I449" i="1"/>
  <c r="J449" i="1"/>
  <c r="K449" i="1"/>
  <c r="L449" i="1"/>
  <c r="M449" i="1"/>
  <c r="N449" i="1"/>
  <c r="O449" i="1"/>
  <c r="P449" i="1"/>
  <c r="Q449" i="1"/>
  <c r="R449" i="1"/>
  <c r="A186" i="2"/>
  <c r="A187" i="2" s="1"/>
  <c r="A188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1" i="2"/>
  <c r="A3" i="2"/>
  <c r="A4" i="2" l="1"/>
  <c r="A5" i="2"/>
  <c r="I12" i="2"/>
  <c r="A6" i="2" l="1"/>
  <c r="I13" i="2"/>
  <c r="A7" i="2" l="1"/>
  <c r="A8" i="2"/>
  <c r="I14" i="2"/>
  <c r="I15" i="2" l="1"/>
  <c r="A9" i="2"/>
  <c r="A10" i="2" l="1"/>
  <c r="I16" i="2"/>
  <c r="I17" i="2" l="1"/>
  <c r="A11" i="2"/>
  <c r="A12" i="2" l="1"/>
  <c r="I18" i="2"/>
  <c r="I19" i="2" l="1"/>
  <c r="A13" i="2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  <c r="A214" i="2" l="1"/>
  <c r="A215" i="2" l="1"/>
  <c r="A216" i="2" l="1"/>
  <c r="A217" i="2" l="1"/>
  <c r="A218" i="2" l="1"/>
  <c r="A219" i="2" l="1"/>
  <c r="A220" i="2" l="1"/>
  <c r="A221" i="2" l="1"/>
  <c r="A222" i="2" l="1"/>
  <c r="A223" i="2" l="1"/>
  <c r="A224" i="2" l="1"/>
  <c r="A225" i="2" l="1"/>
  <c r="A226" i="2" l="1"/>
  <c r="A227" i="2" l="1"/>
  <c r="A228" i="2" l="1"/>
  <c r="A229" i="2" l="1"/>
  <c r="A230" i="2" l="1"/>
  <c r="A231" i="2" l="1"/>
  <c r="A232" i="2" l="1"/>
  <c r="A233" i="2" l="1"/>
  <c r="A234" i="2" l="1"/>
  <c r="A235" i="2" l="1"/>
  <c r="A236" i="2" l="1"/>
  <c r="A237" i="2" l="1"/>
  <c r="A238" i="2" l="1"/>
  <c r="A239" i="2" l="1"/>
  <c r="A240" i="2" l="1"/>
  <c r="A241" i="2" l="1"/>
  <c r="A242" i="2" l="1"/>
  <c r="A243" i="2" l="1"/>
  <c r="A244" i="2" l="1"/>
  <c r="A245" i="2" l="1"/>
  <c r="A246" i="2" l="1"/>
  <c r="A247" i="2" l="1"/>
  <c r="A248" i="2" l="1"/>
  <c r="A249" i="2" l="1"/>
  <c r="A250" i="2" l="1"/>
  <c r="A251" i="2" l="1"/>
  <c r="A252" i="2" l="1"/>
  <c r="A253" i="2" l="1"/>
  <c r="A254" i="2" l="1"/>
  <c r="A255" i="2" l="1"/>
  <c r="A256" i="2" l="1"/>
  <c r="A257" i="2" l="1"/>
  <c r="A258" i="2" l="1"/>
  <c r="A259" i="2" l="1"/>
  <c r="A260" i="2" l="1"/>
  <c r="A261" i="2" l="1"/>
  <c r="A262" i="2" l="1"/>
  <c r="A263" i="2" l="1"/>
  <c r="A264" i="2" l="1"/>
  <c r="A265" i="2" l="1"/>
  <c r="A266" i="2" l="1"/>
  <c r="A267" i="2" l="1"/>
  <c r="A268" i="2" l="1"/>
  <c r="A269" i="2" l="1"/>
  <c r="A270" i="2" l="1"/>
  <c r="A271" i="2" l="1"/>
  <c r="A272" i="2" l="1"/>
  <c r="A273" i="2" l="1"/>
  <c r="A274" i="2" l="1"/>
  <c r="A275" i="2" l="1"/>
  <c r="A276" i="2" l="1"/>
  <c r="A277" i="2" l="1"/>
  <c r="A278" i="2" l="1"/>
  <c r="A279" i="2" l="1"/>
  <c r="A280" i="2" l="1"/>
  <c r="A281" i="2" l="1"/>
  <c r="A282" i="2" l="1"/>
  <c r="A283" i="2" l="1"/>
  <c r="A284" i="2" l="1"/>
  <c r="A285" i="2" l="1"/>
  <c r="A286" i="2" l="1"/>
  <c r="A287" i="2" l="1"/>
  <c r="A288" i="2" l="1"/>
  <c r="A289" i="2" l="1"/>
  <c r="A290" i="2" l="1"/>
  <c r="A291" i="2" l="1"/>
  <c r="A292" i="2" l="1"/>
  <c r="A293" i="2" l="1"/>
  <c r="A294" i="2" l="1"/>
  <c r="A295" i="2" l="1"/>
  <c r="A296" i="2" l="1"/>
  <c r="A297" i="2" l="1"/>
  <c r="A298" i="2" l="1"/>
  <c r="A299" i="2" l="1"/>
  <c r="A300" i="2" l="1"/>
  <c r="A301" i="2" l="1"/>
  <c r="A302" i="2" l="1"/>
  <c r="A303" i="2" l="1"/>
  <c r="A304" i="2" l="1"/>
  <c r="A305" i="2" l="1"/>
  <c r="A306" i="2" l="1"/>
  <c r="A307" i="2" l="1"/>
  <c r="A308" i="2" l="1"/>
  <c r="A309" i="2" l="1"/>
  <c r="A310" i="2" l="1"/>
  <c r="A311" i="2" l="1"/>
  <c r="A312" i="2" l="1"/>
  <c r="A313" i="2" l="1"/>
  <c r="A314" i="2" l="1"/>
  <c r="A315" i="2" l="1"/>
  <c r="A316" i="2" l="1"/>
  <c r="A317" i="2" l="1"/>
  <c r="A318" i="2" l="1"/>
  <c r="A319" i="2" l="1"/>
  <c r="A320" i="2" l="1"/>
  <c r="A321" i="2" l="1"/>
  <c r="A322" i="2" l="1"/>
  <c r="A323" i="2" l="1"/>
  <c r="A324" i="2" l="1"/>
  <c r="A325" i="2" l="1"/>
  <c r="A326" i="2" l="1"/>
  <c r="A327" i="2" l="1"/>
  <c r="A328" i="2" l="1"/>
  <c r="A329" i="2" l="1"/>
  <c r="A330" i="2" l="1"/>
  <c r="A331" i="2" l="1"/>
  <c r="A332" i="2" l="1"/>
  <c r="A333" i="2" l="1"/>
  <c r="A334" i="2" l="1"/>
  <c r="A335" i="2" l="1"/>
  <c r="A336" i="2" l="1"/>
  <c r="A337" i="2" l="1"/>
  <c r="A338" i="2" l="1"/>
  <c r="A339" i="2" l="1"/>
  <c r="A340" i="2" l="1"/>
  <c r="A341" i="2" l="1"/>
  <c r="A342" i="2" l="1"/>
  <c r="A343" i="2" l="1"/>
  <c r="A344" i="2" l="1"/>
  <c r="A345" i="2" l="1"/>
  <c r="A346" i="2" l="1"/>
  <c r="A347" i="2" l="1"/>
  <c r="A348" i="2" l="1"/>
  <c r="A349" i="2" l="1"/>
  <c r="A350" i="2" l="1"/>
  <c r="A351" i="2" l="1"/>
  <c r="A352" i="2" l="1"/>
  <c r="A353" i="2" l="1"/>
  <c r="A354" i="2" l="1"/>
  <c r="A355" i="2" l="1"/>
  <c r="A356" i="2" l="1"/>
  <c r="A357" i="2" l="1"/>
  <c r="A358" i="2" l="1"/>
  <c r="A359" i="2" l="1"/>
  <c r="A360" i="2" l="1"/>
  <c r="A361" i="2" l="1"/>
  <c r="A362" i="2" l="1"/>
  <c r="A363" i="2" l="1"/>
  <c r="A364" i="2" l="1"/>
  <c r="A365" i="2" l="1"/>
  <c r="A366" i="2" l="1"/>
  <c r="A367" i="2" l="1"/>
  <c r="A368" i="2" l="1"/>
  <c r="A369" i="2" l="1"/>
  <c r="A370" i="2" l="1"/>
  <c r="A371" i="2" l="1"/>
  <c r="A372" i="2" l="1"/>
  <c r="A373" i="2" l="1"/>
  <c r="A374" i="2" l="1"/>
  <c r="A375" i="2" l="1"/>
  <c r="A376" i="2" l="1"/>
  <c r="A377" i="2" l="1"/>
  <c r="A378" i="2" l="1"/>
  <c r="A379" i="2" l="1"/>
  <c r="A380" i="2" l="1"/>
  <c r="A381" i="2" l="1"/>
  <c r="A382" i="2" l="1"/>
  <c r="A383" i="2" l="1"/>
  <c r="A384" i="2" l="1"/>
  <c r="A385" i="2" l="1"/>
  <c r="A386" i="2" l="1"/>
  <c r="A387" i="2" l="1"/>
  <c r="A388" i="2" l="1"/>
  <c r="A389" i="2" l="1"/>
  <c r="A390" i="2" l="1"/>
  <c r="A391" i="2" l="1"/>
  <c r="A392" i="2" l="1"/>
  <c r="A393" i="2" l="1"/>
  <c r="A394" i="2" l="1"/>
  <c r="A395" i="2" l="1"/>
  <c r="A396" i="2" l="1"/>
  <c r="A397" i="2" l="1"/>
  <c r="A398" i="2" l="1"/>
  <c r="A399" i="2" l="1"/>
  <c r="A400" i="2" l="1"/>
  <c r="A401" i="2" l="1"/>
  <c r="A402" i="2" l="1"/>
  <c r="A403" i="2" l="1"/>
  <c r="A404" i="2" l="1"/>
  <c r="A405" i="2" l="1"/>
  <c r="A406" i="2" l="1"/>
  <c r="A407" i="2" l="1"/>
  <c r="A408" i="2" l="1"/>
  <c r="A409" i="2" l="1"/>
  <c r="A410" i="2" l="1"/>
  <c r="A411" i="2" l="1"/>
  <c r="A412" i="2" l="1"/>
  <c r="A413" i="2" l="1"/>
  <c r="A414" i="2" l="1"/>
  <c r="A415" i="2" l="1"/>
  <c r="A416" i="2" l="1"/>
  <c r="A417" i="2" l="1"/>
  <c r="A418" i="2" l="1"/>
  <c r="A419" i="2" l="1"/>
  <c r="A420" i="2" l="1"/>
  <c r="A421" i="2" l="1"/>
  <c r="A422" i="2" l="1"/>
  <c r="A423" i="2" l="1"/>
  <c r="A424" i="2" l="1"/>
  <c r="A425" i="2" l="1"/>
  <c r="A426" i="2" l="1"/>
  <c r="A427" i="2" l="1"/>
  <c r="A428" i="2" l="1"/>
  <c r="A429" i="2" l="1"/>
  <c r="A430" i="2" l="1"/>
  <c r="A431" i="2" l="1"/>
  <c r="A432" i="2" l="1"/>
  <c r="A433" i="2" l="1"/>
  <c r="A434" i="2" l="1"/>
  <c r="A435" i="2" l="1"/>
  <c r="A436" i="2" l="1"/>
  <c r="A437" i="2" l="1"/>
  <c r="A438" i="2" l="1"/>
  <c r="A439" i="2" l="1"/>
  <c r="A440" i="2" l="1"/>
  <c r="A441" i="2" l="1"/>
  <c r="A442" i="2" l="1"/>
  <c r="A443" i="2" l="1"/>
  <c r="A444" i="2" l="1"/>
  <c r="A445" i="2" l="1"/>
  <c r="A446" i="2" l="1"/>
  <c r="A447" i="2" l="1"/>
  <c r="A448" i="2" l="1"/>
  <c r="A449" i="2" l="1"/>
</calcChain>
</file>

<file path=xl/sharedStrings.xml><?xml version="1.0" encoding="utf-8"?>
<sst xmlns="http://schemas.openxmlformats.org/spreadsheetml/2006/main" count="2328" uniqueCount="990">
  <si>
    <t>編號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</si>
  <si>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</si>
  <si>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</si>
  <si>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</si>
  <si>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</si>
  <si>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</si>
  <si>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</si>
  <si>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</si>
  <si>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</si>
  <si>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</si>
  <si>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</si>
  <si>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</si>
  <si>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</si>
  <si>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</si>
  <si>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</si>
  <si>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</si>
  <si>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</si>
  <si>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</si>
  <si>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</si>
  <si>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</si>
  <si>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</si>
  <si>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</si>
  <si>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</si>
  <si>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</si>
  <si>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</si>
  <si>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</si>
  <si>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</si>
  <si>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</si>
  <si>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</si>
  <si>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</si>
  <si>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</si>
  <si>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</si>
  <si>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a^轉生次數</t>
  </si>
  <si>
    <t>每次轉生升級經驗需求為上一次的 a 倍。</t>
  </si>
  <si>
    <t>神鑄系統解鎖等級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</si>
  <si>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</si>
  <si>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</si>
  <si>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</si>
  <si>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</si>
  <si>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</si>
  <si>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</si>
  <si>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</si>
  <si>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</si>
  <si>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</si>
  <si>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</si>
  <si>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</si>
  <si>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</si>
  <si>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</si>
  <si>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</si>
  <si>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</si>
  <si>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</si>
  <si>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</si>
  <si>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</si>
  <si>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</si>
  <si>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</si>
  <si>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</si>
  <si>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</si>
  <si>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</si>
  <si>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</si>
  <si>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</si>
  <si>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</si>
  <si>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</si>
  <si>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</si>
  <si>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</si>
  <si>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</si>
  <si>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</si>
  <si>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</si>
  <si>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</si>
  <si>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</si>
  <si>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</si>
  <si>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</si>
  <si>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</si>
  <si>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</si>
  <si>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</si>
  <si>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</si>
  <si>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</si>
  <si>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</si>
  <si>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</si>
  <si>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</si>
  <si>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</si>
  <si>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(a+(等級-1)×b+力量×c+物攻定值)×(1+物攻%)</t>
  </si>
  <si>
    <t>a=基礎 b=每級 c=每點力量。</t>
  </si>
  <si>
    <t>魔法攻擊</t>
  </si>
  <si>
    <t>(a+(等級-1)×b+智力×c+魔攻定值)×(1+魔攻%)</t>
  </si>
  <si>
    <t>a=基礎 b=每級 c=每點智力。</t>
  </si>
  <si>
    <t>物理防禦</t>
  </si>
  <si>
    <t>(a+(等級-1)×b+耐力×c+物防定值)×(1+物防%)</t>
  </si>
  <si>
    <t>a=基礎 b=每級 c=每點耐力。</t>
  </si>
  <si>
    <t>魔法防禦</t>
  </si>
  <si>
    <t>(a+(等級-1)×b+智力×c+魔防定值)×(1+物防%)</t>
  </si>
  <si>
    <t>a=基礎 b=每級 c=每點智力。共用物防%詞條。</t>
  </si>
  <si>
    <t>暴擊率</t>
  </si>
  <si>
    <t>a+敏捷×b+加成</t>
  </si>
  <si>
    <t>a=基礎% b=每點敏捷。上限 100%。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</si>
  <si>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</si>
  <si>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</si>
  <si>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</si>
  <si>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</si>
  <si>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</si>
  <si>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</si>
  <si>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</si>
  <si>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閃避率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</si>
  <si>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</si>
  <si>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</si>
  <si>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</si>
  <si>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</si>
  <si>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</si>
  <si>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</si>
  <si>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</si>
  <si>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</si>
  <si>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</si>
  <si>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</si>
  <si>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</si>
  <si>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</si>
  <si>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物理穿透 上限</t>
  </si>
  <si>
    <t>魔法穿透 上限</t>
  </si>
  <si>
    <t>冷卻縮減 上限</t>
  </si>
  <si>
    <t>施法速度 上限</t>
  </si>
  <si>
    <t>吸血 上限</t>
  </si>
  <si>
    <t>吸魔 上限</t>
  </si>
  <si>
    <t>格擋率 上限</t>
  </si>
  <si>
    <t>格擋減傷(詞條部分) 上限</t>
  </si>
  <si>
    <t>閃避率 上限</t>
  </si>
  <si>
    <t>韌性 上限</t>
  </si>
  <si>
    <t>物理抗性 上限</t>
  </si>
  <si>
    <t>魔法抗性 上限</t>
  </si>
  <si>
    <t>六系元素抗性 上限</t>
  </si>
  <si>
    <t>控制抵抗 上限</t>
  </si>
  <si>
    <t>控制時間縮減 上限</t>
  </si>
  <si>
    <t>移動速度 上限</t>
  </si>
  <si>
    <t>幸運值 上限</t>
  </si>
  <si>
    <t>合成變異率 上限</t>
  </si>
  <si>
    <t>狂暴閾值 上限</t>
  </si>
  <si>
    <t>詞條上限率 上限</t>
  </si>
  <si>
    <t>被動-連擊 上限</t>
  </si>
  <si>
    <t>被動-暈眩 上限</t>
  </si>
  <si>
    <t>全局減傷 上限</t>
  </si>
  <si>
    <t>3-戰鬥核心</t>
  </si>
  <si>
    <t>防禦減傷率</t>
  </si>
  <si>
    <t>a=常數 b=每級係數。有效防禦≤0 時視為 0% 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</si>
  <si>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</si>
  <si>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</si>
  <si>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</si>
  <si>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</si>
  <si>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</si>
  <si>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</si>
  <si>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</si>
  <si>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</si>
  <si>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</si>
  <si>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</si>
  <si>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</si>
  <si>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</si>
  <si>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</si>
  <si>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</si>
  <si>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</si>
  <si>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</si>
  <si>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</si>
  <si>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</si>
  <si>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</si>
  <si>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</si>
  <si>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</si>
  <si>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</si>
  <si>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</si>
  <si>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</si>
  <si>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</si>
  <si>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</si>
  <si>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</si>
  <si>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</si>
  <si>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</si>
  <si>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</si>
  <si>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</si>
  <si>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</si>
  <si>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</si>
  <si>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</si>
  <si>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</si>
  <si>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</si>
  <si>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</si>
  <si>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</si>
  <si>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</si>
  <si>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</si>
  <si>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</si>
  <si>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</si>
  <si>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</si>
  <si>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</si>
  <si>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</si>
  <si>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</si>
  <si>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</si>
  <si>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</si>
  <si>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</si>
  <si>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菁英倍率</t>
  </si>
  <si>
    <t>生命×a 攻擊×b 金幣經驗×c 閃避d 攻速e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</si>
  <si>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</si>
  <si>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</si>
  <si>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</si>
  <si>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</si>
  <si>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</si>
  <si>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</si>
  <si>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</si>
  <si>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</si>
  <si>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</si>
  <si>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</si>
  <si>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</si>
  <si>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</si>
  <si>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</si>
  <si>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</si>
  <si>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</si>
  <si>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</si>
  <si>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</si>
  <si>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</si>
  <si>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</si>
  <si>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</si>
  <si>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</si>
  <si>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</si>
  <si>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</si>
  <si>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</si>
  <si>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挑戰金幣消耗</t>
  </si>
  <si>
    <t>round(a×樓層^b)</t>
  </si>
  <si>
    <t>開始挑戰前扣除，失敗或撤退不退回。</t>
  </si>
  <si>
    <t>基準生命×a（地獄之塔再×b）</t>
  </si>
  <si>
    <t>a=一般倍率 b=地獄之塔倍率。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</si>
  <si>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</si>
  <si>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</si>
  <si>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</si>
  <si>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</si>
  <si>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</si>
  <si>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</si>
  <si>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</si>
  <si>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閃避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</si>
  <si>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</si>
  <si>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</si>
  <si>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</si>
  <si>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</si>
  <si>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</si>
  <si>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</si>
  <si>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</si>
  <si>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</si>
  <si>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</si>
  <si>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</si>
  <si>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</si>
  <si>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</si>
  <si>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</si>
  <si>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</si>
  <si>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</si>
  <si>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</si>
  <si>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</si>
  <si>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</si>
  <si>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</si>
  <si>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</si>
  <si>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</si>
  <si>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</si>
  <si>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</si>
  <si>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</si>
  <si>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</si>
  <si>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</si>
  <si>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</si>
  <si>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</si>
  <si>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</si>
  <si>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</si>
  <si>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</si>
  <si>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</si>
  <si>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</si>
  <si>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</si>
  <si>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</si>
  <si>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</si>
  <si>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</si>
  <si>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</si>
  <si>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</si>
  <si>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</si>
  <si>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</si>
  <si>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</si>
  <si>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</si>
  <si>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</si>
  <si>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</si>
  <si>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</si>
  <si>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</si>
  <si>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</si>
  <si>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</si>
  <si>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</si>
  <si>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{100~149=0}</t>
  </si>
  <si>
    <t>{150+=0}</t>
  </si>
  <si>
    <t>精良裝備</t>
  </si>
  <si>
    <t>{1~49=10}</t>
  </si>
  <si>
    <t>{50~99=10}</t>
  </si>
  <si>
    <t>稀有裝備</t>
  </si>
  <si>
    <t>{1~49=5}</t>
  </si>
  <si>
    <t>{50~99=5}</t>
  </si>
  <si>
    <t>{100~149=8}</t>
  </si>
  <si>
    <t>獨特裝備</t>
  </si>
  <si>
    <t>{1~49=0}</t>
  </si>
  <si>
    <t>史詩裝備</t>
  </si>
  <si>
    <t>{50~99=0}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</si>
  <si>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</si>
  <si>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</si>
  <si>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</si>
  <si>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</si>
  <si>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</si>
  <si>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</si>
  <si>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</si>
  <si>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</si>
  <si>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</si>
  <si>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</si>
  <si>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</si>
  <si>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</si>
  <si>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</si>
  <si>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</si>
  <si>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</si>
  <si>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</si>
  <si>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</si>
  <si>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</si>
  <si>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</si>
  <si>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</si>
  <si>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</si>
  <si>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</si>
  <si>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</si>
  <si>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</si>
  <si>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</si>
  <si>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</si>
  <si>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</si>
  <si>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</si>
  <si>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</si>
  <si>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</si>
  <si>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</si>
  <si>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</si>
  <si>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</si>
  <si>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</si>
  <si>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</si>
  <si>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</si>
  <si>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</si>
  <si>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</si>
  <si>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</si>
  <si>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</si>
  <si>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</si>
  <si>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</si>
  <si>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</si>
  <si>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</si>
  <si>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</si>
  <si>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</si>
  <si>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</si>
  <si>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</si>
  <si>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</si>
  <si>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</si>
  <si>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</si>
  <si>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</si>
  <si>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</si>
  <si>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</si>
  <si>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</si>
  <si>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</si>
  <si>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</si>
  <si>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</si>
  <si>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</si>
  <si>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</si>
  <si>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</si>
  <si>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</si>
  <si>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</si>
  <si>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</si>
  <si>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</si>
  <si>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</si>
  <si>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</si>
  <si>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</si>
  <si>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</si>
  <si>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</si>
  <si>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</si>
  <si>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</si>
  <si>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</si>
  <si>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</si>
  <si>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</si>
  <si>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</si>
  <si>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</si>
  <si>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</si>
  <si>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</si>
  <si>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</si>
  <si>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</si>
  <si>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</si>
  <si>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</si>
  <si>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</si>
  <si>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</si>
  <si>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</si>
  <si>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</si>
  <si>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</si>
  <si>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</si>
  <si>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</si>
  <si>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</si>
  <si>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</si>
  <si>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</si>
  <si>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</si>
  <si>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</si>
  <si>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太古詞條數值</t>
  </si>
  <si>
    <t>基準值×1.2×a</t>
  </si>
  <si>
    <t>強化倍率</t>
  </si>
  <si>
    <t>1 + a×強化等級</t>
  </si>
  <si>
    <t>裝備每 +1，全詞條數值 +5%。</t>
  </si>
  <si>
    <t>特殊被動數值</t>
  </si>
  <si>
    <t>base + perR×(稀有度-a)</t>
  </si>
  <si>
    <t>神鑄特效數值</t>
  </si>
  <si>
    <t>base × rnd(0.8, 1.2)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</si>
  <si>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</si>
  <si>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</si>
  <si>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</si>
  <si>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</si>
  <si>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</si>
  <si>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</si>
  <si>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</si>
  <si>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</si>
  <si>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</si>
  <si>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</si>
  <si>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</si>
  <si>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</si>
  <si>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</si>
  <si>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</si>
  <si>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</si>
  <si>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</si>
  <si>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</si>
  <si>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</si>
  <si>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</si>
  <si>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</si>
  <si>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</si>
  <si>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</si>
  <si>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</si>
  <si>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</si>
  <si>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</si>
  <si>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</si>
  <si>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</si>
  <si>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</si>
  <si>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</si>
  <si>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</si>
  <si>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</si>
  <si>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</si>
  <si>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</si>
  <si>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</si>
  <si>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</si>
  <si>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</si>
  <si>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</si>
  <si>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</si>
  <si>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</si>
  <si>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</si>
  <si>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</si>
  <si>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</si>
  <si>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</si>
  <si>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</si>
  <si>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</si>
  <si>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</si>
  <si>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</si>
  <si>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</si>
  <si>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</si>
  <si>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</si>
  <si>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</si>
  <si>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</si>
  <si>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</si>
  <si>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</si>
  <si>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</si>
  <si>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</si>
  <si>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</si>
  <si>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</si>
  <si>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</si>
  <si>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</si>
  <si>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</si>
  <si>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</si>
  <si>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</si>
  <si>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</si>
  <si>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</si>
  <si>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</si>
  <si>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</si>
  <si>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a=太古機率。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</si>
  <si>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</si>
  <si>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</si>
  <si>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</si>
  <si>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</si>
  <si>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</si>
  <si>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</si>
  <si>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混合合成</t>
  </si>
  <si>
    <t>1 裝備+1 寶石+1 附魔書 → 附魔（威力吃寶石等級）；大成功稀有度+1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</si>
  <si>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</si>
  <si>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</si>
  <si>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</si>
  <si>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</si>
  <si>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</si>
  <si>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</si>
  <si>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</si>
  <si>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</si>
  <si>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</si>
  <si>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</si>
  <si>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</si>
  <si>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</si>
  <si>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</si>
  <si>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</si>
  <si>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</si>
  <si>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</si>
  <si>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</si>
  <si>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</si>
  <si>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</si>
  <si>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</si>
  <si>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</si>
  <si>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</si>
  <si>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</si>
  <si>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</si>
  <si>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</si>
  <si>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</si>
  <si>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</si>
  <si>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</si>
  <si>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</si>
  <si>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</si>
  <si>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</si>
  <si>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</si>
  <si>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</si>
  <si>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</si>
  <si>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</si>
  <si>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</si>
  <si>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</si>
  <si>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</si>
  <si>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</si>
  <si>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</si>
  <si>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</si>
  <si>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</si>
  <si>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</si>
  <si>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</si>
  <si>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</si>
  <si>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</si>
  <si>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</si>
  <si>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</si>
  <si>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</si>
  <si>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</si>
  <si>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</si>
  <si>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</si>
  <si>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</si>
  <si>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</si>
  <si>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</si>
  <si>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</si>
  <si>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</si>
  <si>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</si>
  <si>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</si>
  <si>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</si>
  <si>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</si>
  <si>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</si>
  <si>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</si>
  <si>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</si>
  <si>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</si>
  <si>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</si>
  <si>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</si>
  <si>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</si>
  <si>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</si>
  <si>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</si>
  <si>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</si>
  <si>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</si>
  <si>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</si>
  <si>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</si>
  <si>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</si>
  <si>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</si>
  <si>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</si>
  <si>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</si>
  <si>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</si>
  <si>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</si>
  <si>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</si>
  <si>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</si>
  <si>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</si>
  <si>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</si>
  <si>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</si>
  <si>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</si>
  <si>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</si>
  <si>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</si>
  <si>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</si>
  <si>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</si>
  <si>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</si>
  <si>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</si>
  <si>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</si>
  <si>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</si>
  <si>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</si>
  <si>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</si>
  <si>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</si>
  <si>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</si>
  <si>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</si>
  <si>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</si>
  <si>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</si>
  <si>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</si>
  <si>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</si>
  <si>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</si>
  <si>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</si>
  <si>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</si>
  <si>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</si>
  <si>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</si>
  <si>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</si>
  <si>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</si>
  <si>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</si>
  <si>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</si>
  <si>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</si>
  <si>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</si>
  <si>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</si>
  <si>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</si>
  <si>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</si>
  <si>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</si>
  <si>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</si>
  <si>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</si>
  <si>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</si>
  <si>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</si>
  <si>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</si>
  <si>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</si>
  <si>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</si>
  <si>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</si>
  <si>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</si>
  <si>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</si>
  <si>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</si>
  <si>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</si>
  <si>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</si>
  <si>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</si>
  <si>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</si>
  <si>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</si>
  <si>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</si>
  <si>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</si>
  <si>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</si>
  <si>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</si>
  <si>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</si>
  <si>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</si>
  <si>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</si>
  <si>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</si>
  <si>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</si>
  <si>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</si>
  <si>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</si>
  <si>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</si>
  <si>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</si>
  <si>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</si>
  <si>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</si>
  <si>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</si>
  <si>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</si>
  <si>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</si>
  <si>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</si>
  <si>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</si>
  <si>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</si>
  <si>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</si>
  <si>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</si>
  <si>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</si>
  <si>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</si>
  <si>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</si>
  <si>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</si>
  <si>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</si>
  <si>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</si>
  <si>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</si>
  <si>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</si>
  <si>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</si>
  <si>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</si>
  <si>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</si>
  <si>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</si>
  <si>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</si>
  <si>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</si>
  <si>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</si>
  <si>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</si>
  <si>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</si>
  <si>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</si>
  <si>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</si>
  <si>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</si>
  <si>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</si>
  <si>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</si>
  <si>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</si>
  <si>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</si>
  <si>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</si>
  <si>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</si>
  <si>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</si>
  <si>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</si>
  <si>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</si>
  <si>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</si>
  <si>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</si>
  <si>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</si>
  <si>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</si>
  <si>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</si>
  <si>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</si>
  <si>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</si>
  <si>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</si>
  <si>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</si>
  <si>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</si>
  <si>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</si>
  <si>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</si>
  <si>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</si>
  <si>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</si>
  <si>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</si>
  <si>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</si>
  <si>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</si>
  <si>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</si>
  <si>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</si>
  <si>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</si>
  <si>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</si>
  <si>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</si>
  <si>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實際冷卻</t>
  </si>
  <si>
    <t>技能冷卻 × (1 - 冷卻縮減%)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</si>
  <si>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</si>
  <si>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</si>
  <si>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</si>
  <si>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</si>
  <si>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</si>
  <si>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</si>
  <si>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</si>
  <si>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</si>
  <si>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</si>
  <si>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</si>
  <si>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</si>
  <si>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</si>
  <si>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</si>
  <si>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</si>
  <si>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</si>
  <si>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</si>
  <si>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</si>
  <si>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</si>
  <si>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</si>
  <si>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</si>
  <si>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</si>
  <si>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</si>
  <si>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</si>
  <si>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</si>
  <si>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</si>
  <si>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</si>
  <si>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融合技能法力消耗</t>
  </si>
  <si>
    <t>round(素材原始消耗總和 × (1 + a×(融合技等級-1)))</t>
  </si>
  <si>
    <t>10-離線</t>
  </si>
  <si>
    <t>有效離線時間</t>
  </si>
  <si>
    <t>min(實際離線秒數, a 小時)</t>
  </si>
  <si>
    <t>1 分鐘內不計。</t>
  </si>
  <si>
    <t>期望暴擊倍率</t>
  </si>
  <si>
    <t>1 + 暴擊率% × (暴擊傷害% - 1)</t>
  </si>
  <si>
    <t>估算 DPS</t>
  </si>
  <si>
    <t>物攻 × (1 - 當前階段怪物防禦減傷) × 攻速 × 期望暴擊倍率</t>
  </si>
  <si>
    <t>單殺耗時</t>
  </si>
  <si>
    <t>怪物血量 / DPS + a 秒出怪間隔</t>
  </si>
  <si>
    <t>擊殺數</t>
  </si>
  <si>
    <t>⌊有效時間 / 單殺耗時 × a⌋</t>
  </si>
  <si>
    <t>a=效率係數；上限 b。</t>
  </si>
  <si>
    <t>裝備收益</t>
  </si>
  <si>
    <t>期望件數×(1+掉寶率)，高品質優先最多 a 件實體化，其餘折碎片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</si>
  <si>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</si>
  <si>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</si>
  <si>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</si>
  <si>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</si>
  <si>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</si>
  <si>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</si>
  <si>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</si>
  <si>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</si>
  <si>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</si>
  <si>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</si>
  <si>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</si>
  <si>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</si>
  <si>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</si>
  <si>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</si>
  <si>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</si>
  <si>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</si>
  <si>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</si>
  <si>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</si>
  <si>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</si>
  <si>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</si>
  <si>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</si>
  <si>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</si>
  <si>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</si>
  <si>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</si>
  <si>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</si>
  <si>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</si>
  <si>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</si>
  <si>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</si>
  <si>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</si>
  <si>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</si>
  <si>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</si>
  <si>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</si>
  <si>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</si>
  <si>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</si>
  <si>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</si>
  <si>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</si>
  <si>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</si>
  <si>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</si>
  <si>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</si>
  <si>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</si>
  <si>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</si>
  <si>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</si>
  <si>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</si>
  <si>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</si>
  <si>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</si>
  <si>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</si>
  <si>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</si>
  <si>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</si>
  <si>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</si>
  <si>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</si>
  <si>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</si>
  <si>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</si>
  <si>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</si>
  <si>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</si>
  <si>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</si>
  <si>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</si>
  <si>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</si>
  <si>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</si>
  <si>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</si>
  <si>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</si>
  <si>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</si>
  <si>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</si>
  <si>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</si>
  <si>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</si>
  <si>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</si>
  <si>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</si>
  <si>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</si>
  <si>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</si>
  <si>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</si>
  <si>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</si>
  <si>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</si>
  <si>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</si>
  <si>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</si>
  <si>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</si>
  <si>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</si>
  <si>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</si>
  <si>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</si>
  <si>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</si>
  <si>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</si>
  <si>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</si>
  <si>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</si>
  <si>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</si>
  <si>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</si>
  <si>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</si>
  <si>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</si>
  <si>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</si>
  <si>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</si>
  <si>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</si>
  <si>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</si>
  <si>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</si>
  <si>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</si>
  <si>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</si>
  <si>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</si>
  <si>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</si>
  <si>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</si>
  <si>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</si>
  <si>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</si>
  <si>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</si>
  <si>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</si>
  <si>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</si>
  <si>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</si>
  <si>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</si>
  <si>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</si>
  <si>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</si>
  <si>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</si>
  <si>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</si>
  <si>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</si>
  <si>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</si>
  <si>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</si>
  <si>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</si>
  <si>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</si>
  <si>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</si>
  <si>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</si>
  <si>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</si>
  <si>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</si>
  <si>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</si>
  <si>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</si>
  <si>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</si>
  <si>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</si>
  <si>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</si>
  <si>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</si>
  <si>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</si>
  <si>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</si>
  <si>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</si>
  <si>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</si>
  <si>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</si>
  <si>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</si>
  <si>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</si>
  <si>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</si>
  <si>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</si>
  <si>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</si>
  <si>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</si>
  <si>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</si>
  <si>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</si>
  <si>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</si>
  <si>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</si>
  <si>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</si>
  <si>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</si>
  <si>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</si>
  <si>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</si>
  <si>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</si>
  <si>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</si>
  <si>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</si>
  <si>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</si>
  <si>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</si>
  <si>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</si>
  <si>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</si>
  <si>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</si>
  <si>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</si>
  <si>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</si>
  <si>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</si>
  <si>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</si>
  <si>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</si>
  <si>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</si>
  <si>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</si>
  <si>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</si>
  <si>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</si>
  <si>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</si>
  <si>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</si>
  <si>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</si>
  <si>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</si>
  <si>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</si>
  <si>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</si>
  <si>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</si>
  <si>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</si>
  <si>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</si>
  <si>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</si>
  <si>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</si>
  <si>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</si>
  <si>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</si>
  <si>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</si>
  <si>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</si>
  <si>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</si>
  <si>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</si>
  <si>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</si>
  <si>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</si>
  <si>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變動</t>
    <phoneticPr fontId="2" type="noConversion"/>
  </si>
  <si>
    <t>10^12</t>
    <phoneticPr fontId="2" type="noConversion"/>
  </si>
  <si>
    <t>a=生命與四維最終倍率 b=升級經驗倍率  c=升級經驗基礎增加值 d=階級名稱 e=一般主動技能增加上限 f=融合技增加上限。</t>
  </si>
  <si>
    <t>(a×等級^b+c)×轉生經驗倍率+轉生經驗基礎增加值</t>
    <phoneticPr fontId="2" type="noConversion"/>
  </si>
  <si>
    <t>升到下一級所需經驗；a=係數 b=次方 c=常數 d=等級上限。轉生經驗倍率見「轉生對照表」</t>
    <phoneticPr fontId="2" type="noConversion"/>
  </si>
  <si>
    <t>參數化公式</t>
    <phoneticPr fontId="2" type="noConversion"/>
  </si>
  <si>
    <t>中文說明</t>
    <phoneticPr fontId="2" type="noConversion"/>
  </si>
  <si>
    <t>解鎖後永久保留，轉生不關閉。a=解鎖等級 b=解鎖轉生等級，必需兩個條件都滿足才解鎖</t>
    <phoneticPr fontId="2" type="noConversion"/>
  </si>
  <si>
    <t>b 轉達到a級開放</t>
    <phoneticPr fontId="2" type="noConversion"/>
  </si>
  <si>
    <t>a=暴擊率上限（%）。攻擊時造成額外暴擊傷害的機率。</t>
  </si>
  <si>
    <t>a=物理穿透上限（%）。造成物理傷害時無視敵方一定比例的物理防禦。</t>
  </si>
  <si>
    <t>a=魔法穿透上限（%）。造成魔法傷害時無視敵方一定比例的魔法防禦。</t>
  </si>
  <si>
    <t>a=冷卻縮減上限（%）。減少技能所需的冷卻時間。</t>
  </si>
  <si>
    <t>a=施法速度上限（%）。縮短技能的施放延遲或詠唱時間。</t>
  </si>
  <si>
    <t>a=吸血上限（%）。造成傷害時將部分傷害轉化為自身生命值。</t>
  </si>
  <si>
    <t>a=吸魔上限（%）。造成傷害時將部分傷害轉化為自身法力值。</t>
  </si>
  <si>
    <t>a=格擋率上限（%）。受到攻擊時觸發格擋以減輕傷害的機率。</t>
  </si>
  <si>
    <t>a=格擋減傷「詞條部分」上限（%）。實際格擋減傷 = 30%基礎 + 詞條(≤a)，合計上限 80%。</t>
  </si>
  <si>
    <t>a=閃避率上限（%）。完全避開敵人攻擊的機率（受敵方命中率影響）。</t>
  </si>
  <si>
    <t>a=韌性上限（%）。降低自身被暈眩、減速等控制狀態的機率。</t>
  </si>
  <si>
    <t>a=物理抗性上限（%）。結算防禦後再按比例直接減免物理傷害。</t>
  </si>
  <si>
    <t>a=魔法抗性上限（%）。結算防禦後再按比例直接減免魔法傷害。</t>
  </si>
  <si>
    <t>a=六系元素（火/冰/雷/毒/光/暗）抗性各自的上限（%）。按比例降低該屬性傷害。</t>
  </si>
  <si>
    <t>a=控制抵抗上限（%）。全面降低所有負面異常狀態的命中率。</t>
  </si>
  <si>
    <t>a=控制時間縮減上限（%）。減少被暈眩、減速等控制狀態的持續時間。</t>
  </si>
  <si>
    <t>a=移動速度上限（%）。提高探索地圖、遇敵或到達終點的速度。</t>
  </si>
  <si>
    <t>a=幸運值上限（數值，非%）。提升洗煉或合成時出現高階詞條的機率。</t>
  </si>
  <si>
    <t>a=合成變異率上限（%）。合成時發生特殊異變（如詞條升級）的機率。</t>
  </si>
  <si>
    <t>a=狂暴閾值上限（%）。影響怪物進入狂暴狀態的時間點或血量條件。</t>
  </si>
  <si>
    <t>a=詞條上限率上限（%）。影響洗煉或生成時獲得更多詞條的機率。</t>
  </si>
  <si>
    <t>a=連擊被動觸發率上限（%）。</t>
  </si>
  <si>
    <t>a=暈眩被動觸發率上限（%）。</t>
  </si>
  <si>
    <t>菁英出現於階段為 10 的倍數，敵人數量與普通怪一致。</t>
    <phoneticPr fontId="2" type="noConversion"/>
  </si>
  <si>
    <t>a=生命 b=攻擊 c=防禦 d=攻速 e=經驗/金幣/材料倍率 f=解鎖條件。裝備掉落表不受場景倍率影響。</t>
    <phoneticPr fontId="2" type="noConversion"/>
  </si>
  <si>
    <t>a=基礎權重 b=權重加成 c=加成上限 d=出現門檻。普通無加成。神鑄創世不參與此擲骰。(目前裝備合成功能關閉中)</t>
    <phoneticPr fontId="2" type="noConversion"/>
  </si>
  <si>
    <t>{1~49=15}</t>
    <phoneticPr fontId="2" type="noConversion"/>
  </si>
  <si>
    <t>{50~99=10}</t>
    <phoneticPr fontId="2" type="noConversion"/>
  </si>
  <si>
    <t>{100~149=0}</t>
    <phoneticPr fontId="2" type="noConversion"/>
  </si>
  <si>
    <t>{100~149=10}</t>
    <phoneticPr fontId="2" type="noConversion"/>
  </si>
  <si>
    <t>{50~99=5}</t>
    <phoneticPr fontId="2" type="noConversion"/>
  </si>
  <si>
    <t>{100~149=6}</t>
    <phoneticPr fontId="2" type="noConversion"/>
  </si>
  <si>
    <t>{150+=10}</t>
    <phoneticPr fontId="2" type="noConversion"/>
  </si>
  <si>
    <t>{100~149=1.5}</t>
    <phoneticPr fontId="2" type="noConversion"/>
  </si>
  <si>
    <t>{150+=2}</t>
    <phoneticPr fontId="2" type="noConversion"/>
  </si>
  <si>
    <t>{150+=0.2}</t>
    <phoneticPr fontId="2" type="noConversion"/>
  </si>
  <si>
    <t>{100~149=5}</t>
    <phoneticPr fontId="2" type="noConversion"/>
  </si>
  <si>
    <t>{150+=4}</t>
    <phoneticPr fontId="2" type="noConversion"/>
  </si>
  <si>
    <t>a=全局減傷上限（%）。於最終傷害階段對所有傷害生效，上限 85%。　※此列與「2-屬性派生/全局減傷」重複，實際上限由該列控制，本列不生效。</t>
  </si>
  <si>
    <t>a=太古倍率（=原上限的 135%）。　※實際由「5-太古詞條/太古詞條數值倍率」控制，本列不生效。</t>
  </si>
  <si>
    <t>加速齒輪每階+25%，另固定+50 個百分點。　※＝生產線處理間隔，由「7-容量/生產線處理間隔」控制，本列不生效。</t>
  </si>
  <si>
    <t>leaves=素材 5 階總數（融合時雙方相加）。　※與「寶石拆解(一般)」共用保留率，本列不生效。</t>
  </si>
  <si>
    <t>a=每級增幅。　※與「9-技能/一般技能法力消耗」共用公式，本列不生效。</t>
  </si>
  <si>
    <t>汲取元素傷害的 25% 回復生命　※寫死：100%觸發、汲取元素傷害25%回復生命，無獨立可調參數。</t>
  </si>
  <si>
    <t>每品質獨立擲骰；實際機率 = 表值×(1+有效掉寶率%)，野外菁英再×1.5。　※規則寫死：機率整數部分必掉，餘數再擲一次。</t>
  </si>
  <si>
    <t>寫死：失敗消耗半數費用。</t>
  </si>
  <si>
    <t>失敗：較弱一方降解為 50% 機率 4~8 顆 Lv1 / 50% 機率 2~4 顆 Lv2。　※結構寫死：同屬性 rnd(小,大×2)、異屬性 原值×rnd(0.5,1.5)。</t>
  </si>
  <si>
    <t>單一目標不套用範圍傷害、也不除以目標數。　※規則寫死：原始傷害×(1+範圍傷害%)÷目標數。</t>
  </si>
  <si>
    <t>規則寫死：技能CD×(1-冷卻縮減%)。</t>
  </si>
  <si>
    <t>見「轉生對照表」。　※寫死：一般 20+轉生×10、被動 30+轉生×10、融合 素材加總+轉生×20。</t>
  </si>
  <si>
    <t>結構寫死：DoT×0.7、控場×0.8、增益×0.8，增益/減益各最多2種。</t>
  </si>
  <si>
    <t>a=技能護盾上限比例；量本身再×(1+護盾效率%)。　※寫死：技能直接給予的護盾上限＝最大生命 50%(skills.js)。</t>
  </si>
  <si>
    <t>合成功能已停用(SYNTHESIS_ENABLED=false)，本列未生效。</t>
  </si>
  <si>
    <t>合成功能已停用，本列未生效。</t>
  </si>
  <si>
    <t>合成功能已停用，本列未生效。</t>
  </si>
  <si>
    <t>免費、自動（熔爐合成節點開關）。　※合成功能已停用，本列未生效。</t>
  </si>
  <si>
    <t>分解槽為金幣解鎖 10~20 格。　※合成功能已停用，本列未生效。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</si>
  <si>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</si>
  <si>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base/lv係數見「詞條池」；稀有度倍率見「稀有度表」。　※指標列：base/lv 見「表-詞條池」，稀有度倍率見「表-稀有度」。</t>
  </si>
  <si>
    <t>a=稀有級索引（稀有=基準）。base/perR 見「特殊被動表」。　※指標列：base/perR 見「表-特殊被動」。</t>
  </si>
  <si>
    <t>base 見「神鑄特效表」。神力為額外乘區、彼此相乘。　※指標列：base 見「表-神鑄特效」。</t>
  </si>
  <si>
    <t>衍生估算值，非可調參數(離線收益計算用)。</t>
  </si>
  <si>
    <t>衍生估算值，非可調參數(離線收益計算用)。</t>
  </si>
  <si>
    <t>a=出怪間隔。　※衍生估算值，非可調參數(離線收益計算用)。</t>
  </si>
  <si>
    <t>a=實體化上限；折算碎片=每件 3×分解係數。　※衍生：離線最多實體化30件裝備，其餘折算碎片(寫死於 save.js)。</t>
  </si>
  <si>
    <t>防禦/(防禦+a+b×攻擊者等級)</t>
    <phoneticPr fontId="2" type="noConversion"/>
  </si>
  <si>
    <t>a%+敵人等級×b%</t>
  </si>
  <si>
    <t>敵人等級=階段。實際命中率沿用戰鬥核心：clamp(命中-玩家閃避, 5, 100)。</t>
  </si>
  <si>
    <t>a%+BOSS階層×b%</t>
  </si>
  <si>
    <t>BOSS階層=樓層。實際命中率沿用戰鬥核心：clamp(命中-玩家閃避, 5, 100)。</t>
  </si>
  <si>
    <t>a=每點敏捷%。</t>
    <phoneticPr fontId="2" type="noConversion"/>
  </si>
  <si>
    <t>閃避率</t>
    <phoneticPr fontId="2" type="noConversion"/>
  </si>
  <si>
    <t>a%+敵人等級×b%</t>
    <phoneticPr fontId="2" type="noConversion"/>
  </si>
  <si>
    <t>敵人等級=階段。實際命中率沿用戰鬥核心：clamp(閃避-玩家命中, 5, 100)。</t>
    <phoneticPr fontId="2" type="noConversion"/>
  </si>
  <si>
    <t>min(a+樓層*c, b)%</t>
    <phoneticPr fontId="2" type="noConversion"/>
  </si>
  <si>
    <t>a=基礎 b=上限 c=加乘值。</t>
    <phoneticPr fontId="2" type="noConversion"/>
  </si>
  <si>
    <t>敏捷×a+加成</t>
    <phoneticPr fontId="2" type="noConversion"/>
  </si>
  <si>
    <t>a=每點敏捷%（減去敵方閃避後最低 5%）。</t>
    <phoneticPr fontId="2" type="noConversion"/>
  </si>
  <si>
    <t>太古精華洗煉消耗</t>
    <phoneticPr fontId="2" type="noConversion"/>
  </si>
  <si>
    <t>勾選後根據裝備品質消耗，本次每詞條 a% 成為太古</t>
    <phoneticPr fontId="2" type="noConversion"/>
  </si>
  <si>
    <t>根據裝備品質每次使用太古精華的消耗數量，a=普通 b=精良 c=稀有 d=獨特 e=史詩 f=傳說 g=神話 h=創世 i=神鑄創世 的消耗數量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</si>
</sst>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3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4">
    <xf numFmtId="0" fontId="0" fillId="0" borderId="0" xfId="0"/>
    <xf numFmtId="176" fontId="0" fillId="0" borderId="0" xfId="1" applyNumberFormat="1" applyFont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54"/>
  <sheetViews>
    <sheetView topLeftCell="A176" workbookViewId="0">
      <selection activeCell="B178" sqref="B178"/>
    </sheetView>
  </sheetViews>
  <sheetFormatPr defaultRowHeight="15.75" x14ac:dyDescent="0.25"/>
  <cols>
    <col min="2" max="2" width="9.140625" style="2"/>
    <col min="3" max="3" width="18.28515625" bestFit="1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2" t="s">
        <v>900</v>
      </c>
      <c r="C1" t="s">
        <v>1</v>
      </c>
      <c r="D1" t="s">
        <v>2</v>
      </c>
      <c r="E1" s="2" t="s">
        <v>905</v>
      </c>
      <c r="F1" s="2" t="s">
        <v>906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 x14ac:dyDescent="0.25">
      <c r="A2">
        <f>計算表!A2</f>
        <v>1</v>
      </c>
      <c r="B2" s="3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3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3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3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3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a^轉生次數</v>
      </c>
      <c r="F7" t="str">
        <f>計算表!F7</f>
        <v>每次轉生升級經驗需求為上一次的 a 倍。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3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3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3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3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3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3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3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3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3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3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3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3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3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3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4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3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0.06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3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(a+(等級-1)×b+力量×c+物攻定值)×(1+物攻%)</v>
      </c>
      <c r="F23" t="str">
        <f>計算表!F23</f>
        <v>a=基礎 b=每級 c=每點力量。</v>
      </c>
      <c r="G23">
        <f>計算表!G23</f>
        <v>8</v>
      </c>
      <c r="H23">
        <f>計算表!H23</f>
        <v>1.6</v>
      </c>
      <c r="I23">
        <f>計算表!I23</f>
        <v>2</v>
      </c>
      <c r="J23">
        <f>計算表!J23</f>
        <v>0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3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(a+(等級-1)×b+智力×c+魔攻定值)×(1+魔攻%)</v>
      </c>
      <c r="F24" t="str">
        <f>計算表!F24</f>
        <v>a=基礎 b=每級 c=每點智力。</v>
      </c>
      <c r="G24">
        <f>計算表!G24</f>
        <v>6</v>
      </c>
      <c r="H24">
        <f>計算表!H24</f>
        <v>1.2</v>
      </c>
      <c r="I24">
        <f>計算表!I24</f>
        <v>2</v>
      </c>
      <c r="J24">
        <f>計算表!J24</f>
        <v>0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3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(a+(等級-1)×b+耐力×c+物防定值)×(1+物防%)</v>
      </c>
      <c r="F25" t="str">
        <f>計算表!F25</f>
        <v>a=基礎 b=每級 c=每點耐力。</v>
      </c>
      <c r="G25">
        <f>計算表!G25</f>
        <v>4</v>
      </c>
      <c r="H25">
        <f>計算表!H25</f>
        <v>1</v>
      </c>
      <c r="I25">
        <f>計算表!I25</f>
        <v>0.9</v>
      </c>
      <c r="J25">
        <f>計算表!J25</f>
        <v>0</v>
      </c>
      <c r="K25">
        <f>計算表!K25</f>
        <v>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3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(a+(等級-1)×b+智力×c+魔防定值)×(1+物防%)</v>
      </c>
      <c r="F26" t="str">
        <f>計算表!F26</f>
        <v>a=基礎 b=每級 c=每點智力。共用物防%詞條。</v>
      </c>
      <c r="G26">
        <f>計算表!G26</f>
        <v>3</v>
      </c>
      <c r="H26">
        <f>計算表!H26</f>
        <v>0.8</v>
      </c>
      <c r="I26">
        <f>計算表!I26</f>
        <v>0.7</v>
      </c>
      <c r="J26">
        <f>計算表!J26</f>
        <v>0</v>
      </c>
      <c r="K26">
        <f>計算表!K26</f>
        <v>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3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0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3">
        <f>計算表!B28</f>
        <v>0</v>
      </c>
      <c r="C28" t="str">
        <f>計算表!C28</f>
        <v>2-屬性派生</v>
      </c>
      <c r="D28" t="str">
        <f>計算表!D28</f>
        <v>暴擊傷害</v>
      </c>
      <c r="E28" t="str">
        <f>計算表!E28</f>
        <v>a+加成</v>
      </c>
      <c r="F28" t="str">
        <f>計算表!F28</f>
        <v>a=基礎%（無上限）。</v>
      </c>
      <c r="G28">
        <f>計算表!G28</f>
        <v>150</v>
      </c>
      <c r="H28">
        <f>計算表!H28</f>
        <v>0</v>
      </c>
      <c r="I28">
        <f>計算表!I28</f>
        <v>0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3">
        <f>計算表!B29</f>
        <v>0</v>
      </c>
      <c r="C29" t="str">
        <f>計算表!C29</f>
        <v>2-屬性派生</v>
      </c>
      <c r="D29" t="str">
        <f>計算表!D29</f>
        <v>攻擊速度</v>
      </c>
      <c r="E29" t="str">
        <f>計算表!E29</f>
        <v>a×(1+(攻速%+敏捷×b)/100)</v>
      </c>
      <c r="F29" t="str">
        <f>計算表!F29</f>
        <v>a=基礎次/秒 b=每點敏捷%。下限 0.2、上限 5。</v>
      </c>
      <c r="G29">
        <f>計算表!G29</f>
        <v>1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3">
        <f>計算表!B30</f>
        <v>0</v>
      </c>
      <c r="C30" t="str">
        <f>計算表!C30</f>
        <v>2-屬性派生</v>
      </c>
      <c r="D30" t="str">
        <f>計算表!D30</f>
        <v>命中率</v>
      </c>
      <c r="E30" t="str">
        <f>計算表!E30</f>
        <v>敏捷×a+加成</v>
      </c>
      <c r="F30" t="str">
        <f>計算表!F30</f>
        <v>a=每點敏捷%（減去敵方閃避後最低 5%）。</v>
      </c>
      <c r="G30">
        <f>計算表!G30</f>
        <v>1E-4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3">
        <f>計算表!B31</f>
        <v>0</v>
      </c>
      <c r="C31" t="str">
        <f>計算表!C31</f>
        <v>2-屬性派生</v>
      </c>
      <c r="D31" t="str">
        <f>計算表!D31</f>
        <v>閃避率</v>
      </c>
      <c r="E31" t="str">
        <f>計算表!E31</f>
        <v>敏捷×a+加成</v>
      </c>
      <c r="F31" t="str">
        <f>計算表!F31</f>
        <v>a=每點敏捷%。</v>
      </c>
      <c r="G31">
        <f>計算表!G31</f>
        <v>1E-4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3">
        <f>計算表!B32</f>
        <v>0</v>
      </c>
      <c r="C32" t="str">
        <f>計算表!C32</f>
        <v>2-屬性派生</v>
      </c>
      <c r="D32" t="str">
        <f>計算表!D32</f>
        <v>負重上限</v>
      </c>
      <c r="E32" t="str">
        <f>計算表!E32</f>
        <v>力量×a+詞條</v>
      </c>
      <c r="F32" t="str">
        <f>計算表!F32</f>
        <v>a=每點力量。</v>
      </c>
      <c r="G32">
        <f>計算表!G32</f>
        <v>0.5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3">
        <f>計算表!B33</f>
        <v>0</v>
      </c>
      <c r="C33" t="str">
        <f>計算表!C33</f>
        <v>2-屬性派生</v>
      </c>
      <c r="D33" t="str">
        <f>計算表!D33</f>
        <v>野外基礎生命恢復</v>
      </c>
      <c r="E33" t="str">
        <f>計算表!E33</f>
        <v>最大生命×a%/秒</v>
      </c>
      <c r="F33" t="str">
        <f>計算表!F33</f>
        <v>a=每秒回復比例（高塔內無此回復）。</v>
      </c>
      <c r="G33">
        <f>計算表!G33</f>
        <v>1.5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3">
        <f>計算表!B34</f>
        <v>0</v>
      </c>
      <c r="C34" t="str">
        <f>計算表!C34</f>
        <v>2-屬性派生</v>
      </c>
      <c r="D34" t="str">
        <f>計算表!D34</f>
        <v>全局減傷</v>
      </c>
      <c r="E34" t="str">
        <f>計算表!E34</f>
        <v>min(a%, 總合/(總合+b))</v>
      </c>
      <c r="F34" t="str">
        <f>計算表!F34</f>
        <v>a=減傷上限% b=分母常數。無此詞綴時倍率為 1。</v>
      </c>
      <c r="G34">
        <f>計算表!G34</f>
        <v>100</v>
      </c>
      <c r="H34">
        <f>計算表!H34</f>
        <v>10000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3">
        <f>計算表!B35</f>
        <v>0</v>
      </c>
      <c r="C35" t="str">
        <f>計算表!C35</f>
        <v>2-屬性上限</v>
      </c>
      <c r="D35" t="str">
        <f>計算表!D35</f>
        <v>暴擊率 上限</v>
      </c>
      <c r="E35" t="str">
        <f>計算表!E35</f>
        <v>上限 = a</v>
      </c>
      <c r="F35" t="str">
        <f>計算表!F35</f>
        <v>a=暴擊率上限（%）。攻擊時造成額外暴擊傷害的機率。</v>
      </c>
      <c r="G35">
        <f>計算表!G35</f>
        <v>100</v>
      </c>
      <c r="H35">
        <f>計算表!H35</f>
        <v>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3">
        <f>計算表!B36</f>
        <v>0</v>
      </c>
      <c r="C36" t="str">
        <f>計算表!C36</f>
        <v>2-屬性上限</v>
      </c>
      <c r="D36" t="str">
        <f>計算表!D36</f>
        <v>物理穿透 上限</v>
      </c>
      <c r="E36" t="str">
        <f>計算表!E36</f>
        <v>上限 = a</v>
      </c>
      <c r="F36" t="str">
        <f>計算表!F36</f>
        <v>a=物理穿透上限（%）。造成物理傷害時無視敵方一定比例的物理防禦。</v>
      </c>
      <c r="G36">
        <f>計算表!G36</f>
        <v>80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3">
        <f>計算表!B37</f>
        <v>0</v>
      </c>
      <c r="C37" t="str">
        <f>計算表!C37</f>
        <v>2-屬性上限</v>
      </c>
      <c r="D37" t="str">
        <f>計算表!D37</f>
        <v>魔法穿透 上限</v>
      </c>
      <c r="E37" t="str">
        <f>計算表!E37</f>
        <v>上限 = a</v>
      </c>
      <c r="F37" t="str">
        <f>計算表!F37</f>
        <v>a=魔法穿透上限（%）。造成魔法傷害時無視敵方一定比例的魔法防禦。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3">
        <f>計算表!B38</f>
        <v>0</v>
      </c>
      <c r="C38" t="str">
        <f>計算表!C38</f>
        <v>2-屬性上限</v>
      </c>
      <c r="D38" t="str">
        <f>計算表!D38</f>
        <v>冷卻縮減 上限</v>
      </c>
      <c r="E38" t="str">
        <f>計算表!E38</f>
        <v>上限 = a</v>
      </c>
      <c r="F38" t="str">
        <f>計算表!F38</f>
        <v>a=冷卻縮減上限（%）。減少技能所需的冷卻時間。</v>
      </c>
      <c r="G38">
        <f>計算表!G38</f>
        <v>60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3">
        <f>計算表!B39</f>
        <v>0</v>
      </c>
      <c r="C39" t="str">
        <f>計算表!C39</f>
        <v>2-屬性上限</v>
      </c>
      <c r="D39" t="str">
        <f>計算表!D39</f>
        <v>施法速度 上限</v>
      </c>
      <c r="E39" t="str">
        <f>計算表!E39</f>
        <v>上限 = a</v>
      </c>
      <c r="F39" t="str">
        <f>計算表!F39</f>
        <v>a=施法速度上限（%）。縮短技能的施放延遲或詠唱時間。</v>
      </c>
      <c r="G39">
        <f>計算表!G39</f>
        <v>50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3">
        <f>計算表!B40</f>
        <v>0</v>
      </c>
      <c r="C40" t="str">
        <f>計算表!C40</f>
        <v>2-屬性上限</v>
      </c>
      <c r="D40" t="str">
        <f>計算表!D40</f>
        <v>吸血 上限</v>
      </c>
      <c r="E40" t="str">
        <f>計算表!E40</f>
        <v>上限 = a</v>
      </c>
      <c r="F40" t="str">
        <f>計算表!F40</f>
        <v>a=吸血上限（%）。造成傷害時將部分傷害轉化為自身生命值。</v>
      </c>
      <c r="G40">
        <f>計算表!G40</f>
        <v>60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3">
        <f>計算表!B41</f>
        <v>0</v>
      </c>
      <c r="C41" t="str">
        <f>計算表!C41</f>
        <v>2-屬性上限</v>
      </c>
      <c r="D41" t="str">
        <f>計算表!D41</f>
        <v>吸魔 上限</v>
      </c>
      <c r="E41" t="str">
        <f>計算表!E41</f>
        <v>上限 = a</v>
      </c>
      <c r="F41" t="str">
        <f>計算表!F41</f>
        <v>a=吸魔上限（%）。造成傷害時將部分傷害轉化為自身法力值。</v>
      </c>
      <c r="G41">
        <f>計算表!G41</f>
        <v>30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3">
        <f>計算表!B42</f>
        <v>0</v>
      </c>
      <c r="C42" t="str">
        <f>計算表!C42</f>
        <v>2-屬性上限</v>
      </c>
      <c r="D42" t="str">
        <f>計算表!D42</f>
        <v>格擋率 上限</v>
      </c>
      <c r="E42" t="str">
        <f>計算表!E42</f>
        <v>上限 = a</v>
      </c>
      <c r="F42" t="str">
        <f>計算表!F42</f>
        <v>a=格擋率上限（%）。受到攻擊時觸發格擋以減輕傷害的機率。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3">
        <f>計算表!B43</f>
        <v>0</v>
      </c>
      <c r="C43" t="str">
        <f>計算表!C43</f>
        <v>2-屬性上限</v>
      </c>
      <c r="D43" t="str">
        <f>計算表!D43</f>
        <v>格擋減傷(詞條部分) 上限</v>
      </c>
      <c r="E43" t="str">
        <f>計算表!E43</f>
        <v>上限 = a</v>
      </c>
      <c r="F43" t="str">
        <f>計算表!F43</f>
        <v>a=格擋減傷「詞條部分」上限（%）。實際格擋減傷 = 30%基礎 + 詞條(≤a)，合計上限 80%。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3">
        <f>計算表!B44</f>
        <v>0</v>
      </c>
      <c r="C44" t="str">
        <f>計算表!C44</f>
        <v>2-屬性上限</v>
      </c>
      <c r="D44" t="str">
        <f>計算表!D44</f>
        <v>閃避率 上限</v>
      </c>
      <c r="E44" t="str">
        <f>計算表!E44</f>
        <v>上限 = a</v>
      </c>
      <c r="F44" t="str">
        <f>計算表!F44</f>
        <v>a=閃避率上限（%）。完全避開敵人攻擊的機率（受敵方命中率影響）。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3">
        <f>計算表!B45</f>
        <v>0</v>
      </c>
      <c r="C45" t="str">
        <f>計算表!C45</f>
        <v>2-屬性上限</v>
      </c>
      <c r="D45" t="str">
        <f>計算表!D45</f>
        <v>韌性 上限</v>
      </c>
      <c r="E45" t="str">
        <f>計算表!E45</f>
        <v>上限 = a</v>
      </c>
      <c r="F45" t="str">
        <f>計算表!F45</f>
        <v>a=韌性上限（%）。降低自身被暈眩、減速等控制狀態的機率。</v>
      </c>
      <c r="G45">
        <f>計算表!G45</f>
        <v>60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3">
        <f>計算表!B46</f>
        <v>0</v>
      </c>
      <c r="C46" t="str">
        <f>計算表!C46</f>
        <v>2-屬性上限</v>
      </c>
      <c r="D46" t="str">
        <f>計算表!D46</f>
        <v>物理抗性 上限</v>
      </c>
      <c r="E46" t="str">
        <f>計算表!E46</f>
        <v>上限 = a</v>
      </c>
      <c r="F46" t="str">
        <f>計算表!F46</f>
        <v>a=物理抗性上限（%）。結算防禦後再按比例直接減免物理傷害。</v>
      </c>
      <c r="G46">
        <f>計算表!G46</f>
        <v>95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3">
        <f>計算表!B47</f>
        <v>0</v>
      </c>
      <c r="C47" t="str">
        <f>計算表!C47</f>
        <v>2-屬性上限</v>
      </c>
      <c r="D47" t="str">
        <f>計算表!D47</f>
        <v>魔法抗性 上限</v>
      </c>
      <c r="E47" t="str">
        <f>計算表!E47</f>
        <v>上限 = a</v>
      </c>
      <c r="F47" t="str">
        <f>計算表!F47</f>
        <v>a=魔法抗性上限（%）。結算防禦後再按比例直接減免魔法傷害。</v>
      </c>
      <c r="G47">
        <f>計算表!G47</f>
        <v>95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3">
        <f>計算表!B48</f>
        <v>0</v>
      </c>
      <c r="C48" t="str">
        <f>計算表!C48</f>
        <v>2-屬性上限</v>
      </c>
      <c r="D48" t="str">
        <f>計算表!D48</f>
        <v>六系元素抗性 上限</v>
      </c>
      <c r="E48" t="str">
        <f>計算表!E48</f>
        <v>上限 = a</v>
      </c>
      <c r="F48" t="str">
        <f>計算表!F48</f>
        <v>a=六系元素（火/冰/雷/毒/光/暗）抗性各自的上限（%）。按比例降低該屬性傷害。</v>
      </c>
      <c r="G48">
        <f>計算表!G48</f>
        <v>95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3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3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3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3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a=幸運值上限（數值，非%）。提升洗煉或合成時出現高階詞條的機率。</v>
      </c>
      <c r="G52">
        <f>計算表!G52</f>
        <v>100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3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3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</v>
      </c>
      <c r="F55" t="str">
        <f>計算表!F55</f>
        <v>a=詞條上限率上限（%）。影響洗煉或生成時獲得更多詞條的機率。</v>
      </c>
      <c r="G55">
        <f>計算表!G55</f>
        <v>100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3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3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3">
        <f>計算表!B58</f>
        <v>0</v>
      </c>
      <c r="C58" t="str">
        <f>計算表!C58</f>
        <v>2-屬性上限</v>
      </c>
      <c r="D58" t="str">
        <f>計算表!D58</f>
        <v>全局減傷 上限</v>
      </c>
      <c r="E58" t="str">
        <f>計算表!E58</f>
        <v>上限 = a</v>
      </c>
      <c r="F58" t="str">
        <f>計算表!F58</f>
        <v>a=全局減傷上限（%）。於最終傷害階段對所有傷害生效，上限 85%。　※此列與「2-屬性派生/全局減傷」重複，實際上限由該列控制，本列不生效。</v>
      </c>
      <c r="G58">
        <f>計算表!G58</f>
        <v>85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3">
        <f>計算表!B59</f>
        <v>0</v>
      </c>
      <c r="C59" t="str">
        <f>計算表!C59</f>
        <v>3-戰鬥核心</v>
      </c>
      <c r="D59" t="str">
        <f>計算表!D59</f>
        <v>防禦減傷率</v>
      </c>
      <c r="E59" t="str">
        <f>計算表!E59</f>
        <v>防禦/(防禦+a+b×攻擊者等級)</v>
      </c>
      <c r="F59" t="str">
        <f>計算表!F59</f>
        <v>a=常數 b=每級係數。有效防禦≤0 時視為 0% 減傷。</v>
      </c>
      <c r="G59">
        <f>計算表!G59</f>
        <v>60</v>
      </c>
      <c r="H59">
        <f>計算表!H59</f>
        <v>8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3">
        <f>計算表!B60</f>
        <v>0</v>
      </c>
      <c r="C60" t="str">
        <f>計算表!C60</f>
        <v>3-戰鬥核心</v>
      </c>
      <c r="D60" t="str">
        <f>計算表!D60</f>
        <v>傷害浮動</v>
      </c>
      <c r="E60" t="str">
        <f>計算表!E60</f>
        <v>×rnd(a, b)</v>
      </c>
      <c r="F60" t="str">
        <f>計算表!F60</f>
        <v>每次傷害的隨機浮動區間。</v>
      </c>
      <c r="G60">
        <f>計算表!G60</f>
        <v>0.9</v>
      </c>
      <c r="H60">
        <f>計算表!H60</f>
        <v>1.1000000000000001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3">
        <f>計算表!B61</f>
        <v>0</v>
      </c>
      <c r="C61" t="str">
        <f>計算表!C61</f>
        <v>3-戰鬥核心</v>
      </c>
      <c r="D61" t="str">
        <f>計算表!D61</f>
        <v>最低傷害下限</v>
      </c>
      <c r="E61" t="str">
        <f>計算表!E61</f>
        <v>max(a, 傷害)</v>
      </c>
      <c r="F61" t="str">
        <f>計算表!F61</f>
        <v>所有減傷/抗性/格擋結算後、護盾吸收前，每次命中至少造成 a 點傷害。</v>
      </c>
      <c r="G61">
        <f>計算表!G61</f>
        <v>1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3">
        <f>計算表!B62</f>
        <v>0</v>
      </c>
      <c r="C62" t="str">
        <f>計算表!C62</f>
        <v>3-戰鬥核心</v>
      </c>
      <c r="D62" t="str">
        <f>計算表!D62</f>
        <v>減速狀態攻速</v>
      </c>
      <c r="E62" t="str">
        <f>計算表!E62</f>
        <v>攻速×a</v>
      </c>
      <c r="F62" t="str">
        <f>計算表!F62</f>
        <v>a=減速時攻擊冷卻累積倍率（-30%）。</v>
      </c>
      <c r="G62">
        <f>計算表!G62</f>
        <v>0.7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3">
        <f>計算表!B63</f>
        <v>0</v>
      </c>
      <c r="C63" t="str">
        <f>計算表!C63</f>
        <v>3-戰鬥核心</v>
      </c>
      <c r="D63" t="str">
        <f>計算表!D63</f>
        <v>擊殺回復</v>
      </c>
      <c r="E63" t="str">
        <f>計算表!E63</f>
        <v>最大生命×a%</v>
      </c>
      <c r="F63" t="str">
        <f>計算表!F63</f>
        <v>野外每擊殺一隻回復（吸魂被動再另加）。</v>
      </c>
      <c r="G63">
        <f>計算表!G63</f>
        <v>12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3">
        <f>計算表!B64</f>
        <v>0</v>
      </c>
      <c r="C64" t="str">
        <f>計算表!C64</f>
        <v>3-戰鬥核心</v>
      </c>
      <c r="D64" t="str">
        <f>計算表!D64</f>
        <v>溢出治療轉護盾</v>
      </c>
      <c r="E64" t="str">
        <f>計算表!E64</f>
        <v>溢出×a%</v>
      </c>
      <c r="F64" t="str">
        <f>計算表!F64</f>
        <v>a=溢出治療轉為護盾的比例。</v>
      </c>
      <c r="G64">
        <f>計算表!G64</f>
        <v>1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3">
        <f>計算表!B65</f>
        <v>0</v>
      </c>
      <c r="C65" t="str">
        <f>計算表!C65</f>
        <v>3-戰鬥核心</v>
      </c>
      <c r="D65" t="str">
        <f>計算表!D65</f>
        <v>護盾上限(治療轉化)</v>
      </c>
      <c r="E65" t="str">
        <f>計算表!E65</f>
        <v>最大生命×a%×(1+護盾效率%)</v>
      </c>
      <c r="F65" t="str">
        <f>計算表!F65</f>
        <v>a=治療轉護盾的上限比例。</v>
      </c>
      <c r="G65">
        <f>計算表!G65</f>
        <v>10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3">
        <f>計算表!B66</f>
        <v>0</v>
      </c>
      <c r="C66" t="str">
        <f>計算表!C66</f>
        <v>3-戰鬥核心</v>
      </c>
      <c r="D66" t="str">
        <f>計算表!D66</f>
        <v>護盾上限(技能給予)</v>
      </c>
      <c r="E66" t="str">
        <f>計算表!E66</f>
        <v>最大生命×a%</v>
      </c>
      <c r="F66" t="str">
        <f>計算表!F66</f>
        <v>a=技能護盾上限比例；量本身再×(1+護盾效率%)。　※寫死：技能直接給予的護盾上限＝最大生命 50%(skills.js)。</v>
      </c>
      <c r="G66">
        <f>計算表!G66</f>
        <v>10000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3">
        <f>計算表!B67</f>
        <v>0</v>
      </c>
      <c r="C67" t="str">
        <f>計算表!C67</f>
        <v>3-戰鬥核心</v>
      </c>
      <c r="D67" t="str">
        <f>計算表!D67</f>
        <v>聖佑(神鑄)減傷上限</v>
      </c>
      <c r="E67" t="str">
        <f>計算表!E67</f>
        <v>受傷×(1-min(值,a%))</v>
      </c>
      <c r="F67" t="str">
        <f>計算表!F67</f>
        <v>a=聖佑特效減傷上限。</v>
      </c>
      <c r="G67">
        <f>計算表!G67</f>
        <v>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3">
        <f>計算表!B68</f>
        <v>0</v>
      </c>
      <c r="C68" t="str">
        <f>計算表!C68</f>
        <v>3-戰鬥核心</v>
      </c>
      <c r="D68" t="str">
        <f>計算表!D68</f>
        <v>不朽(神鑄)回復</v>
      </c>
      <c r="E68" t="str">
        <f>計算表!E68</f>
        <v>致命時保 1 血並回復 a%，b 秒限一次</v>
      </c>
      <c r="F68" t="str">
        <f>計算表!F68</f>
        <v>a=回復最大生命% b=冷卻秒數。</v>
      </c>
      <c r="G68">
        <f>計算表!G68</f>
        <v>30</v>
      </c>
      <c r="H68">
        <f>計算表!H68</f>
        <v>60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3">
        <f>計算表!B69</f>
        <v>0</v>
      </c>
      <c r="C69" t="str">
        <f>計算表!C69</f>
        <v>3-戰鬥核心</v>
      </c>
      <c r="D69" t="str">
        <f>計算表!D69</f>
        <v>怪物固定戰鬥值</v>
      </c>
      <c r="E69" t="str">
        <f>計算表!E69</f>
        <v>暴擊a% 暴傷b% 命中c% 攻速d</v>
      </c>
      <c r="F69" t="str">
        <f>計算表!F69</f>
        <v>怪物固定值；初次出手延遲 = 1/攻速 + 0.4 秒。</v>
      </c>
      <c r="G69">
        <f>計算表!G69</f>
        <v>5</v>
      </c>
      <c r="H69">
        <f>計算表!H69</f>
        <v>150</v>
      </c>
      <c r="I69">
        <f>計算表!I69</f>
        <v>100</v>
      </c>
      <c r="J69">
        <f>計算表!J69</f>
        <v>0.75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3">
        <f>計算表!B70</f>
        <v>0</v>
      </c>
      <c r="C70" t="str">
        <f>計算表!C70</f>
        <v>3-元素特效</v>
      </c>
      <c r="D70" t="str">
        <f>計算表!D70</f>
        <v>冰霜 特效</v>
      </c>
      <c r="E70" t="str">
        <f>計算表!E70</f>
        <v>每次命中 a% 機率觸發</v>
      </c>
      <c r="F70" t="str">
        <f>計算表!F70</f>
        <v>敵人減速 2 秒（受控制時間縮減影響、可被控制抵抗擋下）</v>
      </c>
      <c r="G70">
        <f>計算表!G70</f>
        <v>15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3">
        <f>計算表!B71</f>
        <v>0</v>
      </c>
      <c r="C71" t="str">
        <f>計算表!C71</f>
        <v>3-元素特效</v>
      </c>
      <c r="D71" t="str">
        <f>計算表!D71</f>
        <v>雷電 特效</v>
      </c>
      <c r="E71" t="str">
        <f>計算表!E71</f>
        <v>每次命中 a% 機率觸發</v>
      </c>
      <c r="F71" t="str">
        <f>計算表!F71</f>
        <v>追加該次元素傷害 80% 的連鎖電擊</v>
      </c>
      <c r="G71">
        <f>計算表!G71</f>
        <v>10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3">
        <f>計算表!B72</f>
        <v>0</v>
      </c>
      <c r="C72" t="str">
        <f>計算表!C72</f>
        <v>3-元素特效</v>
      </c>
      <c r="D72" t="str">
        <f>計算表!D72</f>
        <v>劇毒 特效</v>
      </c>
      <c r="E72" t="str">
        <f>計算表!E72</f>
        <v>每次命中 a% 機率觸發</v>
      </c>
      <c r="F72" t="str">
        <f>計算表!F72</f>
        <v>中毒：每秒受元素傷害 50% 的跳傷，持續 4 秒（無視防禦）</v>
      </c>
      <c r="G72">
        <f>計算表!G72</f>
        <v>25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3">
        <f>計算表!B73</f>
        <v>0</v>
      </c>
      <c r="C73" t="str">
        <f>計算表!C73</f>
        <v>3-元素特效</v>
      </c>
      <c r="D73" t="str">
        <f>計算表!D73</f>
        <v>聖光 特效</v>
      </c>
      <c r="E73" t="str">
        <f>計算表!E73</f>
        <v>每次命中 a% 機率觸發</v>
      </c>
      <c r="F73" t="str">
        <f>計算表!F73</f>
        <v>淨化攻擊者自身全部負面狀態</v>
      </c>
      <c r="G73">
        <f>計算表!G73</f>
        <v>20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3">
        <f>計算表!B74</f>
        <v>0</v>
      </c>
      <c r="C74" t="str">
        <f>計算表!C74</f>
        <v>3-元素特效</v>
      </c>
      <c r="D74" t="str">
        <f>計算表!D74</f>
        <v>暗影 特效</v>
      </c>
      <c r="E74" t="str">
        <f>計算表!E74</f>
        <v>每次命中 a% 機率觸發</v>
      </c>
      <c r="F74" t="str">
        <f>計算表!F74</f>
        <v>汲取元素傷害的 25% 回復生命　※寫死：100%觸發、汲取元素傷害25%回復生命，無獨立可調參數。</v>
      </c>
      <c r="G74">
        <f>計算表!G74</f>
        <v>100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3">
        <f>計算表!B75</f>
        <v>0</v>
      </c>
      <c r="C75" t="str">
        <f>計算表!C75</f>
        <v>4-野外怪物</v>
      </c>
      <c r="D75" t="str">
        <f>計算表!D75</f>
        <v>生命</v>
      </c>
      <c r="E75" t="str">
        <f>計算表!E75</f>
        <v>(a+階段×b)×c^(階段-1)</v>
      </c>
      <c r="F75" t="str">
        <f>計算表!F75</f>
        <v>a=常數 b=每階 c=指數底。</v>
      </c>
      <c r="G75">
        <f>計算表!G75</f>
        <v>30</v>
      </c>
      <c r="H75">
        <f>計算表!H75</f>
        <v>8</v>
      </c>
      <c r="I75">
        <f>計算表!I75</f>
        <v>1.08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3">
        <f>計算表!B76</f>
        <v>0</v>
      </c>
      <c r="C76" t="str">
        <f>計算表!C76</f>
        <v>4-野外怪物</v>
      </c>
      <c r="D76" t="str">
        <f>計算表!D76</f>
        <v>攻擊</v>
      </c>
      <c r="E76" t="str">
        <f>計算表!E76</f>
        <v>(a+階段×b)×c^(階段-1)</v>
      </c>
      <c r="F76" t="str">
        <f>計算表!F76</f>
        <v>a=常數 b=每階 c=指數底。</v>
      </c>
      <c r="G76">
        <f>計算表!G76</f>
        <v>6</v>
      </c>
      <c r="H76">
        <f>計算表!H76</f>
        <v>1.2</v>
      </c>
      <c r="I76">
        <f>計算表!I76</f>
        <v>1.1100000000000001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3">
        <f>計算表!B77</f>
        <v>0</v>
      </c>
      <c r="C77" t="str">
        <f>計算表!C77</f>
        <v>4-野外怪物</v>
      </c>
      <c r="D77" t="str">
        <f>計算表!D77</f>
        <v>物理防禦</v>
      </c>
      <c r="E77" t="str">
        <f>計算表!E77</f>
        <v>(a+階段×b)×c^(階段-1)</v>
      </c>
      <c r="F77" t="str">
        <f>計算表!F77</f>
        <v>魔法防禦 = 物理防禦×0.75。</v>
      </c>
      <c r="G77">
        <f>計算表!G77</f>
        <v>2</v>
      </c>
      <c r="H77">
        <f>計算表!H77</f>
        <v>0.5</v>
      </c>
      <c r="I77">
        <f>計算表!I77</f>
        <v>1.08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3">
        <f>計算表!B78</f>
        <v>0</v>
      </c>
      <c r="C78" t="str">
        <f>計算表!C78</f>
        <v>4-野外怪物</v>
      </c>
      <c r="D78" t="str">
        <f>計算表!D78</f>
        <v>金幣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20</v>
      </c>
      <c r="H78">
        <f>計算表!H78</f>
        <v>1</v>
      </c>
      <c r="I78">
        <f>計算表!I78</f>
        <v>1.05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3">
        <f>計算表!B79</f>
        <v>0</v>
      </c>
      <c r="C79" t="str">
        <f>計算表!C79</f>
        <v>4-野外怪物</v>
      </c>
      <c r="D79" t="str">
        <f>計算表!D79</f>
        <v>經驗</v>
      </c>
      <c r="E79" t="str">
        <f>計算表!E79</f>
        <v>(a+階段×b)×c^(階段-1)</v>
      </c>
      <c r="F79" t="str">
        <f>計算表!F79</f>
        <v>a=常數 b=每階 c=指數底。</v>
      </c>
      <c r="G79">
        <f>計算表!G79</f>
        <v>8</v>
      </c>
      <c r="H79">
        <f>計算表!H79</f>
        <v>1</v>
      </c>
      <c r="I79">
        <f>計算表!I79</f>
        <v>1.06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3">
        <f>計算表!B80</f>
        <v>0</v>
      </c>
      <c r="C80" t="str">
        <f>計算表!C80</f>
        <v>4-野外怪物</v>
      </c>
      <c r="D80" t="str">
        <f>計算表!D80</f>
        <v>攻擊速度</v>
      </c>
      <c r="E80" t="str">
        <f>計算表!E80</f>
        <v>a 次/秒</v>
      </c>
      <c r="F80" t="str">
        <f>計算表!F80</f>
        <v>a=普通怪攻速。</v>
      </c>
      <c r="G80">
        <f>計算表!G80</f>
        <v>2</v>
      </c>
      <c r="H80">
        <f>計算表!H80</f>
        <v>0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3">
        <f>計算表!B81</f>
        <v>0</v>
      </c>
      <c r="C81" t="str">
        <f>計算表!C81</f>
        <v>4-野外怪物</v>
      </c>
      <c r="D81" t="str">
        <f>計算表!D81</f>
        <v>命中率</v>
      </c>
      <c r="E81" t="str">
        <f>計算表!E81</f>
        <v>a%+敵人等級×b%</v>
      </c>
      <c r="F81" t="str">
        <f>計算表!F81</f>
        <v>敵人等級=階段。實際命中率沿用戰鬥核心：clamp(命中-玩家閃避, 5, 100)。</v>
      </c>
      <c r="G81">
        <f>計算表!G81</f>
        <v>100</v>
      </c>
      <c r="H81">
        <f>計算表!H81</f>
        <v>1</v>
      </c>
      <c r="I81">
        <f>計算表!I81</f>
        <v>0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3">
        <f>計算表!B82</f>
        <v>0</v>
      </c>
      <c r="C82" t="str">
        <f>計算表!C82</f>
        <v>4-野外怪物</v>
      </c>
      <c r="D82" t="str">
        <f>計算表!D82</f>
        <v>閃避率</v>
      </c>
      <c r="E82" t="str">
        <f>計算表!E82</f>
        <v>a%+敵人等級×b%</v>
      </c>
      <c r="F82" t="str">
        <f>計算表!F82</f>
        <v>敵人等級=階段。實際命中率沿用戰鬥核心：clamp(閃避-玩家命中, 5, 100)。</v>
      </c>
      <c r="G82">
        <f>計算表!G82</f>
        <v>5</v>
      </c>
      <c r="H82">
        <f>計算表!H82</f>
        <v>2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3">
        <f>計算表!B83</f>
        <v>0</v>
      </c>
      <c r="C83" t="str">
        <f>計算表!C83</f>
        <v>4-野外怪物</v>
      </c>
      <c r="D83" t="str">
        <f>計算表!D83</f>
        <v>菁英倍率</v>
      </c>
      <c r="E83" t="str">
        <f>計算表!E83</f>
        <v>生命×a 攻擊×b 金幣經驗×c 閃避d 攻速e</v>
      </c>
      <c r="F83" t="str">
        <f>計算表!F83</f>
        <v>菁英出現於階段為 10 的倍數，敵人數量與普通怪一致。</v>
      </c>
      <c r="G83">
        <f>計算表!G83</f>
        <v>2.5</v>
      </c>
      <c r="H83">
        <f>計算表!H83</f>
        <v>1.5</v>
      </c>
      <c r="I83">
        <f>計算表!I83</f>
        <v>3</v>
      </c>
      <c r="J83">
        <f>計算表!J83</f>
        <v>5</v>
      </c>
      <c r="K83">
        <f>計算表!K83</f>
        <v>1.25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3">
        <f>計算表!B84</f>
        <v>0</v>
      </c>
      <c r="C84" t="str">
        <f>計算表!C84</f>
        <v>4-野外怪物</v>
      </c>
      <c r="D84" t="str">
        <f>計算表!D84</f>
        <v>野外菁英掉落倍率</v>
      </c>
      <c r="E84" t="str">
        <f>計算表!E84</f>
        <v>所有掉落 ×a</v>
      </c>
      <c r="F84" t="str">
        <f>計算表!F84</f>
        <v>菁英敵人裝備/材料/寶石/零件掉落率統一乘 a（程式實際值）。</v>
      </c>
      <c r="G84">
        <f>計算表!G84</f>
        <v>1.5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3">
        <f>計算表!B85</f>
        <v>0</v>
      </c>
      <c r="C85" t="str">
        <f>計算表!C85</f>
        <v>4-敵人數量</v>
      </c>
      <c r="D85" t="str">
        <f>計算表!D85</f>
        <v>1 隻</v>
      </c>
      <c r="E85" t="str">
        <f>計算表!E85</f>
        <v>權重 = a</v>
      </c>
      <c r="F85" t="str">
        <f>計算表!F85</f>
        <v>普通與菁英每波獨立擲骰；高塔 BOSS 固定單一。權重總和 100。</v>
      </c>
      <c r="G85">
        <f>計算表!G85</f>
        <v>60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3">
        <f>計算表!B86</f>
        <v>0</v>
      </c>
      <c r="C86" t="str">
        <f>計算表!C86</f>
        <v>4-敵人數量</v>
      </c>
      <c r="D86" t="str">
        <f>計算表!D86</f>
        <v>2 隻</v>
      </c>
      <c r="E86" t="str">
        <f>計算表!E86</f>
        <v>權重 = a</v>
      </c>
      <c r="F86" t="str">
        <f>計算表!F86</f>
        <v>普通與菁英每波獨立擲骰；高塔 BOSS 固定單一。權重總和 100。</v>
      </c>
      <c r="G86">
        <f>計算表!G86</f>
        <v>25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3">
        <f>計算表!B87</f>
        <v>0</v>
      </c>
      <c r="C87" t="str">
        <f>計算表!C87</f>
        <v>4-敵人數量</v>
      </c>
      <c r="D87" t="str">
        <f>計算表!D87</f>
        <v>3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10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3">
        <f>計算表!B88</f>
        <v>0</v>
      </c>
      <c r="C88" t="str">
        <f>計算表!C88</f>
        <v>4-敵人數量</v>
      </c>
      <c r="D88" t="str">
        <f>計算表!D88</f>
        <v>4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3">
        <f>計算表!B89</f>
        <v>0</v>
      </c>
      <c r="C89" t="str">
        <f>計算表!C89</f>
        <v>4-場景倍率</v>
      </c>
      <c r="D89" t="str">
        <f>計算表!D89</f>
        <v>草原</v>
      </c>
      <c r="E89" t="str">
        <f>計算表!E89</f>
        <v>（查表）</v>
      </c>
      <c r="F89" t="str">
        <f>計算表!F89</f>
        <v>a=生命 b=攻擊 c=防禦 d=攻速 e=經驗/金幣/材料倍率 f=解鎖條件。裝備掉落表不受場景倍率影響。</v>
      </c>
      <c r="G89">
        <f>計算表!G89</f>
        <v>1</v>
      </c>
      <c r="H89">
        <f>計算表!H89</f>
        <v>1</v>
      </c>
      <c r="I89">
        <f>計算表!I89</f>
        <v>1</v>
      </c>
      <c r="J89">
        <f>計算表!J89</f>
        <v>1</v>
      </c>
      <c r="K89">
        <f>計算表!K89</f>
        <v>1</v>
      </c>
      <c r="L89" t="str">
        <f>計算表!L89</f>
        <v>—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3">
        <f>計算表!B90</f>
        <v>0</v>
      </c>
      <c r="C90" t="str">
        <f>計算表!C90</f>
        <v>4-場景倍率</v>
      </c>
      <c r="D90" t="str">
        <f>計算表!D90</f>
        <v>荒漠</v>
      </c>
      <c r="E90" t="str">
        <f>計算表!E90</f>
        <v>（查表）</v>
      </c>
      <c r="F90" t="str">
        <f>計算表!F90</f>
        <v>a=生命 b=攻擊 c=防禦 d=攻速 e=經驗/金幣/材料倍率 f=解鎖條件。裝備掉落表不受場景倍率影響。</v>
      </c>
      <c r="G90">
        <f>計算表!G90</f>
        <v>2.2000000000000002</v>
      </c>
      <c r="H90">
        <f>計算表!H90</f>
        <v>1.8</v>
      </c>
      <c r="I90">
        <f>計算表!I90</f>
        <v>1.6</v>
      </c>
      <c r="J90">
        <f>計算表!J90</f>
        <v>1.5</v>
      </c>
      <c r="K90">
        <f>計算表!K90</f>
        <v>1.25</v>
      </c>
      <c r="L90" t="str">
        <f>計算表!L90</f>
        <v>草原最高 100 階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3">
        <f>計算表!B91</f>
        <v>0</v>
      </c>
      <c r="C91" t="str">
        <f>計算表!C91</f>
        <v>4-場景倍率</v>
      </c>
      <c r="D91" t="str">
        <f>計算表!D91</f>
        <v>沼澤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4</v>
      </c>
      <c r="H91">
        <f>計算表!H91</f>
        <v>2.8</v>
      </c>
      <c r="I91">
        <f>計算表!I91</f>
        <v>2.4</v>
      </c>
      <c r="J91">
        <f>計算表!J91</f>
        <v>2</v>
      </c>
      <c r="K91">
        <f>計算表!K91</f>
        <v>1.5</v>
      </c>
      <c r="L91" t="str">
        <f>計算表!L91</f>
        <v>荒漠最高 100 階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3">
        <f>計算表!B92</f>
        <v>0</v>
      </c>
      <c r="C92" t="str">
        <f>計算表!C92</f>
        <v>4-高塔BOSS</v>
      </c>
      <c r="D92" t="str">
        <f>計算表!D92</f>
        <v>對應野外階段</v>
      </c>
      <c r="E92" t="str">
        <f>計算表!E92</f>
        <v>a+樓層×b</v>
      </c>
      <c r="F92" t="str">
        <f>計算表!F92</f>
        <v>以此階段的野外怪為基準。</v>
      </c>
      <c r="G92">
        <f>計算表!G92</f>
        <v>4</v>
      </c>
      <c r="H92">
        <f>計算表!H92</f>
        <v>5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3">
        <f>計算表!B93</f>
        <v>0</v>
      </c>
      <c r="C93" t="str">
        <f>計算表!C93</f>
        <v>4-高塔BOSS</v>
      </c>
      <c r="D93" t="str">
        <f>計算表!D93</f>
        <v>BOSS 等級</v>
      </c>
      <c r="E93" t="str">
        <f>計算表!E93</f>
        <v>對應階段+a</v>
      </c>
      <c r="F93" t="str">
        <f>計算表!F93</f>
        <v>a=等級加值。</v>
      </c>
      <c r="G93">
        <f>計算表!G93</f>
        <v>3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3">
        <f>計算表!B94</f>
        <v>0</v>
      </c>
      <c r="C94" t="str">
        <f>計算表!C94</f>
        <v>4-高塔BOSS</v>
      </c>
      <c r="D94" t="str">
        <f>計算表!D94</f>
        <v>命中率</v>
      </c>
      <c r="E94" t="str">
        <f>計算表!E94</f>
        <v>a%+BOSS階層×b%</v>
      </c>
      <c r="F94" t="str">
        <f>計算表!F94</f>
        <v>BOSS階層=樓層。實際命中率沿用戰鬥核心：clamp(命中-玩家閃避, 5, 100)。</v>
      </c>
      <c r="G94">
        <f>計算表!G94</f>
        <v>200</v>
      </c>
      <c r="H94">
        <f>計算表!H94</f>
        <v>10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3">
        <f>計算表!B95</f>
        <v>0</v>
      </c>
      <c r="C95" t="str">
        <f>計算表!C95</f>
        <v>4-高塔BOSS</v>
      </c>
      <c r="D95" t="str">
        <f>計算表!D95</f>
        <v>挑戰金幣消耗</v>
      </c>
      <c r="E95" t="str">
        <f>計算表!E95</f>
        <v>round(a×樓層^b)</v>
      </c>
      <c r="F95" t="str">
        <f>計算表!F95</f>
        <v>開始挑戰前扣除，失敗或撤退不退回。</v>
      </c>
      <c r="G95">
        <f>計算表!G95</f>
        <v>100000</v>
      </c>
      <c r="H95">
        <f>計算表!H95</f>
        <v>2.6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3">
        <f>計算表!B96</f>
        <v>0</v>
      </c>
      <c r="C96" t="str">
        <f>計算表!C96</f>
        <v>4-高塔BOSS</v>
      </c>
      <c r="D96" t="str">
        <f>計算表!D96</f>
        <v>生命</v>
      </c>
      <c r="E96" t="str">
        <f>計算表!E96</f>
        <v>基準生命×a（地獄之塔再×b）</v>
      </c>
      <c r="F96" t="str">
        <f>計算表!F96</f>
        <v>a=一般倍率 b=地獄之塔倍率。</v>
      </c>
      <c r="G96">
        <f>計算表!G96</f>
        <v>30</v>
      </c>
      <c r="H96">
        <f>計算表!H96</f>
        <v>20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3">
        <f>計算表!B97</f>
        <v>0</v>
      </c>
      <c r="C97" t="str">
        <f>計算表!C97</f>
        <v>4-高塔BOSS</v>
      </c>
      <c r="D97" t="str">
        <f>計算表!D97</f>
        <v>攻擊</v>
      </c>
      <c r="E97" t="str">
        <f>計算表!E97</f>
        <v>基準攻擊×a（地獄之塔再×b）</v>
      </c>
      <c r="F97" t="str">
        <f>計算表!F97</f>
        <v>a=一般倍率 b=地獄之塔倍率。</v>
      </c>
      <c r="G97">
        <f>計算表!G97</f>
        <v>3</v>
      </c>
      <c r="H97">
        <f>計算表!H97</f>
        <v>5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3">
        <f>計算表!B98</f>
        <v>0</v>
      </c>
      <c r="C98" t="str">
        <f>計算表!C98</f>
        <v>4-高塔BOSS</v>
      </c>
      <c r="D98" t="str">
        <f>計算表!D98</f>
        <v>物/魔防</v>
      </c>
      <c r="E98" t="str">
        <f>計算表!E98</f>
        <v>基準物/魔防×a</v>
      </c>
      <c r="F98" t="str">
        <f>計算表!F98</f>
        <v>a=防禦倍率。</v>
      </c>
      <c r="G98">
        <f>計算表!G98</f>
        <v>10</v>
      </c>
      <c r="H98">
        <f>計算表!H98</f>
        <v>0</v>
      </c>
      <c r="I98">
        <f>計算表!I98</f>
        <v>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3">
        <f>計算表!B99</f>
        <v>0</v>
      </c>
      <c r="C99" t="str">
        <f>計算表!C99</f>
        <v>4-高塔BOSS</v>
      </c>
      <c r="D99" t="str">
        <f>計算表!D99</f>
        <v>攻速 / 控制抵抗</v>
      </c>
      <c r="E99" t="str">
        <f>計算表!E99</f>
        <v>攻速a 次/秒；控制抵抗b%</v>
      </c>
      <c r="F99" t="str">
        <f>計算表!F99</f>
        <v>a=攻速 b=控制抵抗。</v>
      </c>
      <c r="G99">
        <f>計算表!G99</f>
        <v>5</v>
      </c>
      <c r="H99">
        <f>計算表!H99</f>
        <v>70</v>
      </c>
      <c r="I99">
        <f>計算表!I99</f>
        <v>0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3">
        <f>計算表!B100</f>
        <v>0</v>
      </c>
      <c r="C100" t="str">
        <f>計算表!C100</f>
        <v>4-高塔BOSS</v>
      </c>
      <c r="D100" t="str">
        <f>計算表!D100</f>
        <v>閃避</v>
      </c>
      <c r="E100" t="str">
        <f>計算表!E100</f>
        <v>min(a+樓層*c, b)%</v>
      </c>
      <c r="F100" t="str">
        <f>計算表!F100</f>
        <v>a=基礎 b=上限 c=加乘值。</v>
      </c>
      <c r="G100">
        <f>計算表!G100</f>
        <v>20</v>
      </c>
      <c r="H100">
        <f>計算表!H100</f>
        <v>10000000</v>
      </c>
      <c r="I100">
        <f>計算表!I100</f>
        <v>20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3">
        <f>計算表!B101</f>
        <v>0</v>
      </c>
      <c r="C101" t="str">
        <f>計算表!C101</f>
        <v>4-高塔BOSS</v>
      </c>
      <c r="D101" t="str">
        <f>計算表!D101</f>
        <v>元素附傷(元素 BOSS)</v>
      </c>
      <c r="E101" t="str">
        <f>計算表!E101</f>
        <v>基準攻擊×a（地獄之塔再×b）</v>
      </c>
      <c r="F101" t="str">
        <f>計算表!F101</f>
        <v>a=係數 b=地獄之塔倍率。以魔法攻擊結算。</v>
      </c>
      <c r="G101">
        <f>計算表!G101</f>
        <v>3</v>
      </c>
      <c r="H101">
        <f>計算表!H101</f>
        <v>20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3">
        <f>計算表!B102</f>
        <v>0</v>
      </c>
      <c r="C102" t="str">
        <f>計算表!C102</f>
        <v>4-高塔BOSS</v>
      </c>
      <c r="D102" t="str">
        <f>計算表!D102</f>
        <v>經驗</v>
      </c>
      <c r="E102" t="str">
        <f>計算表!E102</f>
        <v>建議野外階段普通怪經驗×a</v>
      </c>
      <c r="F102" t="str">
        <f>計算表!F102</f>
        <v>再套用玩家經驗加成。</v>
      </c>
      <c r="G102">
        <f>計算表!G102</f>
        <v>2</v>
      </c>
      <c r="H102">
        <f>計算表!H102</f>
        <v>0</v>
      </c>
      <c r="I102">
        <f>計算表!I102</f>
        <v>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3">
        <f>計算表!B103</f>
        <v>0</v>
      </c>
      <c r="C103" t="str">
        <f>計算表!C103</f>
        <v>4-高塔BOSS</v>
      </c>
      <c r="D103" t="str">
        <f>計算表!D103</f>
        <v>戰鬥規則</v>
      </c>
      <c r="E103" t="str">
        <f>計算表!E103</f>
        <v>限時a秒；b秒檢查狂暴（血量&gt;50%+狂暴閾值→傷害×c）；每d秒蓄力重擊×2.2</v>
      </c>
      <c r="F103" t="str">
        <f>計算表!F103</f>
        <v>a=限時 b=狂暴檢查 c=狂暴傷害倍率 d=蓄力周期。</v>
      </c>
      <c r="G103">
        <f>計算表!G103</f>
        <v>60</v>
      </c>
      <c r="H103">
        <f>計算表!H103</f>
        <v>40</v>
      </c>
      <c r="I103">
        <f>計算表!I103</f>
        <v>3</v>
      </c>
      <c r="J103">
        <f>計算表!J103</f>
        <v>8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3">
        <f>計算表!B104</f>
        <v>0</v>
      </c>
      <c r="C104" t="str">
        <f>計算表!C104</f>
        <v>4-高塔BOSS</v>
      </c>
      <c r="D104" t="str">
        <f>計算表!D104</f>
        <v>地獄之塔範圍</v>
      </c>
      <c r="E104" t="str">
        <f>計算表!E104</f>
        <v>第a~b層</v>
      </c>
      <c r="F104" t="str">
        <f>計算表!F104</f>
        <v>a=起始層 b=結束層（100 層後未開放）。生命×5、攻擊×2。</v>
      </c>
      <c r="G104">
        <f>計算表!G104</f>
        <v>51</v>
      </c>
      <c r="H104">
        <f>計算表!H104</f>
        <v>100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3">
        <f>計算表!B105</f>
        <v>0</v>
      </c>
      <c r="C105" t="str">
        <f>計算表!C105</f>
        <v>4-高塔BOSS</v>
      </c>
      <c r="D105" t="str">
        <f>計算表!D105</f>
        <v>試煉之塔範圍</v>
      </c>
      <c r="E105" t="str">
        <f>計算表!E105</f>
        <v>第a~b層</v>
      </c>
      <c r="F105" t="str">
        <f>計算表!F105</f>
        <v>a=起始層 b=結束層。</v>
      </c>
      <c r="G105">
        <f>計算表!G105</f>
        <v>1</v>
      </c>
      <c r="H105">
        <f>計算表!H105</f>
        <v>50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3">
        <f>計算表!B106</f>
        <v>0</v>
      </c>
      <c r="C106" t="str">
        <f>計算表!C106</f>
        <v>4-高塔BOSS</v>
      </c>
      <c r="D106" t="str">
        <f>計算表!D106</f>
        <v>魔魂本源(地獄之塔)</v>
      </c>
      <c r="E106" t="str">
        <f>計算表!E106</f>
        <v>min(100, a% + (樓層-51)×b%)</v>
      </c>
      <c r="F106" t="str">
        <f>計算表!F106</f>
        <v>僅地獄之塔；獨立判定 1 顆。</v>
      </c>
      <c r="G106">
        <f>計算表!G106</f>
        <v>5</v>
      </c>
      <c r="H106">
        <f>計算表!H106</f>
        <v>1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3">
        <f>計算表!B107</f>
        <v>0</v>
      </c>
      <c r="C107" t="str">
        <f>計算表!C107</f>
        <v>4-高塔BOSS</v>
      </c>
      <c r="D107" t="str">
        <f>計算表!D107</f>
        <v>高塔 BOSS 魔塵</v>
      </c>
      <c r="E107" t="str">
        <f>計算表!E107</f>
        <v>min(a%, b% + 樓層×c%)</v>
      </c>
      <c r="F107" t="str">
        <f>計算表!F107</f>
        <v>a=上限 b=基礎 c=每層。</v>
      </c>
      <c r="G107">
        <f>計算表!G107</f>
        <v>30</v>
      </c>
      <c r="H107">
        <f>計算表!H107</f>
        <v>2</v>
      </c>
      <c r="I107">
        <f>計算表!I107</f>
        <v>0.2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3">
        <f>計算表!B108</f>
        <v>0</v>
      </c>
      <c r="C108" t="str">
        <f>計算表!C108</f>
        <v>5-掉落通則</v>
      </c>
      <c r="D108" t="str">
        <f>計算表!D108</f>
        <v>掉寶率效果折半</v>
      </c>
      <c r="E108" t="str">
        <f>計算表!E108</f>
        <v>有效掉寶率 = 來源合計×a</v>
      </c>
      <c r="F108" t="str">
        <f>計算表!F108</f>
        <v>裝備詞條/附魔/神鑄貪婪/技能尋寶/相關分解零件的掉寶率效果統一×a。</v>
      </c>
      <c r="G108">
        <f>計算表!G108</f>
        <v>0.5</v>
      </c>
      <c r="H108">
        <f>計算表!H108</f>
        <v>0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3">
        <f>計算表!B109</f>
        <v>0</v>
      </c>
      <c r="C109" t="str">
        <f>計算表!C109</f>
        <v>5-掉落通則</v>
      </c>
      <c r="D109" t="str">
        <f>計算表!D109</f>
        <v>加速齒輪固定加成</v>
      </c>
      <c r="E109" t="str">
        <f>計算表!E109</f>
        <v>實際加成 = 每階×階級 + a</v>
      </c>
      <c r="F109" t="str">
        <f>計算表!F109</f>
        <v>a=分解速度固定加成（個百分點）。</v>
      </c>
      <c r="G109">
        <f>計算表!G109</f>
        <v>50</v>
      </c>
      <c r="H109">
        <f>計算表!H109</f>
        <v>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3">
        <f>計算表!B110</f>
        <v>0</v>
      </c>
      <c r="C110" t="str">
        <f>計算表!C110</f>
        <v>5-掉落通則</v>
      </c>
      <c r="D110" t="str">
        <f>計算表!D110</f>
        <v>掉落件數規則(&gt;100%)</v>
      </c>
      <c r="E110" t="str">
        <f>計算表!E110</f>
        <v>⌊機率/100⌋ + (餘數% 再 1 件)</v>
      </c>
      <c r="F110" t="str">
        <f>計算表!F110</f>
        <v>每品質獨立擲骰；實際機率 = 表值×(1+有效掉寶率%)，野外菁英再×1.5。　※規則寫死：機率整數部分必掉，餘數再擲一次。</v>
      </c>
      <c r="G110">
        <f>計算表!G110</f>
        <v>0</v>
      </c>
      <c r="H110">
        <f>計算表!H110</f>
        <v>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3">
        <f>計算表!B111</f>
        <v>0</v>
      </c>
      <c r="C111" t="str">
        <f>計算表!C111</f>
        <v>5-稀有度擲骰</v>
      </c>
      <c r="D111" t="str">
        <f>計算表!D111</f>
        <v>權重加成 b</v>
      </c>
      <c r="E111" t="str">
        <f>計算表!E111</f>
        <v>b = 1 + 有效掉寶加成/a + 階段×c</v>
      </c>
      <c r="F111" t="str">
        <f>計算表!F111</f>
        <v>a=掉寶除數 c=每階加成。</v>
      </c>
      <c r="G111">
        <f>計算表!G111</f>
        <v>200</v>
      </c>
      <c r="H111">
        <f>計算表!H111</f>
        <v>6.0000000000000001E-3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3">
        <f>計算表!B112</f>
        <v>0</v>
      </c>
      <c r="C112" t="str">
        <f>計算表!C112</f>
        <v>5-稀有度擲骰</v>
      </c>
      <c r="D112" t="str">
        <f>計算表!D112</f>
        <v>普通 權重</v>
      </c>
      <c r="E112" t="str">
        <f>計算表!E112</f>
        <v>權重 = a×min(b, c)</v>
      </c>
      <c r="F112" t="str">
        <f>計算表!F112</f>
        <v>a=基礎權重 b=權重加成 c=加成上限 d=出現門檻。普通無加成。神鑄創世不參與此擲骰。(目前裝備合成功能關閉中)</v>
      </c>
      <c r="G112">
        <f>計算表!G112</f>
        <v>55</v>
      </c>
      <c r="H112" t="str">
        <f>計算表!H112</f>
        <v>b</v>
      </c>
      <c r="I112" t="str">
        <f>計算表!I112</f>
        <v>-</v>
      </c>
      <c r="J112" t="str">
        <f>計算表!J112</f>
        <v>—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3">
        <f>計算表!B113</f>
        <v>0</v>
      </c>
      <c r="C113" t="str">
        <f>計算表!C113</f>
        <v>5-稀有度擲骰</v>
      </c>
      <c r="D113" t="str">
        <f>計算表!D113</f>
        <v>精良 權重</v>
      </c>
      <c r="E113" t="str">
        <f>計算表!E113</f>
        <v>權重 = a×min(b, c)</v>
      </c>
      <c r="F113" t="str">
        <f>計算表!F113</f>
        <v>a=基礎權重 b=權重加成 c=加成上限 d=出現門檻。普通無加成。神鑄創世不參與此擲骰。(目前裝備合成功能關閉中)</v>
      </c>
      <c r="G113">
        <f>計算表!G113</f>
        <v>25</v>
      </c>
      <c r="H113" t="str">
        <f>計算表!H113</f>
        <v>b</v>
      </c>
      <c r="I113">
        <f>計算表!I113</f>
        <v>2</v>
      </c>
      <c r="J113" t="str">
        <f>計算表!J113</f>
        <v>—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3">
        <f>計算表!B114</f>
        <v>0</v>
      </c>
      <c r="C114" t="str">
        <f>計算表!C114</f>
        <v>5-稀有度擲骰</v>
      </c>
      <c r="D114" t="str">
        <f>計算表!D114</f>
        <v>稀有 權重</v>
      </c>
      <c r="E114" t="str">
        <f>計算表!E114</f>
        <v>權重 = a×min(b, c)</v>
      </c>
      <c r="F114" t="str">
        <f>計算表!F114</f>
        <v>a=基礎權重 b=權重加成 c=加成上限 d=出現門檻。普通無加成。神鑄創世不參與此擲骰。(目前裝備合成功能關閉中)</v>
      </c>
      <c r="G114">
        <f>計算表!G114</f>
        <v>12</v>
      </c>
      <c r="H114" t="str">
        <f>計算表!H114</f>
        <v>b</v>
      </c>
      <c r="I114">
        <f>計算表!I114</f>
        <v>2.5</v>
      </c>
      <c r="J114" t="str">
        <f>計算表!J114</f>
        <v>—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3">
        <f>計算表!B115</f>
        <v>0</v>
      </c>
      <c r="C115" t="str">
        <f>計算表!C115</f>
        <v>5-稀有度擲骰</v>
      </c>
      <c r="D115" t="str">
        <f>計算表!D115</f>
        <v>獨特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5.5</v>
      </c>
      <c r="H115" t="str">
        <f>計算表!H115</f>
        <v>b</v>
      </c>
      <c r="I115">
        <f>計算表!I115</f>
        <v>3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3">
        <f>計算表!B116</f>
        <v>0</v>
      </c>
      <c r="C116" t="str">
        <f>計算表!C116</f>
        <v>5-稀有度擲骰</v>
      </c>
      <c r="D116" t="str">
        <f>計算表!D116</f>
        <v>史詩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1.8</v>
      </c>
      <c r="H116" t="str">
        <f>計算表!H116</f>
        <v>b</v>
      </c>
      <c r="I116">
        <f>計算表!I116</f>
        <v>3.5</v>
      </c>
      <c r="J116" t="str">
        <f>計算表!J116</f>
        <v>階段 8+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3">
        <f>計算表!B117</f>
        <v>0</v>
      </c>
      <c r="C117" t="str">
        <f>計算表!C117</f>
        <v>5-稀有度擲骰</v>
      </c>
      <c r="D117" t="str">
        <f>計算表!D117</f>
        <v>傳說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0.35</v>
      </c>
      <c r="H117" t="str">
        <f>計算表!H117</f>
        <v>b</v>
      </c>
      <c r="I117">
        <f>計算表!I117</f>
        <v>4</v>
      </c>
      <c r="J117" t="str">
        <f>計算表!J117</f>
        <v>階段 15+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3">
        <f>計算表!B118</f>
        <v>0</v>
      </c>
      <c r="C118" t="str">
        <f>計算表!C118</f>
        <v>5-稀有度擲骰</v>
      </c>
      <c r="D118" t="str">
        <f>計算表!D118</f>
        <v>神話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0.08</v>
      </c>
      <c r="H118" t="str">
        <f>計算表!H118</f>
        <v>b</v>
      </c>
      <c r="I118">
        <f>計算表!I118</f>
        <v>4.5</v>
      </c>
      <c r="J118" t="str">
        <f>計算表!J118</f>
        <v>階段 25+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3">
        <f>計算表!B119</f>
        <v>0</v>
      </c>
      <c r="C119" t="str">
        <f>計算表!C119</f>
        <v>5-稀有度擲骰</v>
      </c>
      <c r="D119" t="str">
        <f>計算表!D119</f>
        <v>創世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1.4999999999999999E-2</v>
      </c>
      <c r="H119" t="str">
        <f>計算表!H119</f>
        <v>b</v>
      </c>
      <c r="I119">
        <f>計算表!I119</f>
        <v>5</v>
      </c>
      <c r="J119" t="str">
        <f>計算表!J119</f>
        <v>階段 40+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3">
        <f>計算表!B120</f>
        <v>0</v>
      </c>
      <c r="C120" t="str">
        <f>計算表!C120</f>
        <v>5-野外裝備掉落</v>
      </c>
      <c r="D120" t="str">
        <f>計算表!D120</f>
        <v>普通裝備</v>
      </c>
      <c r="E120" t="str">
        <f>計算表!E120</f>
        <v>各怪物等級區間掉落率%（{等級下限~上限=機率}）</v>
      </c>
      <c r="F120" t="str">
        <f>計算表!F120</f>
        <v>每品質獨立擲骰。實際機率 = 表值×(1+有效掉寶率%)，菁英再×1.5；場景倍率不作用於裝備。</v>
      </c>
      <c r="G120" t="str">
        <f>計算表!G120</f>
        <v>{1~49=15}</v>
      </c>
      <c r="H120" t="str">
        <f>計算表!H120</f>
        <v>{50~99=10}</v>
      </c>
      <c r="I120" t="str">
        <f>計算表!I120</f>
        <v>{100~149=0}</v>
      </c>
      <c r="J120" t="str">
        <f>計算表!J120</f>
        <v>{150+=0}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3">
        <f>計算表!B121</f>
        <v>0</v>
      </c>
      <c r="C121" t="str">
        <f>計算表!C121</f>
        <v>5-野外裝備掉落</v>
      </c>
      <c r="D121" t="str">
        <f>計算表!D121</f>
        <v>精良裝備</v>
      </c>
      <c r="E121" t="str">
        <f>計算表!E121</f>
        <v>各怪物等級區間掉落率%（{等級下限~上限=機率}）</v>
      </c>
      <c r="F121" t="str">
        <f>計算表!F121</f>
        <v>每品質獨立擲骰。實際機率 = 表值×(1+有效掉寶率%)，菁英再×1.5；場景倍率不作用於裝備。</v>
      </c>
      <c r="G121" t="str">
        <f>計算表!G121</f>
        <v>{1~49=10}</v>
      </c>
      <c r="H121" t="str">
        <f>計算表!H121</f>
        <v>{50~99=10}</v>
      </c>
      <c r="I121" t="str">
        <f>計算表!I121</f>
        <v>{100~149=10}</v>
      </c>
      <c r="J121" t="str">
        <f>計算表!J121</f>
        <v>{150+=0}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3">
        <f>計算表!B122</f>
        <v>0</v>
      </c>
      <c r="C122" t="str">
        <f>計算表!C122</f>
        <v>5-野外裝備掉落</v>
      </c>
      <c r="D122" t="str">
        <f>計算表!D122</f>
        <v>稀有裝備</v>
      </c>
      <c r="E122" t="str">
        <f>計算表!E122</f>
        <v>各怪物等級區間掉落率%（{等級下限~上限=機率}）</v>
      </c>
      <c r="F122" t="str">
        <f>計算表!F122</f>
        <v>每品質獨立擲骰。實際機率 = 表值×(1+有效掉寶率%)，菁英再×1.5；場景倍率不作用於裝備。</v>
      </c>
      <c r="G122" t="str">
        <f>計算表!G122</f>
        <v>{1~49=5}</v>
      </c>
      <c r="H122" t="str">
        <f>計算表!H122</f>
        <v>{50~99=5}</v>
      </c>
      <c r="I122" t="str">
        <f>計算表!I122</f>
        <v>{100~149=8}</v>
      </c>
      <c r="J122" t="str">
        <f>計算表!J122</f>
        <v>{150+=0}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3">
        <f>計算表!B123</f>
        <v>0</v>
      </c>
      <c r="C123" t="str">
        <f>計算表!C123</f>
        <v>5-野外裝備掉落</v>
      </c>
      <c r="D123" t="str">
        <f>計算表!D123</f>
        <v>獨特裝備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{1~49=0}</v>
      </c>
      <c r="H123" t="str">
        <f>計算表!H123</f>
        <v>{50~99=5}</v>
      </c>
      <c r="I123" t="str">
        <f>計算表!I123</f>
        <v>{100~149=6}</v>
      </c>
      <c r="J123" t="str">
        <f>計算表!J123</f>
        <v>{150+=10}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3">
        <f>計算表!B124</f>
        <v>0</v>
      </c>
      <c r="C124" t="str">
        <f>計算表!C124</f>
        <v>5-野外裝備掉落</v>
      </c>
      <c r="D124" t="str">
        <f>計算表!D124</f>
        <v>史詩裝備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{1~49=0}</v>
      </c>
      <c r="H124" t="str">
        <f>計算表!H124</f>
        <v>{50~99=0}</v>
      </c>
      <c r="I124" t="str">
        <f>計算表!I124</f>
        <v>{100~149=5}</v>
      </c>
      <c r="J124" t="str">
        <f>計算表!J124</f>
        <v>{150+=4}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3">
        <f>計算表!B125</f>
        <v>0</v>
      </c>
      <c r="C125" t="str">
        <f>計算表!C125</f>
        <v>5-野外裝備掉落</v>
      </c>
      <c r="D125" t="str">
        <f>計算表!D125</f>
        <v>傳說裝備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{1~49=0}</v>
      </c>
      <c r="H125" t="str">
        <f>計算表!H125</f>
        <v>{50~99=0}</v>
      </c>
      <c r="I125" t="str">
        <f>計算表!I125</f>
        <v>{100~149=1.5}</v>
      </c>
      <c r="J125" t="str">
        <f>計算表!J125</f>
        <v>{150+=2}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3">
        <f>計算表!B126</f>
        <v>0</v>
      </c>
      <c r="C126" t="str">
        <f>計算表!C126</f>
        <v>5-野外裝備掉落</v>
      </c>
      <c r="D126" t="str">
        <f>計算表!D126</f>
        <v>神話裝備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{50~99=0}</v>
      </c>
      <c r="I126" t="str">
        <f>計算表!I126</f>
        <v>{100~149=0}</v>
      </c>
      <c r="J126" t="str">
        <f>計算表!J126</f>
        <v>{150+=0.2}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3">
        <f>計算表!B127</f>
        <v>0</v>
      </c>
      <c r="C127" t="str">
        <f>計算表!C127</f>
        <v>5-野外裝備掉落</v>
      </c>
      <c r="D127" t="str">
        <f>計算表!D127</f>
        <v>創世裝備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{50~99=0}</v>
      </c>
      <c r="I127" t="str">
        <f>計算表!I127</f>
        <v>{100~149=0}</v>
      </c>
      <c r="J127" t="str">
        <f>計算表!J127</f>
        <v>{150+=0}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3">
        <f>計算表!B128</f>
        <v>0</v>
      </c>
      <c r="C128" t="str">
        <f>計算表!C128</f>
        <v>5-野外寶石掉落</v>
      </c>
      <c r="D128" t="str">
        <f>計算表!D128</f>
        <v>怪物等級 1~50</v>
      </c>
      <c r="E128" t="str">
        <f>計算表!E128</f>
        <v>各階級獨立判定機率%</v>
      </c>
      <c r="F128" t="str">
        <f>計算表!F128</f>
        <v>a=1級 b=2級 c=3級 d=4級 e=5級。實際機率 ×(1+掉寶率%)×場景倍率。</v>
      </c>
      <c r="G128">
        <f>計算表!G128</f>
        <v>2</v>
      </c>
      <c r="H128">
        <f>計算表!H128</f>
        <v>0.5</v>
      </c>
      <c r="I128">
        <f>計算表!I128</f>
        <v>0.2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3">
        <f>計算表!B129</f>
        <v>0</v>
      </c>
      <c r="C129" t="str">
        <f>計算表!C129</f>
        <v>5-野外寶石掉落</v>
      </c>
      <c r="D129" t="str">
        <f>計算表!D129</f>
        <v>怪物等級 51~100</v>
      </c>
      <c r="E129" t="str">
        <f>計算表!E129</f>
        <v>各階級獨立判定機率%</v>
      </c>
      <c r="F129" t="str">
        <f>計算表!F129</f>
        <v>a=1級 b=2級 c=3級 d=4級 e=5級。實際機率 ×(1+掉寶率%)×場景倍率。</v>
      </c>
      <c r="G129">
        <f>計算表!G129</f>
        <v>4</v>
      </c>
      <c r="H129">
        <f>計算表!H129</f>
        <v>0.8</v>
      </c>
      <c r="I129">
        <f>計算表!I129</f>
        <v>0.3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3">
        <f>計算表!B130</f>
        <v>0</v>
      </c>
      <c r="C130" t="str">
        <f>計算表!C130</f>
        <v>5-野外寶石掉落</v>
      </c>
      <c r="D130" t="str">
        <f>計算表!D130</f>
        <v>怪物等級 101~150</v>
      </c>
      <c r="E130" t="str">
        <f>計算表!E130</f>
        <v>各階級獨立判定機率%</v>
      </c>
      <c r="F130" t="str">
        <f>計算表!F130</f>
        <v>a=1級 b=2級 c=3級 d=4級 e=5級。實際機率 ×(1+掉寶率%)×場景倍率。</v>
      </c>
      <c r="G130">
        <f>計算表!G130</f>
        <v>6</v>
      </c>
      <c r="H130">
        <f>計算表!H130</f>
        <v>1.1000000000000001</v>
      </c>
      <c r="I130">
        <f>計算表!I130</f>
        <v>0.4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3">
        <f>計算表!B131</f>
        <v>0</v>
      </c>
      <c r="C131" t="str">
        <f>計算表!C131</f>
        <v>5-野外寶石掉落</v>
      </c>
      <c r="D131" t="str">
        <f>計算表!D131</f>
        <v>怪物等級 151~200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8</v>
      </c>
      <c r="H131">
        <f>計算表!H131</f>
        <v>1.4</v>
      </c>
      <c r="I131">
        <f>計算表!I131</f>
        <v>0.5</v>
      </c>
      <c r="J131">
        <f>計算表!J131</f>
        <v>0.1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3">
        <f>計算表!B132</f>
        <v>0</v>
      </c>
      <c r="C132" t="str">
        <f>計算表!C132</f>
        <v>5-野外寶石掉落</v>
      </c>
      <c r="D132" t="str">
        <f>計算表!D132</f>
        <v>怪物等級 201~250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10</v>
      </c>
      <c r="H132">
        <f>計算表!H132</f>
        <v>1.7</v>
      </c>
      <c r="I132">
        <f>計算表!I132</f>
        <v>0.6</v>
      </c>
      <c r="J132">
        <f>計算表!J132</f>
        <v>0.2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3">
        <f>計算表!B133</f>
        <v>0</v>
      </c>
      <c r="C133" t="str">
        <f>計算表!C133</f>
        <v>5-野外寶石掉落</v>
      </c>
      <c r="D133" t="str">
        <f>計算表!D133</f>
        <v>怪物等級 251~300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12</v>
      </c>
      <c r="H133">
        <f>計算表!H133</f>
        <v>2</v>
      </c>
      <c r="I133">
        <f>計算表!I133</f>
        <v>0.7</v>
      </c>
      <c r="J133">
        <f>計算表!J133</f>
        <v>0.3</v>
      </c>
      <c r="K133">
        <f>計算表!K133</f>
        <v>0.2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3">
        <f>計算表!B134</f>
        <v>0</v>
      </c>
      <c r="C134" t="str">
        <f>計算表!C134</f>
        <v>5-野外寶石掉落</v>
      </c>
      <c r="D134" t="str">
        <f>計算表!D134</f>
        <v>怪物等級 301+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14</v>
      </c>
      <c r="H134">
        <f>計算表!H134</f>
        <v>2.2999999999999998</v>
      </c>
      <c r="I134">
        <f>計算表!I134</f>
        <v>0.8</v>
      </c>
      <c r="J134">
        <f>計算表!J134</f>
        <v>0.4</v>
      </c>
      <c r="K134">
        <f>計算表!K134</f>
        <v>0.3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3">
        <f>計算表!B135</f>
        <v>0</v>
      </c>
      <c r="C135" t="str">
        <f>計算表!C135</f>
        <v>5-野外材料</v>
      </c>
      <c r="D135" t="str">
        <f>計算表!D135</f>
        <v>附魔書</v>
      </c>
      <c r="E135" t="str">
        <f>計算表!E135</f>
        <v>a% × (1+掉寶率%) × 場景倍率</v>
      </c>
      <c r="F135" t="str">
        <f>計算表!F135</f>
        <v>階段 8+，隨機一種。</v>
      </c>
      <c r="G135">
        <f>計算表!G135</f>
        <v>4</v>
      </c>
      <c r="H135">
        <f>計算表!H135</f>
        <v>0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3">
        <f>計算表!B136</f>
        <v>0</v>
      </c>
      <c r="C136" t="str">
        <f>計算表!C136</f>
        <v>5-野外材料</v>
      </c>
      <c r="D136" t="str">
        <f>計算表!D136</f>
        <v>魔塵</v>
      </c>
      <c r="E136" t="str">
        <f>計算表!E136</f>
        <v>min(a%, b% + (敵人等級-c)×d%)</v>
      </c>
      <c r="F136" t="str">
        <f>計算表!F136</f>
        <v>敵人等級 150+，每次成功固定 1 顆；不受掉寶率與場景倍率影響。</v>
      </c>
      <c r="G136">
        <f>計算表!G136</f>
        <v>5</v>
      </c>
      <c r="H136">
        <f>計算表!H136</f>
        <v>0.1</v>
      </c>
      <c r="I136">
        <f>計算表!I136</f>
        <v>150</v>
      </c>
      <c r="J136">
        <f>計算表!J136</f>
        <v>0.1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3">
        <f>計算表!B137</f>
        <v>0</v>
      </c>
      <c r="C137" t="str">
        <f>計算表!C137</f>
        <v>5-野外材料</v>
      </c>
      <c r="D137" t="str">
        <f>計算表!D137</f>
        <v>太古精華</v>
      </c>
      <c r="E137" t="str">
        <f>計算表!E137</f>
        <v>min(a%, b% + (敵人等級-c)×d%)</v>
      </c>
      <c r="F137" t="str">
        <f>計算表!F137</f>
        <v>敵人等級 250+，每隻獨立判定 1 顆；不受掉寶率與場景倍率影響。</v>
      </c>
      <c r="G137">
        <f>計算表!G137</f>
        <v>20</v>
      </c>
      <c r="H137">
        <f>計算表!H137</f>
        <v>2</v>
      </c>
      <c r="I137">
        <f>計算表!I137</f>
        <v>250</v>
      </c>
      <c r="J137">
        <f>計算表!J137</f>
        <v>0.2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3">
        <f>計算表!B138</f>
        <v>0</v>
      </c>
      <c r="C138" t="str">
        <f>計算表!C138</f>
        <v>5-野外材料</v>
      </c>
      <c r="D138" t="str">
        <f>計算表!D138</f>
        <v>自動機組零件</v>
      </c>
      <c r="E138" t="str">
        <f>計算表!E138</f>
        <v>機率a%（菁英×1.5）</v>
      </c>
      <c r="F138" t="str">
        <f>計算表!F138</f>
        <v>階段 5+。階級 = clamp(1+⌊階段/12⌋+(菁英?1:0), 1, 7)。</v>
      </c>
      <c r="G138">
        <f>計算表!G138</f>
        <v>0.5</v>
      </c>
      <c r="H138">
        <f>計算表!H138</f>
        <v>0</v>
      </c>
      <c r="I138">
        <f>計算表!I138</f>
        <v>0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3">
        <f>計算表!B139</f>
        <v>0</v>
      </c>
      <c r="C139" t="str">
        <f>計算表!C139</f>
        <v>5-太古詞條</v>
      </c>
      <c r="D139" t="str">
        <f>計算表!D139</f>
        <v>野外太古詞條機率</v>
      </c>
      <c r="E139" t="str">
        <f>計算表!E139</f>
        <v>min(a%, b% + (敵人等級-c)×d%)</v>
      </c>
      <c r="F139" t="str">
        <f>計算表!F139</f>
        <v>等級≥200 且史詩以上裝備逐詞條判定；敵人等級&lt;250 時維持基礎 b%。</v>
      </c>
      <c r="G139">
        <f>計算表!G139</f>
        <v>3</v>
      </c>
      <c r="H139">
        <f>計算表!H139</f>
        <v>1</v>
      </c>
      <c r="I139">
        <f>計算表!I139</f>
        <v>250</v>
      </c>
      <c r="J139">
        <f>計算表!J139</f>
        <v>0.1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3">
        <f>計算表!B140</f>
        <v>0</v>
      </c>
      <c r="C140" t="str">
        <f>計算表!C140</f>
        <v>5-太古詞條</v>
      </c>
      <c r="D140" t="str">
        <f>計算表!D140</f>
        <v>高塔太古詞條機率</v>
      </c>
      <c r="E140" t="str">
        <f>計算表!E140</f>
        <v>min(a%, b% + (樓層-c)×d%)</v>
      </c>
      <c r="F140" t="str">
        <f>計算表!F140</f>
        <v>以樓層計算；樓層&lt;40 時為 0。裝備等級≥200 且史詩以上逐詞條判定。</v>
      </c>
      <c r="G140">
        <f>計算表!G140</f>
        <v>100</v>
      </c>
      <c r="H140">
        <f>計算表!H140</f>
        <v>5</v>
      </c>
      <c r="I140">
        <f>計算表!I140</f>
        <v>40</v>
      </c>
      <c r="J140">
        <f>計算表!J140</f>
        <v>0.5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3">
        <f>計算表!B141</f>
        <v>0</v>
      </c>
      <c r="C141" t="str">
        <f>計算表!C141</f>
        <v>5-太古詞條</v>
      </c>
      <c r="D141" t="str">
        <f>計算表!D141</f>
        <v>高塔太古精華機率</v>
      </c>
      <c r="E141" t="str">
        <f>計算表!E141</f>
        <v>min(a%, b% + (樓層-c)×d%)</v>
      </c>
      <c r="F141" t="str">
        <f>計算表!F141</f>
        <v>以樓層計算；每場獨立判定 1 顆。</v>
      </c>
      <c r="G141">
        <f>計算表!G141</f>
        <v>100</v>
      </c>
      <c r="H141">
        <f>計算表!H141</f>
        <v>10</v>
      </c>
      <c r="I141">
        <f>計算表!I141</f>
        <v>40</v>
      </c>
      <c r="J141">
        <f>計算表!J141</f>
        <v>2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3">
        <f>計算表!B142</f>
        <v>0</v>
      </c>
      <c r="C142" t="str">
        <f>計算表!C142</f>
        <v>5-太古詞條</v>
      </c>
      <c r="D142" t="str">
        <f>計算表!D142</f>
        <v>太古詞條數值倍率</v>
      </c>
      <c r="E142" t="str">
        <f>計算表!E142</f>
        <v>原詞條上限 × a</v>
      </c>
      <c r="F142" t="str">
        <f>計算表!F142</f>
        <v>a=太古詞條強度倍率（上限已含×1.2，再×a）。</v>
      </c>
      <c r="G142">
        <f>計算表!G142</f>
        <v>1.35</v>
      </c>
      <c r="H142">
        <f>計算表!H142</f>
        <v>0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3">
        <f>計算表!B143</f>
        <v>0</v>
      </c>
      <c r="C143" t="str">
        <f>計算表!C143</f>
        <v>5-高塔獎勵</v>
      </c>
      <c r="D143" t="str">
        <f>計算表!D143</f>
        <v>零件階級</v>
      </c>
      <c r="E143" t="str">
        <f>計算表!E143</f>
        <v>clamp(1+⌊(樓層-1)/a⌋, 1, 7)</v>
      </c>
      <c r="F143" t="str">
        <f>計算表!F143</f>
        <v>首通必得、重複通關 30%。</v>
      </c>
      <c r="G143">
        <f>計算表!G143</f>
        <v>4</v>
      </c>
      <c r="H143">
        <f>計算表!H143</f>
        <v>0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3">
        <f>計算表!B144</f>
        <v>0</v>
      </c>
      <c r="C144" t="str">
        <f>計算表!C144</f>
        <v>5-高塔獎勵</v>
      </c>
      <c r="D144" t="str">
        <f>計算表!D144</f>
        <v>金幣</v>
      </c>
      <c r="E144" t="str">
        <f>計算表!E144</f>
        <v>a×樓層（首通×2）</v>
      </c>
      <c r="F144" t="str">
        <f>計算表!F144</f>
        <v>a=每層金幣。</v>
      </c>
      <c r="G144">
        <f>計算表!G144</f>
        <v>200</v>
      </c>
      <c r="H144">
        <f>計算表!H144</f>
        <v>0</v>
      </c>
      <c r="I144">
        <f>計算表!I144</f>
        <v>0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3">
        <f>計算表!B145</f>
        <v>0</v>
      </c>
      <c r="C145" t="str">
        <f>計算表!C145</f>
        <v>5-高塔獎勵</v>
      </c>
      <c r="D145" t="str">
        <f>計算表!D145</f>
        <v>寶石</v>
      </c>
      <c r="E145" t="str">
        <f>計算表!E145</f>
        <v>clamp(1+⌊樓層/a⌋, 1, 5)，隨機種類×2 顆</v>
      </c>
      <c r="F145" t="str">
        <f>計算表!F145</f>
        <v>a=樓層除數。</v>
      </c>
      <c r="G145">
        <f>計算表!G145</f>
        <v>4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3">
        <f>計算表!B146</f>
        <v>0</v>
      </c>
      <c r="C146" t="str">
        <f>計算表!C146</f>
        <v>5-高塔獎勵</v>
      </c>
      <c r="D146" t="str">
        <f>計算表!D146</f>
        <v>附魔精華</v>
      </c>
      <c r="E146" t="str">
        <f>計算表!E146</f>
        <v>a+樓層</v>
      </c>
      <c r="F146" t="str">
        <f>計算表!F146</f>
        <v>a=常數（另附魔書×2）。</v>
      </c>
      <c r="G146">
        <f>計算表!G146</f>
        <v>3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3">
        <f>計算表!B147</f>
        <v>0</v>
      </c>
      <c r="C147" t="str">
        <f>計算表!C147</f>
        <v>5-高塔獎勵</v>
      </c>
      <c r="D147" t="str">
        <f>計算表!D147</f>
        <v>裝備戰利品等級</v>
      </c>
      <c r="E147" t="str">
        <f>計算表!E147</f>
        <v>a+樓層×b</v>
      </c>
      <c r="F147" t="str">
        <f>計算表!F147</f>
        <v>依 BOSS 掉落表擲骰。</v>
      </c>
      <c r="G147">
        <f>計算表!G147</f>
        <v>4</v>
      </c>
      <c r="H147">
        <f>計算表!H147</f>
        <v>5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3">
        <f>計算表!B148</f>
        <v>0</v>
      </c>
      <c r="C148" t="str">
        <f>計算表!C148</f>
        <v>5-高塔裝備掉落</v>
      </c>
      <c r="D148" t="str">
        <f>計算表!D148</f>
        <v>普通裝備</v>
      </c>
      <c r="E148" t="str">
        <f>計算表!E148</f>
        <v>各樓層區間掉落率%（{樓層下限~上限=機率}）</v>
      </c>
      <c r="F148" t="str">
        <f>計算表!F148</f>
        <v>每品質獨立擲骰，&gt;100% 依必掉+餘數規則；實際機率 ×(1+有效掉寶率%)。</v>
      </c>
      <c r="G148" t="str">
        <f>計算表!G148</f>
        <v>{1~5=0}</v>
      </c>
      <c r="H148" t="str">
        <f>計算表!H148</f>
        <v>{6~10=0}</v>
      </c>
      <c r="I148" t="str">
        <f>計算表!I148</f>
        <v>{11~15=0}</v>
      </c>
      <c r="J148" t="str">
        <f>計算表!J148</f>
        <v>{16~20=0}</v>
      </c>
      <c r="K148" t="str">
        <f>計算表!K148</f>
        <v>{21~25=0}</v>
      </c>
      <c r="L148" t="str">
        <f>計算表!L148</f>
        <v>{26~30=0}</v>
      </c>
      <c r="M148" t="str">
        <f>計算表!M148</f>
        <v>{31+=0}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3">
        <f>計算表!B149</f>
        <v>0</v>
      </c>
      <c r="C149" t="str">
        <f>計算表!C149</f>
        <v>5-高塔裝備掉落</v>
      </c>
      <c r="D149" t="str">
        <f>計算表!D149</f>
        <v>精良裝備</v>
      </c>
      <c r="E149" t="str">
        <f>計算表!E149</f>
        <v>各樓層區間掉落率%（{樓層下限~上限=機率}）</v>
      </c>
      <c r="F149" t="str">
        <f>計算表!F149</f>
        <v>每品質獨立擲骰，&gt;100% 依必掉+餘數規則；實際機率 ×(1+有效掉寶率%)。</v>
      </c>
      <c r="G149" t="str">
        <f>計算表!G149</f>
        <v>{1~5=0}</v>
      </c>
      <c r="H149" t="str">
        <f>計算表!H149</f>
        <v>{6~10=0}</v>
      </c>
      <c r="I149" t="str">
        <f>計算表!I149</f>
        <v>{11~15=0}</v>
      </c>
      <c r="J149" t="str">
        <f>計算表!J149</f>
        <v>{16~20=0}</v>
      </c>
      <c r="K149" t="str">
        <f>計算表!K149</f>
        <v>{21~25=0}</v>
      </c>
      <c r="L149" t="str">
        <f>計算表!L149</f>
        <v>{26~30=0}</v>
      </c>
      <c r="M149" t="str">
        <f>計算表!M149</f>
        <v>{31+=0}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3">
        <f>計算表!B150</f>
        <v>0</v>
      </c>
      <c r="C150" t="str">
        <f>計算表!C150</f>
        <v>5-高塔裝備掉落</v>
      </c>
      <c r="D150" t="str">
        <f>計算表!D150</f>
        <v>稀有裝備</v>
      </c>
      <c r="E150" t="str">
        <f>計算表!E150</f>
        <v>各樓層區間掉落率%（{樓層下限~上限=機率}）</v>
      </c>
      <c r="F150" t="str">
        <f>計算表!F150</f>
        <v>每品質獨立擲骰，&gt;100% 依必掉+餘數規則；實際機率 ×(1+有效掉寶率%)。</v>
      </c>
      <c r="G150" t="str">
        <f>計算表!G150</f>
        <v>{1~5=100}</v>
      </c>
      <c r="H150" t="str">
        <f>計算表!H150</f>
        <v>{6~10=100}</v>
      </c>
      <c r="I150" t="str">
        <f>計算表!I150</f>
        <v>{11~15=0}</v>
      </c>
      <c r="J150" t="str">
        <f>計算表!J150</f>
        <v>{16~20=0}</v>
      </c>
      <c r="K150" t="str">
        <f>計算表!K150</f>
        <v>{21~25=0}</v>
      </c>
      <c r="L150" t="str">
        <f>計算表!L150</f>
        <v>{26~30=0}</v>
      </c>
      <c r="M150" t="str">
        <f>計算表!M150</f>
        <v>{31+=0}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3">
        <f>計算表!B151</f>
        <v>0</v>
      </c>
      <c r="C151" t="str">
        <f>計算表!C151</f>
        <v>5-高塔裝備掉落</v>
      </c>
      <c r="D151" t="str">
        <f>計算表!D151</f>
        <v>獨特裝備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{1~5=50}</v>
      </c>
      <c r="H151" t="str">
        <f>計算表!H151</f>
        <v>{6~10=100}</v>
      </c>
      <c r="I151" t="str">
        <f>計算表!I151</f>
        <v>{11~15=100}</v>
      </c>
      <c r="J151" t="str">
        <f>計算表!J151</f>
        <v>{16~20=150}</v>
      </c>
      <c r="K151" t="str">
        <f>計算表!K151</f>
        <v>{21~25=250}</v>
      </c>
      <c r="L151" t="str">
        <f>計算表!L151</f>
        <v>{26~30=300}</v>
      </c>
      <c r="M151" t="str">
        <f>計算表!M151</f>
        <v>{31+=300}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3">
        <f>計算表!B152</f>
        <v>0</v>
      </c>
      <c r="C152" t="str">
        <f>計算表!C152</f>
        <v>5-高塔裝備掉落</v>
      </c>
      <c r="D152" t="str">
        <f>計算表!D152</f>
        <v>史詩裝備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{1~5=10}</v>
      </c>
      <c r="H152" t="str">
        <f>計算表!H152</f>
        <v>{6~10=20}</v>
      </c>
      <c r="I152" t="str">
        <f>計算表!I152</f>
        <v>{11~15=100}</v>
      </c>
      <c r="J152" t="str">
        <f>計算表!J152</f>
        <v>{16~20=100}</v>
      </c>
      <c r="K152" t="str">
        <f>計算表!K152</f>
        <v>{21~25=150}</v>
      </c>
      <c r="L152" t="str">
        <f>計算表!L152</f>
        <v>{26~30=200}</v>
      </c>
      <c r="M152" t="str">
        <f>計算表!M152</f>
        <v>{31+=200}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3">
        <f>計算表!B153</f>
        <v>0</v>
      </c>
      <c r="C153" t="str">
        <f>計算表!C153</f>
        <v>5-高塔裝備掉落</v>
      </c>
      <c r="D153" t="str">
        <f>計算表!D153</f>
        <v>傳說裝備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{1~5=5}</v>
      </c>
      <c r="H153" t="str">
        <f>計算表!H153</f>
        <v>{6~10=10}</v>
      </c>
      <c r="I153" t="str">
        <f>計算表!I153</f>
        <v>{11~15=50}</v>
      </c>
      <c r="J153" t="str">
        <f>計算表!J153</f>
        <v>{16~20=50}</v>
      </c>
      <c r="K153" t="str">
        <f>計算表!K153</f>
        <v>{21~25=100}</v>
      </c>
      <c r="L153" t="str">
        <f>計算表!L153</f>
        <v>{26~30=150}</v>
      </c>
      <c r="M153" t="str">
        <f>計算表!M153</f>
        <v>{31+=150}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3">
        <f>計算表!B154</f>
        <v>0</v>
      </c>
      <c r="C154" t="str">
        <f>計算表!C154</f>
        <v>5-高塔裝備掉落</v>
      </c>
      <c r="D154" t="str">
        <f>計算表!D154</f>
        <v>神話裝備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{1~5=0}</v>
      </c>
      <c r="H154" t="str">
        <f>計算表!H154</f>
        <v>{6~10=2}</v>
      </c>
      <c r="I154" t="str">
        <f>計算表!I154</f>
        <v>{11~15=5}</v>
      </c>
      <c r="J154" t="str">
        <f>計算表!J154</f>
        <v>{16~20=20}</v>
      </c>
      <c r="K154" t="str">
        <f>計算表!K154</f>
        <v>{21~25=33}</v>
      </c>
      <c r="L154" t="str">
        <f>計算表!L154</f>
        <v>{26~30=40}</v>
      </c>
      <c r="M154" t="str">
        <f>計算表!M154</f>
        <v>{31+=50}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3">
        <f>計算表!B155</f>
        <v>0</v>
      </c>
      <c r="C155" t="str">
        <f>計算表!C155</f>
        <v>5-高塔裝備掉落</v>
      </c>
      <c r="D155" t="str">
        <f>計算表!D155</f>
        <v>創世裝備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{1~5=0}</v>
      </c>
      <c r="H155" t="str">
        <f>計算表!H155</f>
        <v>{6~10=0}</v>
      </c>
      <c r="I155" t="str">
        <f>計算表!I155</f>
        <v>{11~15=1}</v>
      </c>
      <c r="J155" t="str">
        <f>計算表!J155</f>
        <v>{16~20=2.5}</v>
      </c>
      <c r="K155" t="str">
        <f>計算表!K155</f>
        <v>{21~25=5}</v>
      </c>
      <c r="L155" t="str">
        <f>計算表!L155</f>
        <v>{26~30=10}</v>
      </c>
      <c r="M155" t="str">
        <f>計算表!M155</f>
        <v>{31+=15}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3">
        <f>計算表!B156</f>
        <v>0</v>
      </c>
      <c r="C156" t="str">
        <f>計算表!C156</f>
        <v>6-裝備</v>
      </c>
      <c r="D156" t="str">
        <f>計算表!D156</f>
        <v>詞條數值</v>
      </c>
      <c r="E156" t="str">
        <f>計算表!E156</f>
        <v>(base+base×lv係數×(裝備等級-1))×稀有度倍率×rnd(0.8,1.2)</v>
      </c>
      <c r="F156" t="str">
        <f>計算表!F156</f>
        <v>base/lv係數見「詞條池」；稀有度倍率見「稀有度表」。　※指標列：base/lv 見「表-詞條池」，稀有度倍率見「表-稀有度」。</v>
      </c>
      <c r="G156">
        <f>計算表!G156</f>
        <v>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3">
        <f>計算表!B157</f>
        <v>0</v>
      </c>
      <c r="C157" t="str">
        <f>計算表!C157</f>
        <v>6-裝備</v>
      </c>
      <c r="D157" t="str">
        <f>計算表!D157</f>
        <v>太古詞條數值</v>
      </c>
      <c r="E157" t="str">
        <f>計算表!E157</f>
        <v>基準值×1.2×a</v>
      </c>
      <c r="F157" t="str">
        <f>計算表!F157</f>
        <v>a=太古倍率（=原上限的 135%）。　※實際由「5-太古詞條/太古詞條數值倍率」控制，本列不生效。</v>
      </c>
      <c r="G157">
        <f>計算表!G157</f>
        <v>1.35</v>
      </c>
      <c r="H157">
        <f>計算表!H157</f>
        <v>0</v>
      </c>
      <c r="I157">
        <f>計算表!I157</f>
        <v>0</v>
      </c>
      <c r="J157">
        <f>計算表!J157</f>
        <v>0</v>
      </c>
      <c r="K157">
        <f>計算表!K157</f>
        <v>0</v>
      </c>
      <c r="L157">
        <f>計算表!L157</f>
        <v>0</v>
      </c>
      <c r="M157">
        <f>計算表!M157</f>
        <v>0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3">
        <f>計算表!B158</f>
        <v>0</v>
      </c>
      <c r="C158" t="str">
        <f>計算表!C158</f>
        <v>6-裝備</v>
      </c>
      <c r="D158" t="str">
        <f>計算表!D158</f>
        <v>強化倍率</v>
      </c>
      <c r="E158" t="str">
        <f>計算表!E158</f>
        <v>1 + a×強化等級</v>
      </c>
      <c r="F158" t="str">
        <f>計算表!F158</f>
        <v>裝備每 +1，全詞條數值 +5%。</v>
      </c>
      <c r="G158">
        <f>計算表!G158</f>
        <v>0.05</v>
      </c>
      <c r="H158">
        <f>計算表!H158</f>
        <v>0</v>
      </c>
      <c r="I158">
        <f>計算表!I158</f>
        <v>0</v>
      </c>
      <c r="J158">
        <f>計算表!J158</f>
        <v>0</v>
      </c>
      <c r="K158">
        <f>計算表!K158</f>
        <v>0</v>
      </c>
      <c r="L158">
        <f>計算表!L158</f>
        <v>0</v>
      </c>
      <c r="M158">
        <f>計算表!M158</f>
        <v>0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3">
        <f>計算表!B159</f>
        <v>0</v>
      </c>
      <c r="C159" t="str">
        <f>計算表!C159</f>
        <v>6-裝備</v>
      </c>
      <c r="D159" t="str">
        <f>計算表!D159</f>
        <v>特殊被動數值</v>
      </c>
      <c r="E159" t="str">
        <f>計算表!E159</f>
        <v>base + perR×(稀有度-a)</v>
      </c>
      <c r="F159" t="str">
        <f>計算表!F159</f>
        <v>a=稀有級索引（稀有=基準）。base/perR 見「特殊被動表」。　※指標列：base/perR 見「表-特殊被動」。</v>
      </c>
      <c r="G159">
        <f>計算表!G159</f>
        <v>2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3">
        <f>計算表!B160</f>
        <v>0</v>
      </c>
      <c r="C160" t="str">
        <f>計算表!C160</f>
        <v>6-裝備</v>
      </c>
      <c r="D160" t="str">
        <f>計算表!D160</f>
        <v>神鑄特效數值</v>
      </c>
      <c r="E160" t="str">
        <f>計算表!E160</f>
        <v>base × rnd(0.8, 1.2)</v>
      </c>
      <c r="F160" t="str">
        <f>計算表!F160</f>
        <v>base 見「神鑄特效表」。神力為額外乘區、彼此相乘。　※指標列：base 見「表-神鑄特效」。</v>
      </c>
      <c r="G160">
        <f>計算表!G160</f>
        <v>0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3">
        <f>計算表!B161</f>
        <v>0</v>
      </c>
      <c r="C161" t="str">
        <f>計算表!C161</f>
        <v>6-裝備</v>
      </c>
      <c r="D161" t="str">
        <f>計算表!D161</f>
        <v>附魔-攻擊類</v>
      </c>
      <c r="E161" t="str">
        <f>計算表!E161</f>
        <v>(a+裝備等級×b)×稀有度倍率×(1+c×寶石等級)</v>
      </c>
      <c r="F161" t="str">
        <f>計算表!F161</f>
        <v>火焰附魔再×1.25。寶石等級只在混合合成帶入。</v>
      </c>
      <c r="G161">
        <f>計算表!G161</f>
        <v>5</v>
      </c>
      <c r="H161">
        <f>計算表!H161</f>
        <v>1.2</v>
      </c>
      <c r="I161">
        <f>計算表!I161</f>
        <v>0.15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3">
        <f>計算表!B162</f>
        <v>0</v>
      </c>
      <c r="C162" t="str">
        <f>計算表!C162</f>
        <v>6-裝備</v>
      </c>
      <c r="D162" t="str">
        <f>計算表!D162</f>
        <v>附魔-防禦/功能類</v>
      </c>
      <c r="E162" t="str">
        <f>計算表!E162</f>
        <v>min(a + 稀有度×b + 寶石等級×c, d)</v>
      </c>
      <c r="F162" t="str">
        <f>計算表!F162</f>
        <v>a=基礎 b=每階 c=每寶石等級 d=上限%。</v>
      </c>
      <c r="G162">
        <f>計算表!G162</f>
        <v>8</v>
      </c>
      <c r="H162">
        <f>計算表!H162</f>
        <v>4</v>
      </c>
      <c r="I162">
        <f>計算表!I162</f>
        <v>3</v>
      </c>
      <c r="J162">
        <f>計算表!J162</f>
        <v>60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3">
        <f>計算表!B163</f>
        <v>0</v>
      </c>
      <c r="C163" t="str">
        <f>計算表!C163</f>
        <v>6-裝備</v>
      </c>
      <c r="D163" t="str">
        <f>計算表!D163</f>
        <v>手動附魔費用</v>
      </c>
      <c r="E163" t="str">
        <f>計算表!E163</f>
        <v>a 本附魔書 + b 附魔精華</v>
      </c>
      <c r="F163" t="str">
        <f>計算表!F163</f>
        <v>取下返還書、不退精華。</v>
      </c>
      <c r="G163">
        <f>計算表!G163</f>
        <v>1</v>
      </c>
      <c r="H163">
        <f>計算表!H163</f>
        <v>5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3">
        <f>計算表!B164</f>
        <v>0</v>
      </c>
      <c r="C164" t="str">
        <f>計算表!C164</f>
        <v>6-裝備</v>
      </c>
      <c r="D164" t="str">
        <f>計算表!D164</f>
        <v>戰力評分</v>
      </c>
      <c r="E164" t="str">
        <f>計算表!E164</f>
        <v>Σ(詞條×權重×強化)+Σ(寶石×權重) →被動×1.15 →神鑄特效×(1+a×件數) →+Σ(附魔×1.2攻/×2防) →×(1+稀有度×b)</v>
      </c>
      <c r="F164" t="str">
        <f>計算表!F164</f>
        <v>詞條/寶石權重見「戰力權重表」。a=每條神鑄特效加成 b=稀有度加成。自動換裝門檻：新評分&gt;舊×1.02。</v>
      </c>
      <c r="G164">
        <f>計算表!G164</f>
        <v>0.15</v>
      </c>
      <c r="H164">
        <f>計算表!H164</f>
        <v>0.06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3">
        <f>計算表!B165</f>
        <v>0</v>
      </c>
      <c r="C165" t="str">
        <f>計算表!C165</f>
        <v>6-裝備</v>
      </c>
      <c r="D165" t="str">
        <f>計算表!D165</f>
        <v>分解-碎片</v>
      </c>
      <c r="E165" t="str">
        <f>計算表!E165</f>
        <v>max(1, (a+裝備等級×b)×分解係數×rnd(0.85,1.15))</v>
      </c>
      <c r="F165" t="str">
        <f>計算表!F165</f>
        <v>分解係數見「稀有度表」salv 欄。</v>
      </c>
      <c r="G165">
        <f>計算表!G165</f>
        <v>2</v>
      </c>
      <c r="H165">
        <f>計算表!H165</f>
        <v>0.6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3">
        <f>計算表!B166</f>
        <v>0</v>
      </c>
      <c r="C166" t="str">
        <f>計算表!C166</f>
        <v>6-裝備</v>
      </c>
      <c r="D166" t="str">
        <f>計算表!D166</f>
        <v>分解-金幣</v>
      </c>
      <c r="E166" t="str">
        <f>計算表!E166</f>
        <v>(a+裝備等級)×分解係數×b</v>
      </c>
      <c r="F166" t="str">
        <f>計算表!F166</f>
        <v>a=常數 b=金幣係數。</v>
      </c>
      <c r="G166">
        <f>計算表!G166</f>
        <v>3</v>
      </c>
      <c r="H166">
        <f>計算表!H166</f>
        <v>0.5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3">
        <f>計算表!B167</f>
        <v>0</v>
      </c>
      <c r="C167" t="str">
        <f>計算表!C167</f>
        <v>6-分解精華機率</v>
      </c>
      <c r="D167" t="str">
        <f>計算表!D167</f>
        <v>附魔精華拆解機率</v>
      </c>
      <c r="E167" t="str">
        <f>計算表!E167</f>
        <v>稀有度基礎機率 × (1+精粹透鏡加成/100)</v>
      </c>
      <c r="F167" t="str">
        <f>計算表!F167</f>
        <v>一列列出各稀有度基礎機率%。&gt;100% 採必得+餘數。</v>
      </c>
      <c r="G167">
        <f>計算表!G167</f>
        <v>0.1</v>
      </c>
      <c r="H167">
        <f>計算表!H167</f>
        <v>0.5</v>
      </c>
      <c r="I167">
        <f>計算表!I167</f>
        <v>1</v>
      </c>
      <c r="J167">
        <f>計算表!J167</f>
        <v>2</v>
      </c>
      <c r="K167">
        <f>計算表!K167</f>
        <v>4</v>
      </c>
      <c r="L167">
        <f>計算表!L167</f>
        <v>8</v>
      </c>
      <c r="M167">
        <f>計算表!M167</f>
        <v>20</v>
      </c>
      <c r="N167">
        <f>計算表!N167</f>
        <v>100</v>
      </c>
      <c r="O167">
        <f>計算表!O167</f>
        <v>100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3">
        <f>計算表!B168</f>
        <v>0</v>
      </c>
      <c r="C168" t="str">
        <f>計算表!C168</f>
        <v>6-分解精華機率</v>
      </c>
      <c r="D168" t="str">
        <f>計算表!D168</f>
        <v>太古精華拆解機率(依稀有度)</v>
      </c>
      <c r="E168" t="str">
        <f>計算表!E168</f>
        <v>基礎機率×太古萃取器倍率；另每條太古詞條 50% 判定</v>
      </c>
      <c r="F168" t="str">
        <f>計算表!F168</f>
        <v>史詩0.5 傳說1 神話10 創世100 神鑄100（普通~獨特不掉）。</v>
      </c>
      <c r="G168">
        <f>計算表!G168</f>
        <v>0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0.5</v>
      </c>
      <c r="L168">
        <f>計算表!L168</f>
        <v>1</v>
      </c>
      <c r="M168">
        <f>計算表!M168</f>
        <v>10</v>
      </c>
      <c r="N168">
        <f>計算表!N168</f>
        <v>100</v>
      </c>
      <c r="O168">
        <f>計算表!O168</f>
        <v>100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3">
        <f>計算表!B169</f>
        <v>0</v>
      </c>
      <c r="C169" t="str">
        <f>計算表!C169</f>
        <v>6-神鑄</v>
      </c>
      <c r="D169" t="str">
        <f>計算表!D169</f>
        <v>裝備神鑄成功率</v>
      </c>
      <c r="E169" t="str">
        <f>計算表!E169</f>
        <v>clamp(基礎 + 魔塵數×a, 0, 100)</v>
      </c>
      <c r="F169" t="str">
        <f>計算表!F169</f>
        <v>基礎：傳說55 神話40 創世25。a=每魔塵加成%。</v>
      </c>
      <c r="G169">
        <f>計算表!G169</f>
        <v>5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3">
        <f>計算表!B170</f>
        <v>0</v>
      </c>
      <c r="C170" t="str">
        <f>計算表!C170</f>
        <v>6-神鑄</v>
      </c>
      <c r="D170" t="str">
        <f>計算表!D170</f>
        <v>裝備神鑄基礎成功率</v>
      </c>
      <c r="E170" t="str">
        <f>計算表!E170</f>
        <v>傳說a 神話b 創世c（%）</v>
      </c>
      <c r="F170" t="str">
        <f>計算表!F170</f>
        <v>依素材品質。</v>
      </c>
      <c r="G170">
        <f>計算表!G170</f>
        <v>55</v>
      </c>
      <c r="H170">
        <f>計算表!H170</f>
        <v>40</v>
      </c>
      <c r="I170">
        <f>計算表!I170</f>
        <v>25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3">
        <f>計算表!B171</f>
        <v>0</v>
      </c>
      <c r="C171" t="str">
        <f>計算表!C171</f>
        <v>6-神鑄</v>
      </c>
      <c r="D171" t="str">
        <f>計算表!D171</f>
        <v>裝備神鑄金幣</v>
      </c>
      <c r="E171" t="str">
        <f>計算表!E171</f>
        <v>傳說a 神話b 創世c</v>
      </c>
      <c r="F171" t="str">
        <f>計算表!F171</f>
        <v>單次金幣消耗。</v>
      </c>
      <c r="G171">
        <f>計算表!G171</f>
        <v>5000000</v>
      </c>
      <c r="H171">
        <f>計算表!H171</f>
        <v>20000000</v>
      </c>
      <c r="I171">
        <f>計算表!I171</f>
        <v>100000000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3">
        <f>計算表!B172</f>
        <v>0</v>
      </c>
      <c r="C172" t="str">
        <f>計算表!C172</f>
        <v>6-神鑄</v>
      </c>
      <c r="D172" t="str">
        <f>計算表!D172</f>
        <v>裝備神鑄時間(秒)</v>
      </c>
      <c r="E172" t="str">
        <f>計算表!E172</f>
        <v>傳說a 神話b 創世c</v>
      </c>
      <c r="F172">
        <f>計算表!F172</f>
        <v>0</v>
      </c>
      <c r="G172">
        <f>計算表!G172</f>
        <v>3</v>
      </c>
      <c r="H172">
        <f>計算表!H172</f>
        <v>5</v>
      </c>
      <c r="I172">
        <f>計算表!I172</f>
        <v>8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3">
        <f>計算表!B173</f>
        <v>0</v>
      </c>
      <c r="C173" t="str">
        <f>計算表!C173</f>
        <v>6-神鑄</v>
      </c>
      <c r="D173" t="str">
        <f>計算表!D173</f>
        <v>寶石神鑄成功率</v>
      </c>
      <c r="E173" t="str">
        <f>計算表!E173</f>
        <v>clamp(基礎 + 魔塵數×a, 0, 100)</v>
      </c>
      <c r="F173" t="str">
        <f>計算表!F173</f>
        <v>基礎：5階45 6階35 7階25 8階15 9階5。a=每魔塵加成%。</v>
      </c>
      <c r="G173">
        <f>計算表!G173</f>
        <v>3</v>
      </c>
      <c r="H173">
        <f>計算表!H173</f>
        <v>0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3">
        <f>計算表!B174</f>
        <v>0</v>
      </c>
      <c r="C174" t="str">
        <f>計算表!C174</f>
        <v>6-神鑄</v>
      </c>
      <c r="D174" t="str">
        <f>計算表!D174</f>
        <v>寶石神鑄基礎成功率</v>
      </c>
      <c r="E174" t="str">
        <f>計算表!E174</f>
        <v>5階a 6階b 7階c 8階d 9階e（%）</v>
      </c>
      <c r="F174" t="str">
        <f>計算表!F174</f>
        <v>依素材階級。</v>
      </c>
      <c r="G174">
        <f>計算表!G174</f>
        <v>45</v>
      </c>
      <c r="H174">
        <f>計算表!H174</f>
        <v>35</v>
      </c>
      <c r="I174">
        <f>計算表!I174</f>
        <v>25</v>
      </c>
      <c r="J174">
        <f>計算表!J174</f>
        <v>15</v>
      </c>
      <c r="K174">
        <f>計算表!K174</f>
        <v>5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3">
        <f>計算表!B175</f>
        <v>0</v>
      </c>
      <c r="C175" t="str">
        <f>計算表!C175</f>
        <v>6-神鑄</v>
      </c>
      <c r="D175" t="str">
        <f>計算表!D175</f>
        <v>寶石神鑄金幣</v>
      </c>
      <c r="E175" t="str">
        <f>計算表!E175</f>
        <v>a + (素材階級-b)×a</v>
      </c>
      <c r="F175" t="str">
        <f>計算表!F175</f>
        <v>a=基礎 b=起始階級。</v>
      </c>
      <c r="G175">
        <f>計算表!G175</f>
        <v>1000000</v>
      </c>
      <c r="H175">
        <f>計算表!H175</f>
        <v>5</v>
      </c>
      <c r="I175">
        <f>計算表!I175</f>
        <v>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3">
        <f>計算表!B176</f>
        <v>0</v>
      </c>
      <c r="C176" t="str">
        <f>計算表!C176</f>
        <v>6-神鑄</v>
      </c>
      <c r="D176" t="str">
        <f>計算表!D176</f>
        <v>寶石神鑄時間(秒)</v>
      </c>
      <c r="E176" t="str">
        <f>計算表!E176</f>
        <v>5階a 6階b 7階c 8階d 9階e</v>
      </c>
      <c r="F176">
        <f>計算表!F176</f>
        <v>0</v>
      </c>
      <c r="G176">
        <f>計算表!G176</f>
        <v>2</v>
      </c>
      <c r="H176">
        <f>計算表!H176</f>
        <v>3</v>
      </c>
      <c r="I176">
        <f>計算表!I176</f>
        <v>4</v>
      </c>
      <c r="J176">
        <f>計算表!J176</f>
        <v>5</v>
      </c>
      <c r="K176">
        <f>計算表!K176</f>
        <v>6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3">
        <f>計算表!B177</f>
        <v>0</v>
      </c>
      <c r="C177" t="str">
        <f>計算表!C177</f>
        <v>6-神鑄</v>
      </c>
      <c r="D177" t="str">
        <f>計算表!D177</f>
        <v>神鑄失敗</v>
      </c>
      <c r="E177" t="str">
        <f>計算表!E177</f>
        <v>裝備消耗a件退b件；寶石消耗a顆退b顆；每次失敗得魔塵1</v>
      </c>
      <c r="F177" t="str">
        <f>計算表!F177</f>
        <v>a=消耗 b=退回。</v>
      </c>
      <c r="G177">
        <f>計算表!G177</f>
        <v>3</v>
      </c>
      <c r="H177">
        <f>計算表!H177</f>
        <v>3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3">
        <f>計算表!B178</f>
        <v>0</v>
      </c>
      <c r="C178" t="str">
        <f>計算表!C178</f>
        <v>6-神鑄</v>
      </c>
      <c r="D178" t="str">
        <f>計算表!D178</f>
        <v>神鑄槽位 / 魔塵上限</v>
      </c>
      <c r="E178" t="str">
        <f>計算表!E178</f>
        <v>法陣a格；魔塵最多b個</v>
      </c>
      <c r="F178" t="str">
        <f>計算表!F178</f>
        <v>a=槽位 b=魔塵上限。</v>
      </c>
      <c r="G178">
        <f>計算表!G178</f>
        <v>6</v>
      </c>
      <c r="H178">
        <f>計算表!H178</f>
        <v>6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3">
        <f>計算表!B179</f>
        <v>0</v>
      </c>
      <c r="C179" t="str">
        <f>計算表!C179</f>
        <v>7-強化</v>
      </c>
      <c r="D179" t="str">
        <f>計算表!D179</f>
        <v>基礎成功率</v>
      </c>
      <c r="E179" t="str">
        <f>計算表!E179</f>
        <v>+5 以內 100%；之後 max(a%, 100% - (目標等級-5)×b%)</v>
      </c>
      <c r="F179" t="str">
        <f>計算表!F179</f>
        <v>a=下限 b=每級遞減。實際=基礎+強化成功率屬性。</v>
      </c>
      <c r="G179">
        <f>計算表!G179</f>
        <v>30</v>
      </c>
      <c r="H179">
        <f>計算表!H179</f>
        <v>6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3">
        <f>計算表!B180</f>
        <v>0</v>
      </c>
      <c r="C180" t="str">
        <f>計算表!C180</f>
        <v>7-強化</v>
      </c>
      <c r="D180" t="str">
        <f>計算表!D180</f>
        <v>金幣費用</v>
      </c>
      <c r="E180" t="str">
        <f>計算表!E180</f>
        <v>a × b^目前強化等級 × (1+裝備等級×c)</v>
      </c>
      <c r="F180">
        <f>計算表!F180</f>
        <v>0</v>
      </c>
      <c r="G180">
        <f>計算表!G180</f>
        <v>25</v>
      </c>
      <c r="H180">
        <f>計算表!H180</f>
        <v>1.45</v>
      </c>
      <c r="I180">
        <f>計算表!I180</f>
        <v>0.08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3">
        <f>計算表!B181</f>
        <v>0</v>
      </c>
      <c r="C181" t="str">
        <f>計算表!C181</f>
        <v>7-強化</v>
      </c>
      <c r="D181" t="str">
        <f>計算表!D181</f>
        <v>碎片費用</v>
      </c>
      <c r="E181" t="str">
        <f>計算表!E181</f>
        <v>a × b^目前強化等級 × (1+裝備等級×c)</v>
      </c>
      <c r="F181">
        <f>計算表!F181</f>
        <v>0</v>
      </c>
      <c r="G181">
        <f>計算表!G181</f>
        <v>8</v>
      </c>
      <c r="H181">
        <f>計算表!H181</f>
        <v>1.35</v>
      </c>
      <c r="I181">
        <f>計算表!I181</f>
        <v>0.04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3">
        <f>計算表!B182</f>
        <v>0</v>
      </c>
      <c r="C182" t="str">
        <f>計算表!C182</f>
        <v>7-強化</v>
      </c>
      <c r="D182" t="str">
        <f>計算表!D182</f>
        <v>失敗懲罰</v>
      </c>
      <c r="E182" t="str">
        <f>計算表!E182</f>
        <v>消耗半數費用，強化等級不變</v>
      </c>
      <c r="F182" t="str">
        <f>計算表!F182</f>
        <v>寫死：失敗消耗半數費用。</v>
      </c>
      <c r="G182">
        <f>計算表!G182</f>
        <v>0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3">
        <f>計算表!B183</f>
        <v>0</v>
      </c>
      <c r="C183" t="str">
        <f>計算表!C183</f>
        <v>7-洗煉</v>
      </c>
      <c r="D183" t="str">
        <f>計算表!D183</f>
        <v>金幣費用</v>
      </c>
      <c r="E183" t="str">
        <f>計算表!E183</f>
        <v>a × b^稀有度 × (1+裝備等級×c)</v>
      </c>
      <c r="F183">
        <f>計算表!F183</f>
        <v>0</v>
      </c>
      <c r="G183">
        <f>計算表!G183</f>
        <v>40</v>
      </c>
      <c r="H183">
        <f>計算表!H183</f>
        <v>1.7</v>
      </c>
      <c r="I183">
        <f>計算表!I183</f>
        <v>0.15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3">
        <f>計算表!B184</f>
        <v>0</v>
      </c>
      <c r="C184" t="str">
        <f>計算表!C184</f>
        <v>7-洗煉</v>
      </c>
      <c r="D184" t="str">
        <f>計算表!D184</f>
        <v>精華費用</v>
      </c>
      <c r="E184" t="str">
        <f>計算表!E184</f>
        <v>普通~傳說 1+稀有度；神話a 創世b 神鑄c</v>
      </c>
      <c r="F184" t="str">
        <f>計算表!F184</f>
        <v>a/b/c=神話/創世/神鑄創世固定值。</v>
      </c>
      <c r="G184">
        <f>計算表!G184</f>
        <v>9</v>
      </c>
      <c r="H184">
        <f>計算表!H184</f>
        <v>14</v>
      </c>
      <c r="I184">
        <f>計算表!I184</f>
        <v>20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3">
        <f>計算表!B185</f>
        <v>0</v>
      </c>
      <c r="C185" t="str">
        <f>計算表!C185</f>
        <v>7-洗煉</v>
      </c>
      <c r="D185" t="str">
        <f>計算表!D185</f>
        <v>太古精華洗煉</v>
      </c>
      <c r="E185" t="str">
        <f>計算表!E185</f>
        <v>勾選後根據裝備品質消耗，本次每詞條 a% 成為太古</v>
      </c>
      <c r="F185" t="str">
        <f>計算表!F185</f>
        <v>a=太古機率。</v>
      </c>
      <c r="G185">
        <f>計算表!G185</f>
        <v>30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3">
        <f>計算表!B186</f>
        <v>0</v>
      </c>
      <c r="C186" t="str">
        <f>計算表!C186</f>
        <v>7-洗煉</v>
      </c>
      <c r="D186" t="str">
        <f>計算表!D186</f>
        <v>太古精華洗煉消耗</v>
      </c>
      <c r="E186" t="str">
        <f>計算表!E186</f>
        <v>勾選後根據裝備品質消耗，本次每詞條 a% 成為太古</v>
      </c>
      <c r="F186" t="str">
        <f>計算表!F186</f>
        <v>根據裝備品質每次使用太古精華的消耗數量，a=普通 b=精良 c=稀有 d=獨特 e=史詩 f=傳說 g=神話 h=創世 i=神鑄創世 的消耗數量</v>
      </c>
      <c r="G186">
        <f>計算表!G186</f>
        <v>1</v>
      </c>
      <c r="H186">
        <f>計算表!H186</f>
        <v>1</v>
      </c>
      <c r="I186">
        <f>計算表!I186</f>
        <v>1</v>
      </c>
      <c r="J186">
        <f>計算表!J186</f>
        <v>1</v>
      </c>
      <c r="K186">
        <f>計算表!K186</f>
        <v>1</v>
      </c>
      <c r="L186">
        <f>計算表!L186</f>
        <v>1</v>
      </c>
      <c r="M186">
        <f>計算表!M186</f>
        <v>2</v>
      </c>
      <c r="N186">
        <f>計算表!N186</f>
        <v>3</v>
      </c>
      <c r="O186">
        <f>計算表!O186</f>
        <v>4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3">
        <f>計算表!B187</f>
        <v>0</v>
      </c>
      <c r="C187" t="str">
        <f>計算表!C187</f>
        <v>7-合成</v>
      </c>
      <c r="D187" t="str">
        <f>計算表!D187</f>
        <v>大成功率</v>
      </c>
      <c r="E187" t="str">
        <f>計算表!E187</f>
        <v>a% + 幸運核心×每階8% + 幸運值/2</v>
      </c>
      <c r="F187" t="str">
        <f>計算表!F187</f>
        <v>a=基礎%。</v>
      </c>
      <c r="G187">
        <f>計算表!G187</f>
        <v>5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3">
        <f>計算表!B188</f>
        <v>0</v>
      </c>
      <c r="C188" t="str">
        <f>計算表!C188</f>
        <v>7-合成</v>
      </c>
      <c r="D188" t="str">
        <f>計算表!D188</f>
        <v>品質合成</v>
      </c>
      <c r="E188" t="str">
        <f>計算表!E188</f>
        <v>3 件同稀有度 → 1 件高一階（等級=平均）；大成功再+1 階</v>
      </c>
      <c r="F188" t="str">
        <f>計算表!F188</f>
        <v>合成功能已停用(SYNTHESIS_ENABLED=false)，本列未生效。</v>
      </c>
      <c r="G188">
        <f>計算表!G188</f>
        <v>0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3">
        <f>計算表!B189</f>
        <v>0</v>
      </c>
      <c r="C189" t="str">
        <f>計算表!C189</f>
        <v>7-合成</v>
      </c>
      <c r="D189" t="str">
        <f>計算表!D189</f>
        <v>混合合成</v>
      </c>
      <c r="E189" t="str">
        <f>計算表!E189</f>
        <v>1 裝備+1 寶石+1 附魔書 → 附魔（威力吃寶石等級）；大成功稀有度+1</v>
      </c>
      <c r="F189" t="str">
        <f>計算表!F189</f>
        <v>合成功能已停用，本列未生效。</v>
      </c>
      <c r="G189">
        <f>計算表!G189</f>
        <v>0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3">
        <f>計算表!B190</f>
        <v>0</v>
      </c>
      <c r="C190" t="str">
        <f>計算表!C190</f>
        <v>7-合成</v>
      </c>
      <c r="D190" t="str">
        <f>計算表!D190</f>
        <v>合成變異</v>
      </c>
      <c r="E190" t="str">
        <f>計算表!E190</f>
        <v>機率=合成變異率屬性（上限60%）；附魔威力×1.5 並追加 1 條詞條</v>
      </c>
      <c r="F190" t="str">
        <f>計算表!F190</f>
        <v>合成功能已停用，本列未生效。</v>
      </c>
      <c r="G190">
        <f>計算表!G190</f>
        <v>0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3">
        <f>計算表!B191</f>
        <v>0</v>
      </c>
      <c r="C191" t="str">
        <f>計算表!C191</f>
        <v>7-分解速度</v>
      </c>
      <c r="D191" t="str">
        <f>計算表!D191</f>
        <v>分解處理速度</v>
      </c>
      <c r="E191" t="str">
        <f>計算表!E191</f>
        <v>間隔 = a 秒 ÷ (1+加速加成)</v>
      </c>
      <c r="F191" t="str">
        <f>計算表!F191</f>
        <v>加速齒輪每階+25%，另固定+50 個百分點。　※＝生產線處理間隔，由「7-容量/生產線處理間隔」控制，本列不生效。</v>
      </c>
      <c r="G191">
        <f>計算表!G191</f>
        <v>2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3">
        <f>計算表!B192</f>
        <v>0</v>
      </c>
      <c r="C192" t="str">
        <f>計算表!C192</f>
        <v>7-分解槽</v>
      </c>
      <c r="D192" t="str">
        <f>計算表!D192</f>
        <v>分解槽解鎖費用</v>
      </c>
      <c r="E192" t="str">
        <f>計算表!E192</f>
        <v>a × b^(目標格數-1)</v>
      </c>
      <c r="F192" t="str">
        <f>計算表!F192</f>
        <v>初始 10 格、上限 20 格。</v>
      </c>
      <c r="G192">
        <f>計算表!G192</f>
        <v>10000</v>
      </c>
      <c r="H192">
        <f>計算表!H192</f>
        <v>3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3">
        <f>計算表!B193</f>
        <v>0</v>
      </c>
      <c r="C193" t="str">
        <f>計算表!C193</f>
        <v>7-容量</v>
      </c>
      <c r="D193" t="str">
        <f>計算表!D193</f>
        <v>輸送帶容量</v>
      </c>
      <c r="E193" t="str">
        <f>計算表!E193</f>
        <v>a（固定上限）</v>
      </c>
      <c r="F193" t="str">
        <f>計算表!F193</f>
        <v>程式實際為固定 20000；超出的新裝備直接丟棄。</v>
      </c>
      <c r="G193">
        <f>計算表!G193</f>
        <v>20000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3">
        <f>計算表!B194</f>
        <v>0</v>
      </c>
      <c r="C194" t="str">
        <f>計算表!C194</f>
        <v>7-容量</v>
      </c>
      <c r="D194" t="str">
        <f>計算表!D194</f>
        <v>合成暫存區</v>
      </c>
      <c r="E194" t="str">
        <f>計算表!E194</f>
        <v>a + ⌊負重上限/b⌋</v>
      </c>
      <c r="F194">
        <f>計算表!F194</f>
        <v>0</v>
      </c>
      <c r="G194">
        <f>計算表!G194</f>
        <v>30</v>
      </c>
      <c r="H194">
        <f>計算表!H194</f>
        <v>2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3">
        <f>計算表!B195</f>
        <v>0</v>
      </c>
      <c r="C195" t="str">
        <f>計算表!C195</f>
        <v>7-容量</v>
      </c>
      <c r="D195" t="str">
        <f>計算表!D195</f>
        <v>背包容量</v>
      </c>
      <c r="E195" t="str">
        <f>計算表!E195</f>
        <v>a + 背包擴充次數</v>
      </c>
      <c r="F195" t="str">
        <f>計算表!F195</f>
        <v>上限 1000 格；滿了自動分解新進裝備。</v>
      </c>
      <c r="G195">
        <f>計算表!G195</f>
        <v>60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3">
        <f>計算表!B196</f>
        <v>0</v>
      </c>
      <c r="C196" t="str">
        <f>計算表!C196</f>
        <v>7-容量</v>
      </c>
      <c r="D196" t="str">
        <f>計算表!D196</f>
        <v>背包擴充費用</v>
      </c>
      <c r="E196" t="str">
        <f>計算表!E196</f>
        <v>a × 購買次數²</v>
      </c>
      <c r="F196" t="str">
        <f>計算表!F196</f>
        <v>購買次數=本次為第幾次擴充；達 1000 格後不可再擴充。</v>
      </c>
      <c r="G196">
        <f>計算表!G196</f>
        <v>10000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3">
        <f>計算表!B197</f>
        <v>0</v>
      </c>
      <c r="C197" t="str">
        <f>計算表!C197</f>
        <v>7-容量</v>
      </c>
      <c r="D197" t="str">
        <f>計算表!D197</f>
        <v>生產線處理間隔</v>
      </c>
      <c r="E197" t="str">
        <f>計算表!E197</f>
        <v>a 秒/件</v>
      </c>
      <c r="F197">
        <f>計算表!F197</f>
        <v>0</v>
      </c>
      <c r="G197">
        <f>計算表!G197</f>
        <v>2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3">
        <f>計算表!B198</f>
        <v>0</v>
      </c>
      <c r="C198" t="str">
        <f>計算表!C198</f>
        <v>8-寶石</v>
      </c>
      <c r="D198" t="str">
        <f>計算表!D198</f>
        <v>能力數值(1~5階)</v>
      </c>
      <c r="E198" t="str">
        <f>計算表!E198</f>
        <v>base × 等級 × (1 + a×(等級-1))</v>
      </c>
      <c r="F198" t="str">
        <f>計算表!F198</f>
        <v>base 見「寶石種類表」。Lv1×1 Lv2×2.4 Lv3×4.2 Lv4×6.4 Lv5×9。</v>
      </c>
      <c r="G198">
        <f>計算表!G198</f>
        <v>0.2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3">
        <f>計算表!B199</f>
        <v>0</v>
      </c>
      <c r="C199" t="str">
        <f>計算表!C199</f>
        <v>8-寶石</v>
      </c>
      <c r="D199" t="str">
        <f>計算表!D199</f>
        <v>能力數值(6~10階神鑄)</v>
      </c>
      <c r="E199" t="str">
        <f>計算表!E199</f>
        <v>五階數值 × a^(階級-5)</v>
      </c>
      <c r="F199" t="str">
        <f>計算表!F199</f>
        <v>每高 1 階能力×a。</v>
      </c>
      <c r="G199">
        <f>計算表!G199</f>
        <v>2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3">
        <f>計算表!B200</f>
        <v>0</v>
      </c>
      <c r="C200" t="str">
        <f>計算表!C200</f>
        <v>8-寶石</v>
      </c>
      <c r="D200" t="str">
        <f>計算表!D200</f>
        <v>寶石升階(工廠自動)</v>
      </c>
      <c r="E200" t="str">
        <f>計算表!E200</f>
        <v>c 顆同種同級 → 1 顆同種高一級</v>
      </c>
      <c r="F200" t="str">
        <f>計算表!F200</f>
        <v>免費、自動（熔爐合成節點開關）。　※合成功能已停用，本列未生效。</v>
      </c>
      <c r="G200">
        <f>計算表!G200</f>
        <v>3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3">
        <f>計算表!B201</f>
        <v>0</v>
      </c>
      <c r="C201" t="str">
        <f>計算表!C201</f>
        <v>8-寶石</v>
      </c>
      <c r="D201" t="str">
        <f>計算表!D201</f>
        <v>寶石合成(手動)</v>
      </c>
      <c r="E201" t="str">
        <f>計算表!E201</f>
        <v>2 顆同種同級 → 1 顆同種下一階</v>
      </c>
      <c r="F201" t="str">
        <f>計算表!F201</f>
        <v>金幣費用依素材等級：100/300/900/2700/8100。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3">
        <f>計算表!B202</f>
        <v>0</v>
      </c>
      <c r="C202" t="str">
        <f>計算表!C202</f>
        <v>8-寶石</v>
      </c>
      <c r="D202" t="str">
        <f>計算表!D202</f>
        <v>寶石合成金幣</v>
      </c>
      <c r="E202" t="str">
        <f>計算表!E202</f>
        <v>依素材等級 a/b/c/d/e</v>
      </c>
      <c r="F202" t="str">
        <f>計算表!F202</f>
        <v>1級→2級 a、2級→3級 b …。</v>
      </c>
      <c r="G202">
        <f>計算表!G202</f>
        <v>100</v>
      </c>
      <c r="H202">
        <f>計算表!H202</f>
        <v>300</v>
      </c>
      <c r="I202">
        <f>計算表!I202</f>
        <v>900</v>
      </c>
      <c r="J202">
        <f>計算表!J202</f>
        <v>2700</v>
      </c>
      <c r="K202">
        <f>計算表!K202</f>
        <v>8100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3">
        <f>計算表!B203</f>
        <v>0</v>
      </c>
      <c r="C203" t="str">
        <f>計算表!C203</f>
        <v>8-寶石</v>
      </c>
      <c r="D203" t="str">
        <f>計算表!D203</f>
        <v>寶石轉換(九宮格)</v>
      </c>
      <c r="E203" t="str">
        <f>計算表!E203</f>
        <v>a 格；每格上限 b 顆；同階轉換數量不變（免費）</v>
      </c>
      <c r="F203" t="str">
        <f>計算表!F203</f>
        <v>融合寶石無法轉換。</v>
      </c>
      <c r="G203">
        <f>計算表!G203</f>
        <v>9</v>
      </c>
      <c r="H203">
        <f>計算表!H203</f>
        <v>100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3">
        <f>計算表!B204</f>
        <v>0</v>
      </c>
      <c r="C204" t="str">
        <f>計算表!C204</f>
        <v>8-寶石</v>
      </c>
      <c r="D204" t="str">
        <f>計算表!D204</f>
        <v>寶石拆解(一般)</v>
      </c>
      <c r="E204" t="str">
        <f>計算表!E204</f>
        <v>⌊2^(N-1) × a⌋ 顆同種 1 級</v>
      </c>
      <c r="F204" t="str">
        <f>計算表!F204</f>
        <v>a=保留比例（損失 30%）。2級→1 3級→2 4級→5 5級→11。</v>
      </c>
      <c r="G204">
        <f>計算表!G204</f>
        <v>0.7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3">
        <f>計算表!B205</f>
        <v>0</v>
      </c>
      <c r="C205" t="str">
        <f>計算表!C205</f>
        <v>8-寶石</v>
      </c>
      <c r="D205" t="str">
        <f>計算表!D205</f>
        <v>寶石拆解(融合)</v>
      </c>
      <c r="E205" t="str">
        <f>計算表!E205</f>
        <v>⌊16×leaves × a⌋ 顆 1 級（依屬性均分）</v>
      </c>
      <c r="F205" t="str">
        <f>計算表!F205</f>
        <v>leaves=素材 5 階總數（融合時雙方相加）。　※與「寶石拆解(一般)」共用保留率，本列不生效。</v>
      </c>
      <c r="G205">
        <f>計算表!G205</f>
        <v>0.7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3">
        <f>計算表!B206</f>
        <v>0</v>
      </c>
      <c r="C206" t="str">
        <f>計算表!C206</f>
        <v>8-寶石</v>
      </c>
      <c r="D206" t="str">
        <f>計算表!D206</f>
        <v>寶石融合成功率</v>
      </c>
      <c r="E206" t="str">
        <f>計算表!E206</f>
        <v>max(a%, b% - c%×雙方融合次數和)</v>
      </c>
      <c r="F206" t="str">
        <f>計算表!F206</f>
        <v>僅 5 階；產出雙屬性。</v>
      </c>
      <c r="G206">
        <f>計算表!G206</f>
        <v>10</v>
      </c>
      <c r="H206">
        <f>計算表!H206</f>
        <v>60</v>
      </c>
      <c r="I206">
        <f>計算表!I206</f>
        <v>10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3">
        <f>計算表!B207</f>
        <v>0</v>
      </c>
      <c r="C207" t="str">
        <f>計算表!C207</f>
        <v>8-寶石</v>
      </c>
      <c r="D207" t="str">
        <f>計算表!D207</f>
        <v>寶石融合數值</v>
      </c>
      <c r="E207" t="str">
        <f>計算表!E207</f>
        <v>同屬性 rnd(較小值,較大值×2)；異屬性 原值×rnd(0.5,1.5)</v>
      </c>
      <c r="F207" t="str">
        <f>計算表!F207</f>
        <v>失敗：較弱一方降解為 50% 機率 4~8 顆 Lv1 / 50% 機率 2~4 顆 Lv2。　※結構寫死：同屬性 rnd(小,大×2)、異屬性 原值×rnd(0.5,1.5)。</v>
      </c>
      <c r="G207">
        <f>計算表!G207</f>
        <v>0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3">
        <f>計算表!B208</f>
        <v>0</v>
      </c>
      <c r="C208" t="str">
        <f>計算表!C208</f>
        <v>8-寶石商店</v>
      </c>
      <c r="D208" t="str">
        <f>計算表!D208</f>
        <v>升級費用</v>
      </c>
      <c r="E208" t="str">
        <f>計算表!E208</f>
        <v>a + 商店等級^b × c</v>
      </c>
      <c r="F208" t="str">
        <f>計算表!F208</f>
        <v>Lv.1~20；Lv.20 滿級。</v>
      </c>
      <c r="G208">
        <f>計算表!G208</f>
        <v>10000</v>
      </c>
      <c r="H208">
        <f>計算表!H208</f>
        <v>3</v>
      </c>
      <c r="I208">
        <f>計算表!I208</f>
        <v>4000000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3">
        <f>計算表!B209</f>
        <v>0</v>
      </c>
      <c r="C209" t="str">
        <f>計算表!C209</f>
        <v>8-寶石商店</v>
      </c>
      <c r="D209" t="str">
        <f>計算表!D209</f>
        <v>手動刷新費用</v>
      </c>
      <c r="E209" t="str">
        <f>計算表!E209</f>
        <v>a × (下一次重置序號^b)</v>
      </c>
      <c r="F209" t="str">
        <f>計算表!F209</f>
        <v>第一次刷新序號為 1。</v>
      </c>
      <c r="G209">
        <f>計算表!G209</f>
        <v>5000</v>
      </c>
      <c r="H209">
        <f>計算表!H209</f>
        <v>2.5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3">
        <f>計算表!B210</f>
        <v>0</v>
      </c>
      <c r="C210" t="str">
        <f>計算表!C210</f>
        <v>8-寶石商店</v>
      </c>
      <c r="D210" t="str">
        <f>計算表!D210</f>
        <v>刷新週期</v>
      </c>
      <c r="E210" t="str">
        <f>計算表!E210</f>
        <v>a 小時重置刷新次數</v>
      </c>
      <c r="F210">
        <f>計算表!F210</f>
        <v>0</v>
      </c>
      <c r="G210">
        <f>計算表!G210</f>
        <v>8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3">
        <f>計算表!B211</f>
        <v>0</v>
      </c>
      <c r="C211" t="str">
        <f>計算表!C211</f>
        <v>8-寶石商店</v>
      </c>
      <c r="D211" t="str">
        <f>計算表!D211</f>
        <v>寶石標價(Lv1~10)</v>
      </c>
      <c r="E211" t="str">
        <f>計算表!E211</f>
        <v>各階價格</v>
      </c>
      <c r="F211" t="str">
        <f>計算表!F211</f>
        <v>a=Lv1 … j=Lv10。</v>
      </c>
      <c r="G211">
        <f>計算表!G211</f>
        <v>10000</v>
      </c>
      <c r="H211">
        <f>計算表!H211</f>
        <v>100000</v>
      </c>
      <c r="I211">
        <f>計算表!I211</f>
        <v>500000</v>
      </c>
      <c r="J211">
        <f>計算表!J211</f>
        <v>2000000</v>
      </c>
      <c r="K211">
        <f>計算表!K211</f>
        <v>10000000</v>
      </c>
      <c r="L211">
        <f>計算表!L211</f>
        <v>50000000</v>
      </c>
      <c r="M211">
        <f>計算表!M211</f>
        <v>200000000</v>
      </c>
      <c r="N211">
        <f>計算表!N211</f>
        <v>1000000000</v>
      </c>
      <c r="O211">
        <f>計算表!O211</f>
        <v>10000000000</v>
      </c>
      <c r="P211">
        <f>計算表!P211</f>
        <v>1000000000000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3">
        <f>計算表!B212</f>
        <v>0</v>
      </c>
      <c r="C212" t="str">
        <f>計算表!C212</f>
        <v>8-寶店刷出數量</v>
      </c>
      <c r="D212" t="str">
        <f>計算表!D212</f>
        <v>商店 Lv.1</v>
      </c>
      <c r="E212" t="str">
        <f>計算表!E212</f>
        <v>刷出數量=機率%（每格獨立）</v>
      </c>
      <c r="F212" t="str">
        <f>計算表!F212</f>
        <v>格式「刷出數量=機率%」，機率總和 100。</v>
      </c>
      <c r="G212" t="str">
        <f>計算表!G212</f>
        <v>5=50</v>
      </c>
      <c r="H212" t="str">
        <f>計算表!H212</f>
        <v>6=50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3">
        <f>計算表!B213</f>
        <v>0</v>
      </c>
      <c r="C213" t="str">
        <f>計算表!C213</f>
        <v>8-寶店刷出數量</v>
      </c>
      <c r="D213" t="str">
        <f>計算表!D213</f>
        <v>商店 Lv.2</v>
      </c>
      <c r="E213" t="str">
        <f>計算表!E213</f>
        <v>刷出數量=機率%（每格獨立）</v>
      </c>
      <c r="F213" t="str">
        <f>計算表!F213</f>
        <v>格式「刷出數量=機率%」，機率總和 100。</v>
      </c>
      <c r="G213" t="str">
        <f>計算表!G213</f>
        <v>5=50</v>
      </c>
      <c r="H213" t="str">
        <f>計算表!H213</f>
        <v>6=40</v>
      </c>
      <c r="I213" t="str">
        <f>計算表!I213</f>
        <v>7=10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3">
        <f>計算表!B214</f>
        <v>0</v>
      </c>
      <c r="C214" t="str">
        <f>計算表!C214</f>
        <v>8-寶店刷出數量</v>
      </c>
      <c r="D214" t="str">
        <f>計算表!D214</f>
        <v>商店 Lv.3</v>
      </c>
      <c r="E214" t="str">
        <f>計算表!E214</f>
        <v>刷出數量=機率%（每格獨立）</v>
      </c>
      <c r="F214" t="str">
        <f>計算表!F214</f>
        <v>格式「刷出數量=機率%」，機率總和 100。</v>
      </c>
      <c r="G214" t="str">
        <f>計算表!G214</f>
        <v>5=50</v>
      </c>
      <c r="H214" t="str">
        <f>計算表!H214</f>
        <v>6=30</v>
      </c>
      <c r="I214" t="str">
        <f>計算表!I214</f>
        <v>7=10</v>
      </c>
      <c r="J214" t="str">
        <f>計算表!J214</f>
        <v>8=10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3">
        <f>計算表!B215</f>
        <v>0</v>
      </c>
      <c r="C215" t="str">
        <f>計算表!C215</f>
        <v>8-寶店刷出數量</v>
      </c>
      <c r="D215" t="str">
        <f>計算表!D215</f>
        <v>商店 Lv.4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5=45</v>
      </c>
      <c r="H215" t="str">
        <f>計算表!H215</f>
        <v>6=30</v>
      </c>
      <c r="I215" t="str">
        <f>計算表!I215</f>
        <v>7=15</v>
      </c>
      <c r="J215" t="str">
        <f>計算表!J215</f>
        <v>8=10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3">
        <f>計算表!B216</f>
        <v>0</v>
      </c>
      <c r="C216" t="str">
        <f>計算表!C216</f>
        <v>8-寶店刷出數量</v>
      </c>
      <c r="D216" t="str">
        <f>計算表!D216</f>
        <v>商店 Lv.5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5=40</v>
      </c>
      <c r="H216" t="str">
        <f>計算表!H216</f>
        <v>6=30</v>
      </c>
      <c r="I216" t="str">
        <f>計算表!I216</f>
        <v>7=15</v>
      </c>
      <c r="J216" t="str">
        <f>計算表!J216</f>
        <v>8=15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3">
        <f>計算表!B217</f>
        <v>0</v>
      </c>
      <c r="C217" t="str">
        <f>計算表!C217</f>
        <v>8-寶店刷出數量</v>
      </c>
      <c r="D217" t="str">
        <f>計算表!D217</f>
        <v>商店 Lv.6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5=35</v>
      </c>
      <c r="H217" t="str">
        <f>計算表!H217</f>
        <v>6=30</v>
      </c>
      <c r="I217" t="str">
        <f>計算表!I217</f>
        <v>7=15</v>
      </c>
      <c r="J217" t="str">
        <f>計算表!J217</f>
        <v>8=15</v>
      </c>
      <c r="K217" t="str">
        <f>計算表!K217</f>
        <v>9=5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3">
        <f>計算表!B218</f>
        <v>0</v>
      </c>
      <c r="C218" t="str">
        <f>計算表!C218</f>
        <v>8-寶店刷出數量</v>
      </c>
      <c r="D218" t="str">
        <f>計算表!D218</f>
        <v>商店 Lv.7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6=35</v>
      </c>
      <c r="H218" t="str">
        <f>計算表!H218</f>
        <v>7=30</v>
      </c>
      <c r="I218" t="str">
        <f>計算表!I218</f>
        <v>8=15</v>
      </c>
      <c r="J218" t="str">
        <f>計算表!J218</f>
        <v>9=15</v>
      </c>
      <c r="K218" t="str">
        <f>計算表!K218</f>
        <v>10=5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3">
        <f>計算表!B219</f>
        <v>0</v>
      </c>
      <c r="C219" t="str">
        <f>計算表!C219</f>
        <v>8-寶店刷出數量</v>
      </c>
      <c r="D219" t="str">
        <f>計算表!D219</f>
        <v>商店 Lv.8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6=30</v>
      </c>
      <c r="H219" t="str">
        <f>計算表!H219</f>
        <v>7=30</v>
      </c>
      <c r="I219" t="str">
        <f>計算表!I219</f>
        <v>8=15</v>
      </c>
      <c r="J219" t="str">
        <f>計算表!J219</f>
        <v>9=15</v>
      </c>
      <c r="K219" t="str">
        <f>計算表!K219</f>
        <v>10=10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3">
        <f>計算表!B220</f>
        <v>0</v>
      </c>
      <c r="C220" t="str">
        <f>計算表!C220</f>
        <v>8-寶店刷出數量</v>
      </c>
      <c r="D220" t="str">
        <f>計算表!D220</f>
        <v>商店 Lv.9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7=30</v>
      </c>
      <c r="H220" t="str">
        <f>計算表!H220</f>
        <v>8=30</v>
      </c>
      <c r="I220" t="str">
        <f>計算表!I220</f>
        <v>9=15</v>
      </c>
      <c r="J220" t="str">
        <f>計算表!J220</f>
        <v>10=15</v>
      </c>
      <c r="K220" t="str">
        <f>計算表!K220</f>
        <v>11=10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3">
        <f>計算表!B221</f>
        <v>0</v>
      </c>
      <c r="C221" t="str">
        <f>計算表!C221</f>
        <v>8-寶店刷出數量</v>
      </c>
      <c r="D221" t="str">
        <f>計算表!D221</f>
        <v>商店 Lv.10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8=30</v>
      </c>
      <c r="H221" t="str">
        <f>計算表!H221</f>
        <v>9=30</v>
      </c>
      <c r="I221" t="str">
        <f>計算表!I221</f>
        <v>10=15</v>
      </c>
      <c r="J221" t="str">
        <f>計算表!J221</f>
        <v>11=15</v>
      </c>
      <c r="K221" t="str">
        <f>計算表!K221</f>
        <v>12=10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3">
        <f>計算表!B222</f>
        <v>0</v>
      </c>
      <c r="C222" t="str">
        <f>計算表!C222</f>
        <v>8-寶店刷出數量</v>
      </c>
      <c r="D222" t="str">
        <f>計算表!D222</f>
        <v>商店 Lv.11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9=30</v>
      </c>
      <c r="H222" t="str">
        <f>計算表!H222</f>
        <v>10=30</v>
      </c>
      <c r="I222" t="str">
        <f>計算表!I222</f>
        <v>11=15</v>
      </c>
      <c r="J222" t="str">
        <f>計算表!J222</f>
        <v>12=15</v>
      </c>
      <c r="K222" t="str">
        <f>計算表!K222</f>
        <v>13=10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3">
        <f>計算表!B223</f>
        <v>0</v>
      </c>
      <c r="C223" t="str">
        <f>計算表!C223</f>
        <v>8-寶店刷出數量</v>
      </c>
      <c r="D223" t="str">
        <f>計算表!D223</f>
        <v>商店 Lv.12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10=30</v>
      </c>
      <c r="H223" t="str">
        <f>計算表!H223</f>
        <v>11=30</v>
      </c>
      <c r="I223" t="str">
        <f>計算表!I223</f>
        <v>12=15</v>
      </c>
      <c r="J223" t="str">
        <f>計算表!J223</f>
        <v>13=15</v>
      </c>
      <c r="K223" t="str">
        <f>計算表!K223</f>
        <v>14=10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3">
        <f>計算表!B224</f>
        <v>0</v>
      </c>
      <c r="C224" t="str">
        <f>計算表!C224</f>
        <v>8-寶店刷出數量</v>
      </c>
      <c r="D224" t="str">
        <f>計算表!D224</f>
        <v>商店 Lv.13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11=30</v>
      </c>
      <c r="H224" t="str">
        <f>計算表!H224</f>
        <v>12=30</v>
      </c>
      <c r="I224" t="str">
        <f>計算表!I224</f>
        <v>13=15</v>
      </c>
      <c r="J224" t="str">
        <f>計算表!J224</f>
        <v>14=15</v>
      </c>
      <c r="K224" t="str">
        <f>計算表!K224</f>
        <v>15=10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3">
        <f>計算表!B225</f>
        <v>0</v>
      </c>
      <c r="C225" t="str">
        <f>計算表!C225</f>
        <v>8-寶店刷出數量</v>
      </c>
      <c r="D225" t="str">
        <f>計算表!D225</f>
        <v>商店 Lv.14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12=30</v>
      </c>
      <c r="H225" t="str">
        <f>計算表!H225</f>
        <v>13=30</v>
      </c>
      <c r="I225" t="str">
        <f>計算表!I225</f>
        <v>14=15</v>
      </c>
      <c r="J225" t="str">
        <f>計算表!J225</f>
        <v>15=15</v>
      </c>
      <c r="K225" t="str">
        <f>計算表!K225</f>
        <v>16=10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3">
        <f>計算表!B226</f>
        <v>0</v>
      </c>
      <c r="C226" t="str">
        <f>計算表!C226</f>
        <v>8-寶店刷出數量</v>
      </c>
      <c r="D226" t="str">
        <f>計算表!D226</f>
        <v>商店 Lv.15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13=30</v>
      </c>
      <c r="H226" t="str">
        <f>計算表!H226</f>
        <v>14=30</v>
      </c>
      <c r="I226" t="str">
        <f>計算表!I226</f>
        <v>15=15</v>
      </c>
      <c r="J226" t="str">
        <f>計算表!J226</f>
        <v>16=15</v>
      </c>
      <c r="K226" t="str">
        <f>計算表!K226</f>
        <v>17=10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3">
        <f>計算表!B227</f>
        <v>0</v>
      </c>
      <c r="C227" t="str">
        <f>計算表!C227</f>
        <v>8-寶店刷出數量</v>
      </c>
      <c r="D227" t="str">
        <f>計算表!D227</f>
        <v>商店 Lv.16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14=30</v>
      </c>
      <c r="H227" t="str">
        <f>計算表!H227</f>
        <v>15=30</v>
      </c>
      <c r="I227" t="str">
        <f>計算表!I227</f>
        <v>16=15</v>
      </c>
      <c r="J227" t="str">
        <f>計算表!J227</f>
        <v>17=15</v>
      </c>
      <c r="K227" t="str">
        <f>計算表!K227</f>
        <v>18=10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3">
        <f>計算表!B228</f>
        <v>0</v>
      </c>
      <c r="C228" t="str">
        <f>計算表!C228</f>
        <v>8-寶店刷出數量</v>
      </c>
      <c r="D228" t="str">
        <f>計算表!D228</f>
        <v>商店 Lv.17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15=30</v>
      </c>
      <c r="H228" t="str">
        <f>計算表!H228</f>
        <v>16=30</v>
      </c>
      <c r="I228" t="str">
        <f>計算表!I228</f>
        <v>17=15</v>
      </c>
      <c r="J228" t="str">
        <f>計算表!J228</f>
        <v>18=15</v>
      </c>
      <c r="K228" t="str">
        <f>計算表!K228</f>
        <v>19=10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3">
        <f>計算表!B229</f>
        <v>0</v>
      </c>
      <c r="C229" t="str">
        <f>計算表!C229</f>
        <v>8-寶店刷出數量</v>
      </c>
      <c r="D229" t="str">
        <f>計算表!D229</f>
        <v>商店 Lv.18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15=10</v>
      </c>
      <c r="H229" t="str">
        <f>計算表!H229</f>
        <v>16=20</v>
      </c>
      <c r="I229" t="str">
        <f>計算表!I229</f>
        <v>17=30</v>
      </c>
      <c r="J229" t="str">
        <f>計算表!J229</f>
        <v>18=15</v>
      </c>
      <c r="K229" t="str">
        <f>計算表!K229</f>
        <v>19=15</v>
      </c>
      <c r="L229" t="str">
        <f>計算表!L229</f>
        <v>20=10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3">
        <f>計算表!B230</f>
        <v>0</v>
      </c>
      <c r="C230" t="str">
        <f>計算表!C230</f>
        <v>8-寶店刷出數量</v>
      </c>
      <c r="D230" t="str">
        <f>計算表!D230</f>
        <v>商店 Lv.19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15=10</v>
      </c>
      <c r="H230" t="str">
        <f>計算表!H230</f>
        <v>16=20</v>
      </c>
      <c r="I230" t="str">
        <f>計算表!I230</f>
        <v>17=30</v>
      </c>
      <c r="J230" t="str">
        <f>計算表!J230</f>
        <v>18=15</v>
      </c>
      <c r="K230" t="str">
        <f>計算表!K230</f>
        <v>19=15</v>
      </c>
      <c r="L230" t="str">
        <f>計算表!L230</f>
        <v>20=10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3">
        <f>計算表!B231</f>
        <v>0</v>
      </c>
      <c r="C231" t="str">
        <f>計算表!C231</f>
        <v>8-寶店刷出數量</v>
      </c>
      <c r="D231" t="str">
        <f>計算表!D231</f>
        <v>商店 Lv.20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15=10</v>
      </c>
      <c r="H231" t="str">
        <f>計算表!H231</f>
        <v>16=20</v>
      </c>
      <c r="I231" t="str">
        <f>計算表!I231</f>
        <v>17=30</v>
      </c>
      <c r="J231" t="str">
        <f>計算表!J231</f>
        <v>18=15</v>
      </c>
      <c r="K231" t="str">
        <f>計算表!K231</f>
        <v>19=15</v>
      </c>
      <c r="L231" t="str">
        <f>計算表!L231</f>
        <v>20=10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3">
        <f>計算表!B232</f>
        <v>0</v>
      </c>
      <c r="C232" t="str">
        <f>計算表!C232</f>
        <v>8-寶店刷出階級</v>
      </c>
      <c r="D232" t="str">
        <f>計算表!D232</f>
        <v>商店 Lv.1</v>
      </c>
      <c r="E232" t="str">
        <f>計算表!E232</f>
        <v>寶石階級=機率%（每顆獨立）</v>
      </c>
      <c r="F232" t="str">
        <f>計算表!F232</f>
        <v>格式「階級=機率%」，機率總和 100。</v>
      </c>
      <c r="G232" t="str">
        <f>計算表!G232</f>
        <v>1=75</v>
      </c>
      <c r="H232" t="str">
        <f>計算表!H232</f>
        <v>2=20</v>
      </c>
      <c r="I232" t="str">
        <f>計算表!I232</f>
        <v>3=4</v>
      </c>
      <c r="J232" t="str">
        <f>計算表!J232</f>
        <v>4=1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3">
        <f>計算表!B233</f>
        <v>0</v>
      </c>
      <c r="C233" t="str">
        <f>計算表!C233</f>
        <v>8-寶店刷出階級</v>
      </c>
      <c r="D233" t="str">
        <f>計算表!D233</f>
        <v>商店 Lv.2</v>
      </c>
      <c r="E233" t="str">
        <f>計算表!E233</f>
        <v>寶石階級=機率%（每顆獨立）</v>
      </c>
      <c r="F233" t="str">
        <f>計算表!F233</f>
        <v>格式「階級=機率%」，機率總和 100。</v>
      </c>
      <c r="G233" t="str">
        <f>計算表!G233</f>
        <v>1=73</v>
      </c>
      <c r="H233" t="str">
        <f>計算表!H233</f>
        <v>2=20</v>
      </c>
      <c r="I233" t="str">
        <f>計算表!I233</f>
        <v>3=5</v>
      </c>
      <c r="J233" t="str">
        <f>計算表!J233</f>
        <v>4=2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3">
        <f>計算表!B234</f>
        <v>0</v>
      </c>
      <c r="C234" t="str">
        <f>計算表!C234</f>
        <v>8-寶店刷出階級</v>
      </c>
      <c r="D234" t="str">
        <f>計算表!D234</f>
        <v>商店 Lv.3</v>
      </c>
      <c r="E234" t="str">
        <f>計算表!E234</f>
        <v>寶石階級=機率%（每顆獨立）</v>
      </c>
      <c r="F234" t="str">
        <f>計算表!F234</f>
        <v>格式「階級=機率%」，機率總和 100。</v>
      </c>
      <c r="G234" t="str">
        <f>計算表!G234</f>
        <v>1=71</v>
      </c>
      <c r="H234" t="str">
        <f>計算表!H234</f>
        <v>2=20</v>
      </c>
      <c r="I234" t="str">
        <f>計算表!I234</f>
        <v>3=6</v>
      </c>
      <c r="J234" t="str">
        <f>計算表!J234</f>
        <v>4=3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3">
        <f>計算表!B235</f>
        <v>0</v>
      </c>
      <c r="C235" t="str">
        <f>計算表!C235</f>
        <v>8-寶店刷出階級</v>
      </c>
      <c r="D235" t="str">
        <f>計算表!D235</f>
        <v>商店 Lv.4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1=70.5</v>
      </c>
      <c r="H235" t="str">
        <f>計算表!H235</f>
        <v>2=20</v>
      </c>
      <c r="I235" t="str">
        <f>計算表!I235</f>
        <v>3=6</v>
      </c>
      <c r="J235" t="str">
        <f>計算表!J235</f>
        <v>4=3</v>
      </c>
      <c r="K235" t="str">
        <f>計算表!K235</f>
        <v>5=0.5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3">
        <f>計算表!B236</f>
        <v>0</v>
      </c>
      <c r="C236" t="str">
        <f>計算表!C236</f>
        <v>8-寶店刷出階級</v>
      </c>
      <c r="D236" t="str">
        <f>計算表!D236</f>
        <v>商店 Lv.5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1=69</v>
      </c>
      <c r="H236" t="str">
        <f>計算表!H236</f>
        <v>2=20</v>
      </c>
      <c r="I236" t="str">
        <f>計算表!I236</f>
        <v>3=6</v>
      </c>
      <c r="J236" t="str">
        <f>計算表!J236</f>
        <v>4=4</v>
      </c>
      <c r="K236" t="str">
        <f>計算表!K236</f>
        <v>5=1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3">
        <f>計算表!B237</f>
        <v>0</v>
      </c>
      <c r="C237" t="str">
        <f>計算表!C237</f>
        <v>8-寶店刷出階級</v>
      </c>
      <c r="D237" t="str">
        <f>計算表!D237</f>
        <v>商店 Lv.6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1=67.5</v>
      </c>
      <c r="H237" t="str">
        <f>計算表!H237</f>
        <v>2=20</v>
      </c>
      <c r="I237" t="str">
        <f>計算表!I237</f>
        <v>3=6</v>
      </c>
      <c r="J237" t="str">
        <f>計算表!J237</f>
        <v>4=5</v>
      </c>
      <c r="K237" t="str">
        <f>計算表!K237</f>
        <v>5=1.5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3">
        <f>計算表!B238</f>
        <v>0</v>
      </c>
      <c r="C238" t="str">
        <f>計算表!C238</f>
        <v>8-寶店刷出階級</v>
      </c>
      <c r="D238" t="str">
        <f>計算表!D238</f>
        <v>商店 Lv.7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1=64</v>
      </c>
      <c r="H238" t="str">
        <f>計算表!H238</f>
        <v>2=20</v>
      </c>
      <c r="I238" t="str">
        <f>計算表!I238</f>
        <v>3=8</v>
      </c>
      <c r="J238" t="str">
        <f>計算表!J238</f>
        <v>4=6</v>
      </c>
      <c r="K238" t="str">
        <f>計算表!K238</f>
        <v>5=2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3">
        <f>計算表!B239</f>
        <v>0</v>
      </c>
      <c r="C239" t="str">
        <f>計算表!C239</f>
        <v>8-寶店刷出階級</v>
      </c>
      <c r="D239" t="str">
        <f>計算表!D239</f>
        <v>商店 Lv.8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1=61.5</v>
      </c>
      <c r="H239" t="str">
        <f>計算表!H239</f>
        <v>2=20</v>
      </c>
      <c r="I239" t="str">
        <f>計算表!I239</f>
        <v>3=9</v>
      </c>
      <c r="J239" t="str">
        <f>計算表!J239</f>
        <v>4=7</v>
      </c>
      <c r="K239" t="str">
        <f>計算表!K239</f>
        <v>5=2.5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3">
        <f>計算表!B240</f>
        <v>0</v>
      </c>
      <c r="C240" t="str">
        <f>計算表!C240</f>
        <v>8-寶店刷出階級</v>
      </c>
      <c r="D240" t="str">
        <f>計算表!D240</f>
        <v>商店 Lv.9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1=59</v>
      </c>
      <c r="H240" t="str">
        <f>計算表!H240</f>
        <v>2=20</v>
      </c>
      <c r="I240" t="str">
        <f>計算表!I240</f>
        <v>3=10</v>
      </c>
      <c r="J240" t="str">
        <f>計算表!J240</f>
        <v>4=8</v>
      </c>
      <c r="K240" t="str">
        <f>計算表!K240</f>
        <v>5=3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3">
        <f>計算表!B241</f>
        <v>0</v>
      </c>
      <c r="C241" t="str">
        <f>計算表!C241</f>
        <v>8-寶店刷出階級</v>
      </c>
      <c r="D241" t="str">
        <f>計算表!D241</f>
        <v>商店 Lv.10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1=58</v>
      </c>
      <c r="H241" t="str">
        <f>計算表!H241</f>
        <v>2=20</v>
      </c>
      <c r="I241" t="str">
        <f>計算表!I241</f>
        <v>3=10</v>
      </c>
      <c r="J241" t="str">
        <f>計算表!J241</f>
        <v>4=8</v>
      </c>
      <c r="K241" t="str">
        <f>計算表!K241</f>
        <v>5=3.5</v>
      </c>
      <c r="L241" t="str">
        <f>計算表!L241</f>
        <v>6=0.5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3">
        <f>計算表!B242</f>
        <v>0</v>
      </c>
      <c r="C242" t="str">
        <f>計算表!C242</f>
        <v>8-寶店刷出階級</v>
      </c>
      <c r="D242" t="str">
        <f>計算表!D242</f>
        <v>商店 Lv.11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1=57.25</v>
      </c>
      <c r="H242" t="str">
        <f>計算表!H242</f>
        <v>2=20</v>
      </c>
      <c r="I242" t="str">
        <f>計算表!I242</f>
        <v>3=10</v>
      </c>
      <c r="J242" t="str">
        <f>計算表!J242</f>
        <v>4=8</v>
      </c>
      <c r="K242" t="str">
        <f>計算表!K242</f>
        <v>5=4</v>
      </c>
      <c r="L242" t="str">
        <f>計算表!L242</f>
        <v>6=0.75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3">
        <f>計算表!B243</f>
        <v>0</v>
      </c>
      <c r="C243" t="str">
        <f>計算表!C243</f>
        <v>8-寶店刷出階級</v>
      </c>
      <c r="D243" t="str">
        <f>計算表!D243</f>
        <v>商店 Lv.12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1=53.5</v>
      </c>
      <c r="H243" t="str">
        <f>計算表!H243</f>
        <v>2=20</v>
      </c>
      <c r="I243" t="str">
        <f>計算表!I243</f>
        <v>3=12</v>
      </c>
      <c r="J243" t="str">
        <f>計算表!J243</f>
        <v>4=9</v>
      </c>
      <c r="K243" t="str">
        <f>計算表!K243</f>
        <v>5=4.5</v>
      </c>
      <c r="L243" t="str">
        <f>計算表!L243</f>
        <v>6=1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3">
        <f>計算表!B244</f>
        <v>0</v>
      </c>
      <c r="C244" t="str">
        <f>計算表!C244</f>
        <v>8-寶店刷出階級</v>
      </c>
      <c r="D244" t="str">
        <f>計算表!D244</f>
        <v>商店 Lv.13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1=53.25</v>
      </c>
      <c r="H244" t="str">
        <f>計算表!H244</f>
        <v>2=20</v>
      </c>
      <c r="I244" t="str">
        <f>計算表!I244</f>
        <v>3=12</v>
      </c>
      <c r="J244" t="str">
        <f>計算表!J244</f>
        <v>4=9</v>
      </c>
      <c r="K244" t="str">
        <f>計算表!K244</f>
        <v>5=4.5</v>
      </c>
      <c r="L244" t="str">
        <f>計算表!L244</f>
        <v>6=1.25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3">
        <f>計算表!B245</f>
        <v>0</v>
      </c>
      <c r="C245" t="str">
        <f>計算表!C245</f>
        <v>8-寶店刷出階級</v>
      </c>
      <c r="D245" t="str">
        <f>計算表!D245</f>
        <v>商店 Lv.14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1=53</v>
      </c>
      <c r="H245" t="str">
        <f>計算表!H245</f>
        <v>2=20</v>
      </c>
      <c r="I245" t="str">
        <f>計算表!I245</f>
        <v>3=12</v>
      </c>
      <c r="J245" t="str">
        <f>計算表!J245</f>
        <v>4=9</v>
      </c>
      <c r="K245" t="str">
        <f>計算表!K245</f>
        <v>5=4.5</v>
      </c>
      <c r="L245" t="str">
        <f>計算表!L245</f>
        <v>6=1.5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3">
        <f>計算表!B246</f>
        <v>0</v>
      </c>
      <c r="C246" t="str">
        <f>計算表!C246</f>
        <v>8-寶店刷出階級</v>
      </c>
      <c r="D246" t="str">
        <f>計算表!D246</f>
        <v>商店 Lv.15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1=51.5</v>
      </c>
      <c r="H246" t="str">
        <f>計算表!H246</f>
        <v>2=20</v>
      </c>
      <c r="I246" t="str">
        <f>計算表!I246</f>
        <v>3=12</v>
      </c>
      <c r="J246" t="str">
        <f>計算表!J246</f>
        <v>4=10</v>
      </c>
      <c r="K246" t="str">
        <f>計算表!K246</f>
        <v>5=5</v>
      </c>
      <c r="L246" t="str">
        <f>計算表!L246</f>
        <v>6=1</v>
      </c>
      <c r="M246" t="str">
        <f>計算表!M246</f>
        <v>7=0.5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3">
        <f>計算表!B247</f>
        <v>0</v>
      </c>
      <c r="C247" t="str">
        <f>計算表!C247</f>
        <v>8-寶店刷出階級</v>
      </c>
      <c r="D247" t="str">
        <f>計算表!D247</f>
        <v>商店 Lv.16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1=50.75</v>
      </c>
      <c r="H247" t="str">
        <f>計算表!H247</f>
        <v>2=20</v>
      </c>
      <c r="I247" t="str">
        <f>計算表!I247</f>
        <v>3=12</v>
      </c>
      <c r="J247" t="str">
        <f>計算表!J247</f>
        <v>4=10</v>
      </c>
      <c r="K247" t="str">
        <f>計算表!K247</f>
        <v>5=5</v>
      </c>
      <c r="L247" t="str">
        <f>計算表!L247</f>
        <v>6=1.25</v>
      </c>
      <c r="M247" t="str">
        <f>計算表!M247</f>
        <v>7=1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3">
        <f>計算表!B248</f>
        <v>0</v>
      </c>
      <c r="C248" t="str">
        <f>計算表!C248</f>
        <v>8-寶店刷出階級</v>
      </c>
      <c r="D248" t="str">
        <f>計算表!D248</f>
        <v>商店 Lv.17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1=50.5</v>
      </c>
      <c r="H248" t="str">
        <f>計算表!H248</f>
        <v>2=20</v>
      </c>
      <c r="I248" t="str">
        <f>計算表!I248</f>
        <v>3=12</v>
      </c>
      <c r="J248" t="str">
        <f>計算表!J248</f>
        <v>4=10</v>
      </c>
      <c r="K248" t="str">
        <f>計算表!K248</f>
        <v>5=5</v>
      </c>
      <c r="L248" t="str">
        <f>計算表!L248</f>
        <v>6=1.25</v>
      </c>
      <c r="M248" t="str">
        <f>計算表!M248</f>
        <v>7=1.25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3">
        <f>計算表!B249</f>
        <v>0</v>
      </c>
      <c r="C249" t="str">
        <f>計算表!C249</f>
        <v>8-寶店刷出階級</v>
      </c>
      <c r="D249" t="str">
        <f>計算表!D249</f>
        <v>商店 Lv.18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1=50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6=1.25</v>
      </c>
      <c r="M249" t="str">
        <f>計算表!M249</f>
        <v>7=1.25</v>
      </c>
      <c r="N249" t="str">
        <f>計算表!N249</f>
        <v>8=0.5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3">
        <f>計算表!B250</f>
        <v>0</v>
      </c>
      <c r="C250" t="str">
        <f>計算表!C250</f>
        <v>8-寶店刷出階級</v>
      </c>
      <c r="D250" t="str">
        <f>計算表!D250</f>
        <v>商店 Lv.19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1=49.65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7=1.25</v>
      </c>
      <c r="N250" t="str">
        <f>計算表!N250</f>
        <v>8=0.75</v>
      </c>
      <c r="O250" t="str">
        <f>計算表!O250</f>
        <v>9=0.1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3">
        <f>計算表!B251</f>
        <v>0</v>
      </c>
      <c r="C251" t="str">
        <f>計算表!C251</f>
        <v>8-寶店刷出階級</v>
      </c>
      <c r="D251" t="str">
        <f>計算表!D251</f>
        <v>商店 Lv.20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1=48.9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 t="str">
        <f>計算表!N251</f>
        <v>8=1</v>
      </c>
      <c r="O251" t="str">
        <f>計算表!O251</f>
        <v>9=0.5</v>
      </c>
      <c r="P251" t="str">
        <f>計算表!P251</f>
        <v>10=0.1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3">
        <f>計算表!B252</f>
        <v>0</v>
      </c>
      <c r="C252" t="str">
        <f>計算表!C252</f>
        <v>9-技能</v>
      </c>
      <c r="D252" t="str">
        <f>計算表!D252</f>
        <v>技能原始傷害</v>
      </c>
      <c r="E252" t="str">
        <f>計算表!E252</f>
        <v>(base + per×(等級-1))% × 攻擊力</v>
      </c>
      <c r="F252" t="str">
        <f>計算表!F252</f>
        <v>各技能 base/per 見 skills.js 的 SKILLS 表（未納入本表）。</v>
      </c>
      <c r="G252">
        <f>計算表!G252</f>
        <v>0</v>
      </c>
      <c r="H252">
        <f>計算表!H252</f>
        <v>0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3">
        <f>計算表!B253</f>
        <v>0</v>
      </c>
      <c r="C253" t="str">
        <f>計算表!C253</f>
        <v>9-技能</v>
      </c>
      <c r="D253" t="str">
        <f>計算表!D253</f>
        <v>一般技能法力消耗</v>
      </c>
      <c r="E253" t="str">
        <f>計算表!E253</f>
        <v>round(原始消耗 × (1 + a×(技能等級-1)))</v>
      </c>
      <c r="F253" t="str">
        <f>計算表!F253</f>
        <v>非複利。a=每級增幅。</v>
      </c>
      <c r="G253">
        <f>計算表!G253</f>
        <v>0.1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3">
        <f>計算表!B254</f>
        <v>0</v>
      </c>
      <c r="C254" t="str">
        <f>計算表!C254</f>
        <v>9-技能</v>
      </c>
      <c r="D254" t="str">
        <f>計算表!D254</f>
        <v>多敵人技能傷害</v>
      </c>
      <c r="E254" t="str">
        <f>計算表!E254</f>
        <v>原始傷害 × (1+範圍傷害%) ÷ 目標數</v>
      </c>
      <c r="F254" t="str">
        <f>計算表!F254</f>
        <v>單一目標不套用範圍傷害、也不除以目標數。　※規則寫死：原始傷害×(1+範圍傷害%)÷目標數。</v>
      </c>
      <c r="G254">
        <f>計算表!G254</f>
        <v>0</v>
      </c>
      <c r="H254">
        <f>計算表!H254</f>
        <v>0</v>
      </c>
      <c r="I254">
        <f>計算表!I254</f>
        <v>0</v>
      </c>
      <c r="J254">
        <f>計算表!J254</f>
        <v>0</v>
      </c>
      <c r="K254">
        <f>計算表!K254</f>
        <v>0</v>
      </c>
      <c r="L254">
        <f>計算表!L254</f>
        <v>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3">
        <f>計算表!B255</f>
        <v>0</v>
      </c>
      <c r="C255" t="str">
        <f>計算表!C255</f>
        <v>9-技能</v>
      </c>
      <c r="D255" t="str">
        <f>計算表!D255</f>
        <v>實際冷卻</v>
      </c>
      <c r="E255" t="str">
        <f>計算表!E255</f>
        <v>技能冷卻 × (1 - 冷卻縮減%)</v>
      </c>
      <c r="F255" t="str">
        <f>計算表!F255</f>
        <v>規則寫死：技能CD×(1-冷卻縮減%)。</v>
      </c>
      <c r="G255">
        <f>計算表!G255</f>
        <v>0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3">
        <f>計算表!B256</f>
        <v>0</v>
      </c>
      <c r="C256" t="str">
        <f>計算表!C256</f>
        <v>9-技能</v>
      </c>
      <c r="D256" t="str">
        <f>計算表!D256</f>
        <v>施放硬直</v>
      </c>
      <c r="E256" t="str">
        <f>計算表!E256</f>
        <v>a 秒 × (1 - 施法速度%)</v>
      </c>
      <c r="F256" t="str">
        <f>計算表!F256</f>
        <v>延後下一次普攻。</v>
      </c>
      <c r="G256">
        <f>計算表!G256</f>
        <v>0.5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3">
        <f>計算表!B257</f>
        <v>0</v>
      </c>
      <c r="C257" t="str">
        <f>計算表!C257</f>
        <v>9-技能</v>
      </c>
      <c r="D257" t="str">
        <f>計算表!D257</f>
        <v>技能共用冷卻(GCD)</v>
      </c>
      <c r="E257" t="str">
        <f>計算表!E257</f>
        <v>a 秒（固定，不受冷卻縮減影響）</v>
      </c>
      <c r="F257">
        <f>計算表!F257</f>
        <v>0</v>
      </c>
      <c r="G257">
        <f>計算表!G257</f>
        <v>0.4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3">
        <f>計算表!B258</f>
        <v>0</v>
      </c>
      <c r="C258" t="str">
        <f>計算表!C258</f>
        <v>9-技能</v>
      </c>
      <c r="D258" t="str">
        <f>計算表!D258</f>
        <v>升級費用</v>
      </c>
      <c r="E258" t="str">
        <f>計算表!E258</f>
        <v>⌊a×當前等級 + b^(1 + 當前等級/c)⌋</v>
      </c>
      <c r="F258" t="str">
        <f>計算表!F258</f>
        <v>上限 5,000,000；降級全額退還。</v>
      </c>
      <c r="G258">
        <f>計算表!G258</f>
        <v>20000</v>
      </c>
      <c r="H258">
        <f>計算表!H258</f>
        <v>20</v>
      </c>
      <c r="I258">
        <f>計算表!I258</f>
        <v>10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3">
        <f>計算表!B259</f>
        <v>0</v>
      </c>
      <c r="C259" t="str">
        <f>計算表!C259</f>
        <v>9-技能</v>
      </c>
      <c r="D259" t="str">
        <f>計算表!D259</f>
        <v>技能樹門檻</v>
      </c>
      <c r="E259" t="str">
        <f>計算表!E259</f>
        <v>第 N 階需在該系投入 N×a 點</v>
      </c>
      <c r="F259" t="str">
        <f>計算表!F259</f>
        <v>a=每階門檻點數。</v>
      </c>
      <c r="G259">
        <f>計算表!G259</f>
        <v>3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3">
        <f>計算表!B260</f>
        <v>0</v>
      </c>
      <c r="C260" t="str">
        <f>計算表!C260</f>
        <v>9-技能</v>
      </c>
      <c r="D260" t="str">
        <f>計算表!D260</f>
        <v>等級上限</v>
      </c>
      <c r="E260" t="str">
        <f>計算表!E260</f>
        <v>一般 20+轉生×10；被動 30+轉生×10；融合 素材加總+20+轉生×20</v>
      </c>
      <c r="F260" t="str">
        <f>計算表!F260</f>
        <v>見「轉生對照表」。　※寫死：一般 20+轉生×10、被動 30+轉生×10、融合 素材加總+轉生×20。</v>
      </c>
      <c r="G260">
        <f>計算表!G260</f>
        <v>0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3">
        <f>計算表!B261</f>
        <v>0</v>
      </c>
      <c r="C261" t="str">
        <f>計算表!C261</f>
        <v>9-技能</v>
      </c>
      <c r="D261" t="str">
        <f>計算表!D261</f>
        <v>奧術衝擊(基礎技能)</v>
      </c>
      <c r="E261" t="str">
        <f>計算表!E261</f>
        <v>MP a／冷卻 b 秒／施法 c 秒／魔攻×d＋物攻×e</v>
      </c>
      <c r="F261" t="str">
        <f>計算表!F261</f>
        <v>固定自動施放技能常數。</v>
      </c>
      <c r="G261">
        <f>計算表!G261</f>
        <v>30</v>
      </c>
      <c r="H261">
        <f>計算表!H261</f>
        <v>10</v>
      </c>
      <c r="I261">
        <f>計算表!I261</f>
        <v>0.8</v>
      </c>
      <c r="J261">
        <f>計算表!J261</f>
        <v>1.5</v>
      </c>
      <c r="K261">
        <f>計算表!K261</f>
        <v>0.3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3">
        <f>計算表!B262</f>
        <v>0</v>
      </c>
      <c r="C262" t="str">
        <f>計算表!C262</f>
        <v>9-融合</v>
      </c>
      <c r="D262" t="str">
        <f>計算表!D262</f>
        <v>素材繼承比例</v>
      </c>
      <c r="E262" t="str">
        <f>計算表!E262</f>
        <v>各素材 base/per × a 後加總</v>
      </c>
      <c r="F262" t="str">
        <f>計算表!F262</f>
        <v>a=FUSE_FACTOR。</v>
      </c>
      <c r="G262">
        <f>計算表!G262</f>
        <v>0.75</v>
      </c>
      <c r="H262">
        <f>計算表!H262</f>
        <v>0</v>
      </c>
      <c r="I262">
        <f>計算表!I262</f>
        <v>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3">
        <f>計算表!B263</f>
        <v>0</v>
      </c>
      <c r="C263" t="str">
        <f>計算表!C263</f>
        <v>9-融合</v>
      </c>
      <c r="D263" t="str">
        <f>計算表!D263</f>
        <v>融合冷卻</v>
      </c>
      <c r="E263" t="str">
        <f>計算表!E263</f>
        <v>素材最長冷卻 × a</v>
      </c>
      <c r="F263">
        <f>計算表!F263</f>
        <v>0</v>
      </c>
      <c r="G263">
        <f>計算表!G263</f>
        <v>1.25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3">
        <f>計算表!B264</f>
        <v>0</v>
      </c>
      <c r="C264" t="str">
        <f>計算表!C264</f>
        <v>9-融合</v>
      </c>
      <c r="D264" t="str">
        <f>計算表!D264</f>
        <v>變異觸發率</v>
      </c>
      <c r="E264" t="str">
        <f>計算表!E264</f>
        <v>a% + 幸運值/b</v>
      </c>
      <c r="F264" t="str">
        <f>計算表!F264</f>
        <v>8 種變異，至多 1 種。</v>
      </c>
      <c r="G264">
        <f>計算表!G264</f>
        <v>45</v>
      </c>
      <c r="H264">
        <f>計算表!H264</f>
        <v>3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3">
        <f>計算表!B265</f>
        <v>0</v>
      </c>
      <c r="C265" t="str">
        <f>計算表!C265</f>
        <v>9-融合</v>
      </c>
      <c r="D265" t="str">
        <f>計算表!D265</f>
        <v>DoT/控場/增益合併</v>
      </c>
      <c r="E265" t="str">
        <f>計算表!E265</f>
        <v>DoT×0.7 同名取高最多2種；控場取最大×0.8；增益 base×0.8 最多2種</v>
      </c>
      <c r="F265" t="str">
        <f>計算表!F265</f>
        <v>結構寫死：DoT×0.7、控場×0.8、增益×0.8，增益/減益各最多2種。</v>
      </c>
      <c r="G265">
        <f>計算表!G265</f>
        <v>0</v>
      </c>
      <c r="H265">
        <f>計算表!H265</f>
        <v>0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3">
        <f>計算表!B266</f>
        <v>0</v>
      </c>
      <c r="C266" t="str">
        <f>計算表!C266</f>
        <v>9-融合</v>
      </c>
      <c r="D266" t="str">
        <f>計算表!D266</f>
        <v>融合技能法力消耗</v>
      </c>
      <c r="E266" t="str">
        <f>計算表!E266</f>
        <v>round(素材原始消耗總和 × (1 + a×(融合技等級-1)))</v>
      </c>
      <c r="F266" t="str">
        <f>計算表!F266</f>
        <v>a=每級增幅。　※與「9-技能/一般技能法力消耗」共用公式，本列不生效。</v>
      </c>
      <c r="G266">
        <f>計算表!G266</f>
        <v>0.1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3">
        <f>計算表!B267</f>
        <v>0</v>
      </c>
      <c r="C267" t="str">
        <f>計算表!C267</f>
        <v>10-離線</v>
      </c>
      <c r="D267" t="str">
        <f>計算表!D267</f>
        <v>有效離線時間</v>
      </c>
      <c r="E267" t="str">
        <f>計算表!E267</f>
        <v>min(實際離線秒數, a 小時)</v>
      </c>
      <c r="F267" t="str">
        <f>計算表!F267</f>
        <v>1 分鐘內不計。</v>
      </c>
      <c r="G267">
        <f>計算表!G267</f>
        <v>8</v>
      </c>
      <c r="H267">
        <f>計算表!H267</f>
        <v>0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3">
        <f>計算表!B268</f>
        <v>0</v>
      </c>
      <c r="C268" t="str">
        <f>計算表!C268</f>
        <v>10-離線</v>
      </c>
      <c r="D268" t="str">
        <f>計算表!D268</f>
        <v>期望暴擊倍率</v>
      </c>
      <c r="E268" t="str">
        <f>計算表!E268</f>
        <v>1 + 暴擊率% × (暴擊傷害% - 1)</v>
      </c>
      <c r="F268" t="str">
        <f>計算表!F268</f>
        <v>衍生估算值，非可調參數(離線收益計算用)。</v>
      </c>
      <c r="G268">
        <f>計算表!G268</f>
        <v>0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3">
        <f>計算表!B269</f>
        <v>0</v>
      </c>
      <c r="C269" t="str">
        <f>計算表!C269</f>
        <v>10-離線</v>
      </c>
      <c r="D269" t="str">
        <f>計算表!D269</f>
        <v>估算 DPS</v>
      </c>
      <c r="E269" t="str">
        <f>計算表!E269</f>
        <v>物攻 × (1 - 當前階段怪物防禦減傷) × 攻速 × 期望暴擊倍率</v>
      </c>
      <c r="F269" t="str">
        <f>計算表!F269</f>
        <v>衍生估算值，非可調參數(離線收益計算用)。</v>
      </c>
      <c r="G269">
        <f>計算表!G269</f>
        <v>0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3">
        <f>計算表!B270</f>
        <v>0</v>
      </c>
      <c r="C270" t="str">
        <f>計算表!C270</f>
        <v>10-離線</v>
      </c>
      <c r="D270" t="str">
        <f>計算表!D270</f>
        <v>單殺耗時</v>
      </c>
      <c r="E270" t="str">
        <f>計算表!E270</f>
        <v>怪物血量 / DPS + a 秒出怪間隔</v>
      </c>
      <c r="F270" t="str">
        <f>計算表!F270</f>
        <v>a=出怪間隔。　※衍生估算值，非可調參數(離線收益計算用)。</v>
      </c>
      <c r="G270">
        <f>計算表!G270</f>
        <v>0.8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3">
        <f>計算表!B271</f>
        <v>0</v>
      </c>
      <c r="C271" t="str">
        <f>計算表!C271</f>
        <v>10-離線</v>
      </c>
      <c r="D271" t="str">
        <f>計算表!D271</f>
        <v>擊殺數</v>
      </c>
      <c r="E271" t="str">
        <f>計算表!E271</f>
        <v>⌊有效時間 / 單殺耗時 × a⌋</v>
      </c>
      <c r="F271" t="str">
        <f>計算表!F271</f>
        <v>a=效率係數；上限 b。</v>
      </c>
      <c r="G271">
        <f>計算表!G271</f>
        <v>0.5</v>
      </c>
      <c r="H271">
        <f>計算表!H271</f>
        <v>20000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3">
        <f>計算表!B272</f>
        <v>0</v>
      </c>
      <c r="C272" t="str">
        <f>計算表!C272</f>
        <v>10-離線</v>
      </c>
      <c r="D272" t="str">
        <f>計算表!D272</f>
        <v>裝備收益</v>
      </c>
      <c r="E272" t="str">
        <f>計算表!E272</f>
        <v>期望件數×(1+掉寶率)，高品質優先最多 a 件實體化，其餘折碎片</v>
      </c>
      <c r="F272" t="str">
        <f>計算表!F272</f>
        <v>a=實體化上限；折算碎片=每件 3×分解係數。　※衍生：離線最多實體化30件裝備，其餘折算碎片(寫死於 save.js)。</v>
      </c>
      <c r="G272">
        <f>計算表!G272</f>
        <v>30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3">
        <f>計算表!B273</f>
        <v>0</v>
      </c>
      <c r="C273" t="str">
        <f>計算表!C273</f>
        <v>表-稀有度</v>
      </c>
      <c r="D273" t="str">
        <f>計算表!D273</f>
        <v>普通</v>
      </c>
      <c r="E273" t="str">
        <f>計算表!E273</f>
        <v>（查表）</v>
      </c>
      <c r="F273" t="str">
        <f>計算表!F273</f>
        <v>a=詞條數值倍率 b=詞條數下限 c=詞條數上限 d=寶石插槽 e=附魔欄位 f=分解係數。</v>
      </c>
      <c r="G273">
        <f>計算表!G273</f>
        <v>1</v>
      </c>
      <c r="H273">
        <f>計算表!H273</f>
        <v>1</v>
      </c>
      <c r="I273">
        <f>計算表!I273</f>
        <v>2</v>
      </c>
      <c r="J273">
        <f>計算表!J273</f>
        <v>1</v>
      </c>
      <c r="K273">
        <f>計算表!K273</f>
        <v>1</v>
      </c>
      <c r="L273">
        <f>計算表!L273</f>
        <v>1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3">
        <f>計算表!B274</f>
        <v>0</v>
      </c>
      <c r="C274" t="str">
        <f>計算表!C274</f>
        <v>表-稀有度</v>
      </c>
      <c r="D274" t="str">
        <f>計算表!D274</f>
        <v>精良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1.35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1.7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3">
        <f>計算表!B275</f>
        <v>0</v>
      </c>
      <c r="C275" t="str">
        <f>計算表!C275</f>
        <v>表-稀有度</v>
      </c>
      <c r="D275" t="str">
        <f>計算表!D275</f>
        <v>稀有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1.75</v>
      </c>
      <c r="H275">
        <f>計算表!H275</f>
        <v>2</v>
      </c>
      <c r="I275">
        <f>計算表!I275</f>
        <v>3</v>
      </c>
      <c r="J275">
        <f>計算表!J275</f>
        <v>2</v>
      </c>
      <c r="K275">
        <f>計算表!K275</f>
        <v>1</v>
      </c>
      <c r="L275">
        <f>計算表!L275</f>
        <v>2.8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3">
        <f>計算表!B276</f>
        <v>0</v>
      </c>
      <c r="C276" t="str">
        <f>計算表!C276</f>
        <v>表-稀有度</v>
      </c>
      <c r="D276" t="str">
        <f>計算表!D276</f>
        <v>獨特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2.2999999999999998</v>
      </c>
      <c r="H276">
        <f>計算表!H276</f>
        <v>3</v>
      </c>
      <c r="I276">
        <f>計算表!I276</f>
        <v>4</v>
      </c>
      <c r="J276">
        <f>計算表!J276</f>
        <v>2</v>
      </c>
      <c r="K276">
        <f>計算表!K276</f>
        <v>2</v>
      </c>
      <c r="L276">
        <f>計算表!L276</f>
        <v>4.5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3">
        <f>計算表!B277</f>
        <v>0</v>
      </c>
      <c r="C277" t="str">
        <f>計算表!C277</f>
        <v>表-稀有度</v>
      </c>
      <c r="D277" t="str">
        <f>計算表!D277</f>
        <v>史詩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3</v>
      </c>
      <c r="H277">
        <f>計算表!H277</f>
        <v>4</v>
      </c>
      <c r="I277">
        <f>計算表!I277</f>
        <v>5</v>
      </c>
      <c r="J277">
        <f>計算表!J277</f>
        <v>3</v>
      </c>
      <c r="K277">
        <f>計算表!K277</f>
        <v>2</v>
      </c>
      <c r="L277">
        <f>計算表!L277</f>
        <v>7.5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3">
        <f>計算表!B278</f>
        <v>0</v>
      </c>
      <c r="C278" t="str">
        <f>計算表!C278</f>
        <v>表-稀有度</v>
      </c>
      <c r="D278" t="str">
        <f>計算表!D278</f>
        <v>傳說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4</v>
      </c>
      <c r="H278">
        <f>計算表!H278</f>
        <v>4</v>
      </c>
      <c r="I278">
        <f>計算表!I278</f>
        <v>5</v>
      </c>
      <c r="J278">
        <f>計算表!J278</f>
        <v>4</v>
      </c>
      <c r="K278">
        <f>計算表!K278</f>
        <v>2</v>
      </c>
      <c r="L278">
        <f>計算表!L278</f>
        <v>12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3">
        <f>計算表!B279</f>
        <v>0</v>
      </c>
      <c r="C279" t="str">
        <f>計算表!C279</f>
        <v>表-稀有度</v>
      </c>
      <c r="D279" t="str">
        <f>計算表!D279</f>
        <v>神話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5.2</v>
      </c>
      <c r="H279">
        <f>計算表!H279</f>
        <v>6</v>
      </c>
      <c r="I279">
        <f>計算表!I279</f>
        <v>6</v>
      </c>
      <c r="J279">
        <f>計算表!J279</f>
        <v>5</v>
      </c>
      <c r="K279">
        <f>計算表!K279</f>
        <v>3</v>
      </c>
      <c r="L279">
        <f>計算表!L279</f>
        <v>19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3">
        <f>計算表!B280</f>
        <v>0</v>
      </c>
      <c r="C280" t="str">
        <f>計算表!C280</f>
        <v>表-稀有度</v>
      </c>
      <c r="D280" t="str">
        <f>計算表!D280</f>
        <v>創世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6.8</v>
      </c>
      <c r="H280">
        <f>計算表!H280</f>
        <v>7</v>
      </c>
      <c r="I280">
        <f>計算表!I280</f>
        <v>7</v>
      </c>
      <c r="J280">
        <f>計算表!J280</f>
        <v>6</v>
      </c>
      <c r="K280">
        <f>計算表!K280</f>
        <v>3</v>
      </c>
      <c r="L280">
        <f>計算表!L280</f>
        <v>30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3">
        <f>計算表!B281</f>
        <v>0</v>
      </c>
      <c r="C281" t="str">
        <f>計算表!C281</f>
        <v>表-稀有度</v>
      </c>
      <c r="D281" t="str">
        <f>計算表!D281</f>
        <v>神鑄創世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10.199999999999999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45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3">
        <f>計算表!B282</f>
        <v>0</v>
      </c>
      <c r="C282" t="str">
        <f>計算表!C282</f>
        <v>表-詞條池</v>
      </c>
      <c r="D282" t="str">
        <f>計算表!D282</f>
        <v>物理攻擊</v>
      </c>
      <c r="E282" t="str">
        <f>計算表!E282</f>
        <v>基準值 = (a + a×b×(裝備等級-1)) × 稀有度倍率</v>
      </c>
      <c r="F282" t="str">
        <f>計算表!F282</f>
        <v>a=一級基準 b=每級成長係數 c=出現權重 d=最低稀有度 e=百分比。</v>
      </c>
      <c r="G282">
        <f>計算表!G282</f>
        <v>4</v>
      </c>
      <c r="H282">
        <f>計算表!H282</f>
        <v>0.55000000000000004</v>
      </c>
      <c r="I282">
        <f>計算表!I282</f>
        <v>11</v>
      </c>
      <c r="J282" t="str">
        <f>計算表!J282</f>
        <v>-</v>
      </c>
      <c r="K282" t="str">
        <f>計算表!K282</f>
        <v>否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3">
        <f>計算表!B283</f>
        <v>0</v>
      </c>
      <c r="C283" t="str">
        <f>計算表!C283</f>
        <v>表-詞條池</v>
      </c>
      <c r="D283" t="str">
        <f>計算表!D283</f>
        <v>物理攻擊%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0.02</v>
      </c>
      <c r="I283">
        <f>計算表!I283</f>
        <v>7</v>
      </c>
      <c r="J283" t="str">
        <f>計算表!J283</f>
        <v>-</v>
      </c>
      <c r="K283" t="str">
        <f>計算表!K283</f>
        <v>是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3">
        <f>計算表!B284</f>
        <v>0</v>
      </c>
      <c r="C284" t="str">
        <f>計算表!C284</f>
        <v>表-詞條池</v>
      </c>
      <c r="D284" t="str">
        <f>計算表!D284</f>
        <v>魔法攻擊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0.55000000000000004</v>
      </c>
      <c r="I284">
        <f>計算表!I284</f>
        <v>11</v>
      </c>
      <c r="J284" t="str">
        <f>計算表!J284</f>
        <v>-</v>
      </c>
      <c r="K284" t="str">
        <f>計算表!K284</f>
        <v>否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3">
        <f>計算表!B285</f>
        <v>0</v>
      </c>
      <c r="C285" t="str">
        <f>計算表!C285</f>
        <v>表-詞條池</v>
      </c>
      <c r="D285" t="str">
        <f>計算表!D285</f>
        <v>魔法攻擊%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4</v>
      </c>
      <c r="H285">
        <f>計算表!H285</f>
        <v>0.02</v>
      </c>
      <c r="I285">
        <f>計算表!I285</f>
        <v>7</v>
      </c>
      <c r="J285" t="str">
        <f>計算表!J285</f>
        <v>-</v>
      </c>
      <c r="K285" t="str">
        <f>計算表!K285</f>
        <v>是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3">
        <f>計算表!B286</f>
        <v>0</v>
      </c>
      <c r="C286" t="str">
        <f>計算表!C286</f>
        <v>表-詞條池</v>
      </c>
      <c r="D286" t="str">
        <f>計算表!D286</f>
        <v>生命值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22</v>
      </c>
      <c r="H286">
        <f>計算表!H286</f>
        <v>3</v>
      </c>
      <c r="I286">
        <f>計算表!I286</f>
        <v>11</v>
      </c>
      <c r="J286" t="str">
        <f>計算表!J286</f>
        <v>-</v>
      </c>
      <c r="K286" t="str">
        <f>計算表!K286</f>
        <v>否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3">
        <f>計算表!B287</f>
        <v>0</v>
      </c>
      <c r="C287" t="str">
        <f>計算表!C287</f>
        <v>表-詞條池</v>
      </c>
      <c r="D287" t="str">
        <f>計算表!D287</f>
        <v>生命值%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5</v>
      </c>
      <c r="H287">
        <f>計算表!H287</f>
        <v>0.02</v>
      </c>
      <c r="I287">
        <f>計算表!I287</f>
        <v>7</v>
      </c>
      <c r="J287" t="str">
        <f>計算表!J287</f>
        <v>-</v>
      </c>
      <c r="K287" t="str">
        <f>計算表!K287</f>
        <v>是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3">
        <f>計算表!B288</f>
        <v>0</v>
      </c>
      <c r="C288" t="str">
        <f>計算表!C288</f>
        <v>表-詞條池</v>
      </c>
      <c r="D288" t="str">
        <f>計算表!D288</f>
        <v>生命恢復/秒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2</v>
      </c>
      <c r="H288">
        <f>計算表!H288</f>
        <v>0.5</v>
      </c>
      <c r="I288">
        <f>計算表!I288</f>
        <v>5</v>
      </c>
      <c r="J288" t="str">
        <f>計算表!J288</f>
        <v>-</v>
      </c>
      <c r="K288" t="str">
        <f>計算表!K288</f>
        <v>否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3">
        <f>計算表!B289</f>
        <v>0</v>
      </c>
      <c r="C289" t="str">
        <f>計算表!C289</f>
        <v>表-詞條池</v>
      </c>
      <c r="D289" t="str">
        <f>計算表!D289</f>
        <v>法力值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10</v>
      </c>
      <c r="H289">
        <f>計算表!H289</f>
        <v>1.2</v>
      </c>
      <c r="I289">
        <f>計算表!I289</f>
        <v>5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3">
        <f>計算表!B290</f>
        <v>0</v>
      </c>
      <c r="C290" t="str">
        <f>計算表!C290</f>
        <v>表-詞條池</v>
      </c>
      <c r="D290" t="str">
        <f>計算表!D290</f>
        <v>法力恢復/秒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0.8</v>
      </c>
      <c r="H290">
        <f>計算表!H290</f>
        <v>0.06</v>
      </c>
      <c r="I290">
        <f>計算表!I290</f>
        <v>4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3">
        <f>計算表!B291</f>
        <v>0</v>
      </c>
      <c r="C291" t="str">
        <f>計算表!C291</f>
        <v>表-詞條池</v>
      </c>
      <c r="D291" t="str">
        <f>計算表!D291</f>
        <v>力量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3</v>
      </c>
      <c r="H291">
        <f>計算表!H291</f>
        <v>0.4</v>
      </c>
      <c r="I291">
        <f>計算表!I291</f>
        <v>8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3">
        <f>計算表!B292</f>
        <v>0</v>
      </c>
      <c r="C292" t="str">
        <f>計算表!C292</f>
        <v>表-詞條池</v>
      </c>
      <c r="D292" t="str">
        <f>計算表!D292</f>
        <v>敏捷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3">
        <f>計算表!B293</f>
        <v>0</v>
      </c>
      <c r="C293" t="str">
        <f>計算表!C293</f>
        <v>表-詞條池</v>
      </c>
      <c r="D293" t="str">
        <f>計算表!D293</f>
        <v>智力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3">
        <f>計算表!B294</f>
        <v>0</v>
      </c>
      <c r="C294" t="str">
        <f>計算表!C294</f>
        <v>表-詞條池</v>
      </c>
      <c r="D294" t="str">
        <f>計算表!D294</f>
        <v>耐力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0.4</v>
      </c>
      <c r="I294">
        <f>計算表!I294</f>
        <v>8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3">
        <f>計算表!B295</f>
        <v>0</v>
      </c>
      <c r="C295" t="str">
        <f>計算表!C295</f>
        <v>表-詞條池</v>
      </c>
      <c r="D295" t="str">
        <f>計算表!D295</f>
        <v>物理防禦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3</v>
      </c>
      <c r="H295">
        <f>計算表!H295</f>
        <v>0.35</v>
      </c>
      <c r="I295">
        <f>計算表!I295</f>
        <v>9</v>
      </c>
      <c r="J295" t="str">
        <f>計算表!J295</f>
        <v>-</v>
      </c>
      <c r="K295" t="str">
        <f>計算表!K295</f>
        <v>否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3">
        <f>計算表!B296</f>
        <v>0</v>
      </c>
      <c r="C296" t="str">
        <f>計算表!C296</f>
        <v>表-詞條池</v>
      </c>
      <c r="D296" t="str">
        <f>計算表!D296</f>
        <v>物理防禦%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4</v>
      </c>
      <c r="H296">
        <f>計算表!H296</f>
        <v>0.02</v>
      </c>
      <c r="I296">
        <f>計算表!I296</f>
        <v>6</v>
      </c>
      <c r="J296" t="str">
        <f>計算表!J296</f>
        <v>-</v>
      </c>
      <c r="K296" t="str">
        <f>計算表!K296</f>
        <v>是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3">
        <f>計算表!B297</f>
        <v>0</v>
      </c>
      <c r="C297" t="str">
        <f>計算表!C297</f>
        <v>表-詞條池</v>
      </c>
      <c r="D297" t="str">
        <f>計算表!D297</f>
        <v>魔法防禦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3</v>
      </c>
      <c r="H297">
        <f>計算表!H297</f>
        <v>0.35</v>
      </c>
      <c r="I297">
        <f>計算表!I297</f>
        <v>9</v>
      </c>
      <c r="J297" t="str">
        <f>計算表!J297</f>
        <v>-</v>
      </c>
      <c r="K297" t="str">
        <f>計算表!K297</f>
        <v>否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3">
        <f>計算表!B298</f>
        <v>0</v>
      </c>
      <c r="C298" t="str">
        <f>計算表!C298</f>
        <v>表-詞條池</v>
      </c>
      <c r="D298" t="str">
        <f>計算表!D298</f>
        <v>全局減傷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</v>
      </c>
      <c r="G298">
        <f>計算表!G298</f>
        <v>3</v>
      </c>
      <c r="H298">
        <f>計算表!H298</f>
        <v>0.35</v>
      </c>
      <c r="I298">
        <f>計算表!I298</f>
        <v>9</v>
      </c>
      <c r="J298" t="str">
        <f>計算表!J298</f>
        <v>史詩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3">
        <f>計算表!B299</f>
        <v>0</v>
      </c>
      <c r="C299" t="str">
        <f>計算表!C299</f>
        <v>表-詞條池</v>
      </c>
      <c r="D299" t="str">
        <f>計算表!D299</f>
        <v>攻擊速度%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</v>
      </c>
      <c r="G299">
        <f>計算表!G299</f>
        <v>3</v>
      </c>
      <c r="H299">
        <f>計算表!H299</f>
        <v>1.2E-2</v>
      </c>
      <c r="I299">
        <f>計算表!I299</f>
        <v>6</v>
      </c>
      <c r="J299" t="str">
        <f>計算表!J299</f>
        <v>-</v>
      </c>
      <c r="K299" t="str">
        <f>計算表!K299</f>
        <v>是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3">
        <f>計算表!B300</f>
        <v>0</v>
      </c>
      <c r="C300" t="str">
        <f>計算表!C300</f>
        <v>表-詞條池</v>
      </c>
      <c r="D300" t="str">
        <f>計算表!D300</f>
        <v>暴擊率%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</v>
      </c>
      <c r="G300">
        <f>計算表!G300</f>
        <v>2.5</v>
      </c>
      <c r="H300">
        <f>計算表!H300</f>
        <v>1.2E-2</v>
      </c>
      <c r="I300">
        <f>計算表!I300</f>
        <v>6</v>
      </c>
      <c r="J300" t="str">
        <f>計算表!J300</f>
        <v>-</v>
      </c>
      <c r="K300" t="str">
        <f>計算表!K300</f>
        <v>是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3">
        <f>計算表!B301</f>
        <v>0</v>
      </c>
      <c r="C301" t="str">
        <f>計算表!C301</f>
        <v>表-詞條池</v>
      </c>
      <c r="D301" t="str">
        <f>計算表!D301</f>
        <v>暴擊傷害%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</v>
      </c>
      <c r="G301">
        <f>計算表!G301</f>
        <v>8</v>
      </c>
      <c r="H301">
        <f>計算表!H301</f>
        <v>0.05</v>
      </c>
      <c r="I301">
        <f>計算表!I301</f>
        <v>5</v>
      </c>
      <c r="J301" t="str">
        <f>計算表!J301</f>
        <v>-</v>
      </c>
      <c r="K301" t="str">
        <f>計算表!K301</f>
        <v>是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3">
        <f>計算表!B302</f>
        <v>0</v>
      </c>
      <c r="C302" t="str">
        <f>計算表!C302</f>
        <v>表-詞條池</v>
      </c>
      <c r="D302" t="str">
        <f>計算表!D302</f>
        <v>物理穿透%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3</v>
      </c>
      <c r="H302">
        <f>計算表!H302</f>
        <v>1.4999999999999999E-2</v>
      </c>
      <c r="I302">
        <f>計算表!I302</f>
        <v>4</v>
      </c>
      <c r="J302" t="str">
        <f>計算表!J302</f>
        <v>精良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3">
        <f>計算表!B303</f>
        <v>0</v>
      </c>
      <c r="C303" t="str">
        <f>計算表!C303</f>
        <v>表-詞條池</v>
      </c>
      <c r="D303" t="str">
        <f>計算表!D303</f>
        <v>魔法穿透%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3</v>
      </c>
      <c r="H303">
        <f>計算表!H303</f>
        <v>1.4999999999999999E-2</v>
      </c>
      <c r="I303">
        <f>計算表!I303</f>
        <v>4</v>
      </c>
      <c r="J303" t="str">
        <f>計算表!J303</f>
        <v>精良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3">
        <f>計算表!B304</f>
        <v>0</v>
      </c>
      <c r="C304" t="str">
        <f>計算表!C304</f>
        <v>表-詞條池</v>
      </c>
      <c r="D304" t="str">
        <f>計算表!D304</f>
        <v>命中率%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3</v>
      </c>
      <c r="H304">
        <f>計算表!H304</f>
        <v>1.4999999999999999E-2</v>
      </c>
      <c r="I304">
        <f>計算表!I304</f>
        <v>5</v>
      </c>
      <c r="J304" t="str">
        <f>計算表!J304</f>
        <v>-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3">
        <f>計算表!B305</f>
        <v>0</v>
      </c>
      <c r="C305" t="str">
        <f>計算表!C305</f>
        <v>表-詞條池</v>
      </c>
      <c r="D305" t="str">
        <f>計算表!D305</f>
        <v>冷卻縮減%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2.5</v>
      </c>
      <c r="H305">
        <f>計算表!H305</f>
        <v>0.01</v>
      </c>
      <c r="I305">
        <f>計算表!I305</f>
        <v>4</v>
      </c>
      <c r="J305" t="str">
        <f>計算表!J305</f>
        <v>稀有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3">
        <f>計算表!B306</f>
        <v>0</v>
      </c>
      <c r="C306" t="str">
        <f>計算表!C306</f>
        <v>表-詞條池</v>
      </c>
      <c r="D306" t="str">
        <f>計算表!D306</f>
        <v>施法速度%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3</v>
      </c>
      <c r="H306">
        <f>計算表!H306</f>
        <v>1.2E-2</v>
      </c>
      <c r="I306">
        <f>計算表!I306</f>
        <v>4</v>
      </c>
      <c r="J306" t="str">
        <f>計算表!J306</f>
        <v>稀有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3">
        <f>計算表!B307</f>
        <v>0</v>
      </c>
      <c r="C307" t="str">
        <f>計算表!C307</f>
        <v>表-詞條池</v>
      </c>
      <c r="D307" t="str">
        <f>計算表!D307</f>
        <v>吸血%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1.5</v>
      </c>
      <c r="H307">
        <f>計算表!H307</f>
        <v>8.0000000000000002E-3</v>
      </c>
      <c r="I307">
        <f>計算表!I307</f>
        <v>4</v>
      </c>
      <c r="J307" t="str">
        <f>計算表!J307</f>
        <v>-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3">
        <f>計算表!B308</f>
        <v>0</v>
      </c>
      <c r="C308" t="str">
        <f>計算表!C308</f>
        <v>表-詞條池</v>
      </c>
      <c r="D308" t="str">
        <f>計算表!D308</f>
        <v>吸魔%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1.2</v>
      </c>
      <c r="H308">
        <f>計算表!H308</f>
        <v>6.0000000000000001E-3</v>
      </c>
      <c r="I308">
        <f>計算表!I308</f>
        <v>3</v>
      </c>
      <c r="J308" t="str">
        <f>計算表!J308</f>
        <v>稀有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3">
        <f>計算表!B309</f>
        <v>0</v>
      </c>
      <c r="C309" t="str">
        <f>計算表!C309</f>
        <v>表-詞條池</v>
      </c>
      <c r="D309" t="str">
        <f>計算表!D309</f>
        <v>對菁英傷害%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4</v>
      </c>
      <c r="H309">
        <f>計算表!H309</f>
        <v>0.02</v>
      </c>
      <c r="I309">
        <f>計算表!I309</f>
        <v>4</v>
      </c>
      <c r="J309" t="str">
        <f>計算表!J309</f>
        <v>稀有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3">
        <f>計算表!B310</f>
        <v>0</v>
      </c>
      <c r="C310" t="str">
        <f>計算表!C310</f>
        <v>表-詞條池</v>
      </c>
      <c r="D310" t="str">
        <f>計算表!D310</f>
        <v>對BOSS傷害%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4</v>
      </c>
      <c r="H310">
        <f>計算表!H310</f>
        <v>0.02</v>
      </c>
      <c r="I310">
        <f>計算表!I310</f>
        <v>4</v>
      </c>
      <c r="J310" t="str">
        <f>計算表!J310</f>
        <v>稀有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3">
        <f>計算表!B311</f>
        <v>0</v>
      </c>
      <c r="C311" t="str">
        <f>計算表!C311</f>
        <v>表-詞條池</v>
      </c>
      <c r="D311" t="str">
        <f>計算表!D311</f>
        <v>範圍傷害%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4</v>
      </c>
      <c r="H311">
        <f>計算表!H311</f>
        <v>0.02</v>
      </c>
      <c r="I311">
        <f>計算表!I311</f>
        <v>4</v>
      </c>
      <c r="J311" t="str">
        <f>計算表!J311</f>
        <v>稀有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3">
        <f>計算表!B312</f>
        <v>0</v>
      </c>
      <c r="C312" t="str">
        <f>計算表!C312</f>
        <v>表-詞條池</v>
      </c>
      <c r="D312" t="str">
        <f>計算表!D312</f>
        <v>格擋率%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2.5</v>
      </c>
      <c r="H312">
        <f>計算表!H312</f>
        <v>1.2E-2</v>
      </c>
      <c r="I312">
        <f>計算表!I312</f>
        <v>4</v>
      </c>
      <c r="J312" t="str">
        <f>計算表!J312</f>
        <v>-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3">
        <f>計算表!B313</f>
        <v>0</v>
      </c>
      <c r="C313" t="str">
        <f>計算表!C313</f>
        <v>表-詞條池</v>
      </c>
      <c r="D313" t="str">
        <f>計算表!D313</f>
        <v>格擋減傷%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</v>
      </c>
      <c r="G313">
        <f>計算表!G313</f>
        <v>4</v>
      </c>
      <c r="H313">
        <f>計算表!H313</f>
        <v>0.02</v>
      </c>
      <c r="I313">
        <f>計算表!I313</f>
        <v>3</v>
      </c>
      <c r="J313" t="str">
        <f>計算表!J313</f>
        <v>稀有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3">
        <f>計算表!B314</f>
        <v>0</v>
      </c>
      <c r="C314" t="str">
        <f>計算表!C314</f>
        <v>表-詞條池</v>
      </c>
      <c r="D314" t="str">
        <f>計算表!D314</f>
        <v>閃避率%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</v>
      </c>
      <c r="G314">
        <f>計算表!G314</f>
        <v>2</v>
      </c>
      <c r="H314">
        <f>計算表!H314</f>
        <v>0.01</v>
      </c>
      <c r="I314">
        <f>計算表!I314</f>
        <v>4</v>
      </c>
      <c r="J314" t="str">
        <f>計算表!J314</f>
        <v>-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3">
        <f>計算表!B315</f>
        <v>0</v>
      </c>
      <c r="C315" t="str">
        <f>計算表!C315</f>
        <v>表-詞條池</v>
      </c>
      <c r="D315" t="str">
        <f>計算表!D315</f>
        <v>韌性%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</v>
      </c>
      <c r="G315">
        <f>計算表!G315</f>
        <v>4</v>
      </c>
      <c r="H315">
        <f>計算表!H315</f>
        <v>0.02</v>
      </c>
      <c r="I315">
        <f>計算表!I315</f>
        <v>3</v>
      </c>
      <c r="J315" t="str">
        <f>計算表!J315</f>
        <v>稀有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3">
        <f>計算表!B316</f>
        <v>0</v>
      </c>
      <c r="C316" t="str">
        <f>計算表!C316</f>
        <v>表-詞條池</v>
      </c>
      <c r="D316" t="str">
        <f>計算表!D316</f>
        <v>護盾效率%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</v>
      </c>
      <c r="G316">
        <f>計算表!G316</f>
        <v>5</v>
      </c>
      <c r="H316">
        <f>計算表!H316</f>
        <v>2.5000000000000001E-2</v>
      </c>
      <c r="I316">
        <f>計算表!I316</f>
        <v>3</v>
      </c>
      <c r="J316" t="str">
        <f>計算表!J316</f>
        <v>獨特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3">
        <f>計算表!B317</f>
        <v>0</v>
      </c>
      <c r="C317" t="str">
        <f>計算表!C317</f>
        <v>表-詞條池</v>
      </c>
      <c r="D317" t="str">
        <f>計算表!D317</f>
        <v>物理抗性%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</v>
      </c>
      <c r="G317">
        <f>計算表!G317</f>
        <v>2</v>
      </c>
      <c r="H317">
        <f>計算表!H317</f>
        <v>8.0000000000000002E-3</v>
      </c>
      <c r="I317">
        <f>計算表!I317</f>
        <v>3</v>
      </c>
      <c r="J317" t="str">
        <f>計算表!J317</f>
        <v>獨特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3">
        <f>計算表!B318</f>
        <v>0</v>
      </c>
      <c r="C318" t="str">
        <f>計算表!C318</f>
        <v>表-詞條池</v>
      </c>
      <c r="D318" t="str">
        <f>計算表!D318</f>
        <v>魔法抗性%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</v>
      </c>
      <c r="G318">
        <f>計算表!G318</f>
        <v>2</v>
      </c>
      <c r="H318">
        <f>計算表!H318</f>
        <v>8.0000000000000002E-3</v>
      </c>
      <c r="I318">
        <f>計算表!I318</f>
        <v>3</v>
      </c>
      <c r="J318" t="str">
        <f>計算表!J318</f>
        <v>獨特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3">
        <f>計算表!B319</f>
        <v>0</v>
      </c>
      <c r="C319" t="str">
        <f>計算表!C319</f>
        <v>表-詞條池</v>
      </c>
      <c r="D319" t="str">
        <f>計算表!D319</f>
        <v>火焰抗性%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</v>
      </c>
      <c r="G319">
        <f>計算表!G319</f>
        <v>4</v>
      </c>
      <c r="H319">
        <f>計算表!H319</f>
        <v>0.02</v>
      </c>
      <c r="I319">
        <f>計算表!I319</f>
        <v>3</v>
      </c>
      <c r="J319" t="str">
        <f>計算表!J319</f>
        <v>精良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3">
        <f>計算表!B320</f>
        <v>0</v>
      </c>
      <c r="C320" t="str">
        <f>計算表!C320</f>
        <v>表-詞條池</v>
      </c>
      <c r="D320" t="str">
        <f>計算表!D320</f>
        <v>冰霜抗性%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</v>
      </c>
      <c r="G320">
        <f>計算表!G320</f>
        <v>4</v>
      </c>
      <c r="H320">
        <f>計算表!H320</f>
        <v>0.02</v>
      </c>
      <c r="I320">
        <f>計算表!I320</f>
        <v>3</v>
      </c>
      <c r="J320" t="str">
        <f>計算表!J320</f>
        <v>精良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3">
        <f>計算表!B321</f>
        <v>0</v>
      </c>
      <c r="C321" t="str">
        <f>計算表!C321</f>
        <v>表-詞條池</v>
      </c>
      <c r="D321" t="str">
        <f>計算表!D321</f>
        <v>雷電抗性%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4</v>
      </c>
      <c r="H321">
        <f>計算表!H321</f>
        <v>0.02</v>
      </c>
      <c r="I321">
        <f>計算表!I321</f>
        <v>3</v>
      </c>
      <c r="J321" t="str">
        <f>計算表!J321</f>
        <v>精良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3">
        <f>計算表!B322</f>
        <v>0</v>
      </c>
      <c r="C322" t="str">
        <f>計算表!C322</f>
        <v>表-詞條池</v>
      </c>
      <c r="D322" t="str">
        <f>計算表!D322</f>
        <v>劇毒抗性%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4</v>
      </c>
      <c r="H322">
        <f>計算表!H322</f>
        <v>0.02</v>
      </c>
      <c r="I322">
        <f>計算表!I322</f>
        <v>3</v>
      </c>
      <c r="J322" t="str">
        <f>計算表!J322</f>
        <v>精良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3">
        <f>計算表!B323</f>
        <v>0</v>
      </c>
      <c r="C323" t="str">
        <f>計算表!C323</f>
        <v>表-詞條池</v>
      </c>
      <c r="D323" t="str">
        <f>計算表!D323</f>
        <v>聖光抗性%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精良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3">
        <f>計算表!B324</f>
        <v>0</v>
      </c>
      <c r="C324" t="str">
        <f>計算表!C324</f>
        <v>表-詞條池</v>
      </c>
      <c r="D324" t="str">
        <f>計算表!D324</f>
        <v>暗影抗性%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4</v>
      </c>
      <c r="H324">
        <f>計算表!H324</f>
        <v>0.02</v>
      </c>
      <c r="I324">
        <f>計算表!I324</f>
        <v>3</v>
      </c>
      <c r="J324" t="str">
        <f>計算表!J324</f>
        <v>精良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3">
        <f>計算表!B325</f>
        <v>0</v>
      </c>
      <c r="C325" t="str">
        <f>計算表!C325</f>
        <v>表-詞條池</v>
      </c>
      <c r="D325" t="str">
        <f>計算表!D325</f>
        <v>控制時間縮減%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獨特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3">
        <f>計算表!B326</f>
        <v>0</v>
      </c>
      <c r="C326" t="str">
        <f>計算表!C326</f>
        <v>表-詞條池</v>
      </c>
      <c r="D326" t="str">
        <f>計算表!D326</f>
        <v>移動速度%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3</v>
      </c>
      <c r="H326">
        <f>計算表!H326</f>
        <v>1.2E-2</v>
      </c>
      <c r="I326">
        <f>計算表!I326</f>
        <v>4</v>
      </c>
      <c r="J326" t="str">
        <f>計算表!J326</f>
        <v>-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3">
        <f>計算表!B327</f>
        <v>0</v>
      </c>
      <c r="C327" t="str">
        <f>計算表!C327</f>
        <v>表-詞條池</v>
      </c>
      <c r="D327" t="str">
        <f>計算表!D327</f>
        <v>掉寶率%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3</v>
      </c>
      <c r="H327">
        <f>計算表!H327</f>
        <v>1.4999999999999999E-2</v>
      </c>
      <c r="I327">
        <f>計算表!I327</f>
        <v>4</v>
      </c>
      <c r="J327" t="str">
        <f>計算表!J327</f>
        <v>-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3">
        <f>計算表!B328</f>
        <v>0</v>
      </c>
      <c r="C328" t="str">
        <f>計算表!C328</f>
        <v>表-詞條池</v>
      </c>
      <c r="D328" t="str">
        <f>計算表!D328</f>
        <v>經驗加成%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4</v>
      </c>
      <c r="H328">
        <f>計算表!H328</f>
        <v>0.02</v>
      </c>
      <c r="I328">
        <f>計算表!I328</f>
        <v>4</v>
      </c>
      <c r="J328" t="str">
        <f>計算表!J328</f>
        <v>-</v>
      </c>
      <c r="K328" t="str">
        <f>計算表!K328</f>
        <v>是（限飾品）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3">
        <f>計算表!B329</f>
        <v>0</v>
      </c>
      <c r="C329" t="str">
        <f>計算表!C329</f>
        <v>表-詞條池</v>
      </c>
      <c r="D329" t="str">
        <f>計算表!D329</f>
        <v>金幣加成%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5</v>
      </c>
      <c r="H329">
        <f>計算表!H329</f>
        <v>2.5000000000000001E-2</v>
      </c>
      <c r="I329">
        <f>計算表!I329</f>
        <v>4</v>
      </c>
      <c r="J329" t="str">
        <f>計算表!J329</f>
        <v>-</v>
      </c>
      <c r="K329" t="str">
        <f>計算表!K329</f>
        <v>是（限飾品）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3">
        <f>計算表!B330</f>
        <v>0</v>
      </c>
      <c r="C330" t="str">
        <f>計算表!C330</f>
        <v>表-詞條池</v>
      </c>
      <c r="D330" t="str">
        <f>計算表!D330</f>
        <v>幸運值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2</v>
      </c>
      <c r="H330">
        <f>計算表!H330</f>
        <v>0.1</v>
      </c>
      <c r="I330">
        <f>計算表!I330</f>
        <v>3</v>
      </c>
      <c r="J330" t="str">
        <f>計算表!J330</f>
        <v>獨特</v>
      </c>
      <c r="K330" t="str">
        <f>計算表!K330</f>
        <v>否（限飾品）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3">
        <f>計算表!B331</f>
        <v>0</v>
      </c>
      <c r="C331" t="str">
        <f>計算表!C331</f>
        <v>表-詞條池</v>
      </c>
      <c r="D331" t="str">
        <f>計算表!D331</f>
        <v>負重上限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2</v>
      </c>
      <c r="H331">
        <f>計算表!H331</f>
        <v>0.3</v>
      </c>
      <c r="I331">
        <f>計算表!I331</f>
        <v>3</v>
      </c>
      <c r="J331" t="str">
        <f>計算表!J331</f>
        <v>-</v>
      </c>
      <c r="K331" t="str">
        <f>計算表!K331</f>
        <v>否（限飾品）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3">
        <f>計算表!B332</f>
        <v>0</v>
      </c>
      <c r="C332" t="str">
        <f>計算表!C332</f>
        <v>表-詞條池</v>
      </c>
      <c r="D332" t="str">
        <f>計算表!D332</f>
        <v>強化成功率%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3</v>
      </c>
      <c r="H332">
        <f>計算表!H332</f>
        <v>1.4999999999999999E-2</v>
      </c>
      <c r="I332">
        <f>計算表!I332</f>
        <v>3</v>
      </c>
      <c r="J332" t="str">
        <f>計算表!J332</f>
        <v>獨特</v>
      </c>
      <c r="K332" t="str">
        <f>計算表!K332</f>
        <v>是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3">
        <f>計算表!B333</f>
        <v>0</v>
      </c>
      <c r="C333" t="str">
        <f>計算表!C333</f>
        <v>表-詞條池</v>
      </c>
      <c r="D333" t="str">
        <f>計算表!D333</f>
        <v>分解高產率%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3</v>
      </c>
      <c r="H333">
        <f>計算表!H333</f>
        <v>1.4999999999999999E-2</v>
      </c>
      <c r="I333">
        <f>計算表!I333</f>
        <v>3</v>
      </c>
      <c r="J333" t="str">
        <f>計算表!J333</f>
        <v>獨特</v>
      </c>
      <c r="K333" t="str">
        <f>計算表!K333</f>
        <v>是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3">
        <f>計算表!B334</f>
        <v>0</v>
      </c>
      <c r="C334" t="str">
        <f>計算表!C334</f>
        <v>表-詞條池</v>
      </c>
      <c r="D334" t="str">
        <f>計算表!D334</f>
        <v>合成變異率%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2.5</v>
      </c>
      <c r="H334">
        <f>計算表!H334</f>
        <v>1.2E-2</v>
      </c>
      <c r="I334">
        <f>計算表!I334</f>
        <v>2</v>
      </c>
      <c r="J334" t="str">
        <f>計算表!J334</f>
        <v>史詩</v>
      </c>
      <c r="K334" t="str">
        <f>計算表!K334</f>
        <v>是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3">
        <f>計算表!B335</f>
        <v>0</v>
      </c>
      <c r="C335" t="str">
        <f>計算表!C335</f>
        <v>表-詞條池</v>
      </c>
      <c r="D335" t="str">
        <f>計算表!D335</f>
        <v>狂暴閾值+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2</v>
      </c>
      <c r="H335">
        <f>計算表!H335</f>
        <v>0.08</v>
      </c>
      <c r="I335">
        <f>計算表!I335</f>
        <v>2</v>
      </c>
      <c r="J335" t="str">
        <f>計算表!J335</f>
        <v>史詩</v>
      </c>
      <c r="K335" t="str">
        <f>計算表!K335</f>
        <v>否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3">
        <f>計算表!B336</f>
        <v>0</v>
      </c>
      <c r="C336" t="str">
        <f>計算表!C336</f>
        <v>表-詞條池</v>
      </c>
      <c r="D336" t="str">
        <f>計算表!D336</f>
        <v>詞條上限率%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3</v>
      </c>
      <c r="H336">
        <f>計算表!H336</f>
        <v>1.4999999999999999E-2</v>
      </c>
      <c r="I336">
        <f>計算表!I336</f>
        <v>2</v>
      </c>
      <c r="J336" t="str">
        <f>計算表!J336</f>
        <v>史詩</v>
      </c>
      <c r="K336" t="str">
        <f>計算表!K336</f>
        <v>是（限飾品）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3">
        <f>計算表!B337</f>
        <v>0</v>
      </c>
      <c r="C337" t="str">
        <f>計算表!C337</f>
        <v>表-詞條池</v>
      </c>
      <c r="D337" t="str">
        <f>計算表!D337</f>
        <v>寶石鑲嵌效率%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5</v>
      </c>
      <c r="H337">
        <f>計算表!H337</f>
        <v>2.5000000000000001E-2</v>
      </c>
      <c r="I337">
        <f>計算表!I337</f>
        <v>2</v>
      </c>
      <c r="J337" t="str">
        <f>計算表!J337</f>
        <v>史詩</v>
      </c>
      <c r="K337" t="str">
        <f>計算表!K337</f>
        <v>是（限飾品）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3">
        <f>計算表!B338</f>
        <v>0</v>
      </c>
      <c r="C338" t="str">
        <f>計算表!C338</f>
        <v>表-特殊被動</v>
      </c>
      <c r="D338" t="str">
        <f>計算表!D338</f>
        <v>破甲</v>
      </c>
      <c r="E338" t="str">
        <f>計算表!E338</f>
        <v>數值 = a + b×(稀有度-2)</v>
      </c>
      <c r="F338" t="str">
        <f>計算表!F338</f>
        <v>a=稀有級基準 b=每高一階 c=多件疊加後上限。稀有級以上才附帶。</v>
      </c>
      <c r="G338">
        <f>計算表!G338</f>
        <v>10</v>
      </c>
      <c r="H338">
        <f>計算表!H338</f>
        <v>2</v>
      </c>
      <c r="I338" t="str">
        <f>計算表!I338</f>
        <v>—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3">
        <f>計算表!B339</f>
        <v>0</v>
      </c>
      <c r="C339" t="str">
        <f>計算表!C339</f>
        <v>表-特殊被動</v>
      </c>
      <c r="D339" t="str">
        <f>計算表!D339</f>
        <v>反震</v>
      </c>
      <c r="E339" t="str">
        <f>計算表!E339</f>
        <v>數值 = a + b×(稀有度-2)</v>
      </c>
      <c r="F339" t="str">
        <f>計算表!F339</f>
        <v>a=稀有級基準 b=每高一階 c=多件疊加後上限。稀有級以上才附帶。</v>
      </c>
      <c r="G339">
        <f>計算表!G339</f>
        <v>5</v>
      </c>
      <c r="H339">
        <f>計算表!H339</f>
        <v>1</v>
      </c>
      <c r="I339" t="str">
        <f>計算表!I339</f>
        <v>—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3">
        <f>計算表!B340</f>
        <v>0</v>
      </c>
      <c r="C340" t="str">
        <f>計算表!C340</f>
        <v>表-特殊被動</v>
      </c>
      <c r="D340" t="str">
        <f>計算表!D340</f>
        <v>連擊</v>
      </c>
      <c r="E340" t="str">
        <f>計算表!E340</f>
        <v>數值 = a + b×(稀有度-2)</v>
      </c>
      <c r="F340" t="str">
        <f>計算表!F340</f>
        <v>a=稀有級基準 b=每高一階 c=多件疊加後上限。稀有級以上才附帶。</v>
      </c>
      <c r="G340">
        <f>計算表!G340</f>
        <v>10</v>
      </c>
      <c r="H340">
        <f>計算表!H340</f>
        <v>2</v>
      </c>
      <c r="I340">
        <f>計算表!I340</f>
        <v>45</v>
      </c>
      <c r="J340">
        <f>計算表!J340</f>
        <v>0</v>
      </c>
      <c r="K340">
        <f>計算表!K340</f>
        <v>0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3">
        <f>計算表!B341</f>
        <v>0</v>
      </c>
      <c r="C341" t="str">
        <f>計算表!C341</f>
        <v>表-特殊被動</v>
      </c>
      <c r="D341" t="str">
        <f>計算表!D341</f>
        <v>暈眩</v>
      </c>
      <c r="E341" t="str">
        <f>計算表!E341</f>
        <v>數值 = a + b×(稀有度-2)</v>
      </c>
      <c r="F341" t="str">
        <f>計算表!F341</f>
        <v>a=稀有級基準 b=每高一階 c=多件疊加後上限。稀有級以上才附帶。</v>
      </c>
      <c r="G341">
        <f>計算表!G341</f>
        <v>6</v>
      </c>
      <c r="H341">
        <f>計算表!H341</f>
        <v>1.5</v>
      </c>
      <c r="I341">
        <f>計算表!I341</f>
        <v>30</v>
      </c>
      <c r="J341">
        <f>計算表!J341</f>
        <v>0</v>
      </c>
      <c r="K341">
        <f>計算表!K341</f>
        <v>0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3">
        <f>計算表!B342</f>
        <v>0</v>
      </c>
      <c r="C342" t="str">
        <f>計算表!C342</f>
        <v>表-特殊被動</v>
      </c>
      <c r="D342" t="str">
        <f>計算表!D342</f>
        <v>減速</v>
      </c>
      <c r="E342" t="str">
        <f>計算表!E342</f>
        <v>數值 = a + b×(稀有度-2)</v>
      </c>
      <c r="F342" t="str">
        <f>計算表!F342</f>
        <v>a=稀有級基準 b=每高一階 c=多件疊加後上限。稀有級以上才附帶。</v>
      </c>
      <c r="G342">
        <f>計算表!G342</f>
        <v>12</v>
      </c>
      <c r="H342">
        <f>計算表!H342</f>
        <v>3</v>
      </c>
      <c r="I342" t="str">
        <f>計算表!I342</f>
        <v>—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3">
        <f>計算表!B343</f>
        <v>0</v>
      </c>
      <c r="C343" t="str">
        <f>計算表!C343</f>
        <v>表-特殊被動</v>
      </c>
      <c r="D343" t="str">
        <f>計算表!D343</f>
        <v>真傷</v>
      </c>
      <c r="E343" t="str">
        <f>計算表!E343</f>
        <v>數值 = a + b×(稀有度-2)</v>
      </c>
      <c r="F343" t="str">
        <f>計算表!F343</f>
        <v>a=稀有級基準 b=每高一階 c=多件疊加後上限。稀有級以上才附帶。</v>
      </c>
      <c r="G343">
        <f>計算表!G343</f>
        <v>6</v>
      </c>
      <c r="H343">
        <f>計算表!H343</f>
        <v>1.5</v>
      </c>
      <c r="I343" t="str">
        <f>計算表!I343</f>
        <v>—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3">
        <f>計算表!B344</f>
        <v>0</v>
      </c>
      <c r="C344" t="str">
        <f>計算表!C344</f>
        <v>表-特殊被動</v>
      </c>
      <c r="D344" t="str">
        <f>計算表!D344</f>
        <v>吸魂</v>
      </c>
      <c r="E344" t="str">
        <f>計算表!E344</f>
        <v>數值 = a + b×(稀有度-2)</v>
      </c>
      <c r="F344" t="str">
        <f>計算表!F344</f>
        <v>a=稀有級基準 b=每高一階 c=多件疊加後上限。稀有級以上才附帶。</v>
      </c>
      <c r="G344">
        <f>計算表!G344</f>
        <v>5</v>
      </c>
      <c r="H344">
        <f>計算表!H344</f>
        <v>1.5</v>
      </c>
      <c r="I344" t="str">
        <f>計算表!I344</f>
        <v>—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3">
        <f>計算表!B345</f>
        <v>0</v>
      </c>
      <c r="C345" t="str">
        <f>計算表!C345</f>
        <v>表-神鑄特效</v>
      </c>
      <c r="D345" t="str">
        <f>計算表!D345</f>
        <v>龍血</v>
      </c>
      <c r="E345" t="str">
        <f>計算表!E345</f>
        <v>數值 = a × rnd(0.8, 1.2)</v>
      </c>
      <c r="F345" t="str">
        <f>計算表!F345</f>
        <v>生命上限提高 v%（僅神鑄創世裝備，生成必帶 2 條）。</v>
      </c>
      <c r="G345">
        <f>計算表!G345</f>
        <v>25</v>
      </c>
      <c r="H345">
        <f>計算表!H345</f>
        <v>0</v>
      </c>
      <c r="I345">
        <f>計算表!I345</f>
        <v>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3">
        <f>計算表!B346</f>
        <v>0</v>
      </c>
      <c r="C346" t="str">
        <f>計算表!C346</f>
        <v>表-神鑄特效</v>
      </c>
      <c r="D346" t="str">
        <f>計算表!D346</f>
        <v>神力</v>
      </c>
      <c r="E346" t="str">
        <f>計算表!E346</f>
        <v>數值 = a × rnd(0.8, 1.2)</v>
      </c>
      <c r="F346" t="str">
        <f>計算表!F346</f>
        <v>物理與魔法攻擊額外提高 v%（額外乘區）（僅神鑄創世裝備，生成必帶 2 條）。</v>
      </c>
      <c r="G346">
        <f>計算表!G346</f>
        <v>18</v>
      </c>
      <c r="H346">
        <f>計算表!H346</f>
        <v>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3">
        <f>計算表!B347</f>
        <v>0</v>
      </c>
      <c r="C347" t="str">
        <f>計算表!C347</f>
        <v>表-神鑄特效</v>
      </c>
      <c r="D347" t="str">
        <f>計算表!D347</f>
        <v>神速</v>
      </c>
      <c r="E347" t="str">
        <f>計算表!E347</f>
        <v>數值 = a × rnd(0.8, 1.2)</v>
      </c>
      <c r="F347" t="str">
        <f>計算表!F347</f>
        <v>攻擊速度提高 v%（僅神鑄創世裝備，生成必帶 2 條）。</v>
      </c>
      <c r="G347">
        <f>計算表!G347</f>
        <v>15</v>
      </c>
      <c r="H347">
        <f>計算表!H347</f>
        <v>0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3">
        <f>計算表!B348</f>
        <v>0</v>
      </c>
      <c r="C348" t="str">
        <f>計算表!C348</f>
        <v>表-神鑄特效</v>
      </c>
      <c r="D348" t="str">
        <f>計算表!D348</f>
        <v>屠神</v>
      </c>
      <c r="E348" t="str">
        <f>計算表!E348</f>
        <v>數值 = a × rnd(0.8, 1.2)</v>
      </c>
      <c r="F348" t="str">
        <f>計算表!F348</f>
        <v>對菁英與 BOSS 傷害提高 v%（僅神鑄創世裝備，生成必帶 2 條）。</v>
      </c>
      <c r="G348">
        <f>計算表!G348</f>
        <v>30</v>
      </c>
      <c r="H348">
        <f>計算表!H348</f>
        <v>0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3">
        <f>計算表!B349</f>
        <v>0</v>
      </c>
      <c r="C349" t="str">
        <f>計算表!C349</f>
        <v>表-神鑄特效</v>
      </c>
      <c r="D349" t="str">
        <f>計算表!D349</f>
        <v>貪婪</v>
      </c>
      <c r="E349" t="str">
        <f>計算表!E349</f>
        <v>數值 = a × rnd(0.8, 1.2)</v>
      </c>
      <c r="F349" t="str">
        <f>計算表!F349</f>
        <v>金幣加成與掉寶率提高 v%（僅神鑄創世裝備，生成必帶 2 條）。</v>
      </c>
      <c r="G349">
        <f>計算表!G349</f>
        <v>25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3">
        <f>計算表!B350</f>
        <v>0</v>
      </c>
      <c r="C350" t="str">
        <f>計算表!C350</f>
        <v>表-神鑄特效</v>
      </c>
      <c r="D350" t="str">
        <f>計算表!D350</f>
        <v>神壁</v>
      </c>
      <c r="E350" t="str">
        <f>計算表!E350</f>
        <v>數值 = a × rnd(0.8, 1.2)</v>
      </c>
      <c r="F350" t="str">
        <f>計算表!F350</f>
        <v>物理與魔法防禦提高 v%（僅神鑄創世裝備，生成必帶 2 條）。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3">
        <f>計算表!B351</f>
        <v>0</v>
      </c>
      <c r="C351" t="str">
        <f>計算表!C351</f>
        <v>表-神鑄特效</v>
      </c>
      <c r="D351" t="str">
        <f>計算表!D351</f>
        <v>天罰</v>
      </c>
      <c r="E351" t="str">
        <f>計算表!E351</f>
        <v>數值 = a × rnd(0.8, 1.2)</v>
      </c>
      <c r="F351" t="str">
        <f>計算表!F351</f>
        <v>攻擊時 v% 機率降下神雷（250% 物攻真實傷害）（僅神鑄創世裝備，生成必帶 2 條）。</v>
      </c>
      <c r="G351">
        <f>計算表!G351</f>
        <v>12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3">
        <f>計算表!B352</f>
        <v>0</v>
      </c>
      <c r="C352" t="str">
        <f>計算表!C352</f>
        <v>表-神鑄特效</v>
      </c>
      <c r="D352" t="str">
        <f>計算表!D352</f>
        <v>破滅</v>
      </c>
      <c r="E352" t="str">
        <f>計算表!E352</f>
        <v>數值 = a × rnd(0.8, 1.2)</v>
      </c>
      <c r="F352" t="str">
        <f>計算表!F352</f>
        <v>暴擊時 v% 機率傷害翻倍（僅神鑄創世裝備，生成必帶 2 條）。</v>
      </c>
      <c r="G352">
        <f>計算表!G352</f>
        <v>15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3">
        <f>計算表!B353</f>
        <v>0</v>
      </c>
      <c r="C353" t="str">
        <f>計算表!C353</f>
        <v>表-神鑄特效</v>
      </c>
      <c r="D353" t="str">
        <f>計算表!D353</f>
        <v>聖佑</v>
      </c>
      <c r="E353" t="str">
        <f>計算表!E353</f>
        <v>數值 = a × rnd(0.8, 1.2)</v>
      </c>
      <c r="F353" t="str">
        <f>計算表!F353</f>
        <v>受到的所有傷害降低 v%（上限 50%）（僅神鑄創世裝備，生成必帶 2 條）。</v>
      </c>
      <c r="G353">
        <f>計算表!G353</f>
        <v>8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3">
        <f>計算表!B354</f>
        <v>0</v>
      </c>
      <c r="C354" t="str">
        <f>計算表!C354</f>
        <v>表-神鑄特效</v>
      </c>
      <c r="D354" t="str">
        <f>計算表!D354</f>
        <v>不朽</v>
      </c>
      <c r="E354" t="str">
        <f>計算表!E354</f>
        <v>數值 = a × rnd(0.8, 1.2)</v>
      </c>
      <c r="F354" t="str">
        <f>計算表!F354</f>
        <v>致命時 v% 機率保 1 血並回復 30%（60 秒限一次）（僅神鑄創世裝備，生成必帶 2 條）。</v>
      </c>
      <c r="G354">
        <f>計算表!G354</f>
        <v>30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3">
        <f>計算表!B355</f>
        <v>0</v>
      </c>
      <c r="C355" t="str">
        <f>計算表!C355</f>
        <v>表-神鑄特效</v>
      </c>
      <c r="D355" t="str">
        <f>計算表!D355</f>
        <v>萬象汲取</v>
      </c>
      <c r="E355" t="str">
        <f>計算表!E355</f>
        <v>數值 = a × rnd(0.8, 1.2)</v>
      </c>
      <c r="F355" t="str">
        <f>計算表!F355</f>
        <v>攻擊時額外回復造成傷害 v% 的生命與法力（僅神鑄創世裝備，生成必帶 2 條）。</v>
      </c>
      <c r="G355">
        <f>計算表!G355</f>
        <v>5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3">
        <f>計算表!B356</f>
        <v>0</v>
      </c>
      <c r="C356" t="str">
        <f>計算表!C356</f>
        <v>表-神鑄特效</v>
      </c>
      <c r="D356" t="str">
        <f>計算表!D356</f>
        <v>神怒</v>
      </c>
      <c r="E356" t="str">
        <f>計算表!E356</f>
        <v>數值 = a × rnd(0.8, 1.2)</v>
      </c>
      <c r="F356" t="str">
        <f>計算表!F356</f>
        <v>生命低於 30% 時傷害提高 v%（僅神鑄創世裝備，生成必帶 2 條）。</v>
      </c>
      <c r="G356">
        <f>計算表!G356</f>
        <v>35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3">
        <f>計算表!B357</f>
        <v>0</v>
      </c>
      <c r="C357" t="str">
        <f>計算表!C357</f>
        <v>表-寶石種類</v>
      </c>
      <c r="D357" t="str">
        <f>計算表!D357</f>
        <v>紅寶石</v>
      </c>
      <c r="E357" t="str">
        <f>計算表!E357</f>
        <v>數值 = a × 等級 × (1+0.2×(等級-1))</v>
      </c>
      <c r="F357" t="str">
        <f>計算表!F357</f>
        <v>對應屬性=b。a=一級基準 c=百分比。</v>
      </c>
      <c r="G357">
        <f>計算表!G357</f>
        <v>6</v>
      </c>
      <c r="H357" t="str">
        <f>計算表!H357</f>
        <v>物理攻擊</v>
      </c>
      <c r="I357" t="str">
        <f>計算表!I357</f>
        <v>否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3">
        <f>計算表!B358</f>
        <v>0</v>
      </c>
      <c r="C358" t="str">
        <f>計算表!C358</f>
        <v>表-寶石種類</v>
      </c>
      <c r="D358" t="str">
        <f>計算表!D358</f>
        <v>藍寶石</v>
      </c>
      <c r="E358" t="str">
        <f>計算表!E358</f>
        <v>數值 = a × 等級 × (1+0.2×(等級-1))</v>
      </c>
      <c r="F358" t="str">
        <f>計算表!F358</f>
        <v>對應屬性=b。a=一級基準 c=百分比。</v>
      </c>
      <c r="G358">
        <f>計算表!G358</f>
        <v>6</v>
      </c>
      <c r="H358" t="str">
        <f>計算表!H358</f>
        <v>魔法攻擊</v>
      </c>
      <c r="I358" t="str">
        <f>計算表!I358</f>
        <v>否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3">
        <f>計算表!B359</f>
        <v>0</v>
      </c>
      <c r="C359" t="str">
        <f>計算表!C359</f>
        <v>表-寶石種類</v>
      </c>
      <c r="D359" t="str">
        <f>計算表!D359</f>
        <v>黃玉</v>
      </c>
      <c r="E359" t="str">
        <f>計算表!E359</f>
        <v>數值 = a × 等級 × (1+0.2×(等級-1))</v>
      </c>
      <c r="F359" t="str">
        <f>計算表!F359</f>
        <v>對應屬性=b。a=一級基準 c=百分比。</v>
      </c>
      <c r="G359">
        <f>計算表!G359</f>
        <v>40</v>
      </c>
      <c r="H359" t="str">
        <f>計算表!H359</f>
        <v>生命值</v>
      </c>
      <c r="I359" t="str">
        <f>計算表!I359</f>
        <v>否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3">
        <f>計算表!B360</f>
        <v>0</v>
      </c>
      <c r="C360" t="str">
        <f>計算表!C360</f>
        <v>表-寶石種類</v>
      </c>
      <c r="D360" t="str">
        <f>計算表!D360</f>
        <v>綠寶石</v>
      </c>
      <c r="E360" t="str">
        <f>計算表!E360</f>
        <v>數值 = a × 等級 × (1+0.2×(等級-1))</v>
      </c>
      <c r="F360" t="str">
        <f>計算表!F360</f>
        <v>對應屬性=b。a=一級基準 c=百分比。</v>
      </c>
      <c r="G360">
        <f>計算表!G360</f>
        <v>3</v>
      </c>
      <c r="H360" t="str">
        <f>計算表!H360</f>
        <v>生命恢復/秒</v>
      </c>
      <c r="I360" t="str">
        <f>計算表!I360</f>
        <v>否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3">
        <f>計算表!B361</f>
        <v>0</v>
      </c>
      <c r="C361" t="str">
        <f>計算表!C361</f>
        <v>表-寶石種類</v>
      </c>
      <c r="D361" t="str">
        <f>計算表!D361</f>
        <v>鑽石</v>
      </c>
      <c r="E361" t="str">
        <f>計算表!E361</f>
        <v>數值 = a × 等級 × (1+0.2×(等級-1))</v>
      </c>
      <c r="F361" t="str">
        <f>計算表!F361</f>
        <v>對應屬性=b。a=一級基準 c=百分比。</v>
      </c>
      <c r="G361">
        <f>計算表!G361</f>
        <v>5</v>
      </c>
      <c r="H361" t="str">
        <f>計算表!H361</f>
        <v>物理防禦</v>
      </c>
      <c r="I361" t="str">
        <f>計算表!I361</f>
        <v>否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3">
        <f>計算表!B362</f>
        <v>0</v>
      </c>
      <c r="C362" t="str">
        <f>計算表!C362</f>
        <v>表-寶石種類</v>
      </c>
      <c r="D362" t="str">
        <f>計算表!D362</f>
        <v>青金石</v>
      </c>
      <c r="E362" t="str">
        <f>計算表!E362</f>
        <v>數值 = a × 等級 × (1+0.2×(等級-1))</v>
      </c>
      <c r="F362" t="str">
        <f>計算表!F362</f>
        <v>對應屬性=b。a=一級基準 c=百分比。</v>
      </c>
      <c r="G362">
        <f>計算表!G362</f>
        <v>5</v>
      </c>
      <c r="H362" t="str">
        <f>計算表!H362</f>
        <v>魔法防禦</v>
      </c>
      <c r="I362" t="str">
        <f>計算表!I362</f>
        <v>否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3">
        <f>計算表!B363</f>
        <v>0</v>
      </c>
      <c r="C363" t="str">
        <f>計算表!C363</f>
        <v>表-寶石種類</v>
      </c>
      <c r="D363" t="str">
        <f>計算表!D363</f>
        <v>紫水晶</v>
      </c>
      <c r="E363" t="str">
        <f>計算表!E363</f>
        <v>數值 = a × 等級 × (1+0.2×(等級-1))</v>
      </c>
      <c r="F363" t="str">
        <f>計算表!F363</f>
        <v>對應屬性=b。a=一級基準 c=百分比。</v>
      </c>
      <c r="G363">
        <f>計算表!G363</f>
        <v>1.5</v>
      </c>
      <c r="H363" t="str">
        <f>計算表!H363</f>
        <v>暴擊率%</v>
      </c>
      <c r="I363" t="str">
        <f>計算表!I363</f>
        <v>是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3">
        <f>計算表!B364</f>
        <v>0</v>
      </c>
      <c r="C364" t="str">
        <f>計算表!C364</f>
        <v>表-寶石種類</v>
      </c>
      <c r="D364" t="str">
        <f>計算表!D364</f>
        <v>石榴石</v>
      </c>
      <c r="E364" t="str">
        <f>計算表!E364</f>
        <v>數值 = a × 等級 × (1+0.2×(等級-1))</v>
      </c>
      <c r="F364" t="str">
        <f>計算表!F364</f>
        <v>對應屬性=b。a=一級基準 c=百分比。</v>
      </c>
      <c r="G364">
        <f>計算表!G364</f>
        <v>5</v>
      </c>
      <c r="H364" t="str">
        <f>計算表!H364</f>
        <v>暴擊傷害%</v>
      </c>
      <c r="I364" t="str">
        <f>計算表!I364</f>
        <v>是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3">
        <f>計算表!B365</f>
        <v>0</v>
      </c>
      <c r="C365" t="str">
        <f>計算表!C365</f>
        <v>表-寶石種類</v>
      </c>
      <c r="D365" t="str">
        <f>計算表!D365</f>
        <v>蛋白石</v>
      </c>
      <c r="E365" t="str">
        <f>計算表!E365</f>
        <v>數值 = a × 等級 × (1+0.2×(等級-1))</v>
      </c>
      <c r="F365" t="str">
        <f>計算表!F365</f>
        <v>對應屬性=b。a=一級基準 c=百分比。</v>
      </c>
      <c r="G365">
        <f>計算表!G365</f>
        <v>1.5</v>
      </c>
      <c r="H365" t="str">
        <f>計算表!H365</f>
        <v>攻擊速度%</v>
      </c>
      <c r="I365" t="str">
        <f>計算表!I365</f>
        <v>是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3">
        <f>計算表!B366</f>
        <v>0</v>
      </c>
      <c r="C366" t="str">
        <f>計算表!C366</f>
        <v>表-寶石種類</v>
      </c>
      <c r="D366" t="str">
        <f>計算表!D366</f>
        <v>黑曜石</v>
      </c>
      <c r="E366" t="str">
        <f>計算表!E366</f>
        <v>數值 = a × 等級 × (1+0.2×(等級-1))</v>
      </c>
      <c r="F366" t="str">
        <f>計算表!F366</f>
        <v>對應屬性=b。a=一級基準 c=百分比。</v>
      </c>
      <c r="G366">
        <f>計算表!G366</f>
        <v>1</v>
      </c>
      <c r="H366" t="str">
        <f>計算表!H366</f>
        <v>吸血%</v>
      </c>
      <c r="I366" t="str">
        <f>計算表!I366</f>
        <v>是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3">
        <f>計算表!B367</f>
        <v>0</v>
      </c>
      <c r="C367" t="str">
        <f>計算表!C367</f>
        <v>表-寶石種類</v>
      </c>
      <c r="D367" t="str">
        <f>計算表!D367</f>
        <v>月光石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1</v>
      </c>
      <c r="H367" t="str">
        <f>計算表!H367</f>
        <v>閃避率%</v>
      </c>
      <c r="I367" t="str">
        <f>計算表!I367</f>
        <v>是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3">
        <f>計算表!B368</f>
        <v>0</v>
      </c>
      <c r="C368" t="str">
        <f>計算表!C368</f>
        <v>表-寶石種類</v>
      </c>
      <c r="D368" t="str">
        <f>計算表!D368</f>
        <v>太陽石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1.5</v>
      </c>
      <c r="H368" t="str">
        <f>計算表!H368</f>
        <v>幸運值</v>
      </c>
      <c r="I368" t="str">
        <f>計算表!I368</f>
        <v>否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3">
        <f>計算表!B369</f>
        <v>0</v>
      </c>
      <c r="C369" t="str">
        <f>計算表!C369</f>
        <v>表-寶石種類</v>
      </c>
      <c r="D369" t="str">
        <f>計算表!D369</f>
        <v>翡翠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1.5</v>
      </c>
      <c r="H369" t="str">
        <f>計算表!H369</f>
        <v>韌性%</v>
      </c>
      <c r="I369" t="str">
        <f>計算表!I369</f>
        <v>是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3">
        <f>計算表!B370</f>
        <v>0</v>
      </c>
      <c r="C370" t="str">
        <f>計算表!C370</f>
        <v>表-寶石種類</v>
      </c>
      <c r="D370" t="str">
        <f>計算表!D370</f>
        <v>綠松石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1</v>
      </c>
      <c r="H370" t="str">
        <f>計算表!H370</f>
        <v>格擋率%</v>
      </c>
      <c r="I370" t="str">
        <f>計算表!I370</f>
        <v>是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3">
        <f>計算表!B371</f>
        <v>0</v>
      </c>
      <c r="C371" t="str">
        <f>計算表!C371</f>
        <v>表-寶石種類</v>
      </c>
      <c r="D371" t="str">
        <f>計算表!D371</f>
        <v>瑪瑙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1.5</v>
      </c>
      <c r="H371" t="str">
        <f>計算表!H371</f>
        <v>格擋減傷%</v>
      </c>
      <c r="I371" t="str">
        <f>計算表!I371</f>
        <v>是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3">
        <f>計算表!B372</f>
        <v>0</v>
      </c>
      <c r="C372" t="str">
        <f>計算表!C372</f>
        <v>表-寶石種類</v>
      </c>
      <c r="D372" t="str">
        <f>計算表!D372</f>
        <v>珍珠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2</v>
      </c>
      <c r="H372" t="str">
        <f>計算表!H372</f>
        <v>護盾效率%</v>
      </c>
      <c r="I372" t="str">
        <f>計算表!I372</f>
        <v>是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3">
        <f>計算表!B373</f>
        <v>0</v>
      </c>
      <c r="C373" t="str">
        <f>計算表!C373</f>
        <v>表-寶石種類</v>
      </c>
      <c r="D373" t="str">
        <f>計算表!D373</f>
        <v>孔雀石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0.8</v>
      </c>
      <c r="H373" t="str">
        <f>計算表!H373</f>
        <v>物理抗性%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3">
        <f>計算表!B374</f>
        <v>0</v>
      </c>
      <c r="C374" t="str">
        <f>計算表!C374</f>
        <v>表-寶石種類</v>
      </c>
      <c r="D374" t="str">
        <f>計算表!D374</f>
        <v>螢石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0.8</v>
      </c>
      <c r="H374" t="str">
        <f>計算表!H374</f>
        <v>魔法抗性%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3">
        <f>計算表!B375</f>
        <v>0</v>
      </c>
      <c r="C375" t="str">
        <f>計算表!C375</f>
        <v>表-自動機組零件</v>
      </c>
      <c r="D375" t="str">
        <f>計算表!D375</f>
        <v>加速齒輪</v>
      </c>
      <c r="E375" t="str">
        <f>計算表!E375</f>
        <v>效果值 = a × 階級(T1~T7)</v>
      </c>
      <c r="F375" t="str">
        <f>計算表!F375</f>
        <v>節點=b。分解速度 +v%/階（另固定+50 個百分點）（掉寶類零件效果實際×0.5）。</v>
      </c>
      <c r="G375">
        <f>計算表!G375</f>
        <v>25</v>
      </c>
      <c r="H375" t="str">
        <f>計算表!H375</f>
        <v>salvage</v>
      </c>
      <c r="I375">
        <f>計算表!I375</f>
        <v>0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3">
        <f>計算表!B376</f>
        <v>0</v>
      </c>
      <c r="C376" t="str">
        <f>計算表!C376</f>
        <v>表-自動機組零件</v>
      </c>
      <c r="D376" t="str">
        <f>計算表!D376</f>
        <v>碎片熔煉爐</v>
      </c>
      <c r="E376" t="str">
        <f>計算表!E376</f>
        <v>效果值 = a × 階級(T1~T7)</v>
      </c>
      <c r="F376" t="str">
        <f>計算表!F376</f>
        <v>節點=b。分解碎片產量 +v%/階（掉寶類零件效果實際×0.5）。</v>
      </c>
      <c r="G376">
        <f>計算表!G376</f>
        <v>20</v>
      </c>
      <c r="H376" t="str">
        <f>計算表!H376</f>
        <v>salvage</v>
      </c>
      <c r="I376">
        <f>計算表!I376</f>
        <v>0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3">
        <f>計算表!B377</f>
        <v>0</v>
      </c>
      <c r="C377" t="str">
        <f>計算表!C377</f>
        <v>表-自動機組零件</v>
      </c>
      <c r="D377" t="str">
        <f>計算表!D377</f>
        <v>淘金濾網</v>
      </c>
      <c r="E377" t="str">
        <f>計算表!E377</f>
        <v>效果值 = a × 階級(T1~T7)</v>
      </c>
      <c r="F377" t="str">
        <f>計算表!F377</f>
        <v>節點=b。分解金幣產量 +v%/階（掉寶類零件效果實際×0.5）。</v>
      </c>
      <c r="G377">
        <f>計算表!G377</f>
        <v>25</v>
      </c>
      <c r="H377" t="str">
        <f>計算表!H377</f>
        <v>salvage</v>
      </c>
      <c r="I377">
        <f>計算表!I377</f>
        <v>0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3">
        <f>計算表!B378</f>
        <v>0</v>
      </c>
      <c r="C378" t="str">
        <f>計算表!C378</f>
        <v>表-自動機組零件</v>
      </c>
      <c r="D378" t="str">
        <f>計算表!D378</f>
        <v>精粹透鏡</v>
      </c>
      <c r="E378" t="str">
        <f>計算表!E378</f>
        <v>效果值 = a × 階級(T1~T7)</v>
      </c>
      <c r="F378" t="str">
        <f>計算表!F378</f>
        <v>節點=b。附魔精華拆解產出率 +v%/階（掉寶類零件效果實際×0.5）。</v>
      </c>
      <c r="G378">
        <f>計算表!G378</f>
        <v>20</v>
      </c>
      <c r="H378" t="str">
        <f>計算表!H378</f>
        <v>salvage</v>
      </c>
      <c r="I378">
        <f>計算表!I378</f>
        <v>0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3">
        <f>計算表!B379</f>
        <v>0</v>
      </c>
      <c r="C379" t="str">
        <f>計算表!C379</f>
        <v>表-自動機組零件</v>
      </c>
      <c r="D379" t="str">
        <f>計算表!D379</f>
        <v>拓本回收臂</v>
      </c>
      <c r="E379" t="str">
        <f>計算表!E379</f>
        <v>效果值 = a × 階級(T1~T7)</v>
      </c>
      <c r="F379" t="str">
        <f>計算表!F379</f>
        <v>節點=b。分解 v%/階 機率回收 1 本附魔書（掉寶類零件效果實際×0.5）。</v>
      </c>
      <c r="G379">
        <f>計算表!G379</f>
        <v>0.4</v>
      </c>
      <c r="H379" t="str">
        <f>計算表!H379</f>
        <v>salvage</v>
      </c>
      <c r="I379">
        <f>計算表!I379</f>
        <v>0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3">
        <f>計算表!B380</f>
        <v>0</v>
      </c>
      <c r="C380" t="str">
        <f>計算表!C380</f>
        <v>表-自動機組零件</v>
      </c>
      <c r="D380" t="str">
        <f>計算表!D380</f>
        <v>複製處理艙</v>
      </c>
      <c r="E380" t="str">
        <f>計算表!E380</f>
        <v>效果值 = a × 階級(T1~T7)</v>
      </c>
      <c r="F380" t="str">
        <f>計算表!F380</f>
        <v>節點=b。分解 v%/階 機率碎片+金幣翻倍（掉寶類零件效果實際×0.5）。</v>
      </c>
      <c r="G380">
        <f>計算表!G380</f>
        <v>3</v>
      </c>
      <c r="H380" t="str">
        <f>計算表!H380</f>
        <v>salvage</v>
      </c>
      <c r="I380">
        <f>計算表!I380</f>
        <v>0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3">
        <f>計算表!B381</f>
        <v>0</v>
      </c>
      <c r="C381" t="str">
        <f>計算表!C381</f>
        <v>表-自動機組零件</v>
      </c>
      <c r="D381" t="str">
        <f>計算表!D381</f>
        <v>知識回收器</v>
      </c>
      <c r="E381" t="str">
        <f>計算表!E381</f>
        <v>效果值 = a × 階級(T1~T7)</v>
      </c>
      <c r="F381" t="str">
        <f>計算表!F381</f>
        <v>節點=b。分解 v%/階 機率獲得經驗(裝備等級×25)（掉寶類零件效果實際×0.5）。</v>
      </c>
      <c r="G381">
        <f>計算表!G381</f>
        <v>1.5</v>
      </c>
      <c r="H381" t="str">
        <f>計算表!H381</f>
        <v>salvage</v>
      </c>
      <c r="I381">
        <f>計算表!I381</f>
        <v>0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3">
        <f>計算表!B382</f>
        <v>0</v>
      </c>
      <c r="C382" t="str">
        <f>計算表!C382</f>
        <v>表-自動機組零件</v>
      </c>
      <c r="D382" t="str">
        <f>計算表!D382</f>
        <v>探礦核心</v>
      </c>
      <c r="E382" t="str">
        <f>計算表!E382</f>
        <v>效果值 = a × 階級(T1~T7)</v>
      </c>
      <c r="F382" t="str">
        <f>計算表!F382</f>
        <v>節點=b。分解 v%/階 機率額外掉一個零件（掉寶類零件效果實際×0.5）。</v>
      </c>
      <c r="G382">
        <f>計算表!G382</f>
        <v>0.15</v>
      </c>
      <c r="H382" t="str">
        <f>計算表!H382</f>
        <v>salvage</v>
      </c>
      <c r="I382">
        <f>計算表!I382</f>
        <v>0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3">
        <f>計算表!B383</f>
        <v>0</v>
      </c>
      <c r="C383" t="str">
        <f>計算表!C383</f>
        <v>表-自動機組零件</v>
      </c>
      <c r="D383" t="str">
        <f>計算表!D383</f>
        <v>幸運晶片</v>
      </c>
      <c r="E383" t="str">
        <f>計算表!E383</f>
        <v>效果值 = a × 階級(T1~T7)</v>
      </c>
      <c r="F383" t="str">
        <f>計算表!F383</f>
        <v>節點=b。分解 v%/階 機率大豐收(碎片/金幣/精華×3)（掉寶類零件效果實際×0.5）。</v>
      </c>
      <c r="G383">
        <f>計算表!G383</f>
        <v>0.5</v>
      </c>
      <c r="H383" t="str">
        <f>計算表!H383</f>
        <v>salvage</v>
      </c>
      <c r="I383">
        <f>計算表!I383</f>
        <v>0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3">
        <f>計算表!B384</f>
        <v>0</v>
      </c>
      <c r="C384" t="str">
        <f>計算表!C384</f>
        <v>表-自動機組零件</v>
      </c>
      <c r="D384" t="str">
        <f>計算表!D384</f>
        <v>太古精華萃取器</v>
      </c>
      <c r="E384" t="str">
        <f>計算表!E384</f>
        <v>效果值 = a × 階級(T1~T7)</v>
      </c>
      <c r="F384" t="str">
        <f>計算表!F384</f>
        <v>節點=b。分解太古精華掉落率 +v%/階（掉寶類零件效果實際×0.5）。</v>
      </c>
      <c r="G384">
        <f>計算表!G384</f>
        <v>25</v>
      </c>
      <c r="H384" t="str">
        <f>計算表!H384</f>
        <v>salvage</v>
      </c>
      <c r="I384">
        <f>計算表!I384</f>
        <v>0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3">
        <f>計算表!B385</f>
        <v>0</v>
      </c>
      <c r="C385" t="str">
        <f>計算表!C385</f>
        <v>表-自動機組零件</v>
      </c>
      <c r="D385" t="str">
        <f>計算表!D385</f>
        <v>幸運核心</v>
      </c>
      <c r="E385" t="str">
        <f>計算表!E385</f>
        <v>效果值 = a × 階級(T1~T7)</v>
      </c>
      <c r="F385" t="str">
        <f>計算表!F385</f>
        <v>節點=b。合成大成功率 +v%/階（掉寶類零件效果實際×0.5）。</v>
      </c>
      <c r="G385">
        <f>計算表!G385</f>
        <v>8</v>
      </c>
      <c r="H385" t="str">
        <f>計算表!H385</f>
        <v>synth</v>
      </c>
      <c r="I385">
        <f>計算表!I385</f>
        <v>0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3">
        <f>計算表!B386</f>
        <v>0</v>
      </c>
      <c r="C386" t="str">
        <f>計算表!C386</f>
        <v>表-自動機組零件</v>
      </c>
      <c r="D386" t="str">
        <f>計算表!D386</f>
        <v>重骰模組</v>
      </c>
      <c r="E386" t="str">
        <f>計算表!E386</f>
        <v>效果值 = a × 階級(T1~T7)</v>
      </c>
      <c r="F386" t="str">
        <f>計算表!F386</f>
        <v>節點=b。合成詞條重骰機率 +v%/階（掉寶類零件效果實際×0.5）。</v>
      </c>
      <c r="G386">
        <f>計算表!G386</f>
        <v>15</v>
      </c>
      <c r="H386" t="str">
        <f>計算表!H386</f>
        <v>synth</v>
      </c>
      <c r="I386">
        <f>計算表!I386</f>
        <v>0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3">
        <f>計算表!B387</f>
        <v>0</v>
      </c>
      <c r="C387" t="str">
        <f>計算表!C387</f>
        <v>表-固定參數</v>
      </c>
      <c r="D387" t="str">
        <f>計算表!D387</f>
        <v>出怪間隔</v>
      </c>
      <c r="E387" t="str">
        <f>計算表!E387</f>
        <v>a 秒 × (1-移動速度%)</v>
      </c>
      <c r="F387" t="str">
        <f>計算表!F387</f>
        <v>RESPAWN_DELAY。</v>
      </c>
      <c r="G387">
        <f>計算表!G387</f>
        <v>0.8</v>
      </c>
      <c r="H387">
        <f>計算表!H387</f>
        <v>0</v>
      </c>
      <c r="I387">
        <f>計算表!I387</f>
        <v>0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3">
        <f>計算表!B388</f>
        <v>0</v>
      </c>
      <c r="C388" t="str">
        <f>計算表!C388</f>
        <v>表-固定參數</v>
      </c>
      <c r="D388" t="str">
        <f>計算表!D388</f>
        <v>死亡復活時間</v>
      </c>
      <c r="E388" t="str">
        <f>計算表!E388</f>
        <v>a 秒</v>
      </c>
      <c r="F388" t="str">
        <f>計算表!F388</f>
        <v>REVIVE_DELAY。</v>
      </c>
      <c r="G388">
        <f>計算表!G388</f>
        <v>3</v>
      </c>
      <c r="H388">
        <f>計算表!H388</f>
        <v>0</v>
      </c>
      <c r="I388">
        <f>計算表!I388</f>
        <v>0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3">
        <f>計算表!B389</f>
        <v>0</v>
      </c>
      <c r="C389" t="str">
        <f>計算表!C389</f>
        <v>表-固定參數</v>
      </c>
      <c r="D389" t="str">
        <f>計算表!D389</f>
        <v>零件階級上限</v>
      </c>
      <c r="E389" t="str">
        <f>計算表!E389</f>
        <v>T a</v>
      </c>
      <c r="F389" t="str">
        <f>計算表!F389</f>
        <v>PART_MAX_TIER。</v>
      </c>
      <c r="G389">
        <f>計算表!G389</f>
        <v>7</v>
      </c>
      <c r="H389">
        <f>計算表!H389</f>
        <v>0</v>
      </c>
      <c r="I389">
        <f>計算表!I389</f>
        <v>0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3">
        <f>計算表!B390</f>
        <v>0</v>
      </c>
      <c r="C390" t="str">
        <f>計算表!C390</f>
        <v>表-固定參數</v>
      </c>
      <c r="D390" t="str">
        <f>計算表!D390</f>
        <v>零件庫存保留</v>
      </c>
      <c r="E390" t="str">
        <f>計算表!E390</f>
        <v>每種未安裝最多保留 a 顆</v>
      </c>
      <c r="F390" t="str">
        <f>計算表!F390</f>
        <v>PART_KEEP_PER_KEY，多餘自動分解。</v>
      </c>
      <c r="G390">
        <f>計算表!G390</f>
        <v>10</v>
      </c>
      <c r="H390">
        <f>計算表!H390</f>
        <v>0</v>
      </c>
      <c r="I390">
        <f>計算表!I390</f>
        <v>0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3">
        <f>計算表!B391</f>
        <v>0</v>
      </c>
      <c r="C391" t="str">
        <f>計算表!C391</f>
        <v>表-固定參數</v>
      </c>
      <c r="D391" t="str">
        <f>計算表!D391</f>
        <v>合成節點槽位</v>
      </c>
      <c r="E391" t="str">
        <f>計算表!E391</f>
        <v>a 格</v>
      </c>
      <c r="F391" t="str">
        <f>計算表!F391</f>
        <v>分解槽為金幣解鎖 10~20 格。　※合成功能已停用，本列未生效。</v>
      </c>
      <c r="G391">
        <f>計算表!G391</f>
        <v>2</v>
      </c>
      <c r="H391">
        <f>計算表!H391</f>
        <v>0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3">
        <f>計算表!B392</f>
        <v>0</v>
      </c>
      <c r="C392" t="str">
        <f>計算表!C392</f>
        <v>表-固定參數</v>
      </c>
      <c r="D392" t="str">
        <f>計算表!D392</f>
        <v>寶石一般上限 / 神鑄上限</v>
      </c>
      <c r="E392" t="str">
        <f>計算表!E392</f>
        <v>一般 a 階；神鑄可到 b 階</v>
      </c>
      <c r="F392" t="str">
        <f>計算表!F392</f>
        <v>GEM_MAX_LEVEL / GEM_FORGE_MAX_LEVEL。</v>
      </c>
      <c r="G392">
        <f>計算表!G392</f>
        <v>5</v>
      </c>
      <c r="H392">
        <f>計算表!H392</f>
        <v>10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3">
        <f>計算表!B393</f>
        <v>0</v>
      </c>
      <c r="C393" t="str">
        <f>計算表!C393</f>
        <v>表-固定參數</v>
      </c>
      <c r="D393" t="str">
        <f>計算表!D393</f>
        <v>詞條數硬上限</v>
      </c>
      <c r="E393" t="str">
        <f>計算表!E393</f>
        <v>a 條</v>
      </c>
      <c r="F393" t="str">
        <f>計算表!F393</f>
        <v>MAX_AFFIXES = 創世 7 條 + 詞條上限率突破 1 條。單件裝備可堆疊的最大詞條數。</v>
      </c>
      <c r="G393">
        <f>計算表!G393</f>
        <v>8</v>
      </c>
      <c r="H393">
        <f>計算表!H393</f>
        <v>0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3">
        <f>計算表!B394</f>
        <v>0</v>
      </c>
      <c r="C394" t="str">
        <f>計算表!C394</f>
        <v>表-戰力權重</v>
      </c>
      <c r="D394" t="str">
        <f>計算表!D394</f>
        <v>物理攻擊</v>
      </c>
      <c r="E394" t="str">
        <f>計算表!E394</f>
        <v>評分權重 = a</v>
      </c>
      <c r="F394" t="str">
        <f>計算表!F394</f>
        <v>「戰力評分」中該詞條/對應寶石屬性的權重；未列出者以 1 計。</v>
      </c>
      <c r="G394">
        <f>計算表!G394</f>
        <v>1</v>
      </c>
      <c r="H394">
        <f>計算表!H394</f>
        <v>0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3">
        <f>計算表!B395</f>
        <v>0</v>
      </c>
      <c r="C395" t="str">
        <f>計算表!C395</f>
        <v>表-戰力權重</v>
      </c>
      <c r="D395" t="str">
        <f>計算表!D395</f>
        <v>物理攻擊%</v>
      </c>
      <c r="E395" t="str">
        <f>計算表!E395</f>
        <v>評分權重 = a</v>
      </c>
      <c r="F395" t="str">
        <f>計算表!F395</f>
        <v>「戰力評分」中該詞條/對應寶石屬性的權重；未列出者以 1 計。</v>
      </c>
      <c r="G395">
        <f>計算表!G395</f>
        <v>2.6</v>
      </c>
      <c r="H395">
        <f>計算表!H395</f>
        <v>0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3">
        <f>計算表!B396</f>
        <v>0</v>
      </c>
      <c r="C396" t="str">
        <f>計算表!C396</f>
        <v>表-戰力權重</v>
      </c>
      <c r="D396" t="str">
        <f>計算表!D396</f>
        <v>魔法攻擊</v>
      </c>
      <c r="E396" t="str">
        <f>計算表!E396</f>
        <v>評分權重 = a</v>
      </c>
      <c r="F396" t="str">
        <f>計算表!F396</f>
        <v>「戰力評分」中該詞條/對應寶石屬性的權重；未列出者以 1 計。</v>
      </c>
      <c r="G396">
        <f>計算表!G396</f>
        <v>1</v>
      </c>
      <c r="H396">
        <f>計算表!H396</f>
        <v>0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3">
        <f>計算表!B397</f>
        <v>0</v>
      </c>
      <c r="C397" t="str">
        <f>計算表!C397</f>
        <v>表-戰力權重</v>
      </c>
      <c r="D397" t="str">
        <f>計算表!D397</f>
        <v>魔法攻擊%</v>
      </c>
      <c r="E397" t="str">
        <f>計算表!E397</f>
        <v>評分權重 = a</v>
      </c>
      <c r="F397" t="str">
        <f>計算表!F397</f>
        <v>「戰力評分」中該詞條/對應寶石屬性的權重；未列出者以 1 計。</v>
      </c>
      <c r="G397">
        <f>計算表!G397</f>
        <v>2.6</v>
      </c>
      <c r="H397">
        <f>計算表!H397</f>
        <v>0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3">
        <f>計算表!B398</f>
        <v>0</v>
      </c>
      <c r="C398" t="str">
        <f>計算表!C398</f>
        <v>表-戰力權重</v>
      </c>
      <c r="D398" t="str">
        <f>計算表!D398</f>
        <v>生命值</v>
      </c>
      <c r="E398" t="str">
        <f>計算表!E398</f>
        <v>評分權重 = a</v>
      </c>
      <c r="F398" t="str">
        <f>計算表!F398</f>
        <v>「戰力評分」中該詞條/對應寶石屬性的權重；未列出者以 1 計。</v>
      </c>
      <c r="G398">
        <f>計算表!G398</f>
        <v>0.16</v>
      </c>
      <c r="H398">
        <f>計算表!H398</f>
        <v>0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3">
        <f>計算表!B399</f>
        <v>0</v>
      </c>
      <c r="C399" t="str">
        <f>計算表!C399</f>
        <v>表-戰力權重</v>
      </c>
      <c r="D399" t="str">
        <f>計算表!D399</f>
        <v>生命值%</v>
      </c>
      <c r="E399" t="str">
        <f>計算表!E399</f>
        <v>評分權重 = a</v>
      </c>
      <c r="F399" t="str">
        <f>計算表!F399</f>
        <v>「戰力評分」中該詞條/對應寶石屬性的權重；未列出者以 1 計。</v>
      </c>
      <c r="G399">
        <f>計算表!G399</f>
        <v>2.2000000000000002</v>
      </c>
      <c r="H399">
        <f>計算表!H399</f>
        <v>0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3">
        <f>計算表!B400</f>
        <v>0</v>
      </c>
      <c r="C400" t="str">
        <f>計算表!C400</f>
        <v>表-戰力權重</v>
      </c>
      <c r="D400" t="str">
        <f>計算表!D400</f>
        <v>生命恢復/秒</v>
      </c>
      <c r="E400" t="str">
        <f>計算表!E400</f>
        <v>評分權重 = a</v>
      </c>
      <c r="F400" t="str">
        <f>計算表!F400</f>
        <v>「戰力評分」中該詞條/對應寶石屬性的權重；未列出者以 1 計。</v>
      </c>
      <c r="G400">
        <f>計算表!G400</f>
        <v>0.6</v>
      </c>
      <c r="H400">
        <f>計算表!H400</f>
        <v>0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3">
        <f>計算表!B401</f>
        <v>0</v>
      </c>
      <c r="C401" t="str">
        <f>計算表!C401</f>
        <v>表-戰力權重</v>
      </c>
      <c r="D401" t="str">
        <f>計算表!D401</f>
        <v>物理防禦</v>
      </c>
      <c r="E401" t="str">
        <f>計算表!E401</f>
        <v>評分權重 = a</v>
      </c>
      <c r="F401" t="str">
        <f>計算表!F401</f>
        <v>「戰力評分」中該詞條/對應寶石屬性的權重；未列出者以 1 計。</v>
      </c>
      <c r="G401">
        <f>計算表!G401</f>
        <v>0.9</v>
      </c>
      <c r="H401">
        <f>計算表!H401</f>
        <v>0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3">
        <f>計算表!B402</f>
        <v>0</v>
      </c>
      <c r="C402" t="str">
        <f>計算表!C402</f>
        <v>表-戰力權重</v>
      </c>
      <c r="D402" t="str">
        <f>計算表!D402</f>
        <v>物理防禦%</v>
      </c>
      <c r="E402" t="str">
        <f>計算表!E402</f>
        <v>評分權重 = a</v>
      </c>
      <c r="F402" t="str">
        <f>計算表!F402</f>
        <v>「戰力評分」中該詞條/對應寶石屬性的權重；未列出者以 1 計。</v>
      </c>
      <c r="G402">
        <f>計算表!G402</f>
        <v>1.8</v>
      </c>
      <c r="H402">
        <f>計算表!H402</f>
        <v>0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3">
        <f>計算表!B403</f>
        <v>0</v>
      </c>
      <c r="C403" t="str">
        <f>計算表!C403</f>
        <v>表-戰力權重</v>
      </c>
      <c r="D403" t="str">
        <f>計算表!D403</f>
        <v>魔法防禦</v>
      </c>
      <c r="E403" t="str">
        <f>計算表!E403</f>
        <v>評分權重 = a</v>
      </c>
      <c r="F403" t="str">
        <f>計算表!F403</f>
        <v>「戰力評分」中該詞條/對應寶石屬性的權重；未列出者以 1 計。</v>
      </c>
      <c r="G403">
        <f>計算表!G403</f>
        <v>0.9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3">
        <f>計算表!B404</f>
        <v>0</v>
      </c>
      <c r="C404" t="str">
        <f>計算表!C404</f>
        <v>表-戰力權重</v>
      </c>
      <c r="D404" t="str">
        <f>計算表!D404</f>
        <v>法力值</v>
      </c>
      <c r="E404" t="str">
        <f>計算表!E404</f>
        <v>評分權重 = a</v>
      </c>
      <c r="F404" t="str">
        <f>計算表!F404</f>
        <v>「戰力評分」中該詞條/對應寶石屬性的權重；未列出者以 1 計。</v>
      </c>
      <c r="G404">
        <f>計算表!G404</f>
        <v>0.25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3">
        <f>計算表!B405</f>
        <v>0</v>
      </c>
      <c r="C405" t="str">
        <f>計算表!C405</f>
        <v>表-戰力權重</v>
      </c>
      <c r="D405" t="str">
        <f>計算表!D405</f>
        <v>法力恢復/秒</v>
      </c>
      <c r="E405" t="str">
        <f>計算表!E405</f>
        <v>評分權重 = a</v>
      </c>
      <c r="F405" t="str">
        <f>計算表!F405</f>
        <v>「戰力評分」中該詞條/對應寶石屬性的權重；未列出者以 1 計。</v>
      </c>
      <c r="G405">
        <f>計算表!G405</f>
        <v>2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3">
        <f>計算表!B406</f>
        <v>0</v>
      </c>
      <c r="C406" t="str">
        <f>計算表!C406</f>
        <v>表-戰力權重</v>
      </c>
      <c r="D406" t="str">
        <f>計算表!D406</f>
        <v>力量</v>
      </c>
      <c r="E406" t="str">
        <f>計算表!E406</f>
        <v>評分權重 = a</v>
      </c>
      <c r="F406" t="str">
        <f>計算表!F406</f>
        <v>「戰力評分」中該詞條/對應寶石屬性的權重；未列出者以 1 計。</v>
      </c>
      <c r="G406">
        <f>計算表!G406</f>
        <v>1.8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3">
        <f>計算表!B407</f>
        <v>0</v>
      </c>
      <c r="C407" t="str">
        <f>計算表!C407</f>
        <v>表-戰力權重</v>
      </c>
      <c r="D407" t="str">
        <f>計算表!D407</f>
        <v>敏捷</v>
      </c>
      <c r="E407" t="str">
        <f>計算表!E407</f>
        <v>評分權重 = a</v>
      </c>
      <c r="F407" t="str">
        <f>計算表!F407</f>
        <v>「戰力評分」中該詞條/對應寶石屬性的權重；未列出者以 1 計。</v>
      </c>
      <c r="G407">
        <f>計算表!G407</f>
        <v>1.8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3">
        <f>計算表!B408</f>
        <v>0</v>
      </c>
      <c r="C408" t="str">
        <f>計算表!C408</f>
        <v>表-戰力權重</v>
      </c>
      <c r="D408" t="str">
        <f>計算表!D408</f>
        <v>智力</v>
      </c>
      <c r="E408" t="str">
        <f>計算表!E408</f>
        <v>評分權重 = a</v>
      </c>
      <c r="F408" t="str">
        <f>計算表!F408</f>
        <v>「戰力評分」中該詞條/對應寶石屬性的權重；未列出者以 1 計。</v>
      </c>
      <c r="G408">
        <f>計算表!G408</f>
        <v>1.8</v>
      </c>
      <c r="H408">
        <f>計算表!H408</f>
        <v>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3">
        <f>計算表!B409</f>
        <v>0</v>
      </c>
      <c r="C409" t="str">
        <f>計算表!C409</f>
        <v>表-戰力權重</v>
      </c>
      <c r="D409" t="str">
        <f>計算表!D409</f>
        <v>耐力</v>
      </c>
      <c r="E409" t="str">
        <f>計算表!E409</f>
        <v>評分權重 = a</v>
      </c>
      <c r="F409" t="str">
        <f>計算表!F409</f>
        <v>「戰力評分」中該詞條/對應寶石屬性的權重；未列出者以 1 計。</v>
      </c>
      <c r="G409">
        <f>計算表!G409</f>
        <v>1.8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3">
        <f>計算表!B410</f>
        <v>0</v>
      </c>
      <c r="C410" t="str">
        <f>計算表!C410</f>
        <v>表-戰力權重</v>
      </c>
      <c r="D410" t="str">
        <f>計算表!D410</f>
        <v>攻擊速度%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2.8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3">
        <f>計算表!B411</f>
        <v>0</v>
      </c>
      <c r="C411" t="str">
        <f>計算表!C411</f>
        <v>表-戰力權重</v>
      </c>
      <c r="D411" t="str">
        <f>計算表!D411</f>
        <v>暴擊率%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2.4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3">
        <f>計算表!B412</f>
        <v>0</v>
      </c>
      <c r="C412" t="str">
        <f>計算表!C412</f>
        <v>表-戰力權重</v>
      </c>
      <c r="D412" t="str">
        <f>計算表!D412</f>
        <v>暴擊傷害%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0.9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3">
        <f>計算表!B413</f>
        <v>0</v>
      </c>
      <c r="C413" t="str">
        <f>計算表!C413</f>
        <v>表-戰力權重</v>
      </c>
      <c r="D413" t="str">
        <f>計算表!D413</f>
        <v>物理穿透%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2.2000000000000002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3">
        <f>計算表!B414</f>
        <v>0</v>
      </c>
      <c r="C414" t="str">
        <f>計算表!C414</f>
        <v>表-戰力權重</v>
      </c>
      <c r="D414" t="str">
        <f>計算表!D414</f>
        <v>魔法穿透%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2.2000000000000002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3">
        <f>計算表!B415</f>
        <v>0</v>
      </c>
      <c r="C415" t="str">
        <f>計算表!C415</f>
        <v>表-戰力權重</v>
      </c>
      <c r="D415" t="str">
        <f>計算表!D415</f>
        <v>命中率%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1.2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3">
        <f>計算表!B416</f>
        <v>0</v>
      </c>
      <c r="C416" t="str">
        <f>計算表!C416</f>
        <v>表-戰力權重</v>
      </c>
      <c r="D416" t="str">
        <f>計算表!D416</f>
        <v>冷卻縮減%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2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3">
        <f>計算表!B417</f>
        <v>0</v>
      </c>
      <c r="C417" t="str">
        <f>計算表!C417</f>
        <v>表-戰力權重</v>
      </c>
      <c r="D417" t="str">
        <f>計算表!D417</f>
        <v>施法速度%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1.4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3">
        <f>計算表!B418</f>
        <v>0</v>
      </c>
      <c r="C418" t="str">
        <f>計算表!C418</f>
        <v>表-戰力權重</v>
      </c>
      <c r="D418" t="str">
        <f>計算表!D418</f>
        <v>吸血%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2.2000000000000002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3">
        <f>計算表!B419</f>
        <v>0</v>
      </c>
      <c r="C419" t="str">
        <f>計算表!C419</f>
        <v>表-戰力權重</v>
      </c>
      <c r="D419" t="str">
        <f>計算表!D419</f>
        <v>吸魔%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1.4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3">
        <f>計算表!B420</f>
        <v>0</v>
      </c>
      <c r="C420" t="str">
        <f>計算表!C420</f>
        <v>表-戰力權重</v>
      </c>
      <c r="D420" t="str">
        <f>計算表!D420</f>
        <v>對菁英傷害%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1.2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3">
        <f>計算表!B421</f>
        <v>0</v>
      </c>
      <c r="C421" t="str">
        <f>計算表!C421</f>
        <v>表-戰力權重</v>
      </c>
      <c r="D421" t="str">
        <f>計算表!D421</f>
        <v>對BOSS傷害%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1.2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3">
        <f>計算表!B422</f>
        <v>0</v>
      </c>
      <c r="C422" t="str">
        <f>計算表!C422</f>
        <v>表-戰力權重</v>
      </c>
      <c r="D422" t="str">
        <f>計算表!D422</f>
        <v>範圍傷害%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1.4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3">
        <f>計算表!B423</f>
        <v>0</v>
      </c>
      <c r="C423" t="str">
        <f>計算表!C423</f>
        <v>表-戰力權重</v>
      </c>
      <c r="D423" t="str">
        <f>計算表!D423</f>
        <v>全局減傷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3">
        <f>計算表!B424</f>
        <v>0</v>
      </c>
      <c r="C424" t="str">
        <f>計算表!C424</f>
        <v>表-戰力權重</v>
      </c>
      <c r="D424" t="str">
        <f>計算表!D424</f>
        <v>格擋率%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2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3">
        <f>計算表!B425</f>
        <v>0</v>
      </c>
      <c r="C425" t="str">
        <f>計算表!C425</f>
        <v>表-戰力權重</v>
      </c>
      <c r="D425" t="str">
        <f>計算表!D425</f>
        <v>格擋減傷%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1.2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3">
        <f>計算表!B426</f>
        <v>0</v>
      </c>
      <c r="C426" t="str">
        <f>計算表!C426</f>
        <v>表-戰力權重</v>
      </c>
      <c r="D426" t="str">
        <f>計算表!D426</f>
        <v>閃避率%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2.2000000000000002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3">
        <f>計算表!B427</f>
        <v>0</v>
      </c>
      <c r="C427" t="str">
        <f>計算表!C427</f>
        <v>表-戰力權重</v>
      </c>
      <c r="D427" t="str">
        <f>計算表!D427</f>
        <v>韌性%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1.2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3">
        <f>計算表!B428</f>
        <v>0</v>
      </c>
      <c r="C428" t="str">
        <f>計算表!C428</f>
        <v>表-戰力權重</v>
      </c>
      <c r="D428" t="str">
        <f>計算表!D428</f>
        <v>護盾效率%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1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3">
        <f>計算表!B429</f>
        <v>0</v>
      </c>
      <c r="C429" t="str">
        <f>計算表!C429</f>
        <v>表-戰力權重</v>
      </c>
      <c r="D429" t="str">
        <f>計算表!D429</f>
        <v>物理抗性%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2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3">
        <f>計算表!B430</f>
        <v>0</v>
      </c>
      <c r="C430" t="str">
        <f>計算表!C430</f>
        <v>表-戰力權重</v>
      </c>
      <c r="D430" t="str">
        <f>計算表!D430</f>
        <v>魔法抗性%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2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3">
        <f>計算表!B431</f>
        <v>0</v>
      </c>
      <c r="C431" t="str">
        <f>計算表!C431</f>
        <v>表-戰力權重</v>
      </c>
      <c r="D431" t="str">
        <f>計算表!D431</f>
        <v>火焰抗性%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0.8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3">
        <f>計算表!B432</f>
        <v>0</v>
      </c>
      <c r="C432" t="str">
        <f>計算表!C432</f>
        <v>表-戰力權重</v>
      </c>
      <c r="D432" t="str">
        <f>計算表!D432</f>
        <v>冰霜抗性%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0.8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3">
        <f>計算表!B433</f>
        <v>0</v>
      </c>
      <c r="C433" t="str">
        <f>計算表!C433</f>
        <v>表-戰力權重</v>
      </c>
      <c r="D433" t="str">
        <f>計算表!D433</f>
        <v>雷電抗性%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0.8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3">
        <f>計算表!B434</f>
        <v>0</v>
      </c>
      <c r="C434" t="str">
        <f>計算表!C434</f>
        <v>表-戰力權重</v>
      </c>
      <c r="D434" t="str">
        <f>計算表!D434</f>
        <v>劇毒抗性%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0.8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3">
        <f>計算表!B435</f>
        <v>0</v>
      </c>
      <c r="C435" t="str">
        <f>計算表!C435</f>
        <v>表-戰力權重</v>
      </c>
      <c r="D435" t="str">
        <f>計算表!D435</f>
        <v>聖光抗性%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0.8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3">
        <f>計算表!B436</f>
        <v>0</v>
      </c>
      <c r="C436" t="str">
        <f>計算表!C436</f>
        <v>表-戰力權重</v>
      </c>
      <c r="D436" t="str">
        <f>計算表!D436</f>
        <v>暗影抗性%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0.8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3">
        <f>計算表!B437</f>
        <v>0</v>
      </c>
      <c r="C437" t="str">
        <f>計算表!C437</f>
        <v>表-戰力權重</v>
      </c>
      <c r="D437" t="str">
        <f>計算表!D437</f>
        <v>控制時間縮減%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1.2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3">
        <f>計算表!B438</f>
        <v>0</v>
      </c>
      <c r="C438" t="str">
        <f>計算表!C438</f>
        <v>表-戰力權重</v>
      </c>
      <c r="D438" t="str">
        <f>計算表!D438</f>
        <v>移動速度%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1.5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3">
        <f>計算表!B439</f>
        <v>0</v>
      </c>
      <c r="C439" t="str">
        <f>計算表!C439</f>
        <v>表-戰力權重</v>
      </c>
      <c r="D439" t="str">
        <f>計算表!D439</f>
        <v>掉寶率%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0.8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3">
        <f>計算表!B440</f>
        <v>0</v>
      </c>
      <c r="C440" t="str">
        <f>計算表!C440</f>
        <v>表-戰力權重</v>
      </c>
      <c r="D440" t="str">
        <f>計算表!D440</f>
        <v>經驗加成%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0.8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3">
        <f>計算表!B441</f>
        <v>0</v>
      </c>
      <c r="C441" t="str">
        <f>計算表!C441</f>
        <v>表-戰力權重</v>
      </c>
      <c r="D441" t="str">
        <f>計算表!D441</f>
        <v>金幣加成%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0.8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3">
        <f>計算表!B442</f>
        <v>0</v>
      </c>
      <c r="C442" t="str">
        <f>計算表!C442</f>
        <v>表-戰力權重</v>
      </c>
      <c r="D442" t="str">
        <f>計算表!D442</f>
        <v>幸運值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1.5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3">
        <f>計算表!B443</f>
        <v>0</v>
      </c>
      <c r="C443" t="str">
        <f>計算表!C443</f>
        <v>表-戰力權重</v>
      </c>
      <c r="D443" t="str">
        <f>計算表!D443</f>
        <v>負重上限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0.8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3">
        <f>計算表!B444</f>
        <v>0</v>
      </c>
      <c r="C444" t="str">
        <f>計算表!C444</f>
        <v>表-戰力權重</v>
      </c>
      <c r="D444" t="str">
        <f>計算表!D444</f>
        <v>強化成功率%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0.8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3">
        <f>計算表!B445</f>
        <v>0</v>
      </c>
      <c r="C445" t="str">
        <f>計算表!C445</f>
        <v>表-戰力權重</v>
      </c>
      <c r="D445" t="str">
        <f>計算表!D445</f>
        <v>分解高產率%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0.8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3">
        <f>計算表!B446</f>
        <v>0</v>
      </c>
      <c r="C446" t="str">
        <f>計算表!C446</f>
        <v>表-戰力權重</v>
      </c>
      <c r="D446" t="str">
        <f>計算表!D446</f>
        <v>合成變異率%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1.2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3">
        <f>計算表!B447</f>
        <v>0</v>
      </c>
      <c r="C447" t="str">
        <f>計算表!C447</f>
        <v>表-戰力權重</v>
      </c>
      <c r="D447" t="str">
        <f>計算表!D447</f>
        <v>狂暴閾值+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1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3">
        <f>計算表!B448</f>
        <v>0</v>
      </c>
      <c r="C448" t="str">
        <f>計算表!C448</f>
        <v>表-戰力權重</v>
      </c>
      <c r="D448" t="str">
        <f>計算表!D448</f>
        <v>詞條上限率%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1.2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3">
        <f>計算表!B449</f>
        <v>0</v>
      </c>
      <c r="C449" t="str">
        <f>計算表!C449</f>
        <v>表-戰力權重</v>
      </c>
      <c r="D449" t="str">
        <f>計算表!D449</f>
        <v>寶石鑲嵌效率%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1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B450" s="3"/>
    </row>
    <row r="451" spans="1:18" x14ac:dyDescent="0.25">
      <c r="B451" s="3"/>
    </row>
    <row r="452" spans="1:18" x14ac:dyDescent="0.25">
      <c r="B452" s="3"/>
    </row>
    <row r="453" spans="1:18" x14ac:dyDescent="0.25">
      <c r="B453" s="3"/>
    </row>
    <row r="454" spans="1:18" x14ac:dyDescent="0.25">
      <c r="B454" s="3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4FB42-4596-4E15-8D43-58FA62307D65}">
  <dimension ref="A1:R449"/>
  <sheetViews>
    <sheetView tabSelected="1" workbookViewId="0">
      <pane xSplit="2" ySplit="1" topLeftCell="C179" activePane="bottomRight" state="frozen"/>
      <selection pane="topRight" activeCell="C1" sqref="C1"/>
      <selection pane="bottomLeft" activeCell="A2" sqref="A2"/>
      <selection pane="bottomRight" activeCell="B186" sqref="B186"/>
    </sheetView>
  </sheetViews>
  <sheetFormatPr defaultRowHeight="15.75" x14ac:dyDescent="0.25"/>
  <cols>
    <col min="3" max="3" width="18.28515625" bestFit="1" customWidth="1"/>
    <col min="4" max="4" width="31.140625" bestFit="1" customWidth="1"/>
    <col min="5" max="5" width="42.28515625" customWidth="1"/>
    <col min="6" max="6" width="110.42578125" customWidth="1"/>
    <col min="7" max="7" width="15.42578125" customWidth="1"/>
    <col min="8" max="8" width="15.140625" customWidth="1"/>
    <col min="9" max="9" width="15" customWidth="1"/>
    <col min="10" max="10" width="14.28515625" bestFit="1" customWidth="1"/>
    <col min="11" max="14" width="15.42578125" bestFit="1" customWidth="1"/>
    <col min="15" max="16" width="17.5703125" customWidth="1"/>
  </cols>
  <sheetData>
    <row r="1" spans="1:18" x14ac:dyDescent="0.25">
      <c r="A1" t="s">
        <v>0</v>
      </c>
      <c r="B1" t="s">
        <v>900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 x14ac:dyDescent="0.25">
      <c r="A2">
        <v>1</v>
      </c>
      <c r="C2" t="s">
        <v>17</v>
      </c>
      <c r="D2" t="s">
        <v>18</v>
      </c>
      <c r="E2" t="s">
        <v>903</v>
      </c>
      <c r="F2" t="s">
        <v>904</v>
      </c>
      <c r="G2">
        <v>30</v>
      </c>
      <c r="H2">
        <v>2.2000000000000002</v>
      </c>
      <c r="I2">
        <v>40</v>
      </c>
      <c r="J2">
        <v>9999</v>
      </c>
    </row>
    <row r="3" spans="1:18" x14ac:dyDescent="0.25">
      <c r="A3">
        <f>A2+1</f>
        <v>2</v>
      </c>
      <c r="C3" t="s">
        <v>17</v>
      </c>
      <c r="D3" t="s">
        <v>19</v>
      </c>
      <c r="E3" t="s">
        <v>20</v>
      </c>
      <c r="F3" t="s">
        <v>21</v>
      </c>
      <c r="G3">
        <v>5</v>
      </c>
      <c r="H3">
        <v>2</v>
      </c>
    </row>
    <row r="4" spans="1:18" x14ac:dyDescent="0.25">
      <c r="A4">
        <f t="shared" ref="A4:A67" si="0">A3+1</f>
        <v>3</v>
      </c>
      <c r="C4" t="s">
        <v>17</v>
      </c>
      <c r="D4" t="s">
        <v>22</v>
      </c>
      <c r="E4" t="s">
        <v>23</v>
      </c>
      <c r="F4" t="s">
        <v>24</v>
      </c>
      <c r="G4">
        <v>2</v>
      </c>
      <c r="H4">
        <v>1</v>
      </c>
      <c r="I4">
        <v>10000</v>
      </c>
    </row>
    <row r="5" spans="1:18" x14ac:dyDescent="0.25">
      <c r="A5">
        <f t="shared" si="0"/>
        <v>4</v>
      </c>
      <c r="C5" t="s">
        <v>17</v>
      </c>
      <c r="D5" t="s">
        <v>25</v>
      </c>
      <c r="E5" t="s">
        <v>26</v>
      </c>
      <c r="F5" t="s">
        <v>27</v>
      </c>
      <c r="G5">
        <v>20</v>
      </c>
      <c r="H5">
        <v>2</v>
      </c>
      <c r="I5">
        <v>20</v>
      </c>
    </row>
    <row r="6" spans="1:18" x14ac:dyDescent="0.25">
      <c r="A6">
        <f t="shared" si="0"/>
        <v>5</v>
      </c>
      <c r="C6" t="s">
        <v>17</v>
      </c>
      <c r="D6" t="s">
        <v>28</v>
      </c>
      <c r="E6" t="s">
        <v>29</v>
      </c>
      <c r="F6" t="s">
        <v>30</v>
      </c>
      <c r="G6">
        <v>9999</v>
      </c>
      <c r="H6">
        <v>10</v>
      </c>
    </row>
    <row r="7" spans="1:18" x14ac:dyDescent="0.25">
      <c r="A7">
        <f t="shared" si="0"/>
        <v>6</v>
      </c>
      <c r="C7" t="s">
        <v>17</v>
      </c>
      <c r="D7" t="s">
        <v>31</v>
      </c>
      <c r="E7" t="s">
        <v>32</v>
      </c>
      <c r="F7" t="s">
        <v>33</v>
      </c>
      <c r="G7">
        <v>10</v>
      </c>
    </row>
    <row r="8" spans="1:18" x14ac:dyDescent="0.25">
      <c r="A8">
        <f t="shared" si="0"/>
        <v>7</v>
      </c>
      <c r="C8" t="s">
        <v>17</v>
      </c>
      <c r="D8" t="s">
        <v>34</v>
      </c>
      <c r="E8" t="s">
        <v>908</v>
      </c>
      <c r="F8" t="s">
        <v>907</v>
      </c>
      <c r="G8">
        <v>1</v>
      </c>
      <c r="H8">
        <v>1</v>
      </c>
    </row>
    <row r="9" spans="1:18" x14ac:dyDescent="0.25">
      <c r="A9">
        <f t="shared" si="0"/>
        <v>8</v>
      </c>
      <c r="C9" t="s">
        <v>35</v>
      </c>
      <c r="D9" t="s">
        <v>36</v>
      </c>
      <c r="E9" t="s">
        <v>37</v>
      </c>
      <c r="F9" t="s">
        <v>966</v>
      </c>
      <c r="G9">
        <v>1</v>
      </c>
      <c r="H9" t="s">
        <v>38</v>
      </c>
      <c r="I9">
        <v>0</v>
      </c>
      <c r="J9" t="s">
        <v>39</v>
      </c>
      <c r="K9">
        <v>20</v>
      </c>
      <c r="L9">
        <v>0</v>
      </c>
    </row>
    <row r="10" spans="1:18" x14ac:dyDescent="0.25">
      <c r="A10">
        <f t="shared" si="0"/>
        <v>9</v>
      </c>
      <c r="C10" t="s">
        <v>35</v>
      </c>
      <c r="D10" t="s">
        <v>40</v>
      </c>
      <c r="E10" t="s">
        <v>37</v>
      </c>
      <c r="F10" t="s">
        <v>902</v>
      </c>
      <c r="G10">
        <v>10</v>
      </c>
      <c r="H10" t="s">
        <v>41</v>
      </c>
      <c r="I10" s="1">
        <v>100000</v>
      </c>
      <c r="J10" t="s">
        <v>42</v>
      </c>
      <c r="K10">
        <v>30</v>
      </c>
      <c r="L10">
        <v>20</v>
      </c>
    </row>
    <row r="11" spans="1:18" x14ac:dyDescent="0.25">
      <c r="A11">
        <f t="shared" si="0"/>
        <v>10</v>
      </c>
      <c r="C11" t="s">
        <v>35</v>
      </c>
      <c r="D11" t="s">
        <v>43</v>
      </c>
      <c r="E11" t="s">
        <v>37</v>
      </c>
      <c r="F11" t="s">
        <v>902</v>
      </c>
      <c r="G11">
        <v>20</v>
      </c>
      <c r="H11" t="s">
        <v>44</v>
      </c>
      <c r="I11" s="1">
        <f>I10*3</f>
        <v>300000</v>
      </c>
      <c r="J11" t="s">
        <v>45</v>
      </c>
      <c r="K11">
        <v>40</v>
      </c>
      <c r="L11">
        <v>40</v>
      </c>
    </row>
    <row r="12" spans="1:18" x14ac:dyDescent="0.25">
      <c r="A12">
        <f t="shared" si="0"/>
        <v>11</v>
      </c>
      <c r="C12" t="s">
        <v>35</v>
      </c>
      <c r="D12" t="s">
        <v>46</v>
      </c>
      <c r="E12" t="s">
        <v>37</v>
      </c>
      <c r="F12" t="s">
        <v>902</v>
      </c>
      <c r="G12">
        <v>40</v>
      </c>
      <c r="H12" t="s">
        <v>47</v>
      </c>
      <c r="I12" s="1">
        <f t="shared" ref="I12:I19" si="1">I11*3</f>
        <v>900000</v>
      </c>
      <c r="J12" t="s">
        <v>48</v>
      </c>
      <c r="K12">
        <v>50</v>
      </c>
      <c r="L12">
        <v>60</v>
      </c>
    </row>
    <row r="13" spans="1:18" x14ac:dyDescent="0.25">
      <c r="A13">
        <f t="shared" si="0"/>
        <v>12</v>
      </c>
      <c r="C13" t="s">
        <v>35</v>
      </c>
      <c r="D13" t="s">
        <v>49</v>
      </c>
      <c r="E13" t="s">
        <v>37</v>
      </c>
      <c r="F13" t="s">
        <v>902</v>
      </c>
      <c r="G13">
        <v>80</v>
      </c>
      <c r="H13" t="s">
        <v>50</v>
      </c>
      <c r="I13" s="1">
        <f t="shared" si="1"/>
        <v>2700000</v>
      </c>
      <c r="J13" t="s">
        <v>51</v>
      </c>
      <c r="K13">
        <v>60</v>
      </c>
      <c r="L13">
        <v>80</v>
      </c>
    </row>
    <row r="14" spans="1:18" x14ac:dyDescent="0.25">
      <c r="A14">
        <f t="shared" si="0"/>
        <v>13</v>
      </c>
      <c r="C14" t="s">
        <v>35</v>
      </c>
      <c r="D14" t="s">
        <v>52</v>
      </c>
      <c r="E14" t="s">
        <v>37</v>
      </c>
      <c r="F14" t="s">
        <v>902</v>
      </c>
      <c r="G14">
        <v>160</v>
      </c>
      <c r="H14" t="s">
        <v>53</v>
      </c>
      <c r="I14" s="1">
        <f t="shared" si="1"/>
        <v>8100000</v>
      </c>
      <c r="J14" t="s">
        <v>54</v>
      </c>
      <c r="K14">
        <v>70</v>
      </c>
      <c r="L14">
        <v>100</v>
      </c>
    </row>
    <row r="15" spans="1:18" x14ac:dyDescent="0.25">
      <c r="A15">
        <f t="shared" si="0"/>
        <v>14</v>
      </c>
      <c r="C15" t="s">
        <v>35</v>
      </c>
      <c r="D15" t="s">
        <v>55</v>
      </c>
      <c r="E15" t="s">
        <v>37</v>
      </c>
      <c r="F15" t="s">
        <v>902</v>
      </c>
      <c r="G15">
        <v>320</v>
      </c>
      <c r="H15" t="s">
        <v>56</v>
      </c>
      <c r="I15" s="1">
        <f t="shared" si="1"/>
        <v>24300000</v>
      </c>
      <c r="J15" t="s">
        <v>57</v>
      </c>
      <c r="K15">
        <v>80</v>
      </c>
      <c r="L15">
        <v>120</v>
      </c>
    </row>
    <row r="16" spans="1:18" x14ac:dyDescent="0.25">
      <c r="A16">
        <f t="shared" si="0"/>
        <v>15</v>
      </c>
      <c r="C16" t="s">
        <v>35</v>
      </c>
      <c r="D16" t="s">
        <v>58</v>
      </c>
      <c r="E16" t="s">
        <v>37</v>
      </c>
      <c r="F16" t="s">
        <v>902</v>
      </c>
      <c r="G16">
        <v>640</v>
      </c>
      <c r="H16" t="s">
        <v>59</v>
      </c>
      <c r="I16" s="1">
        <f t="shared" si="1"/>
        <v>72900000</v>
      </c>
      <c r="J16" t="s">
        <v>60</v>
      </c>
      <c r="K16">
        <v>90</v>
      </c>
      <c r="L16">
        <v>140</v>
      </c>
    </row>
    <row r="17" spans="1:12" x14ac:dyDescent="0.25">
      <c r="A17">
        <f t="shared" si="0"/>
        <v>16</v>
      </c>
      <c r="C17" t="s">
        <v>35</v>
      </c>
      <c r="D17" t="s">
        <v>61</v>
      </c>
      <c r="E17" t="s">
        <v>37</v>
      </c>
      <c r="F17" t="s">
        <v>902</v>
      </c>
      <c r="G17">
        <v>1280</v>
      </c>
      <c r="H17" t="s">
        <v>62</v>
      </c>
      <c r="I17" s="1">
        <f t="shared" si="1"/>
        <v>218700000</v>
      </c>
      <c r="J17" t="s">
        <v>63</v>
      </c>
      <c r="K17">
        <v>100</v>
      </c>
      <c r="L17">
        <v>160</v>
      </c>
    </row>
    <row r="18" spans="1:12" x14ac:dyDescent="0.25">
      <c r="A18">
        <f t="shared" si="0"/>
        <v>17</v>
      </c>
      <c r="C18" t="s">
        <v>35</v>
      </c>
      <c r="D18" t="s">
        <v>64</v>
      </c>
      <c r="E18" t="s">
        <v>37</v>
      </c>
      <c r="F18" t="s">
        <v>902</v>
      </c>
      <c r="G18">
        <v>2560</v>
      </c>
      <c r="H18" t="s">
        <v>65</v>
      </c>
      <c r="I18" s="1">
        <f t="shared" si="1"/>
        <v>656100000</v>
      </c>
      <c r="J18" t="s">
        <v>66</v>
      </c>
      <c r="K18">
        <v>110</v>
      </c>
      <c r="L18">
        <v>180</v>
      </c>
    </row>
    <row r="19" spans="1:12" x14ac:dyDescent="0.25">
      <c r="A19">
        <f t="shared" si="0"/>
        <v>18</v>
      </c>
      <c r="C19" t="s">
        <v>35</v>
      </c>
      <c r="D19" t="s">
        <v>67</v>
      </c>
      <c r="E19" t="s">
        <v>37</v>
      </c>
      <c r="F19" t="s">
        <v>902</v>
      </c>
      <c r="G19">
        <v>5120</v>
      </c>
      <c r="H19" t="s">
        <v>901</v>
      </c>
      <c r="I19" s="1">
        <f t="shared" si="1"/>
        <v>1968300000</v>
      </c>
      <c r="J19" t="s">
        <v>68</v>
      </c>
      <c r="K19">
        <v>120</v>
      </c>
      <c r="L19">
        <v>200</v>
      </c>
    </row>
    <row r="20" spans="1:12" x14ac:dyDescent="0.25">
      <c r="A20">
        <f t="shared" si="0"/>
        <v>19</v>
      </c>
      <c r="C20" t="s">
        <v>69</v>
      </c>
      <c r="D20" t="s">
        <v>70</v>
      </c>
      <c r="E20" t="s">
        <v>71</v>
      </c>
      <c r="F20" t="s">
        <v>72</v>
      </c>
      <c r="G20">
        <v>120</v>
      </c>
      <c r="H20">
        <v>22</v>
      </c>
      <c r="I20">
        <v>10</v>
      </c>
    </row>
    <row r="21" spans="1:12" x14ac:dyDescent="0.25">
      <c r="A21">
        <f t="shared" si="0"/>
        <v>20</v>
      </c>
      <c r="C21" t="s">
        <v>69</v>
      </c>
      <c r="D21" t="s">
        <v>73</v>
      </c>
      <c r="E21" t="s">
        <v>74</v>
      </c>
      <c r="F21" t="s">
        <v>75</v>
      </c>
      <c r="G21">
        <v>40</v>
      </c>
      <c r="H21">
        <v>4</v>
      </c>
    </row>
    <row r="22" spans="1:12" x14ac:dyDescent="0.25">
      <c r="A22">
        <f t="shared" si="0"/>
        <v>21</v>
      </c>
      <c r="C22" t="s">
        <v>69</v>
      </c>
      <c r="D22" t="s">
        <v>76</v>
      </c>
      <c r="E22" t="s">
        <v>77</v>
      </c>
      <c r="F22" t="s">
        <v>78</v>
      </c>
      <c r="G22">
        <v>2</v>
      </c>
      <c r="H22">
        <v>0.06</v>
      </c>
    </row>
    <row r="23" spans="1:12" x14ac:dyDescent="0.25">
      <c r="A23">
        <f t="shared" si="0"/>
        <v>22</v>
      </c>
      <c r="C23" t="s">
        <v>69</v>
      </c>
      <c r="D23" t="s">
        <v>79</v>
      </c>
      <c r="E23" t="s">
        <v>80</v>
      </c>
      <c r="F23" t="s">
        <v>81</v>
      </c>
      <c r="G23">
        <v>8</v>
      </c>
      <c r="H23">
        <v>1.6</v>
      </c>
      <c r="I23">
        <v>2</v>
      </c>
    </row>
    <row r="24" spans="1:12" x14ac:dyDescent="0.25">
      <c r="A24">
        <f t="shared" si="0"/>
        <v>23</v>
      </c>
      <c r="C24" t="s">
        <v>69</v>
      </c>
      <c r="D24" t="s">
        <v>82</v>
      </c>
      <c r="E24" t="s">
        <v>83</v>
      </c>
      <c r="F24" t="s">
        <v>84</v>
      </c>
      <c r="G24">
        <v>6</v>
      </c>
      <c r="H24">
        <v>1.2</v>
      </c>
      <c r="I24">
        <v>2</v>
      </c>
    </row>
    <row r="25" spans="1:12" x14ac:dyDescent="0.25">
      <c r="A25">
        <f t="shared" si="0"/>
        <v>24</v>
      </c>
      <c r="C25" t="s">
        <v>69</v>
      </c>
      <c r="D25" t="s">
        <v>85</v>
      </c>
      <c r="E25" t="s">
        <v>86</v>
      </c>
      <c r="F25" t="s">
        <v>87</v>
      </c>
      <c r="G25">
        <v>4</v>
      </c>
      <c r="H25">
        <v>1</v>
      </c>
      <c r="I25">
        <v>0.9</v>
      </c>
    </row>
    <row r="26" spans="1:12" x14ac:dyDescent="0.25">
      <c r="A26">
        <f t="shared" si="0"/>
        <v>25</v>
      </c>
      <c r="C26" t="s">
        <v>69</v>
      </c>
      <c r="D26" t="s">
        <v>88</v>
      </c>
      <c r="E26" t="s">
        <v>89</v>
      </c>
      <c r="F26" t="s">
        <v>90</v>
      </c>
      <c r="G26">
        <v>3</v>
      </c>
      <c r="H26">
        <v>0.8</v>
      </c>
      <c r="I26">
        <v>0.7</v>
      </c>
    </row>
    <row r="27" spans="1:12" x14ac:dyDescent="0.25">
      <c r="A27">
        <f t="shared" si="0"/>
        <v>26</v>
      </c>
      <c r="C27" t="s">
        <v>69</v>
      </c>
      <c r="D27" t="s">
        <v>91</v>
      </c>
      <c r="E27" t="s">
        <v>92</v>
      </c>
      <c r="F27" t="s">
        <v>93</v>
      </c>
      <c r="G27">
        <v>5</v>
      </c>
      <c r="H27">
        <v>0</v>
      </c>
    </row>
    <row r="28" spans="1:12" x14ac:dyDescent="0.25">
      <c r="A28">
        <f t="shared" si="0"/>
        <v>27</v>
      </c>
      <c r="C28" t="s">
        <v>69</v>
      </c>
      <c r="D28" t="s">
        <v>94</v>
      </c>
      <c r="E28" t="s">
        <v>95</v>
      </c>
      <c r="F28" t="s">
        <v>96</v>
      </c>
      <c r="G28">
        <v>150</v>
      </c>
    </row>
    <row r="29" spans="1:12" x14ac:dyDescent="0.25">
      <c r="A29">
        <f t="shared" si="0"/>
        <v>28</v>
      </c>
      <c r="C29" t="s">
        <v>69</v>
      </c>
      <c r="D29" t="s">
        <v>97</v>
      </c>
      <c r="E29" t="s">
        <v>98</v>
      </c>
      <c r="F29" t="s">
        <v>99</v>
      </c>
      <c r="G29">
        <v>1</v>
      </c>
      <c r="H29">
        <v>0</v>
      </c>
    </row>
    <row r="30" spans="1:12" x14ac:dyDescent="0.25">
      <c r="A30">
        <f t="shared" si="0"/>
        <v>29</v>
      </c>
      <c r="C30" t="s">
        <v>69</v>
      </c>
      <c r="D30" t="s">
        <v>100</v>
      </c>
      <c r="E30" t="s">
        <v>985</v>
      </c>
      <c r="F30" t="s">
        <v>986</v>
      </c>
      <c r="G30">
        <v>1E-4</v>
      </c>
    </row>
    <row r="31" spans="1:12" x14ac:dyDescent="0.25">
      <c r="A31">
        <f t="shared" si="0"/>
        <v>30</v>
      </c>
      <c r="C31" t="s">
        <v>69</v>
      </c>
      <c r="D31" t="s">
        <v>101</v>
      </c>
      <c r="E31" t="s">
        <v>985</v>
      </c>
      <c r="F31" t="s">
        <v>979</v>
      </c>
      <c r="G31">
        <v>1E-4</v>
      </c>
    </row>
    <row r="32" spans="1:12" x14ac:dyDescent="0.25">
      <c r="A32">
        <f t="shared" si="0"/>
        <v>31</v>
      </c>
      <c r="C32" t="s">
        <v>69</v>
      </c>
      <c r="D32" t="s">
        <v>102</v>
      </c>
      <c r="E32" t="s">
        <v>103</v>
      </c>
      <c r="F32" t="s">
        <v>104</v>
      </c>
      <c r="G32">
        <v>0.5</v>
      </c>
    </row>
    <row r="33" spans="1:8" x14ac:dyDescent="0.25">
      <c r="A33">
        <f t="shared" si="0"/>
        <v>32</v>
      </c>
      <c r="C33" t="s">
        <v>69</v>
      </c>
      <c r="D33" t="s">
        <v>105</v>
      </c>
      <c r="E33" t="s">
        <v>106</v>
      </c>
      <c r="F33" t="s">
        <v>107</v>
      </c>
      <c r="G33">
        <v>1.5</v>
      </c>
    </row>
    <row r="34" spans="1:8" x14ac:dyDescent="0.25">
      <c r="A34">
        <f t="shared" si="0"/>
        <v>33</v>
      </c>
      <c r="C34" t="s">
        <v>69</v>
      </c>
      <c r="D34" t="s">
        <v>108</v>
      </c>
      <c r="E34" t="s">
        <v>109</v>
      </c>
      <c r="F34" t="s">
        <v>110</v>
      </c>
      <c r="G34">
        <v>100</v>
      </c>
      <c r="H34">
        <v>10000</v>
      </c>
    </row>
    <row r="35" spans="1:8" x14ac:dyDescent="0.25">
      <c r="A35">
        <f t="shared" si="0"/>
        <v>34</v>
      </c>
      <c r="C35" t="s">
        <v>111</v>
      </c>
      <c r="D35" t="s">
        <v>112</v>
      </c>
      <c r="E35" t="s">
        <v>113</v>
      </c>
      <c r="F35" t="s">
        <v>909</v>
      </c>
      <c r="G35">
        <v>100</v>
      </c>
    </row>
    <row r="36" spans="1:8" x14ac:dyDescent="0.25">
      <c r="A36">
        <f t="shared" si="0"/>
        <v>35</v>
      </c>
      <c r="C36" t="s">
        <v>111</v>
      </c>
      <c r="D36" t="s">
        <v>114</v>
      </c>
      <c r="E36" t="s">
        <v>113</v>
      </c>
      <c r="F36" t="s">
        <v>910</v>
      </c>
      <c r="G36">
        <v>80</v>
      </c>
    </row>
    <row r="37" spans="1:8" x14ac:dyDescent="0.25">
      <c r="A37">
        <f t="shared" si="0"/>
        <v>36</v>
      </c>
      <c r="C37" t="s">
        <v>111</v>
      </c>
      <c r="D37" t="s">
        <v>115</v>
      </c>
      <c r="E37" t="s">
        <v>113</v>
      </c>
      <c r="F37" t="s">
        <v>911</v>
      </c>
      <c r="G37">
        <v>80</v>
      </c>
    </row>
    <row r="38" spans="1:8" x14ac:dyDescent="0.25">
      <c r="A38">
        <f t="shared" si="0"/>
        <v>37</v>
      </c>
      <c r="C38" t="s">
        <v>111</v>
      </c>
      <c r="D38" t="s">
        <v>116</v>
      </c>
      <c r="E38" t="s">
        <v>113</v>
      </c>
      <c r="F38" t="s">
        <v>912</v>
      </c>
      <c r="G38">
        <v>60</v>
      </c>
    </row>
    <row r="39" spans="1:8" x14ac:dyDescent="0.25">
      <c r="A39">
        <f t="shared" si="0"/>
        <v>38</v>
      </c>
      <c r="C39" t="s">
        <v>111</v>
      </c>
      <c r="D39" t="s">
        <v>117</v>
      </c>
      <c r="E39" t="s">
        <v>113</v>
      </c>
      <c r="F39" t="s">
        <v>913</v>
      </c>
      <c r="G39">
        <v>50</v>
      </c>
    </row>
    <row r="40" spans="1:8" x14ac:dyDescent="0.25">
      <c r="A40">
        <f t="shared" si="0"/>
        <v>39</v>
      </c>
      <c r="C40" t="s">
        <v>111</v>
      </c>
      <c r="D40" t="s">
        <v>118</v>
      </c>
      <c r="E40" t="s">
        <v>113</v>
      </c>
      <c r="F40" t="s">
        <v>914</v>
      </c>
      <c r="G40">
        <v>60</v>
      </c>
    </row>
    <row r="41" spans="1:8" x14ac:dyDescent="0.25">
      <c r="A41">
        <f t="shared" si="0"/>
        <v>40</v>
      </c>
      <c r="C41" t="s">
        <v>111</v>
      </c>
      <c r="D41" t="s">
        <v>119</v>
      </c>
      <c r="E41" t="s">
        <v>113</v>
      </c>
      <c r="F41" t="s">
        <v>915</v>
      </c>
      <c r="G41">
        <v>30</v>
      </c>
    </row>
    <row r="42" spans="1:8" x14ac:dyDescent="0.25">
      <c r="A42">
        <f t="shared" si="0"/>
        <v>41</v>
      </c>
      <c r="C42" t="s">
        <v>111</v>
      </c>
      <c r="D42" t="s">
        <v>120</v>
      </c>
      <c r="E42" t="s">
        <v>113</v>
      </c>
      <c r="F42" t="s">
        <v>916</v>
      </c>
      <c r="G42">
        <v>50</v>
      </c>
    </row>
    <row r="43" spans="1:8" x14ac:dyDescent="0.25">
      <c r="A43">
        <f t="shared" si="0"/>
        <v>42</v>
      </c>
      <c r="C43" t="s">
        <v>111</v>
      </c>
      <c r="D43" t="s">
        <v>121</v>
      </c>
      <c r="E43" t="s">
        <v>113</v>
      </c>
      <c r="F43" t="s">
        <v>917</v>
      </c>
      <c r="G43">
        <v>50</v>
      </c>
    </row>
    <row r="44" spans="1:8" x14ac:dyDescent="0.25">
      <c r="A44">
        <f t="shared" si="0"/>
        <v>43</v>
      </c>
      <c r="C44" t="s">
        <v>111</v>
      </c>
      <c r="D44" t="s">
        <v>122</v>
      </c>
      <c r="E44" t="s">
        <v>113</v>
      </c>
      <c r="F44" t="s">
        <v>918</v>
      </c>
      <c r="G44">
        <v>0</v>
      </c>
    </row>
    <row r="45" spans="1:8" x14ac:dyDescent="0.25">
      <c r="A45">
        <f t="shared" si="0"/>
        <v>44</v>
      </c>
      <c r="C45" t="s">
        <v>111</v>
      </c>
      <c r="D45" t="s">
        <v>123</v>
      </c>
      <c r="E45" t="s">
        <v>113</v>
      </c>
      <c r="F45" t="s">
        <v>919</v>
      </c>
      <c r="G45">
        <v>60</v>
      </c>
    </row>
    <row r="46" spans="1:8" x14ac:dyDescent="0.25">
      <c r="A46">
        <f t="shared" si="0"/>
        <v>45</v>
      </c>
      <c r="C46" t="s">
        <v>111</v>
      </c>
      <c r="D46" t="s">
        <v>124</v>
      </c>
      <c r="E46" t="s">
        <v>113</v>
      </c>
      <c r="F46" t="s">
        <v>920</v>
      </c>
      <c r="G46">
        <v>95</v>
      </c>
    </row>
    <row r="47" spans="1:8" x14ac:dyDescent="0.25">
      <c r="A47">
        <f t="shared" si="0"/>
        <v>46</v>
      </c>
      <c r="C47" t="s">
        <v>111</v>
      </c>
      <c r="D47" t="s">
        <v>125</v>
      </c>
      <c r="E47" t="s">
        <v>113</v>
      </c>
      <c r="F47" t="s">
        <v>921</v>
      </c>
      <c r="G47">
        <v>95</v>
      </c>
    </row>
    <row r="48" spans="1:8" x14ac:dyDescent="0.25">
      <c r="A48">
        <f t="shared" si="0"/>
        <v>47</v>
      </c>
      <c r="C48" t="s">
        <v>111</v>
      </c>
      <c r="D48" t="s">
        <v>126</v>
      </c>
      <c r="E48" t="s">
        <v>113</v>
      </c>
      <c r="F48" t="s">
        <v>922</v>
      </c>
      <c r="G48">
        <v>95</v>
      </c>
    </row>
    <row r="49" spans="1:8" x14ac:dyDescent="0.25">
      <c r="A49">
        <f t="shared" si="0"/>
        <v>48</v>
      </c>
      <c r="C49" t="s">
        <v>111</v>
      </c>
      <c r="D49" t="s">
        <v>127</v>
      </c>
      <c r="E49" t="s">
        <v>113</v>
      </c>
      <c r="F49" t="s">
        <v>923</v>
      </c>
      <c r="G49">
        <v>80</v>
      </c>
    </row>
    <row r="50" spans="1:8" x14ac:dyDescent="0.25">
      <c r="A50">
        <f t="shared" si="0"/>
        <v>49</v>
      </c>
      <c r="C50" t="s">
        <v>111</v>
      </c>
      <c r="D50" t="s">
        <v>128</v>
      </c>
      <c r="E50" t="s">
        <v>113</v>
      </c>
      <c r="F50" t="s">
        <v>924</v>
      </c>
      <c r="G50">
        <v>60</v>
      </c>
    </row>
    <row r="51" spans="1:8" x14ac:dyDescent="0.25">
      <c r="A51">
        <f t="shared" si="0"/>
        <v>50</v>
      </c>
      <c r="C51" t="s">
        <v>111</v>
      </c>
      <c r="D51" t="s">
        <v>129</v>
      </c>
      <c r="E51" t="s">
        <v>113</v>
      </c>
      <c r="F51" t="s">
        <v>925</v>
      </c>
      <c r="G51">
        <v>50</v>
      </c>
    </row>
    <row r="52" spans="1:8" x14ac:dyDescent="0.25">
      <c r="A52">
        <f t="shared" si="0"/>
        <v>51</v>
      </c>
      <c r="C52" t="s">
        <v>111</v>
      </c>
      <c r="D52" t="s">
        <v>130</v>
      </c>
      <c r="E52" t="s">
        <v>113</v>
      </c>
      <c r="F52" t="s">
        <v>926</v>
      </c>
      <c r="G52">
        <v>100</v>
      </c>
    </row>
    <row r="53" spans="1:8" x14ac:dyDescent="0.25">
      <c r="A53">
        <f t="shared" si="0"/>
        <v>52</v>
      </c>
      <c r="C53" t="s">
        <v>111</v>
      </c>
      <c r="D53" t="s">
        <v>131</v>
      </c>
      <c r="E53" t="s">
        <v>113</v>
      </c>
      <c r="F53" t="s">
        <v>927</v>
      </c>
      <c r="G53">
        <v>60</v>
      </c>
    </row>
    <row r="54" spans="1:8" x14ac:dyDescent="0.25">
      <c r="A54">
        <f t="shared" si="0"/>
        <v>53</v>
      </c>
      <c r="C54" t="s">
        <v>111</v>
      </c>
      <c r="D54" t="s">
        <v>132</v>
      </c>
      <c r="E54" t="s">
        <v>113</v>
      </c>
      <c r="F54" t="s">
        <v>928</v>
      </c>
      <c r="G54">
        <v>30</v>
      </c>
    </row>
    <row r="55" spans="1:8" x14ac:dyDescent="0.25">
      <c r="A55">
        <f t="shared" si="0"/>
        <v>54</v>
      </c>
      <c r="C55" t="s">
        <v>111</v>
      </c>
      <c r="D55" t="s">
        <v>133</v>
      </c>
      <c r="E55" t="s">
        <v>113</v>
      </c>
      <c r="F55" t="s">
        <v>929</v>
      </c>
      <c r="G55">
        <v>100</v>
      </c>
    </row>
    <row r="56" spans="1:8" x14ac:dyDescent="0.25">
      <c r="A56">
        <f t="shared" si="0"/>
        <v>55</v>
      </c>
      <c r="C56" t="s">
        <v>111</v>
      </c>
      <c r="D56" t="s">
        <v>134</v>
      </c>
      <c r="E56" t="s">
        <v>113</v>
      </c>
      <c r="F56" t="s">
        <v>930</v>
      </c>
      <c r="G56">
        <v>45</v>
      </c>
    </row>
    <row r="57" spans="1:8" x14ac:dyDescent="0.25">
      <c r="A57">
        <f t="shared" si="0"/>
        <v>56</v>
      </c>
      <c r="C57" t="s">
        <v>111</v>
      </c>
      <c r="D57" t="s">
        <v>135</v>
      </c>
      <c r="E57" t="s">
        <v>113</v>
      </c>
      <c r="F57" t="s">
        <v>931</v>
      </c>
      <c r="G57">
        <v>30</v>
      </c>
    </row>
    <row r="58" spans="1:8" x14ac:dyDescent="0.25">
      <c r="A58">
        <f t="shared" si="0"/>
        <v>57</v>
      </c>
      <c r="C58" t="s">
        <v>111</v>
      </c>
      <c r="D58" t="s">
        <v>136</v>
      </c>
      <c r="E58" t="s">
        <v>113</v>
      </c>
      <c r="F58" t="s">
        <v>947</v>
      </c>
      <c r="G58">
        <v>85</v>
      </c>
    </row>
    <row r="59" spans="1:8" x14ac:dyDescent="0.25">
      <c r="A59">
        <f t="shared" si="0"/>
        <v>58</v>
      </c>
      <c r="C59" t="s">
        <v>137</v>
      </c>
      <c r="D59" t="s">
        <v>138</v>
      </c>
      <c r="E59" t="s">
        <v>974</v>
      </c>
      <c r="F59" t="s">
        <v>139</v>
      </c>
      <c r="G59">
        <v>60</v>
      </c>
      <c r="H59">
        <v>8</v>
      </c>
    </row>
    <row r="60" spans="1:8" x14ac:dyDescent="0.25">
      <c r="A60">
        <f t="shared" si="0"/>
        <v>59</v>
      </c>
      <c r="C60" t="s">
        <v>137</v>
      </c>
      <c r="D60" t="s">
        <v>140</v>
      </c>
      <c r="E60" t="s">
        <v>141</v>
      </c>
      <c r="F60" t="s">
        <v>142</v>
      </c>
      <c r="G60">
        <v>0.9</v>
      </c>
      <c r="H60">
        <v>1.1000000000000001</v>
      </c>
    </row>
    <row r="61" spans="1:8" x14ac:dyDescent="0.25">
      <c r="A61">
        <f t="shared" si="0"/>
        <v>60</v>
      </c>
      <c r="C61" t="s">
        <v>137</v>
      </c>
      <c r="D61" t="s">
        <v>143</v>
      </c>
      <c r="E61" t="s">
        <v>144</v>
      </c>
      <c r="F61" t="s">
        <v>145</v>
      </c>
      <c r="G61">
        <v>1</v>
      </c>
    </row>
    <row r="62" spans="1:8" x14ac:dyDescent="0.25">
      <c r="A62">
        <f t="shared" si="0"/>
        <v>61</v>
      </c>
      <c r="C62" t="s">
        <v>137</v>
      </c>
      <c r="D62" t="s">
        <v>146</v>
      </c>
      <c r="E62" t="s">
        <v>147</v>
      </c>
      <c r="F62" t="s">
        <v>148</v>
      </c>
      <c r="G62">
        <v>0.7</v>
      </c>
    </row>
    <row r="63" spans="1:8" x14ac:dyDescent="0.25">
      <c r="A63">
        <f t="shared" si="0"/>
        <v>62</v>
      </c>
      <c r="C63" t="s">
        <v>137</v>
      </c>
      <c r="D63" t="s">
        <v>149</v>
      </c>
      <c r="E63" t="s">
        <v>150</v>
      </c>
      <c r="F63" t="s">
        <v>151</v>
      </c>
      <c r="G63">
        <v>12</v>
      </c>
    </row>
    <row r="64" spans="1:8" x14ac:dyDescent="0.25">
      <c r="A64">
        <f t="shared" si="0"/>
        <v>63</v>
      </c>
      <c r="C64" t="s">
        <v>137</v>
      </c>
      <c r="D64" t="s">
        <v>152</v>
      </c>
      <c r="E64" t="s">
        <v>153</v>
      </c>
      <c r="F64" t="s">
        <v>154</v>
      </c>
      <c r="G64">
        <v>1</v>
      </c>
    </row>
    <row r="65" spans="1:10" x14ac:dyDescent="0.25">
      <c r="A65">
        <f t="shared" si="0"/>
        <v>64</v>
      </c>
      <c r="C65" t="s">
        <v>137</v>
      </c>
      <c r="D65" t="s">
        <v>155</v>
      </c>
      <c r="E65" t="s">
        <v>156</v>
      </c>
      <c r="F65" t="s">
        <v>157</v>
      </c>
      <c r="G65">
        <v>10</v>
      </c>
    </row>
    <row r="66" spans="1:10" x14ac:dyDescent="0.25">
      <c r="A66">
        <f t="shared" si="0"/>
        <v>65</v>
      </c>
      <c r="C66" t="s">
        <v>137</v>
      </c>
      <c r="D66" t="s">
        <v>158</v>
      </c>
      <c r="E66" t="s">
        <v>150</v>
      </c>
      <c r="F66" t="s">
        <v>960</v>
      </c>
      <c r="G66">
        <v>10000</v>
      </c>
    </row>
    <row r="67" spans="1:10" x14ac:dyDescent="0.25">
      <c r="A67">
        <f t="shared" si="0"/>
        <v>66</v>
      </c>
      <c r="C67" t="s">
        <v>137</v>
      </c>
      <c r="D67" t="s">
        <v>159</v>
      </c>
      <c r="E67" t="s">
        <v>160</v>
      </c>
      <c r="F67" t="s">
        <v>161</v>
      </c>
      <c r="G67">
        <v>50</v>
      </c>
    </row>
    <row r="68" spans="1:10" x14ac:dyDescent="0.25">
      <c r="A68">
        <f t="shared" ref="A68:A134" si="2">A67+1</f>
        <v>67</v>
      </c>
      <c r="C68" t="s">
        <v>137</v>
      </c>
      <c r="D68" t="s">
        <v>162</v>
      </c>
      <c r="E68" t="s">
        <v>163</v>
      </c>
      <c r="F68" t="s">
        <v>164</v>
      </c>
      <c r="G68">
        <v>30</v>
      </c>
      <c r="H68">
        <v>60</v>
      </c>
    </row>
    <row r="69" spans="1:10" x14ac:dyDescent="0.25">
      <c r="A69">
        <f t="shared" si="2"/>
        <v>68</v>
      </c>
      <c r="C69" t="s">
        <v>137</v>
      </c>
      <c r="D69" t="s">
        <v>165</v>
      </c>
      <c r="E69" t="s">
        <v>166</v>
      </c>
      <c r="F69" t="s">
        <v>167</v>
      </c>
      <c r="G69">
        <v>5</v>
      </c>
      <c r="H69">
        <v>150</v>
      </c>
      <c r="I69">
        <v>100</v>
      </c>
      <c r="J69">
        <v>0.75</v>
      </c>
    </row>
    <row r="70" spans="1:10" x14ac:dyDescent="0.25">
      <c r="A70">
        <f t="shared" si="2"/>
        <v>69</v>
      </c>
      <c r="C70" t="s">
        <v>168</v>
      </c>
      <c r="D70" t="s">
        <v>169</v>
      </c>
      <c r="E70" t="s">
        <v>170</v>
      </c>
      <c r="F70" t="s">
        <v>171</v>
      </c>
      <c r="G70">
        <v>15</v>
      </c>
    </row>
    <row r="71" spans="1:10" x14ac:dyDescent="0.25">
      <c r="A71">
        <f t="shared" si="2"/>
        <v>70</v>
      </c>
      <c r="C71" t="s">
        <v>168</v>
      </c>
      <c r="D71" t="s">
        <v>172</v>
      </c>
      <c r="E71" t="s">
        <v>170</v>
      </c>
      <c r="F71" t="s">
        <v>173</v>
      </c>
      <c r="G71">
        <v>10</v>
      </c>
    </row>
    <row r="72" spans="1:10" x14ac:dyDescent="0.25">
      <c r="A72">
        <f t="shared" si="2"/>
        <v>71</v>
      </c>
      <c r="C72" t="s">
        <v>168</v>
      </c>
      <c r="D72" t="s">
        <v>174</v>
      </c>
      <c r="E72" t="s">
        <v>170</v>
      </c>
      <c r="F72" t="s">
        <v>175</v>
      </c>
      <c r="G72">
        <v>25</v>
      </c>
    </row>
    <row r="73" spans="1:10" x14ac:dyDescent="0.25">
      <c r="A73">
        <f t="shared" si="2"/>
        <v>72</v>
      </c>
      <c r="C73" t="s">
        <v>168</v>
      </c>
      <c r="D73" t="s">
        <v>176</v>
      </c>
      <c r="E73" t="s">
        <v>170</v>
      </c>
      <c r="F73" t="s">
        <v>177</v>
      </c>
      <c r="G73">
        <v>20</v>
      </c>
    </row>
    <row r="74" spans="1:10" x14ac:dyDescent="0.25">
      <c r="A74">
        <f t="shared" si="2"/>
        <v>73</v>
      </c>
      <c r="C74" t="s">
        <v>168</v>
      </c>
      <c r="D74" t="s">
        <v>178</v>
      </c>
      <c r="E74" t="s">
        <v>170</v>
      </c>
      <c r="F74" t="s">
        <v>952</v>
      </c>
      <c r="G74">
        <v>100</v>
      </c>
    </row>
    <row r="75" spans="1:10" x14ac:dyDescent="0.25">
      <c r="A75">
        <f t="shared" si="2"/>
        <v>74</v>
      </c>
      <c r="C75" t="s">
        <v>179</v>
      </c>
      <c r="D75" t="s">
        <v>180</v>
      </c>
      <c r="E75" t="s">
        <v>181</v>
      </c>
      <c r="F75" t="s">
        <v>182</v>
      </c>
      <c r="G75">
        <v>30</v>
      </c>
      <c r="H75">
        <v>8</v>
      </c>
      <c r="I75">
        <v>1.08</v>
      </c>
    </row>
    <row r="76" spans="1:10" x14ac:dyDescent="0.25">
      <c r="A76">
        <f t="shared" si="2"/>
        <v>75</v>
      </c>
      <c r="C76" t="s">
        <v>179</v>
      </c>
      <c r="D76" t="s">
        <v>183</v>
      </c>
      <c r="E76" t="s">
        <v>181</v>
      </c>
      <c r="F76" t="s">
        <v>182</v>
      </c>
      <c r="G76">
        <v>6</v>
      </c>
      <c r="H76">
        <v>1.2</v>
      </c>
      <c r="I76">
        <v>1.1100000000000001</v>
      </c>
    </row>
    <row r="77" spans="1:10" x14ac:dyDescent="0.25">
      <c r="A77">
        <f t="shared" si="2"/>
        <v>76</v>
      </c>
      <c r="C77" t="s">
        <v>179</v>
      </c>
      <c r="D77" t="s">
        <v>85</v>
      </c>
      <c r="E77" t="s">
        <v>181</v>
      </c>
      <c r="F77" t="s">
        <v>184</v>
      </c>
      <c r="G77">
        <v>2</v>
      </c>
      <c r="H77">
        <v>0.5</v>
      </c>
      <c r="I77">
        <v>1.08</v>
      </c>
    </row>
    <row r="78" spans="1:10" x14ac:dyDescent="0.25">
      <c r="A78">
        <f t="shared" si="2"/>
        <v>77</v>
      </c>
      <c r="C78" t="s">
        <v>179</v>
      </c>
      <c r="D78" t="s">
        <v>185</v>
      </c>
      <c r="E78" t="s">
        <v>181</v>
      </c>
      <c r="F78" t="s">
        <v>182</v>
      </c>
      <c r="G78">
        <v>20</v>
      </c>
      <c r="H78">
        <v>1</v>
      </c>
      <c r="I78">
        <v>1.05</v>
      </c>
    </row>
    <row r="79" spans="1:10" x14ac:dyDescent="0.25">
      <c r="A79">
        <f t="shared" si="2"/>
        <v>78</v>
      </c>
      <c r="C79" t="s">
        <v>179</v>
      </c>
      <c r="D79" t="s">
        <v>186</v>
      </c>
      <c r="E79" t="s">
        <v>181</v>
      </c>
      <c r="F79" t="s">
        <v>182</v>
      </c>
      <c r="G79">
        <v>8</v>
      </c>
      <c r="H79">
        <v>1</v>
      </c>
      <c r="I79">
        <v>1.06</v>
      </c>
    </row>
    <row r="80" spans="1:10" x14ac:dyDescent="0.25">
      <c r="A80">
        <f t="shared" si="2"/>
        <v>79</v>
      </c>
      <c r="C80" t="s">
        <v>179</v>
      </c>
      <c r="D80" t="s">
        <v>97</v>
      </c>
      <c r="E80" t="s">
        <v>187</v>
      </c>
      <c r="F80" t="s">
        <v>188</v>
      </c>
      <c r="G80">
        <v>2</v>
      </c>
    </row>
    <row r="81" spans="1:12" x14ac:dyDescent="0.25">
      <c r="A81">
        <f t="shared" si="2"/>
        <v>80</v>
      </c>
      <c r="C81" t="s">
        <v>179</v>
      </c>
      <c r="D81" t="s">
        <v>100</v>
      </c>
      <c r="E81" t="s">
        <v>975</v>
      </c>
      <c r="F81" t="s">
        <v>976</v>
      </c>
      <c r="G81">
        <v>100</v>
      </c>
      <c r="H81">
        <v>1</v>
      </c>
    </row>
    <row r="82" spans="1:12" x14ac:dyDescent="0.25">
      <c r="A82">
        <f t="shared" si="2"/>
        <v>81</v>
      </c>
      <c r="C82" t="s">
        <v>179</v>
      </c>
      <c r="D82" t="s">
        <v>980</v>
      </c>
      <c r="E82" t="s">
        <v>981</v>
      </c>
      <c r="F82" t="s">
        <v>982</v>
      </c>
      <c r="G82">
        <v>5</v>
      </c>
      <c r="H82">
        <v>2</v>
      </c>
    </row>
    <row r="83" spans="1:12" x14ac:dyDescent="0.25">
      <c r="A83">
        <f t="shared" si="2"/>
        <v>82</v>
      </c>
      <c r="C83" t="s">
        <v>179</v>
      </c>
      <c r="D83" t="s">
        <v>189</v>
      </c>
      <c r="E83" t="s">
        <v>190</v>
      </c>
      <c r="F83" t="s">
        <v>932</v>
      </c>
      <c r="G83">
        <v>2.5</v>
      </c>
      <c r="H83">
        <v>1.5</v>
      </c>
      <c r="I83">
        <v>3</v>
      </c>
      <c r="J83">
        <v>5</v>
      </c>
      <c r="K83">
        <v>1.25</v>
      </c>
    </row>
    <row r="84" spans="1:12" x14ac:dyDescent="0.25">
      <c r="A84">
        <f t="shared" si="2"/>
        <v>83</v>
      </c>
      <c r="C84" t="s">
        <v>179</v>
      </c>
      <c r="D84" t="s">
        <v>191</v>
      </c>
      <c r="E84" t="s">
        <v>192</v>
      </c>
      <c r="F84" t="s">
        <v>193</v>
      </c>
      <c r="G84">
        <v>1.5</v>
      </c>
    </row>
    <row r="85" spans="1:12" x14ac:dyDescent="0.25">
      <c r="A85">
        <f t="shared" si="2"/>
        <v>84</v>
      </c>
      <c r="C85" t="s">
        <v>194</v>
      </c>
      <c r="D85" t="s">
        <v>195</v>
      </c>
      <c r="E85" t="s">
        <v>196</v>
      </c>
      <c r="F85" t="s">
        <v>197</v>
      </c>
      <c r="G85">
        <v>60</v>
      </c>
    </row>
    <row r="86" spans="1:12" x14ac:dyDescent="0.25">
      <c r="A86">
        <f t="shared" si="2"/>
        <v>85</v>
      </c>
      <c r="C86" t="s">
        <v>194</v>
      </c>
      <c r="D86" t="s">
        <v>198</v>
      </c>
      <c r="E86" t="s">
        <v>196</v>
      </c>
      <c r="F86" t="s">
        <v>197</v>
      </c>
      <c r="G86">
        <v>25</v>
      </c>
    </row>
    <row r="87" spans="1:12" x14ac:dyDescent="0.25">
      <c r="A87">
        <f t="shared" si="2"/>
        <v>86</v>
      </c>
      <c r="C87" t="s">
        <v>194</v>
      </c>
      <c r="D87" t="s">
        <v>199</v>
      </c>
      <c r="E87" t="s">
        <v>196</v>
      </c>
      <c r="F87" t="s">
        <v>197</v>
      </c>
      <c r="G87">
        <v>10</v>
      </c>
    </row>
    <row r="88" spans="1:12" x14ac:dyDescent="0.25">
      <c r="A88">
        <f t="shared" si="2"/>
        <v>87</v>
      </c>
      <c r="C88" t="s">
        <v>194</v>
      </c>
      <c r="D88" t="s">
        <v>200</v>
      </c>
      <c r="E88" t="s">
        <v>196</v>
      </c>
      <c r="F88" t="s">
        <v>197</v>
      </c>
      <c r="G88">
        <v>5</v>
      </c>
    </row>
    <row r="89" spans="1:12" x14ac:dyDescent="0.25">
      <c r="A89">
        <f t="shared" si="2"/>
        <v>88</v>
      </c>
      <c r="C89" t="s">
        <v>201</v>
      </c>
      <c r="D89" t="s">
        <v>202</v>
      </c>
      <c r="E89" t="s">
        <v>37</v>
      </c>
      <c r="F89" t="s">
        <v>933</v>
      </c>
      <c r="G89">
        <v>1</v>
      </c>
      <c r="H89">
        <v>1</v>
      </c>
      <c r="I89">
        <v>1</v>
      </c>
      <c r="J89">
        <v>1</v>
      </c>
      <c r="K89">
        <v>1</v>
      </c>
      <c r="L89" t="s">
        <v>203</v>
      </c>
    </row>
    <row r="90" spans="1:12" x14ac:dyDescent="0.25">
      <c r="A90">
        <f t="shared" si="2"/>
        <v>89</v>
      </c>
      <c r="C90" t="s">
        <v>201</v>
      </c>
      <c r="D90" t="s">
        <v>204</v>
      </c>
      <c r="E90" t="s">
        <v>37</v>
      </c>
      <c r="F90" t="s">
        <v>933</v>
      </c>
      <c r="G90">
        <v>2.2000000000000002</v>
      </c>
      <c r="H90">
        <v>1.8</v>
      </c>
      <c r="I90">
        <v>1.6</v>
      </c>
      <c r="J90">
        <v>1.5</v>
      </c>
      <c r="K90">
        <v>1.25</v>
      </c>
      <c r="L90" t="s">
        <v>205</v>
      </c>
    </row>
    <row r="91" spans="1:12" x14ac:dyDescent="0.25">
      <c r="A91">
        <f t="shared" si="2"/>
        <v>90</v>
      </c>
      <c r="C91" t="s">
        <v>201</v>
      </c>
      <c r="D91" t="s">
        <v>206</v>
      </c>
      <c r="E91" t="s">
        <v>37</v>
      </c>
      <c r="F91" t="s">
        <v>933</v>
      </c>
      <c r="G91">
        <v>4</v>
      </c>
      <c r="H91">
        <v>2.8</v>
      </c>
      <c r="I91">
        <v>2.4</v>
      </c>
      <c r="J91">
        <v>2</v>
      </c>
      <c r="K91">
        <v>1.5</v>
      </c>
      <c r="L91" t="s">
        <v>207</v>
      </c>
    </row>
    <row r="92" spans="1:12" x14ac:dyDescent="0.25">
      <c r="A92">
        <f t="shared" si="2"/>
        <v>91</v>
      </c>
      <c r="C92" t="s">
        <v>208</v>
      </c>
      <c r="D92" t="s">
        <v>209</v>
      </c>
      <c r="E92" t="s">
        <v>210</v>
      </c>
      <c r="F92" t="s">
        <v>211</v>
      </c>
      <c r="G92">
        <v>4</v>
      </c>
      <c r="H92">
        <v>5</v>
      </c>
    </row>
    <row r="93" spans="1:12" x14ac:dyDescent="0.25">
      <c r="A93">
        <f t="shared" si="2"/>
        <v>92</v>
      </c>
      <c r="C93" t="s">
        <v>208</v>
      </c>
      <c r="D93" t="s">
        <v>212</v>
      </c>
      <c r="E93" t="s">
        <v>213</v>
      </c>
      <c r="F93" t="s">
        <v>214</v>
      </c>
      <c r="G93">
        <v>3</v>
      </c>
    </row>
    <row r="94" spans="1:12" x14ac:dyDescent="0.25">
      <c r="A94">
        <f t="shared" si="2"/>
        <v>93</v>
      </c>
      <c r="C94" t="s">
        <v>208</v>
      </c>
      <c r="D94" t="s">
        <v>100</v>
      </c>
      <c r="E94" t="s">
        <v>977</v>
      </c>
      <c r="F94" t="s">
        <v>978</v>
      </c>
      <c r="G94">
        <v>200</v>
      </c>
      <c r="H94">
        <v>10</v>
      </c>
    </row>
    <row r="95" spans="1:12" x14ac:dyDescent="0.25">
      <c r="A95">
        <f t="shared" si="2"/>
        <v>94</v>
      </c>
      <c r="C95" t="s">
        <v>208</v>
      </c>
      <c r="D95" t="s">
        <v>215</v>
      </c>
      <c r="E95" t="s">
        <v>216</v>
      </c>
      <c r="F95" t="s">
        <v>217</v>
      </c>
      <c r="G95">
        <v>100000</v>
      </c>
      <c r="H95">
        <v>2.6</v>
      </c>
    </row>
    <row r="96" spans="1:12" x14ac:dyDescent="0.25">
      <c r="A96">
        <f t="shared" si="2"/>
        <v>95</v>
      </c>
      <c r="C96" t="s">
        <v>208</v>
      </c>
      <c r="D96" t="s">
        <v>180</v>
      </c>
      <c r="E96" t="s">
        <v>218</v>
      </c>
      <c r="F96" t="s">
        <v>219</v>
      </c>
      <c r="G96">
        <v>30</v>
      </c>
      <c r="H96">
        <v>20</v>
      </c>
    </row>
    <row r="97" spans="1:10" x14ac:dyDescent="0.25">
      <c r="A97">
        <f t="shared" si="2"/>
        <v>96</v>
      </c>
      <c r="C97" t="s">
        <v>208</v>
      </c>
      <c r="D97" t="s">
        <v>183</v>
      </c>
      <c r="E97" t="s">
        <v>220</v>
      </c>
      <c r="F97" t="s">
        <v>219</v>
      </c>
      <c r="G97">
        <v>3</v>
      </c>
      <c r="H97">
        <v>5</v>
      </c>
    </row>
    <row r="98" spans="1:10" x14ac:dyDescent="0.25">
      <c r="A98">
        <f t="shared" si="2"/>
        <v>97</v>
      </c>
      <c r="C98" t="s">
        <v>208</v>
      </c>
      <c r="D98" t="s">
        <v>221</v>
      </c>
      <c r="E98" t="s">
        <v>222</v>
      </c>
      <c r="F98" t="s">
        <v>223</v>
      </c>
      <c r="G98">
        <v>10</v>
      </c>
    </row>
    <row r="99" spans="1:10" x14ac:dyDescent="0.25">
      <c r="A99">
        <f t="shared" si="2"/>
        <v>98</v>
      </c>
      <c r="C99" t="s">
        <v>208</v>
      </c>
      <c r="D99" t="s">
        <v>224</v>
      </c>
      <c r="E99" t="s">
        <v>225</v>
      </c>
      <c r="F99" t="s">
        <v>226</v>
      </c>
      <c r="G99">
        <v>5</v>
      </c>
      <c r="H99">
        <v>70</v>
      </c>
    </row>
    <row r="100" spans="1:10" x14ac:dyDescent="0.25">
      <c r="A100">
        <f t="shared" si="2"/>
        <v>99</v>
      </c>
      <c r="C100" t="s">
        <v>208</v>
      </c>
      <c r="D100" t="s">
        <v>227</v>
      </c>
      <c r="E100" t="s">
        <v>983</v>
      </c>
      <c r="F100" t="s">
        <v>984</v>
      </c>
      <c r="G100">
        <v>20</v>
      </c>
      <c r="H100">
        <v>10000000</v>
      </c>
      <c r="I100">
        <v>20</v>
      </c>
    </row>
    <row r="101" spans="1:10" x14ac:dyDescent="0.25">
      <c r="A101">
        <f t="shared" si="2"/>
        <v>100</v>
      </c>
      <c r="C101" t="s">
        <v>208</v>
      </c>
      <c r="D101" t="s">
        <v>228</v>
      </c>
      <c r="E101" t="s">
        <v>220</v>
      </c>
      <c r="F101" t="s">
        <v>229</v>
      </c>
      <c r="G101">
        <v>3</v>
      </c>
      <c r="H101">
        <v>20</v>
      </c>
    </row>
    <row r="102" spans="1:10" x14ac:dyDescent="0.25">
      <c r="A102">
        <f t="shared" si="2"/>
        <v>101</v>
      </c>
      <c r="C102" t="s">
        <v>208</v>
      </c>
      <c r="D102" t="s">
        <v>186</v>
      </c>
      <c r="E102" t="s">
        <v>230</v>
      </c>
      <c r="F102" t="s">
        <v>231</v>
      </c>
      <c r="G102">
        <v>2</v>
      </c>
    </row>
    <row r="103" spans="1:10" x14ac:dyDescent="0.25">
      <c r="A103">
        <f t="shared" si="2"/>
        <v>102</v>
      </c>
      <c r="C103" t="s">
        <v>208</v>
      </c>
      <c r="D103" t="s">
        <v>232</v>
      </c>
      <c r="E103" t="s">
        <v>233</v>
      </c>
      <c r="F103" t="s">
        <v>234</v>
      </c>
      <c r="G103">
        <v>60</v>
      </c>
      <c r="H103">
        <v>40</v>
      </c>
      <c r="I103">
        <v>3</v>
      </c>
      <c r="J103">
        <v>8</v>
      </c>
    </row>
    <row r="104" spans="1:10" x14ac:dyDescent="0.25">
      <c r="A104">
        <f t="shared" si="2"/>
        <v>103</v>
      </c>
      <c r="C104" t="s">
        <v>208</v>
      </c>
      <c r="D104" t="s">
        <v>235</v>
      </c>
      <c r="E104" t="s">
        <v>236</v>
      </c>
      <c r="F104" t="s">
        <v>237</v>
      </c>
      <c r="G104">
        <v>51</v>
      </c>
      <c r="H104">
        <v>100</v>
      </c>
    </row>
    <row r="105" spans="1:10" x14ac:dyDescent="0.25">
      <c r="A105">
        <f t="shared" si="2"/>
        <v>104</v>
      </c>
      <c r="C105" t="s">
        <v>208</v>
      </c>
      <c r="D105" t="s">
        <v>238</v>
      </c>
      <c r="E105" t="s">
        <v>236</v>
      </c>
      <c r="F105" t="s">
        <v>239</v>
      </c>
      <c r="G105">
        <v>1</v>
      </c>
      <c r="H105">
        <v>50</v>
      </c>
    </row>
    <row r="106" spans="1:10" x14ac:dyDescent="0.25">
      <c r="A106">
        <f t="shared" si="2"/>
        <v>105</v>
      </c>
      <c r="C106" t="s">
        <v>208</v>
      </c>
      <c r="D106" t="s">
        <v>240</v>
      </c>
      <c r="E106" t="s">
        <v>241</v>
      </c>
      <c r="F106" t="s">
        <v>242</v>
      </c>
      <c r="G106">
        <v>5</v>
      </c>
      <c r="H106">
        <v>1</v>
      </c>
    </row>
    <row r="107" spans="1:10" x14ac:dyDescent="0.25">
      <c r="A107">
        <f t="shared" si="2"/>
        <v>106</v>
      </c>
      <c r="C107" t="s">
        <v>208</v>
      </c>
      <c r="D107" t="s">
        <v>243</v>
      </c>
      <c r="E107" t="s">
        <v>244</v>
      </c>
      <c r="F107" t="s">
        <v>245</v>
      </c>
      <c r="G107">
        <v>30</v>
      </c>
      <c r="H107">
        <v>2</v>
      </c>
      <c r="I107">
        <v>0.2</v>
      </c>
    </row>
    <row r="108" spans="1:10" x14ac:dyDescent="0.25">
      <c r="A108">
        <f t="shared" si="2"/>
        <v>107</v>
      </c>
      <c r="C108" t="s">
        <v>246</v>
      </c>
      <c r="D108" t="s">
        <v>247</v>
      </c>
      <c r="E108" t="s">
        <v>248</v>
      </c>
      <c r="F108" t="s">
        <v>249</v>
      </c>
      <c r="G108">
        <v>0.5</v>
      </c>
    </row>
    <row r="109" spans="1:10" x14ac:dyDescent="0.25">
      <c r="A109">
        <f t="shared" si="2"/>
        <v>108</v>
      </c>
      <c r="C109" t="s">
        <v>246</v>
      </c>
      <c r="D109" t="s">
        <v>250</v>
      </c>
      <c r="E109" t="s">
        <v>251</v>
      </c>
      <c r="F109" t="s">
        <v>252</v>
      </c>
      <c r="G109">
        <v>50</v>
      </c>
    </row>
    <row r="110" spans="1:10" x14ac:dyDescent="0.25">
      <c r="A110">
        <f t="shared" si="2"/>
        <v>109</v>
      </c>
      <c r="C110" t="s">
        <v>246</v>
      </c>
      <c r="D110" t="s">
        <v>253</v>
      </c>
      <c r="E110" t="s">
        <v>254</v>
      </c>
      <c r="F110" t="s">
        <v>953</v>
      </c>
    </row>
    <row r="111" spans="1:10" x14ac:dyDescent="0.25">
      <c r="A111">
        <f t="shared" si="2"/>
        <v>110</v>
      </c>
      <c r="C111" t="s">
        <v>255</v>
      </c>
      <c r="D111" t="s">
        <v>256</v>
      </c>
      <c r="E111" t="s">
        <v>257</v>
      </c>
      <c r="F111" t="s">
        <v>258</v>
      </c>
      <c r="G111">
        <v>200</v>
      </c>
      <c r="H111">
        <v>6.0000000000000001E-3</v>
      </c>
    </row>
    <row r="112" spans="1:10" x14ac:dyDescent="0.25">
      <c r="A112">
        <f t="shared" si="2"/>
        <v>111</v>
      </c>
      <c r="C112" t="s">
        <v>255</v>
      </c>
      <c r="D112" t="s">
        <v>259</v>
      </c>
      <c r="E112" t="s">
        <v>260</v>
      </c>
      <c r="F112" t="s">
        <v>934</v>
      </c>
      <c r="G112">
        <v>55</v>
      </c>
      <c r="H112" t="s">
        <v>261</v>
      </c>
      <c r="I112" t="s">
        <v>262</v>
      </c>
      <c r="J112" t="s">
        <v>203</v>
      </c>
    </row>
    <row r="113" spans="1:11" x14ac:dyDescent="0.25">
      <c r="A113">
        <f t="shared" si="2"/>
        <v>112</v>
      </c>
      <c r="C113" t="s">
        <v>255</v>
      </c>
      <c r="D113" t="s">
        <v>263</v>
      </c>
      <c r="E113" t="s">
        <v>260</v>
      </c>
      <c r="F113" t="s">
        <v>934</v>
      </c>
      <c r="G113">
        <v>25</v>
      </c>
      <c r="H113" t="s">
        <v>261</v>
      </c>
      <c r="I113">
        <v>2</v>
      </c>
      <c r="J113" t="s">
        <v>203</v>
      </c>
    </row>
    <row r="114" spans="1:11" x14ac:dyDescent="0.25">
      <c r="A114">
        <f t="shared" si="2"/>
        <v>113</v>
      </c>
      <c r="C114" t="s">
        <v>255</v>
      </c>
      <c r="D114" t="s">
        <v>264</v>
      </c>
      <c r="E114" t="s">
        <v>260</v>
      </c>
      <c r="F114" t="s">
        <v>934</v>
      </c>
      <c r="G114">
        <v>12</v>
      </c>
      <c r="H114" t="s">
        <v>261</v>
      </c>
      <c r="I114">
        <v>2.5</v>
      </c>
      <c r="J114" t="s">
        <v>203</v>
      </c>
    </row>
    <row r="115" spans="1:11" x14ac:dyDescent="0.25">
      <c r="A115">
        <f t="shared" si="2"/>
        <v>114</v>
      </c>
      <c r="C115" t="s">
        <v>255</v>
      </c>
      <c r="D115" t="s">
        <v>265</v>
      </c>
      <c r="E115" t="s">
        <v>260</v>
      </c>
      <c r="F115" t="s">
        <v>934</v>
      </c>
      <c r="G115">
        <v>5.5</v>
      </c>
      <c r="H115" t="s">
        <v>261</v>
      </c>
      <c r="I115">
        <v>3</v>
      </c>
      <c r="J115" t="s">
        <v>203</v>
      </c>
    </row>
    <row r="116" spans="1:11" x14ac:dyDescent="0.25">
      <c r="A116">
        <f t="shared" si="2"/>
        <v>115</v>
      </c>
      <c r="C116" t="s">
        <v>255</v>
      </c>
      <c r="D116" t="s">
        <v>266</v>
      </c>
      <c r="E116" t="s">
        <v>260</v>
      </c>
      <c r="F116" t="s">
        <v>934</v>
      </c>
      <c r="G116">
        <v>1.8</v>
      </c>
      <c r="H116" t="s">
        <v>261</v>
      </c>
      <c r="I116">
        <v>3.5</v>
      </c>
      <c r="J116" t="s">
        <v>267</v>
      </c>
    </row>
    <row r="117" spans="1:11" x14ac:dyDescent="0.25">
      <c r="A117">
        <f t="shared" si="2"/>
        <v>116</v>
      </c>
      <c r="C117" t="s">
        <v>255</v>
      </c>
      <c r="D117" t="s">
        <v>268</v>
      </c>
      <c r="E117" t="s">
        <v>260</v>
      </c>
      <c r="F117" t="s">
        <v>934</v>
      </c>
      <c r="G117">
        <v>0.35</v>
      </c>
      <c r="H117" t="s">
        <v>261</v>
      </c>
      <c r="I117">
        <v>4</v>
      </c>
      <c r="J117" t="s">
        <v>269</v>
      </c>
    </row>
    <row r="118" spans="1:11" x14ac:dyDescent="0.25">
      <c r="A118">
        <f t="shared" si="2"/>
        <v>117</v>
      </c>
      <c r="C118" t="s">
        <v>255</v>
      </c>
      <c r="D118" t="s">
        <v>270</v>
      </c>
      <c r="E118" t="s">
        <v>260</v>
      </c>
      <c r="F118" t="s">
        <v>934</v>
      </c>
      <c r="G118">
        <v>0.08</v>
      </c>
      <c r="H118" t="s">
        <v>261</v>
      </c>
      <c r="I118">
        <v>4.5</v>
      </c>
      <c r="J118" t="s">
        <v>271</v>
      </c>
    </row>
    <row r="119" spans="1:11" x14ac:dyDescent="0.25">
      <c r="A119">
        <f t="shared" si="2"/>
        <v>118</v>
      </c>
      <c r="C119" t="s">
        <v>255</v>
      </c>
      <c r="D119" t="s">
        <v>272</v>
      </c>
      <c r="E119" t="s">
        <v>260</v>
      </c>
      <c r="F119" t="s">
        <v>934</v>
      </c>
      <c r="G119">
        <v>1.4999999999999999E-2</v>
      </c>
      <c r="H119" t="s">
        <v>261</v>
      </c>
      <c r="I119">
        <v>5</v>
      </c>
      <c r="J119" t="s">
        <v>273</v>
      </c>
    </row>
    <row r="120" spans="1:11" x14ac:dyDescent="0.25">
      <c r="A120">
        <f t="shared" si="2"/>
        <v>119</v>
      </c>
      <c r="C120" t="s">
        <v>274</v>
      </c>
      <c r="D120" t="s">
        <v>275</v>
      </c>
      <c r="E120" t="s">
        <v>276</v>
      </c>
      <c r="F120" t="s">
        <v>277</v>
      </c>
      <c r="G120" t="s">
        <v>935</v>
      </c>
      <c r="H120" t="s">
        <v>936</v>
      </c>
      <c r="I120" t="s">
        <v>937</v>
      </c>
      <c r="J120" t="s">
        <v>279</v>
      </c>
    </row>
    <row r="121" spans="1:11" x14ac:dyDescent="0.25">
      <c r="A121">
        <f t="shared" si="2"/>
        <v>120</v>
      </c>
      <c r="C121" t="s">
        <v>274</v>
      </c>
      <c r="D121" t="s">
        <v>280</v>
      </c>
      <c r="E121" t="s">
        <v>276</v>
      </c>
      <c r="F121" t="s">
        <v>277</v>
      </c>
      <c r="G121" t="s">
        <v>281</v>
      </c>
      <c r="H121" t="s">
        <v>282</v>
      </c>
      <c r="I121" t="s">
        <v>938</v>
      </c>
      <c r="J121" t="s">
        <v>279</v>
      </c>
    </row>
    <row r="122" spans="1:11" x14ac:dyDescent="0.25">
      <c r="A122">
        <f t="shared" si="2"/>
        <v>121</v>
      </c>
      <c r="C122" t="s">
        <v>274</v>
      </c>
      <c r="D122" t="s">
        <v>283</v>
      </c>
      <c r="E122" t="s">
        <v>276</v>
      </c>
      <c r="F122" t="s">
        <v>277</v>
      </c>
      <c r="G122" t="s">
        <v>284</v>
      </c>
      <c r="H122" t="s">
        <v>285</v>
      </c>
      <c r="I122" t="s">
        <v>286</v>
      </c>
      <c r="J122" t="s">
        <v>279</v>
      </c>
    </row>
    <row r="123" spans="1:11" x14ac:dyDescent="0.25">
      <c r="A123">
        <f t="shared" si="2"/>
        <v>122</v>
      </c>
      <c r="C123" t="s">
        <v>274</v>
      </c>
      <c r="D123" t="s">
        <v>287</v>
      </c>
      <c r="E123" t="s">
        <v>276</v>
      </c>
      <c r="F123" t="s">
        <v>277</v>
      </c>
      <c r="G123" t="s">
        <v>288</v>
      </c>
      <c r="H123" t="s">
        <v>939</v>
      </c>
      <c r="I123" t="s">
        <v>940</v>
      </c>
      <c r="J123" t="s">
        <v>941</v>
      </c>
    </row>
    <row r="124" spans="1:11" x14ac:dyDescent="0.25">
      <c r="A124">
        <f t="shared" si="2"/>
        <v>123</v>
      </c>
      <c r="C124" t="s">
        <v>274</v>
      </c>
      <c r="D124" t="s">
        <v>289</v>
      </c>
      <c r="E124" t="s">
        <v>276</v>
      </c>
      <c r="F124" t="s">
        <v>277</v>
      </c>
      <c r="G124" t="s">
        <v>288</v>
      </c>
      <c r="H124" t="s">
        <v>290</v>
      </c>
      <c r="I124" t="s">
        <v>945</v>
      </c>
      <c r="J124" t="s">
        <v>946</v>
      </c>
    </row>
    <row r="125" spans="1:11" x14ac:dyDescent="0.25">
      <c r="A125">
        <f t="shared" si="2"/>
        <v>124</v>
      </c>
      <c r="C125" t="s">
        <v>274</v>
      </c>
      <c r="D125" t="s">
        <v>291</v>
      </c>
      <c r="E125" t="s">
        <v>276</v>
      </c>
      <c r="F125" t="s">
        <v>277</v>
      </c>
      <c r="G125" t="s">
        <v>288</v>
      </c>
      <c r="H125" t="s">
        <v>290</v>
      </c>
      <c r="I125" t="s">
        <v>942</v>
      </c>
      <c r="J125" t="s">
        <v>943</v>
      </c>
    </row>
    <row r="126" spans="1:11" x14ac:dyDescent="0.25">
      <c r="A126">
        <f t="shared" si="2"/>
        <v>125</v>
      </c>
      <c r="C126" t="s">
        <v>274</v>
      </c>
      <c r="D126" t="s">
        <v>292</v>
      </c>
      <c r="E126" t="s">
        <v>276</v>
      </c>
      <c r="F126" t="s">
        <v>277</v>
      </c>
      <c r="G126" t="s">
        <v>288</v>
      </c>
      <c r="H126" t="s">
        <v>290</v>
      </c>
      <c r="I126" t="s">
        <v>278</v>
      </c>
      <c r="J126" t="s">
        <v>944</v>
      </c>
    </row>
    <row r="127" spans="1:11" x14ac:dyDescent="0.25">
      <c r="A127">
        <f t="shared" si="2"/>
        <v>126</v>
      </c>
      <c r="C127" t="s">
        <v>274</v>
      </c>
      <c r="D127" t="s">
        <v>293</v>
      </c>
      <c r="E127" t="s">
        <v>276</v>
      </c>
      <c r="F127" t="s">
        <v>277</v>
      </c>
      <c r="G127" t="s">
        <v>288</v>
      </c>
      <c r="H127" t="s">
        <v>290</v>
      </c>
      <c r="I127" t="s">
        <v>278</v>
      </c>
      <c r="J127" t="s">
        <v>279</v>
      </c>
    </row>
    <row r="128" spans="1:11" x14ac:dyDescent="0.25">
      <c r="A128">
        <f t="shared" si="2"/>
        <v>127</v>
      </c>
      <c r="C128" t="s">
        <v>294</v>
      </c>
      <c r="D128" t="s">
        <v>295</v>
      </c>
      <c r="E128" t="s">
        <v>296</v>
      </c>
      <c r="F128" t="s">
        <v>297</v>
      </c>
      <c r="G128">
        <v>2</v>
      </c>
      <c r="H128">
        <v>0.5</v>
      </c>
      <c r="I128">
        <v>0.2</v>
      </c>
      <c r="J128">
        <v>0</v>
      </c>
      <c r="K128">
        <v>0</v>
      </c>
    </row>
    <row r="129" spans="1:11" x14ac:dyDescent="0.25">
      <c r="A129">
        <f t="shared" si="2"/>
        <v>128</v>
      </c>
      <c r="C129" t="s">
        <v>294</v>
      </c>
      <c r="D129" t="s">
        <v>298</v>
      </c>
      <c r="E129" t="s">
        <v>296</v>
      </c>
      <c r="F129" t="s">
        <v>297</v>
      </c>
      <c r="G129">
        <v>4</v>
      </c>
      <c r="H129">
        <v>0.8</v>
      </c>
      <c r="I129">
        <v>0.3</v>
      </c>
      <c r="J129">
        <v>0</v>
      </c>
      <c r="K129">
        <v>0</v>
      </c>
    </row>
    <row r="130" spans="1:11" x14ac:dyDescent="0.25">
      <c r="A130">
        <f t="shared" si="2"/>
        <v>129</v>
      </c>
      <c r="C130" t="s">
        <v>294</v>
      </c>
      <c r="D130" t="s">
        <v>299</v>
      </c>
      <c r="E130" t="s">
        <v>296</v>
      </c>
      <c r="F130" t="s">
        <v>297</v>
      </c>
      <c r="G130">
        <v>6</v>
      </c>
      <c r="H130">
        <v>1.1000000000000001</v>
      </c>
      <c r="I130">
        <v>0.4</v>
      </c>
      <c r="J130">
        <v>0</v>
      </c>
      <c r="K130">
        <v>0</v>
      </c>
    </row>
    <row r="131" spans="1:11" x14ac:dyDescent="0.25">
      <c r="A131">
        <f t="shared" si="2"/>
        <v>130</v>
      </c>
      <c r="C131" t="s">
        <v>294</v>
      </c>
      <c r="D131" t="s">
        <v>300</v>
      </c>
      <c r="E131" t="s">
        <v>296</v>
      </c>
      <c r="F131" t="s">
        <v>297</v>
      </c>
      <c r="G131">
        <v>8</v>
      </c>
      <c r="H131">
        <v>1.4</v>
      </c>
      <c r="I131">
        <v>0.5</v>
      </c>
      <c r="J131">
        <v>0.1</v>
      </c>
      <c r="K131">
        <v>0</v>
      </c>
    </row>
    <row r="132" spans="1:11" x14ac:dyDescent="0.25">
      <c r="A132">
        <f t="shared" si="2"/>
        <v>131</v>
      </c>
      <c r="C132" t="s">
        <v>294</v>
      </c>
      <c r="D132" t="s">
        <v>301</v>
      </c>
      <c r="E132" t="s">
        <v>296</v>
      </c>
      <c r="F132" t="s">
        <v>297</v>
      </c>
      <c r="G132">
        <v>10</v>
      </c>
      <c r="H132">
        <v>1.7</v>
      </c>
      <c r="I132">
        <v>0.6</v>
      </c>
      <c r="J132">
        <v>0.2</v>
      </c>
      <c r="K132">
        <v>0</v>
      </c>
    </row>
    <row r="133" spans="1:11" x14ac:dyDescent="0.25">
      <c r="A133">
        <f t="shared" si="2"/>
        <v>132</v>
      </c>
      <c r="C133" t="s">
        <v>294</v>
      </c>
      <c r="D133" t="s">
        <v>302</v>
      </c>
      <c r="E133" t="s">
        <v>296</v>
      </c>
      <c r="F133" t="s">
        <v>297</v>
      </c>
      <c r="G133">
        <v>12</v>
      </c>
      <c r="H133">
        <v>2</v>
      </c>
      <c r="I133">
        <v>0.7</v>
      </c>
      <c r="J133">
        <v>0.3</v>
      </c>
      <c r="K133">
        <v>0.2</v>
      </c>
    </row>
    <row r="134" spans="1:11" x14ac:dyDescent="0.25">
      <c r="A134">
        <f t="shared" si="2"/>
        <v>133</v>
      </c>
      <c r="C134" t="s">
        <v>294</v>
      </c>
      <c r="D134" t="s">
        <v>303</v>
      </c>
      <c r="E134" t="s">
        <v>296</v>
      </c>
      <c r="F134" t="s">
        <v>297</v>
      </c>
      <c r="G134">
        <v>14</v>
      </c>
      <c r="H134">
        <v>2.2999999999999998</v>
      </c>
      <c r="I134">
        <v>0.8</v>
      </c>
      <c r="J134">
        <v>0.4</v>
      </c>
      <c r="K134">
        <v>0.3</v>
      </c>
    </row>
    <row r="135" spans="1:11" x14ac:dyDescent="0.25">
      <c r="A135">
        <f t="shared" ref="A135:A199" si="3">A134+1</f>
        <v>134</v>
      </c>
      <c r="C135" t="s">
        <v>304</v>
      </c>
      <c r="D135" t="s">
        <v>305</v>
      </c>
      <c r="E135" t="s">
        <v>306</v>
      </c>
      <c r="F135" t="s">
        <v>307</v>
      </c>
      <c r="G135">
        <v>4</v>
      </c>
    </row>
    <row r="136" spans="1:11" x14ac:dyDescent="0.25">
      <c r="A136">
        <f t="shared" si="3"/>
        <v>135</v>
      </c>
      <c r="C136" t="s">
        <v>304</v>
      </c>
      <c r="D136" t="s">
        <v>308</v>
      </c>
      <c r="E136" t="s">
        <v>309</v>
      </c>
      <c r="F136" t="s">
        <v>310</v>
      </c>
      <c r="G136">
        <v>5</v>
      </c>
      <c r="H136">
        <v>0.1</v>
      </c>
      <c r="I136">
        <v>150</v>
      </c>
      <c r="J136">
        <v>0.1</v>
      </c>
    </row>
    <row r="137" spans="1:11" x14ac:dyDescent="0.25">
      <c r="A137">
        <f t="shared" si="3"/>
        <v>136</v>
      </c>
      <c r="C137" t="s">
        <v>304</v>
      </c>
      <c r="D137" t="s">
        <v>311</v>
      </c>
      <c r="E137" t="s">
        <v>309</v>
      </c>
      <c r="F137" t="s">
        <v>312</v>
      </c>
      <c r="G137">
        <v>20</v>
      </c>
      <c r="H137">
        <v>2</v>
      </c>
      <c r="I137">
        <v>250</v>
      </c>
      <c r="J137">
        <v>0.2</v>
      </c>
    </row>
    <row r="138" spans="1:11" x14ac:dyDescent="0.25">
      <c r="A138">
        <f t="shared" si="3"/>
        <v>137</v>
      </c>
      <c r="C138" t="s">
        <v>304</v>
      </c>
      <c r="D138" t="s">
        <v>313</v>
      </c>
      <c r="E138" t="s">
        <v>314</v>
      </c>
      <c r="F138" t="s">
        <v>315</v>
      </c>
      <c r="G138">
        <v>0.5</v>
      </c>
    </row>
    <row r="139" spans="1:11" x14ac:dyDescent="0.25">
      <c r="A139">
        <f t="shared" si="3"/>
        <v>138</v>
      </c>
      <c r="C139" t="s">
        <v>316</v>
      </c>
      <c r="D139" t="s">
        <v>317</v>
      </c>
      <c r="E139" t="s">
        <v>309</v>
      </c>
      <c r="F139" t="s">
        <v>318</v>
      </c>
      <c r="G139">
        <v>3</v>
      </c>
      <c r="H139">
        <v>1</v>
      </c>
      <c r="I139">
        <v>250</v>
      </c>
      <c r="J139">
        <v>0.1</v>
      </c>
    </row>
    <row r="140" spans="1:11" x14ac:dyDescent="0.25">
      <c r="A140">
        <f t="shared" si="3"/>
        <v>139</v>
      </c>
      <c r="C140" t="s">
        <v>316</v>
      </c>
      <c r="D140" t="s">
        <v>319</v>
      </c>
      <c r="E140" t="s">
        <v>320</v>
      </c>
      <c r="F140" t="s">
        <v>321</v>
      </c>
      <c r="G140">
        <v>100</v>
      </c>
      <c r="H140">
        <v>5</v>
      </c>
      <c r="I140">
        <v>40</v>
      </c>
      <c r="J140">
        <v>0.5</v>
      </c>
    </row>
    <row r="141" spans="1:11" x14ac:dyDescent="0.25">
      <c r="A141">
        <f t="shared" si="3"/>
        <v>140</v>
      </c>
      <c r="C141" t="s">
        <v>316</v>
      </c>
      <c r="D141" t="s">
        <v>322</v>
      </c>
      <c r="E141" t="s">
        <v>320</v>
      </c>
      <c r="F141" t="s">
        <v>323</v>
      </c>
      <c r="G141">
        <v>100</v>
      </c>
      <c r="H141">
        <v>10</v>
      </c>
      <c r="I141">
        <v>40</v>
      </c>
      <c r="J141">
        <v>2</v>
      </c>
    </row>
    <row r="142" spans="1:11" x14ac:dyDescent="0.25">
      <c r="A142">
        <f t="shared" si="3"/>
        <v>141</v>
      </c>
      <c r="C142" t="s">
        <v>316</v>
      </c>
      <c r="D142" t="s">
        <v>324</v>
      </c>
      <c r="E142" t="s">
        <v>325</v>
      </c>
      <c r="F142" t="s">
        <v>326</v>
      </c>
      <c r="G142">
        <v>1.35</v>
      </c>
    </row>
    <row r="143" spans="1:11" x14ac:dyDescent="0.25">
      <c r="A143">
        <f t="shared" si="3"/>
        <v>142</v>
      </c>
      <c r="C143" t="s">
        <v>327</v>
      </c>
      <c r="D143" t="s">
        <v>328</v>
      </c>
      <c r="E143" t="s">
        <v>329</v>
      </c>
      <c r="F143" t="s">
        <v>330</v>
      </c>
      <c r="G143">
        <v>4</v>
      </c>
    </row>
    <row r="144" spans="1:11" x14ac:dyDescent="0.25">
      <c r="A144">
        <f t="shared" si="3"/>
        <v>143</v>
      </c>
      <c r="C144" t="s">
        <v>327</v>
      </c>
      <c r="D144" t="s">
        <v>185</v>
      </c>
      <c r="E144" t="s">
        <v>331</v>
      </c>
      <c r="F144" t="s">
        <v>332</v>
      </c>
      <c r="G144">
        <v>200</v>
      </c>
    </row>
    <row r="145" spans="1:13" x14ac:dyDescent="0.25">
      <c r="A145">
        <f t="shared" si="3"/>
        <v>144</v>
      </c>
      <c r="C145" t="s">
        <v>327</v>
      </c>
      <c r="D145" t="s">
        <v>333</v>
      </c>
      <c r="E145" t="s">
        <v>334</v>
      </c>
      <c r="F145" t="s">
        <v>335</v>
      </c>
      <c r="G145">
        <v>4</v>
      </c>
    </row>
    <row r="146" spans="1:13" x14ac:dyDescent="0.25">
      <c r="A146">
        <f t="shared" si="3"/>
        <v>145</v>
      </c>
      <c r="C146" t="s">
        <v>327</v>
      </c>
      <c r="D146" t="s">
        <v>336</v>
      </c>
      <c r="E146" t="s">
        <v>337</v>
      </c>
      <c r="F146" t="s">
        <v>338</v>
      </c>
      <c r="G146">
        <v>3</v>
      </c>
    </row>
    <row r="147" spans="1:13" x14ac:dyDescent="0.25">
      <c r="A147">
        <f t="shared" si="3"/>
        <v>146</v>
      </c>
      <c r="C147" t="s">
        <v>327</v>
      </c>
      <c r="D147" t="s">
        <v>339</v>
      </c>
      <c r="E147" t="s">
        <v>210</v>
      </c>
      <c r="F147" t="s">
        <v>340</v>
      </c>
      <c r="G147">
        <v>4</v>
      </c>
      <c r="H147">
        <v>5</v>
      </c>
    </row>
    <row r="148" spans="1:13" x14ac:dyDescent="0.25">
      <c r="A148">
        <f t="shared" si="3"/>
        <v>147</v>
      </c>
      <c r="C148" t="s">
        <v>341</v>
      </c>
      <c r="D148" t="s">
        <v>275</v>
      </c>
      <c r="E148" t="s">
        <v>342</v>
      </c>
      <c r="F148" t="s">
        <v>343</v>
      </c>
      <c r="G148" t="s">
        <v>344</v>
      </c>
      <c r="H148" t="s">
        <v>345</v>
      </c>
      <c r="I148" t="s">
        <v>346</v>
      </c>
      <c r="J148" t="s">
        <v>347</v>
      </c>
      <c r="K148" t="s">
        <v>348</v>
      </c>
      <c r="L148" t="s">
        <v>349</v>
      </c>
      <c r="M148" t="s">
        <v>350</v>
      </c>
    </row>
    <row r="149" spans="1:13" x14ac:dyDescent="0.25">
      <c r="A149">
        <f t="shared" si="3"/>
        <v>148</v>
      </c>
      <c r="C149" t="s">
        <v>341</v>
      </c>
      <c r="D149" t="s">
        <v>280</v>
      </c>
      <c r="E149" t="s">
        <v>342</v>
      </c>
      <c r="F149" t="s">
        <v>343</v>
      </c>
      <c r="G149" t="s">
        <v>344</v>
      </c>
      <c r="H149" t="s">
        <v>345</v>
      </c>
      <c r="I149" t="s">
        <v>346</v>
      </c>
      <c r="J149" t="s">
        <v>347</v>
      </c>
      <c r="K149" t="s">
        <v>348</v>
      </c>
      <c r="L149" t="s">
        <v>349</v>
      </c>
      <c r="M149" t="s">
        <v>350</v>
      </c>
    </row>
    <row r="150" spans="1:13" x14ac:dyDescent="0.25">
      <c r="A150">
        <f t="shared" si="3"/>
        <v>149</v>
      </c>
      <c r="C150" t="s">
        <v>341</v>
      </c>
      <c r="D150" t="s">
        <v>283</v>
      </c>
      <c r="E150" t="s">
        <v>342</v>
      </c>
      <c r="F150" t="s">
        <v>343</v>
      </c>
      <c r="G150" t="s">
        <v>351</v>
      </c>
      <c r="H150" t="s">
        <v>352</v>
      </c>
      <c r="I150" t="s">
        <v>346</v>
      </c>
      <c r="J150" t="s">
        <v>347</v>
      </c>
      <c r="K150" t="s">
        <v>348</v>
      </c>
      <c r="L150" t="s">
        <v>349</v>
      </c>
      <c r="M150" t="s">
        <v>350</v>
      </c>
    </row>
    <row r="151" spans="1:13" x14ac:dyDescent="0.25">
      <c r="A151">
        <f t="shared" si="3"/>
        <v>150</v>
      </c>
      <c r="C151" t="s">
        <v>341</v>
      </c>
      <c r="D151" t="s">
        <v>287</v>
      </c>
      <c r="E151" t="s">
        <v>342</v>
      </c>
      <c r="F151" t="s">
        <v>343</v>
      </c>
      <c r="G151" t="s">
        <v>353</v>
      </c>
      <c r="H151" t="s">
        <v>352</v>
      </c>
      <c r="I151" t="s">
        <v>354</v>
      </c>
      <c r="J151" t="s">
        <v>355</v>
      </c>
      <c r="K151" t="s">
        <v>356</v>
      </c>
      <c r="L151" t="s">
        <v>357</v>
      </c>
      <c r="M151" t="s">
        <v>358</v>
      </c>
    </row>
    <row r="152" spans="1:13" x14ac:dyDescent="0.25">
      <c r="A152">
        <f t="shared" si="3"/>
        <v>151</v>
      </c>
      <c r="C152" t="s">
        <v>341</v>
      </c>
      <c r="D152" t="s">
        <v>289</v>
      </c>
      <c r="E152" t="s">
        <v>342</v>
      </c>
      <c r="F152" t="s">
        <v>343</v>
      </c>
      <c r="G152" t="s">
        <v>359</v>
      </c>
      <c r="H152" t="s">
        <v>360</v>
      </c>
      <c r="I152" t="s">
        <v>354</v>
      </c>
      <c r="J152" t="s">
        <v>361</v>
      </c>
      <c r="K152" t="s">
        <v>362</v>
      </c>
      <c r="L152" t="s">
        <v>363</v>
      </c>
      <c r="M152" t="s">
        <v>364</v>
      </c>
    </row>
    <row r="153" spans="1:13" x14ac:dyDescent="0.25">
      <c r="A153">
        <f t="shared" si="3"/>
        <v>152</v>
      </c>
      <c r="C153" t="s">
        <v>341</v>
      </c>
      <c r="D153" t="s">
        <v>291</v>
      </c>
      <c r="E153" t="s">
        <v>342</v>
      </c>
      <c r="F153" t="s">
        <v>343</v>
      </c>
      <c r="G153" t="s">
        <v>365</v>
      </c>
      <c r="H153" t="s">
        <v>366</v>
      </c>
      <c r="I153" t="s">
        <v>367</v>
      </c>
      <c r="J153" t="s">
        <v>368</v>
      </c>
      <c r="K153" t="s">
        <v>369</v>
      </c>
      <c r="L153" t="s">
        <v>370</v>
      </c>
      <c r="M153" t="s">
        <v>371</v>
      </c>
    </row>
    <row r="154" spans="1:13" x14ac:dyDescent="0.25">
      <c r="A154">
        <f t="shared" si="3"/>
        <v>153</v>
      </c>
      <c r="C154" t="s">
        <v>341</v>
      </c>
      <c r="D154" t="s">
        <v>292</v>
      </c>
      <c r="E154" t="s">
        <v>342</v>
      </c>
      <c r="F154" t="s">
        <v>343</v>
      </c>
      <c r="G154" t="s">
        <v>344</v>
      </c>
      <c r="H154" t="s">
        <v>372</v>
      </c>
      <c r="I154" t="s">
        <v>373</v>
      </c>
      <c r="J154" t="s">
        <v>374</v>
      </c>
      <c r="K154" t="s">
        <v>375</v>
      </c>
      <c r="L154" t="s">
        <v>376</v>
      </c>
      <c r="M154" t="s">
        <v>377</v>
      </c>
    </row>
    <row r="155" spans="1:13" x14ac:dyDescent="0.25">
      <c r="A155">
        <f t="shared" si="3"/>
        <v>154</v>
      </c>
      <c r="C155" t="s">
        <v>341</v>
      </c>
      <c r="D155" t="s">
        <v>293</v>
      </c>
      <c r="E155" t="s">
        <v>342</v>
      </c>
      <c r="F155" t="s">
        <v>343</v>
      </c>
      <c r="G155" t="s">
        <v>344</v>
      </c>
      <c r="H155" t="s">
        <v>345</v>
      </c>
      <c r="I155" t="s">
        <v>378</v>
      </c>
      <c r="J155" t="s">
        <v>379</v>
      </c>
      <c r="K155" t="s">
        <v>380</v>
      </c>
      <c r="L155" t="s">
        <v>381</v>
      </c>
      <c r="M155" t="s">
        <v>382</v>
      </c>
    </row>
    <row r="156" spans="1:13" x14ac:dyDescent="0.25">
      <c r="A156">
        <f t="shared" si="3"/>
        <v>155</v>
      </c>
      <c r="C156" t="s">
        <v>383</v>
      </c>
      <c r="D156" t="s">
        <v>384</v>
      </c>
      <c r="E156" t="s">
        <v>385</v>
      </c>
      <c r="F156" t="s">
        <v>967</v>
      </c>
    </row>
    <row r="157" spans="1:13" x14ac:dyDescent="0.25">
      <c r="A157">
        <f t="shared" si="3"/>
        <v>156</v>
      </c>
      <c r="C157" t="s">
        <v>383</v>
      </c>
      <c r="D157" t="s">
        <v>386</v>
      </c>
      <c r="E157" t="s">
        <v>387</v>
      </c>
      <c r="F157" t="s">
        <v>948</v>
      </c>
      <c r="G157">
        <v>1.35</v>
      </c>
    </row>
    <row r="158" spans="1:13" x14ac:dyDescent="0.25">
      <c r="A158">
        <f t="shared" si="3"/>
        <v>157</v>
      </c>
      <c r="C158" t="s">
        <v>383</v>
      </c>
      <c r="D158" t="s">
        <v>388</v>
      </c>
      <c r="E158" t="s">
        <v>389</v>
      </c>
      <c r="F158" t="s">
        <v>390</v>
      </c>
      <c r="G158">
        <v>0.05</v>
      </c>
    </row>
    <row r="159" spans="1:13" x14ac:dyDescent="0.25">
      <c r="A159">
        <f t="shared" si="3"/>
        <v>158</v>
      </c>
      <c r="C159" t="s">
        <v>383</v>
      </c>
      <c r="D159" t="s">
        <v>391</v>
      </c>
      <c r="E159" t="s">
        <v>392</v>
      </c>
      <c r="F159" t="s">
        <v>968</v>
      </c>
      <c r="G159">
        <v>2</v>
      </c>
    </row>
    <row r="160" spans="1:13" x14ac:dyDescent="0.25">
      <c r="A160">
        <f t="shared" si="3"/>
        <v>159</v>
      </c>
      <c r="C160" t="s">
        <v>383</v>
      </c>
      <c r="D160" t="s">
        <v>393</v>
      </c>
      <c r="E160" t="s">
        <v>394</v>
      </c>
      <c r="F160" t="s">
        <v>969</v>
      </c>
    </row>
    <row r="161" spans="1:15" x14ac:dyDescent="0.25">
      <c r="A161">
        <f t="shared" si="3"/>
        <v>160</v>
      </c>
      <c r="C161" t="s">
        <v>383</v>
      </c>
      <c r="D161" t="s">
        <v>395</v>
      </c>
      <c r="E161" t="s">
        <v>396</v>
      </c>
      <c r="F161" t="s">
        <v>397</v>
      </c>
      <c r="G161">
        <v>5</v>
      </c>
      <c r="H161">
        <v>1.2</v>
      </c>
      <c r="I161">
        <v>0.15</v>
      </c>
    </row>
    <row r="162" spans="1:15" x14ac:dyDescent="0.25">
      <c r="A162">
        <f t="shared" si="3"/>
        <v>161</v>
      </c>
      <c r="C162" t="s">
        <v>383</v>
      </c>
      <c r="D162" t="s">
        <v>398</v>
      </c>
      <c r="E162" t="s">
        <v>399</v>
      </c>
      <c r="F162" t="s">
        <v>400</v>
      </c>
      <c r="G162">
        <v>8</v>
      </c>
      <c r="H162">
        <v>4</v>
      </c>
      <c r="I162">
        <v>3</v>
      </c>
      <c r="J162">
        <v>60</v>
      </c>
    </row>
    <row r="163" spans="1:15" x14ac:dyDescent="0.25">
      <c r="A163">
        <f t="shared" si="3"/>
        <v>162</v>
      </c>
      <c r="C163" t="s">
        <v>383</v>
      </c>
      <c r="D163" t="s">
        <v>401</v>
      </c>
      <c r="E163" t="s">
        <v>402</v>
      </c>
      <c r="F163" t="s">
        <v>403</v>
      </c>
      <c r="G163">
        <v>1</v>
      </c>
      <c r="H163">
        <v>5</v>
      </c>
    </row>
    <row r="164" spans="1:15" x14ac:dyDescent="0.25">
      <c r="A164">
        <f t="shared" si="3"/>
        <v>163</v>
      </c>
      <c r="C164" t="s">
        <v>383</v>
      </c>
      <c r="D164" t="s">
        <v>404</v>
      </c>
      <c r="E164" t="s">
        <v>405</v>
      </c>
      <c r="F164" t="s">
        <v>406</v>
      </c>
      <c r="G164">
        <v>0.15</v>
      </c>
      <c r="H164">
        <v>0.06</v>
      </c>
    </row>
    <row r="165" spans="1:15" x14ac:dyDescent="0.25">
      <c r="A165">
        <f t="shared" si="3"/>
        <v>164</v>
      </c>
      <c r="C165" t="s">
        <v>383</v>
      </c>
      <c r="D165" t="s">
        <v>407</v>
      </c>
      <c r="E165" t="s">
        <v>408</v>
      </c>
      <c r="F165" t="s">
        <v>409</v>
      </c>
      <c r="G165">
        <v>2</v>
      </c>
      <c r="H165">
        <v>0.6</v>
      </c>
    </row>
    <row r="166" spans="1:15" x14ac:dyDescent="0.25">
      <c r="A166">
        <f t="shared" si="3"/>
        <v>165</v>
      </c>
      <c r="C166" t="s">
        <v>383</v>
      </c>
      <c r="D166" t="s">
        <v>410</v>
      </c>
      <c r="E166" t="s">
        <v>411</v>
      </c>
      <c r="F166" t="s">
        <v>412</v>
      </c>
      <c r="G166">
        <v>3</v>
      </c>
      <c r="H166">
        <v>0.5</v>
      </c>
    </row>
    <row r="167" spans="1:15" x14ac:dyDescent="0.25">
      <c r="A167">
        <f t="shared" si="3"/>
        <v>166</v>
      </c>
      <c r="C167" t="s">
        <v>413</v>
      </c>
      <c r="D167" t="s">
        <v>414</v>
      </c>
      <c r="E167" t="s">
        <v>415</v>
      </c>
      <c r="F167" t="s">
        <v>416</v>
      </c>
      <c r="G167">
        <v>0.1</v>
      </c>
      <c r="H167">
        <v>0.5</v>
      </c>
      <c r="I167">
        <v>1</v>
      </c>
      <c r="J167">
        <v>2</v>
      </c>
      <c r="K167">
        <v>4</v>
      </c>
      <c r="L167">
        <v>8</v>
      </c>
      <c r="M167">
        <v>20</v>
      </c>
      <c r="N167">
        <v>100</v>
      </c>
      <c r="O167">
        <v>100</v>
      </c>
    </row>
    <row r="168" spans="1:15" x14ac:dyDescent="0.25">
      <c r="A168">
        <f t="shared" si="3"/>
        <v>167</v>
      </c>
      <c r="C168" t="s">
        <v>413</v>
      </c>
      <c r="D168" t="s">
        <v>417</v>
      </c>
      <c r="E168" t="s">
        <v>418</v>
      </c>
      <c r="F168" t="s">
        <v>419</v>
      </c>
      <c r="G168">
        <v>0</v>
      </c>
      <c r="H168">
        <v>0</v>
      </c>
      <c r="I168">
        <v>0</v>
      </c>
      <c r="J168">
        <v>0</v>
      </c>
      <c r="K168">
        <v>0.5</v>
      </c>
      <c r="L168">
        <v>1</v>
      </c>
      <c r="M168">
        <v>10</v>
      </c>
      <c r="N168">
        <v>100</v>
      </c>
      <c r="O168">
        <v>100</v>
      </c>
    </row>
    <row r="169" spans="1:15" x14ac:dyDescent="0.25">
      <c r="A169">
        <f t="shared" si="3"/>
        <v>168</v>
      </c>
      <c r="C169" t="s">
        <v>420</v>
      </c>
      <c r="D169" t="s">
        <v>421</v>
      </c>
      <c r="E169" t="s">
        <v>422</v>
      </c>
      <c r="F169" t="s">
        <v>423</v>
      </c>
      <c r="G169">
        <v>5</v>
      </c>
    </row>
    <row r="170" spans="1:15" x14ac:dyDescent="0.25">
      <c r="A170">
        <f t="shared" si="3"/>
        <v>169</v>
      </c>
      <c r="C170" t="s">
        <v>420</v>
      </c>
      <c r="D170" t="s">
        <v>424</v>
      </c>
      <c r="E170" t="s">
        <v>425</v>
      </c>
      <c r="F170" t="s">
        <v>426</v>
      </c>
      <c r="G170">
        <v>55</v>
      </c>
      <c r="H170">
        <v>40</v>
      </c>
      <c r="I170">
        <v>25</v>
      </c>
    </row>
    <row r="171" spans="1:15" x14ac:dyDescent="0.25">
      <c r="A171">
        <f t="shared" si="3"/>
        <v>170</v>
      </c>
      <c r="C171" t="s">
        <v>420</v>
      </c>
      <c r="D171" t="s">
        <v>427</v>
      </c>
      <c r="E171" t="s">
        <v>428</v>
      </c>
      <c r="F171" t="s">
        <v>429</v>
      </c>
      <c r="G171">
        <v>5000000</v>
      </c>
      <c r="H171">
        <v>20000000</v>
      </c>
      <c r="I171">
        <v>100000000</v>
      </c>
    </row>
    <row r="172" spans="1:15" x14ac:dyDescent="0.25">
      <c r="A172">
        <f t="shared" si="3"/>
        <v>171</v>
      </c>
      <c r="C172" t="s">
        <v>420</v>
      </c>
      <c r="D172" t="s">
        <v>430</v>
      </c>
      <c r="E172" t="s">
        <v>428</v>
      </c>
      <c r="G172">
        <v>3</v>
      </c>
      <c r="H172">
        <v>5</v>
      </c>
      <c r="I172">
        <v>8</v>
      </c>
    </row>
    <row r="173" spans="1:15" x14ac:dyDescent="0.25">
      <c r="A173">
        <f t="shared" si="3"/>
        <v>172</v>
      </c>
      <c r="C173" t="s">
        <v>420</v>
      </c>
      <c r="D173" t="s">
        <v>431</v>
      </c>
      <c r="E173" t="s">
        <v>422</v>
      </c>
      <c r="F173" t="s">
        <v>432</v>
      </c>
      <c r="G173">
        <v>3</v>
      </c>
    </row>
    <row r="174" spans="1:15" x14ac:dyDescent="0.25">
      <c r="A174">
        <f t="shared" si="3"/>
        <v>173</v>
      </c>
      <c r="C174" t="s">
        <v>420</v>
      </c>
      <c r="D174" t="s">
        <v>433</v>
      </c>
      <c r="E174" t="s">
        <v>434</v>
      </c>
      <c r="F174" t="s">
        <v>435</v>
      </c>
      <c r="G174">
        <v>45</v>
      </c>
      <c r="H174">
        <v>35</v>
      </c>
      <c r="I174">
        <v>25</v>
      </c>
      <c r="J174">
        <v>15</v>
      </c>
      <c r="K174">
        <v>5</v>
      </c>
    </row>
    <row r="175" spans="1:15" x14ac:dyDescent="0.25">
      <c r="A175">
        <f t="shared" si="3"/>
        <v>174</v>
      </c>
      <c r="C175" t="s">
        <v>420</v>
      </c>
      <c r="D175" t="s">
        <v>436</v>
      </c>
      <c r="E175" t="s">
        <v>437</v>
      </c>
      <c r="F175" t="s">
        <v>438</v>
      </c>
      <c r="G175">
        <v>1000000</v>
      </c>
      <c r="H175">
        <v>5</v>
      </c>
    </row>
    <row r="176" spans="1:15" x14ac:dyDescent="0.25">
      <c r="A176">
        <f t="shared" si="3"/>
        <v>175</v>
      </c>
      <c r="C176" t="s">
        <v>420</v>
      </c>
      <c r="D176" t="s">
        <v>439</v>
      </c>
      <c r="E176" t="s">
        <v>440</v>
      </c>
      <c r="G176">
        <v>2</v>
      </c>
      <c r="H176">
        <v>3</v>
      </c>
      <c r="I176">
        <v>4</v>
      </c>
      <c r="J176">
        <v>5</v>
      </c>
      <c r="K176">
        <v>6</v>
      </c>
    </row>
    <row r="177" spans="1:15" x14ac:dyDescent="0.25">
      <c r="A177">
        <f t="shared" si="3"/>
        <v>176</v>
      </c>
      <c r="C177" t="s">
        <v>420</v>
      </c>
      <c r="D177" t="s">
        <v>441</v>
      </c>
      <c r="E177" t="s">
        <v>442</v>
      </c>
      <c r="F177" t="s">
        <v>443</v>
      </c>
      <c r="G177">
        <v>3</v>
      </c>
      <c r="H177">
        <v>3</v>
      </c>
    </row>
    <row r="178" spans="1:15" x14ac:dyDescent="0.25">
      <c r="A178">
        <f t="shared" si="3"/>
        <v>177</v>
      </c>
      <c r="C178" t="s">
        <v>420</v>
      </c>
      <c r="D178" t="s">
        <v>444</v>
      </c>
      <c r="E178" t="s">
        <v>445</v>
      </c>
      <c r="F178" t="s">
        <v>446</v>
      </c>
      <c r="G178">
        <v>6</v>
      </c>
      <c r="H178">
        <v>6</v>
      </c>
    </row>
    <row r="179" spans="1:15" x14ac:dyDescent="0.25">
      <c r="A179">
        <f t="shared" si="3"/>
        <v>178</v>
      </c>
      <c r="C179" t="s">
        <v>447</v>
      </c>
      <c r="D179" t="s">
        <v>448</v>
      </c>
      <c r="E179" t="s">
        <v>449</v>
      </c>
      <c r="F179" t="s">
        <v>450</v>
      </c>
      <c r="G179">
        <v>30</v>
      </c>
      <c r="H179">
        <v>6</v>
      </c>
    </row>
    <row r="180" spans="1:15" x14ac:dyDescent="0.25">
      <c r="A180">
        <f t="shared" si="3"/>
        <v>179</v>
      </c>
      <c r="C180" t="s">
        <v>447</v>
      </c>
      <c r="D180" t="s">
        <v>451</v>
      </c>
      <c r="E180" t="s">
        <v>452</v>
      </c>
      <c r="G180">
        <v>25</v>
      </c>
      <c r="H180">
        <v>1.45</v>
      </c>
      <c r="I180">
        <v>0.08</v>
      </c>
    </row>
    <row r="181" spans="1:15" x14ac:dyDescent="0.25">
      <c r="A181">
        <f t="shared" si="3"/>
        <v>180</v>
      </c>
      <c r="C181" t="s">
        <v>447</v>
      </c>
      <c r="D181" t="s">
        <v>453</v>
      </c>
      <c r="E181" t="s">
        <v>452</v>
      </c>
      <c r="G181">
        <v>8</v>
      </c>
      <c r="H181">
        <v>1.35</v>
      </c>
      <c r="I181">
        <v>0.04</v>
      </c>
    </row>
    <row r="182" spans="1:15" x14ac:dyDescent="0.25">
      <c r="A182">
        <f t="shared" si="3"/>
        <v>181</v>
      </c>
      <c r="C182" t="s">
        <v>447</v>
      </c>
      <c r="D182" t="s">
        <v>454</v>
      </c>
      <c r="E182" t="s">
        <v>455</v>
      </c>
      <c r="F182" t="s">
        <v>954</v>
      </c>
    </row>
    <row r="183" spans="1:15" x14ac:dyDescent="0.25">
      <c r="A183">
        <f t="shared" si="3"/>
        <v>182</v>
      </c>
      <c r="C183" t="s">
        <v>456</v>
      </c>
      <c r="D183" t="s">
        <v>451</v>
      </c>
      <c r="E183" t="s">
        <v>457</v>
      </c>
      <c r="G183">
        <v>40</v>
      </c>
      <c r="H183">
        <v>1.7</v>
      </c>
      <c r="I183">
        <v>0.15</v>
      </c>
    </row>
    <row r="184" spans="1:15" x14ac:dyDescent="0.25">
      <c r="A184">
        <f t="shared" si="3"/>
        <v>183</v>
      </c>
      <c r="C184" t="s">
        <v>456</v>
      </c>
      <c r="D184" t="s">
        <v>458</v>
      </c>
      <c r="E184" t="s">
        <v>459</v>
      </c>
      <c r="F184" t="s">
        <v>460</v>
      </c>
      <c r="G184">
        <v>9</v>
      </c>
      <c r="H184">
        <v>14</v>
      </c>
      <c r="I184">
        <v>20</v>
      </c>
    </row>
    <row r="185" spans="1:15" x14ac:dyDescent="0.25">
      <c r="A185">
        <f t="shared" si="3"/>
        <v>184</v>
      </c>
      <c r="C185" t="s">
        <v>456</v>
      </c>
      <c r="D185" t="s">
        <v>461</v>
      </c>
      <c r="E185" t="s">
        <v>988</v>
      </c>
      <c r="F185" t="s">
        <v>462</v>
      </c>
      <c r="G185">
        <v>30</v>
      </c>
    </row>
    <row r="186" spans="1:15" x14ac:dyDescent="0.25">
      <c r="A186">
        <f t="shared" si="3"/>
        <v>185</v>
      </c>
      <c r="C186" t="s">
        <v>456</v>
      </c>
      <c r="D186" t="s">
        <v>987</v>
      </c>
      <c r="E186" t="s">
        <v>988</v>
      </c>
      <c r="F186" t="s">
        <v>989</v>
      </c>
      <c r="G186">
        <v>1</v>
      </c>
      <c r="H186">
        <v>1</v>
      </c>
      <c r="I186">
        <v>1</v>
      </c>
      <c r="J186">
        <v>1</v>
      </c>
      <c r="K186">
        <v>1</v>
      </c>
      <c r="L186">
        <v>1</v>
      </c>
      <c r="M186">
        <v>2</v>
      </c>
      <c r="N186">
        <v>3</v>
      </c>
      <c r="O186">
        <v>4</v>
      </c>
    </row>
    <row r="187" spans="1:15" x14ac:dyDescent="0.25">
      <c r="A187">
        <f t="shared" si="3"/>
        <v>186</v>
      </c>
      <c r="C187" t="s">
        <v>463</v>
      </c>
      <c r="D187" t="s">
        <v>464</v>
      </c>
      <c r="E187" t="s">
        <v>465</v>
      </c>
      <c r="F187" t="s">
        <v>466</v>
      </c>
      <c r="G187">
        <v>5</v>
      </c>
    </row>
    <row r="188" spans="1:15" x14ac:dyDescent="0.25">
      <c r="A188">
        <f t="shared" si="3"/>
        <v>187</v>
      </c>
      <c r="C188" t="s">
        <v>463</v>
      </c>
      <c r="D188" t="s">
        <v>467</v>
      </c>
      <c r="E188" t="s">
        <v>468</v>
      </c>
      <c r="F188" t="s">
        <v>961</v>
      </c>
    </row>
    <row r="189" spans="1:15" x14ac:dyDescent="0.25">
      <c r="A189">
        <f t="shared" si="3"/>
        <v>188</v>
      </c>
      <c r="C189" t="s">
        <v>463</v>
      </c>
      <c r="D189" t="s">
        <v>469</v>
      </c>
      <c r="E189" t="s">
        <v>470</v>
      </c>
      <c r="F189" t="s">
        <v>962</v>
      </c>
    </row>
    <row r="190" spans="1:15" x14ac:dyDescent="0.25">
      <c r="A190">
        <f t="shared" si="3"/>
        <v>189</v>
      </c>
      <c r="C190" t="s">
        <v>463</v>
      </c>
      <c r="D190" t="s">
        <v>471</v>
      </c>
      <c r="E190" t="s">
        <v>472</v>
      </c>
      <c r="F190" t="s">
        <v>963</v>
      </c>
    </row>
    <row r="191" spans="1:15" x14ac:dyDescent="0.25">
      <c r="A191">
        <f t="shared" si="3"/>
        <v>190</v>
      </c>
      <c r="C191" t="s">
        <v>473</v>
      </c>
      <c r="D191" t="s">
        <v>474</v>
      </c>
      <c r="E191" t="s">
        <v>475</v>
      </c>
      <c r="F191" t="s">
        <v>949</v>
      </c>
      <c r="G191">
        <v>2</v>
      </c>
    </row>
    <row r="192" spans="1:15" x14ac:dyDescent="0.25">
      <c r="A192">
        <f t="shared" si="3"/>
        <v>191</v>
      </c>
      <c r="C192" t="s">
        <v>476</v>
      </c>
      <c r="D192" t="s">
        <v>477</v>
      </c>
      <c r="E192" t="s">
        <v>478</v>
      </c>
      <c r="F192" t="s">
        <v>479</v>
      </c>
      <c r="G192">
        <v>10000</v>
      </c>
      <c r="H192">
        <v>3</v>
      </c>
    </row>
    <row r="193" spans="1:11" x14ac:dyDescent="0.25">
      <c r="A193">
        <f t="shared" si="3"/>
        <v>192</v>
      </c>
      <c r="C193" t="s">
        <v>480</v>
      </c>
      <c r="D193" t="s">
        <v>481</v>
      </c>
      <c r="E193" t="s">
        <v>482</v>
      </c>
      <c r="F193" t="s">
        <v>483</v>
      </c>
      <c r="G193">
        <v>20000</v>
      </c>
    </row>
    <row r="194" spans="1:11" x14ac:dyDescent="0.25">
      <c r="A194">
        <f t="shared" si="3"/>
        <v>193</v>
      </c>
      <c r="C194" t="s">
        <v>480</v>
      </c>
      <c r="D194" t="s">
        <v>484</v>
      </c>
      <c r="E194" t="s">
        <v>485</v>
      </c>
      <c r="G194">
        <v>30</v>
      </c>
      <c r="H194">
        <v>2</v>
      </c>
    </row>
    <row r="195" spans="1:11" x14ac:dyDescent="0.25">
      <c r="A195">
        <f t="shared" si="3"/>
        <v>194</v>
      </c>
      <c r="C195" t="s">
        <v>480</v>
      </c>
      <c r="D195" t="s">
        <v>486</v>
      </c>
      <c r="E195" t="s">
        <v>487</v>
      </c>
      <c r="F195" t="s">
        <v>488</v>
      </c>
      <c r="G195">
        <v>60</v>
      </c>
    </row>
    <row r="196" spans="1:11" x14ac:dyDescent="0.25">
      <c r="A196">
        <f t="shared" si="3"/>
        <v>195</v>
      </c>
      <c r="C196" t="s">
        <v>480</v>
      </c>
      <c r="D196" t="s">
        <v>489</v>
      </c>
      <c r="E196" t="s">
        <v>490</v>
      </c>
      <c r="F196" t="s">
        <v>491</v>
      </c>
      <c r="G196">
        <v>10000</v>
      </c>
    </row>
    <row r="197" spans="1:11" x14ac:dyDescent="0.25">
      <c r="A197">
        <f t="shared" si="3"/>
        <v>196</v>
      </c>
      <c r="C197" t="s">
        <v>480</v>
      </c>
      <c r="D197" t="s">
        <v>492</v>
      </c>
      <c r="E197" t="s">
        <v>493</v>
      </c>
      <c r="G197">
        <v>2</v>
      </c>
    </row>
    <row r="198" spans="1:11" x14ac:dyDescent="0.25">
      <c r="A198">
        <f t="shared" si="3"/>
        <v>197</v>
      </c>
      <c r="C198" t="s">
        <v>494</v>
      </c>
      <c r="D198" t="s">
        <v>495</v>
      </c>
      <c r="E198" t="s">
        <v>496</v>
      </c>
      <c r="F198" t="s">
        <v>497</v>
      </c>
      <c r="G198">
        <v>0.2</v>
      </c>
    </row>
    <row r="199" spans="1:11" x14ac:dyDescent="0.25">
      <c r="A199">
        <f t="shared" si="3"/>
        <v>198</v>
      </c>
      <c r="C199" t="s">
        <v>494</v>
      </c>
      <c r="D199" t="s">
        <v>498</v>
      </c>
      <c r="E199" t="s">
        <v>499</v>
      </c>
      <c r="F199" t="s">
        <v>500</v>
      </c>
      <c r="G199">
        <v>2</v>
      </c>
    </row>
    <row r="200" spans="1:11" x14ac:dyDescent="0.25">
      <c r="A200">
        <f t="shared" ref="A200:A263" si="4">A199+1</f>
        <v>199</v>
      </c>
      <c r="C200" t="s">
        <v>494</v>
      </c>
      <c r="D200" t="s">
        <v>501</v>
      </c>
      <c r="E200" t="s">
        <v>502</v>
      </c>
      <c r="F200" t="s">
        <v>964</v>
      </c>
      <c r="G200">
        <v>3</v>
      </c>
    </row>
    <row r="201" spans="1:11" x14ac:dyDescent="0.25">
      <c r="A201">
        <f t="shared" si="4"/>
        <v>200</v>
      </c>
      <c r="C201" t="s">
        <v>494</v>
      </c>
      <c r="D201" t="s">
        <v>503</v>
      </c>
      <c r="E201" t="s">
        <v>504</v>
      </c>
      <c r="F201" t="s">
        <v>505</v>
      </c>
    </row>
    <row r="202" spans="1:11" x14ac:dyDescent="0.25">
      <c r="A202">
        <f t="shared" si="4"/>
        <v>201</v>
      </c>
      <c r="C202" t="s">
        <v>494</v>
      </c>
      <c r="D202" t="s">
        <v>506</v>
      </c>
      <c r="E202" t="s">
        <v>507</v>
      </c>
      <c r="F202" t="s">
        <v>508</v>
      </c>
      <c r="G202">
        <v>100</v>
      </c>
      <c r="H202">
        <v>300</v>
      </c>
      <c r="I202">
        <v>900</v>
      </c>
      <c r="J202">
        <v>2700</v>
      </c>
      <c r="K202">
        <v>8100</v>
      </c>
    </row>
    <row r="203" spans="1:11" x14ac:dyDescent="0.25">
      <c r="A203">
        <f t="shared" si="4"/>
        <v>202</v>
      </c>
      <c r="C203" t="s">
        <v>494</v>
      </c>
      <c r="D203" t="s">
        <v>509</v>
      </c>
      <c r="E203" t="s">
        <v>510</v>
      </c>
      <c r="F203" t="s">
        <v>511</v>
      </c>
      <c r="G203">
        <v>9</v>
      </c>
      <c r="H203">
        <v>100</v>
      </c>
    </row>
    <row r="204" spans="1:11" x14ac:dyDescent="0.25">
      <c r="A204">
        <f t="shared" si="4"/>
        <v>203</v>
      </c>
      <c r="C204" t="s">
        <v>494</v>
      </c>
      <c r="D204" t="s">
        <v>512</v>
      </c>
      <c r="E204" t="s">
        <v>513</v>
      </c>
      <c r="F204" t="s">
        <v>514</v>
      </c>
      <c r="G204">
        <v>0.7</v>
      </c>
    </row>
    <row r="205" spans="1:11" x14ac:dyDescent="0.25">
      <c r="A205">
        <f t="shared" si="4"/>
        <v>204</v>
      </c>
      <c r="C205" t="s">
        <v>494</v>
      </c>
      <c r="D205" t="s">
        <v>515</v>
      </c>
      <c r="E205" t="s">
        <v>516</v>
      </c>
      <c r="F205" t="s">
        <v>950</v>
      </c>
      <c r="G205">
        <v>0.7</v>
      </c>
    </row>
    <row r="206" spans="1:11" x14ac:dyDescent="0.25">
      <c r="A206">
        <f t="shared" si="4"/>
        <v>205</v>
      </c>
      <c r="C206" t="s">
        <v>494</v>
      </c>
      <c r="D206" t="s">
        <v>517</v>
      </c>
      <c r="E206" t="s">
        <v>518</v>
      </c>
      <c r="F206" t="s">
        <v>519</v>
      </c>
      <c r="G206">
        <v>10</v>
      </c>
      <c r="H206">
        <v>60</v>
      </c>
      <c r="I206">
        <v>10</v>
      </c>
    </row>
    <row r="207" spans="1:11" x14ac:dyDescent="0.25">
      <c r="A207">
        <f t="shared" si="4"/>
        <v>206</v>
      </c>
      <c r="C207" t="s">
        <v>494</v>
      </c>
      <c r="D207" t="s">
        <v>520</v>
      </c>
      <c r="E207" t="s">
        <v>521</v>
      </c>
      <c r="F207" t="s">
        <v>955</v>
      </c>
    </row>
    <row r="208" spans="1:11" x14ac:dyDescent="0.25">
      <c r="A208">
        <f t="shared" si="4"/>
        <v>207</v>
      </c>
      <c r="C208" t="s">
        <v>522</v>
      </c>
      <c r="D208" t="s">
        <v>523</v>
      </c>
      <c r="E208" t="s">
        <v>524</v>
      </c>
      <c r="F208" t="s">
        <v>525</v>
      </c>
      <c r="G208">
        <v>10000</v>
      </c>
      <c r="H208">
        <v>3</v>
      </c>
      <c r="I208">
        <v>4000000</v>
      </c>
    </row>
    <row r="209" spans="1:16" x14ac:dyDescent="0.25">
      <c r="A209">
        <f t="shared" si="4"/>
        <v>208</v>
      </c>
      <c r="C209" t="s">
        <v>522</v>
      </c>
      <c r="D209" t="s">
        <v>526</v>
      </c>
      <c r="E209" t="s">
        <v>527</v>
      </c>
      <c r="F209" t="s">
        <v>528</v>
      </c>
      <c r="G209">
        <v>5000</v>
      </c>
      <c r="H209">
        <v>2.5</v>
      </c>
    </row>
    <row r="210" spans="1:16" x14ac:dyDescent="0.25">
      <c r="A210">
        <f t="shared" si="4"/>
        <v>209</v>
      </c>
      <c r="C210" t="s">
        <v>522</v>
      </c>
      <c r="D210" t="s">
        <v>529</v>
      </c>
      <c r="E210" t="s">
        <v>530</v>
      </c>
      <c r="G210">
        <v>8</v>
      </c>
    </row>
    <row r="211" spans="1:16" x14ac:dyDescent="0.25">
      <c r="A211">
        <f t="shared" si="4"/>
        <v>210</v>
      </c>
      <c r="C211" t="s">
        <v>522</v>
      </c>
      <c r="D211" t="s">
        <v>531</v>
      </c>
      <c r="E211" t="s">
        <v>532</v>
      </c>
      <c r="F211" t="s">
        <v>533</v>
      </c>
      <c r="G211" s="1">
        <v>10000</v>
      </c>
      <c r="H211" s="1">
        <v>100000</v>
      </c>
      <c r="I211" s="1">
        <v>500000</v>
      </c>
      <c r="J211" s="1">
        <v>2000000</v>
      </c>
      <c r="K211" s="1">
        <v>10000000</v>
      </c>
      <c r="L211" s="1">
        <v>50000000</v>
      </c>
      <c r="M211" s="1">
        <v>200000000</v>
      </c>
      <c r="N211" s="1">
        <v>1000000000</v>
      </c>
      <c r="O211" s="1">
        <v>10000000000</v>
      </c>
      <c r="P211" s="1">
        <v>1000000000000</v>
      </c>
    </row>
    <row r="212" spans="1:16" x14ac:dyDescent="0.25">
      <c r="A212">
        <f t="shared" si="4"/>
        <v>211</v>
      </c>
      <c r="C212" t="s">
        <v>534</v>
      </c>
      <c r="D212" t="s">
        <v>535</v>
      </c>
      <c r="E212" t="s">
        <v>536</v>
      </c>
      <c r="F212" t="s">
        <v>537</v>
      </c>
      <c r="G212" t="s">
        <v>538</v>
      </c>
      <c r="H212" t="s">
        <v>539</v>
      </c>
    </row>
    <row r="213" spans="1:16" x14ac:dyDescent="0.25">
      <c r="A213">
        <f t="shared" si="4"/>
        <v>212</v>
      </c>
      <c r="C213" t="s">
        <v>534</v>
      </c>
      <c r="D213" t="s">
        <v>540</v>
      </c>
      <c r="E213" t="s">
        <v>536</v>
      </c>
      <c r="F213" t="s">
        <v>537</v>
      </c>
      <c r="G213" t="s">
        <v>538</v>
      </c>
      <c r="H213" t="s">
        <v>541</v>
      </c>
      <c r="I213" t="s">
        <v>542</v>
      </c>
    </row>
    <row r="214" spans="1:16" x14ac:dyDescent="0.25">
      <c r="A214">
        <f t="shared" si="4"/>
        <v>213</v>
      </c>
      <c r="C214" t="s">
        <v>534</v>
      </c>
      <c r="D214" t="s">
        <v>543</v>
      </c>
      <c r="E214" t="s">
        <v>536</v>
      </c>
      <c r="F214" t="s">
        <v>537</v>
      </c>
      <c r="G214" t="s">
        <v>538</v>
      </c>
      <c r="H214" t="s">
        <v>544</v>
      </c>
      <c r="I214" t="s">
        <v>542</v>
      </c>
      <c r="J214" t="s">
        <v>545</v>
      </c>
    </row>
    <row r="215" spans="1:16" x14ac:dyDescent="0.25">
      <c r="A215">
        <f t="shared" si="4"/>
        <v>214</v>
      </c>
      <c r="C215" t="s">
        <v>534</v>
      </c>
      <c r="D215" t="s">
        <v>546</v>
      </c>
      <c r="E215" t="s">
        <v>536</v>
      </c>
      <c r="F215" t="s">
        <v>537</v>
      </c>
      <c r="G215" t="s">
        <v>547</v>
      </c>
      <c r="H215" t="s">
        <v>544</v>
      </c>
      <c r="I215" t="s">
        <v>548</v>
      </c>
      <c r="J215" t="s">
        <v>545</v>
      </c>
    </row>
    <row r="216" spans="1:16" x14ac:dyDescent="0.25">
      <c r="A216">
        <f t="shared" si="4"/>
        <v>215</v>
      </c>
      <c r="C216" t="s">
        <v>534</v>
      </c>
      <c r="D216" t="s">
        <v>549</v>
      </c>
      <c r="E216" t="s">
        <v>536</v>
      </c>
      <c r="F216" t="s">
        <v>537</v>
      </c>
      <c r="G216" t="s">
        <v>550</v>
      </c>
      <c r="H216" t="s">
        <v>544</v>
      </c>
      <c r="I216" t="s">
        <v>548</v>
      </c>
      <c r="J216" t="s">
        <v>551</v>
      </c>
    </row>
    <row r="217" spans="1:16" x14ac:dyDescent="0.25">
      <c r="A217">
        <f t="shared" si="4"/>
        <v>216</v>
      </c>
      <c r="C217" t="s">
        <v>534</v>
      </c>
      <c r="D217" t="s">
        <v>552</v>
      </c>
      <c r="E217" t="s">
        <v>536</v>
      </c>
      <c r="F217" t="s">
        <v>537</v>
      </c>
      <c r="G217" t="s">
        <v>553</v>
      </c>
      <c r="H217" t="s">
        <v>544</v>
      </c>
      <c r="I217" t="s">
        <v>548</v>
      </c>
      <c r="J217" t="s">
        <v>551</v>
      </c>
      <c r="K217" t="s">
        <v>554</v>
      </c>
    </row>
    <row r="218" spans="1:16" x14ac:dyDescent="0.25">
      <c r="A218">
        <f t="shared" si="4"/>
        <v>217</v>
      </c>
      <c r="C218" t="s">
        <v>534</v>
      </c>
      <c r="D218" t="s">
        <v>555</v>
      </c>
      <c r="E218" t="s">
        <v>536</v>
      </c>
      <c r="F218" t="s">
        <v>537</v>
      </c>
      <c r="G218" t="s">
        <v>556</v>
      </c>
      <c r="H218" t="s">
        <v>557</v>
      </c>
      <c r="I218" t="s">
        <v>551</v>
      </c>
      <c r="J218" t="s">
        <v>558</v>
      </c>
      <c r="K218" t="s">
        <v>559</v>
      </c>
    </row>
    <row r="219" spans="1:16" x14ac:dyDescent="0.25">
      <c r="A219">
        <f t="shared" si="4"/>
        <v>218</v>
      </c>
      <c r="C219" t="s">
        <v>534</v>
      </c>
      <c r="D219" t="s">
        <v>560</v>
      </c>
      <c r="E219" t="s">
        <v>536</v>
      </c>
      <c r="F219" t="s">
        <v>537</v>
      </c>
      <c r="G219" t="s">
        <v>544</v>
      </c>
      <c r="H219" t="s">
        <v>557</v>
      </c>
      <c r="I219" t="s">
        <v>551</v>
      </c>
      <c r="J219" t="s">
        <v>558</v>
      </c>
      <c r="K219" t="s">
        <v>561</v>
      </c>
    </row>
    <row r="220" spans="1:16" x14ac:dyDescent="0.25">
      <c r="A220">
        <f t="shared" si="4"/>
        <v>219</v>
      </c>
      <c r="C220" t="s">
        <v>534</v>
      </c>
      <c r="D220" t="s">
        <v>562</v>
      </c>
      <c r="E220" t="s">
        <v>536</v>
      </c>
      <c r="F220" t="s">
        <v>537</v>
      </c>
      <c r="G220" t="s">
        <v>557</v>
      </c>
      <c r="H220" t="s">
        <v>563</v>
      </c>
      <c r="I220" t="s">
        <v>558</v>
      </c>
      <c r="J220" t="s">
        <v>564</v>
      </c>
      <c r="K220" t="s">
        <v>565</v>
      </c>
    </row>
    <row r="221" spans="1:16" x14ac:dyDescent="0.25">
      <c r="A221">
        <f t="shared" si="4"/>
        <v>220</v>
      </c>
      <c r="C221" t="s">
        <v>534</v>
      </c>
      <c r="D221" t="s">
        <v>566</v>
      </c>
      <c r="E221" t="s">
        <v>536</v>
      </c>
      <c r="F221" t="s">
        <v>537</v>
      </c>
      <c r="G221" t="s">
        <v>563</v>
      </c>
      <c r="H221" t="s">
        <v>567</v>
      </c>
      <c r="I221" t="s">
        <v>564</v>
      </c>
      <c r="J221" t="s">
        <v>568</v>
      </c>
      <c r="K221" t="s">
        <v>569</v>
      </c>
    </row>
    <row r="222" spans="1:16" x14ac:dyDescent="0.25">
      <c r="A222">
        <f t="shared" si="4"/>
        <v>221</v>
      </c>
      <c r="C222" t="s">
        <v>534</v>
      </c>
      <c r="D222" t="s">
        <v>570</v>
      </c>
      <c r="E222" t="s">
        <v>536</v>
      </c>
      <c r="F222" t="s">
        <v>537</v>
      </c>
      <c r="G222" t="s">
        <v>567</v>
      </c>
      <c r="H222" t="s">
        <v>571</v>
      </c>
      <c r="I222" t="s">
        <v>568</v>
      </c>
      <c r="J222" t="s">
        <v>572</v>
      </c>
      <c r="K222" t="s">
        <v>573</v>
      </c>
    </row>
    <row r="223" spans="1:16" x14ac:dyDescent="0.25">
      <c r="A223">
        <f t="shared" si="4"/>
        <v>222</v>
      </c>
      <c r="C223" t="s">
        <v>534</v>
      </c>
      <c r="D223" t="s">
        <v>574</v>
      </c>
      <c r="E223" t="s">
        <v>536</v>
      </c>
      <c r="F223" t="s">
        <v>537</v>
      </c>
      <c r="G223" t="s">
        <v>571</v>
      </c>
      <c r="H223" t="s">
        <v>575</v>
      </c>
      <c r="I223" t="s">
        <v>572</v>
      </c>
      <c r="J223" t="s">
        <v>576</v>
      </c>
      <c r="K223" t="s">
        <v>577</v>
      </c>
    </row>
    <row r="224" spans="1:16" x14ac:dyDescent="0.25">
      <c r="A224">
        <f t="shared" si="4"/>
        <v>223</v>
      </c>
      <c r="C224" t="s">
        <v>534</v>
      </c>
      <c r="D224" t="s">
        <v>578</v>
      </c>
      <c r="E224" t="s">
        <v>536</v>
      </c>
      <c r="F224" t="s">
        <v>537</v>
      </c>
      <c r="G224" t="s">
        <v>575</v>
      </c>
      <c r="H224" t="s">
        <v>579</v>
      </c>
      <c r="I224" t="s">
        <v>576</v>
      </c>
      <c r="J224" t="s">
        <v>580</v>
      </c>
      <c r="K224" t="s">
        <v>581</v>
      </c>
    </row>
    <row r="225" spans="1:12" x14ac:dyDescent="0.25">
      <c r="A225">
        <f t="shared" si="4"/>
        <v>224</v>
      </c>
      <c r="C225" t="s">
        <v>534</v>
      </c>
      <c r="D225" t="s">
        <v>582</v>
      </c>
      <c r="E225" t="s">
        <v>536</v>
      </c>
      <c r="F225" t="s">
        <v>537</v>
      </c>
      <c r="G225" t="s">
        <v>579</v>
      </c>
      <c r="H225" t="s">
        <v>583</v>
      </c>
      <c r="I225" t="s">
        <v>580</v>
      </c>
      <c r="J225" t="s">
        <v>584</v>
      </c>
      <c r="K225" t="s">
        <v>585</v>
      </c>
    </row>
    <row r="226" spans="1:12" x14ac:dyDescent="0.25">
      <c r="A226">
        <f t="shared" si="4"/>
        <v>225</v>
      </c>
      <c r="C226" t="s">
        <v>534</v>
      </c>
      <c r="D226" t="s">
        <v>586</v>
      </c>
      <c r="E226" t="s">
        <v>536</v>
      </c>
      <c r="F226" t="s">
        <v>537</v>
      </c>
      <c r="G226" t="s">
        <v>583</v>
      </c>
      <c r="H226" t="s">
        <v>587</v>
      </c>
      <c r="I226" t="s">
        <v>584</v>
      </c>
      <c r="J226" t="s">
        <v>588</v>
      </c>
      <c r="K226" t="s">
        <v>589</v>
      </c>
    </row>
    <row r="227" spans="1:12" x14ac:dyDescent="0.25">
      <c r="A227">
        <f t="shared" si="4"/>
        <v>226</v>
      </c>
      <c r="C227" t="s">
        <v>534</v>
      </c>
      <c r="D227" t="s">
        <v>590</v>
      </c>
      <c r="E227" t="s">
        <v>536</v>
      </c>
      <c r="F227" t="s">
        <v>537</v>
      </c>
      <c r="G227" t="s">
        <v>587</v>
      </c>
      <c r="H227" t="s">
        <v>591</v>
      </c>
      <c r="I227" t="s">
        <v>588</v>
      </c>
      <c r="J227" t="s">
        <v>592</v>
      </c>
      <c r="K227" t="s">
        <v>593</v>
      </c>
    </row>
    <row r="228" spans="1:12" x14ac:dyDescent="0.25">
      <c r="A228">
        <f t="shared" si="4"/>
        <v>227</v>
      </c>
      <c r="C228" t="s">
        <v>534</v>
      </c>
      <c r="D228" t="s">
        <v>594</v>
      </c>
      <c r="E228" t="s">
        <v>536</v>
      </c>
      <c r="F228" t="s">
        <v>537</v>
      </c>
      <c r="G228" t="s">
        <v>591</v>
      </c>
      <c r="H228" t="s">
        <v>595</v>
      </c>
      <c r="I228" t="s">
        <v>592</v>
      </c>
      <c r="J228" t="s">
        <v>596</v>
      </c>
      <c r="K228" t="s">
        <v>597</v>
      </c>
    </row>
    <row r="229" spans="1:12" x14ac:dyDescent="0.25">
      <c r="A229">
        <f t="shared" si="4"/>
        <v>228</v>
      </c>
      <c r="C229" t="s">
        <v>534</v>
      </c>
      <c r="D229" t="s">
        <v>598</v>
      </c>
      <c r="E229" t="s">
        <v>536</v>
      </c>
      <c r="F229" t="s">
        <v>537</v>
      </c>
      <c r="G229" t="s">
        <v>581</v>
      </c>
      <c r="H229" t="s">
        <v>599</v>
      </c>
      <c r="I229" t="s">
        <v>600</v>
      </c>
      <c r="J229" t="s">
        <v>596</v>
      </c>
      <c r="K229" t="s">
        <v>601</v>
      </c>
      <c r="L229" t="s">
        <v>602</v>
      </c>
    </row>
    <row r="230" spans="1:12" x14ac:dyDescent="0.25">
      <c r="A230">
        <f t="shared" si="4"/>
        <v>229</v>
      </c>
      <c r="C230" t="s">
        <v>534</v>
      </c>
      <c r="D230" t="s">
        <v>603</v>
      </c>
      <c r="E230" t="s">
        <v>536</v>
      </c>
      <c r="F230" t="s">
        <v>537</v>
      </c>
      <c r="G230" t="s">
        <v>581</v>
      </c>
      <c r="H230" t="s">
        <v>599</v>
      </c>
      <c r="I230" t="s">
        <v>600</v>
      </c>
      <c r="J230" t="s">
        <v>596</v>
      </c>
      <c r="K230" t="s">
        <v>601</v>
      </c>
      <c r="L230" t="s">
        <v>602</v>
      </c>
    </row>
    <row r="231" spans="1:12" x14ac:dyDescent="0.25">
      <c r="A231">
        <f t="shared" si="4"/>
        <v>230</v>
      </c>
      <c r="C231" t="s">
        <v>534</v>
      </c>
      <c r="D231" t="s">
        <v>604</v>
      </c>
      <c r="E231" t="s">
        <v>536</v>
      </c>
      <c r="F231" t="s">
        <v>537</v>
      </c>
      <c r="G231" t="s">
        <v>581</v>
      </c>
      <c r="H231" t="s">
        <v>599</v>
      </c>
      <c r="I231" t="s">
        <v>600</v>
      </c>
      <c r="J231" t="s">
        <v>596</v>
      </c>
      <c r="K231" t="s">
        <v>601</v>
      </c>
      <c r="L231" t="s">
        <v>602</v>
      </c>
    </row>
    <row r="232" spans="1:12" x14ac:dyDescent="0.25">
      <c r="A232">
        <f t="shared" si="4"/>
        <v>231</v>
      </c>
      <c r="C232" t="s">
        <v>605</v>
      </c>
      <c r="D232" t="s">
        <v>535</v>
      </c>
      <c r="E232" t="s">
        <v>606</v>
      </c>
      <c r="F232" t="s">
        <v>607</v>
      </c>
      <c r="G232" t="s">
        <v>608</v>
      </c>
      <c r="H232" t="s">
        <v>609</v>
      </c>
      <c r="I232" t="s">
        <v>610</v>
      </c>
      <c r="J232" t="s">
        <v>611</v>
      </c>
    </row>
    <row r="233" spans="1:12" x14ac:dyDescent="0.25">
      <c r="A233">
        <f t="shared" si="4"/>
        <v>232</v>
      </c>
      <c r="C233" t="s">
        <v>605</v>
      </c>
      <c r="D233" t="s">
        <v>540</v>
      </c>
      <c r="E233" t="s">
        <v>606</v>
      </c>
      <c r="F233" t="s">
        <v>607</v>
      </c>
      <c r="G233" t="s">
        <v>612</v>
      </c>
      <c r="H233" t="s">
        <v>609</v>
      </c>
      <c r="I233" t="s">
        <v>613</v>
      </c>
      <c r="J233" t="s">
        <v>614</v>
      </c>
    </row>
    <row r="234" spans="1:12" x14ac:dyDescent="0.25">
      <c r="A234">
        <f t="shared" si="4"/>
        <v>233</v>
      </c>
      <c r="C234" t="s">
        <v>605</v>
      </c>
      <c r="D234" t="s">
        <v>543</v>
      </c>
      <c r="E234" t="s">
        <v>606</v>
      </c>
      <c r="F234" t="s">
        <v>607</v>
      </c>
      <c r="G234" t="s">
        <v>615</v>
      </c>
      <c r="H234" t="s">
        <v>609</v>
      </c>
      <c r="I234" t="s">
        <v>616</v>
      </c>
      <c r="J234" t="s">
        <v>617</v>
      </c>
    </row>
    <row r="235" spans="1:12" x14ac:dyDescent="0.25">
      <c r="A235">
        <f t="shared" si="4"/>
        <v>234</v>
      </c>
      <c r="C235" t="s">
        <v>605</v>
      </c>
      <c r="D235" t="s">
        <v>546</v>
      </c>
      <c r="E235" t="s">
        <v>606</v>
      </c>
      <c r="F235" t="s">
        <v>607</v>
      </c>
      <c r="G235" t="s">
        <v>618</v>
      </c>
      <c r="H235" t="s">
        <v>609</v>
      </c>
      <c r="I235" t="s">
        <v>616</v>
      </c>
      <c r="J235" t="s">
        <v>617</v>
      </c>
      <c r="K235" t="s">
        <v>619</v>
      </c>
    </row>
    <row r="236" spans="1:12" x14ac:dyDescent="0.25">
      <c r="A236">
        <f t="shared" si="4"/>
        <v>235</v>
      </c>
      <c r="C236" t="s">
        <v>605</v>
      </c>
      <c r="D236" t="s">
        <v>549</v>
      </c>
      <c r="E236" t="s">
        <v>606</v>
      </c>
      <c r="F236" t="s">
        <v>607</v>
      </c>
      <c r="G236" t="s">
        <v>620</v>
      </c>
      <c r="H236" t="s">
        <v>609</v>
      </c>
      <c r="I236" t="s">
        <v>616</v>
      </c>
      <c r="J236" t="s">
        <v>621</v>
      </c>
      <c r="K236" t="s">
        <v>622</v>
      </c>
    </row>
    <row r="237" spans="1:12" x14ac:dyDescent="0.25">
      <c r="A237">
        <f t="shared" si="4"/>
        <v>236</v>
      </c>
      <c r="C237" t="s">
        <v>605</v>
      </c>
      <c r="D237" t="s">
        <v>552</v>
      </c>
      <c r="E237" t="s">
        <v>606</v>
      </c>
      <c r="F237" t="s">
        <v>607</v>
      </c>
      <c r="G237" t="s">
        <v>623</v>
      </c>
      <c r="H237" t="s">
        <v>609</v>
      </c>
      <c r="I237" t="s">
        <v>616</v>
      </c>
      <c r="J237" t="s">
        <v>624</v>
      </c>
      <c r="K237" t="s">
        <v>625</v>
      </c>
    </row>
    <row r="238" spans="1:12" x14ac:dyDescent="0.25">
      <c r="A238">
        <f t="shared" si="4"/>
        <v>237</v>
      </c>
      <c r="C238" t="s">
        <v>605</v>
      </c>
      <c r="D238" t="s">
        <v>555</v>
      </c>
      <c r="E238" t="s">
        <v>606</v>
      </c>
      <c r="F238" t="s">
        <v>607</v>
      </c>
      <c r="G238" t="s">
        <v>626</v>
      </c>
      <c r="H238" t="s">
        <v>609</v>
      </c>
      <c r="I238" t="s">
        <v>627</v>
      </c>
      <c r="J238" t="s">
        <v>628</v>
      </c>
      <c r="K238" t="s">
        <v>629</v>
      </c>
    </row>
    <row r="239" spans="1:12" x14ac:dyDescent="0.25">
      <c r="A239">
        <f t="shared" si="4"/>
        <v>238</v>
      </c>
      <c r="C239" t="s">
        <v>605</v>
      </c>
      <c r="D239" t="s">
        <v>560</v>
      </c>
      <c r="E239" t="s">
        <v>606</v>
      </c>
      <c r="F239" t="s">
        <v>607</v>
      </c>
      <c r="G239" t="s">
        <v>630</v>
      </c>
      <c r="H239" t="s">
        <v>609</v>
      </c>
      <c r="I239" t="s">
        <v>631</v>
      </c>
      <c r="J239" t="s">
        <v>632</v>
      </c>
      <c r="K239" t="s">
        <v>633</v>
      </c>
    </row>
    <row r="240" spans="1:12" x14ac:dyDescent="0.25">
      <c r="A240">
        <f t="shared" si="4"/>
        <v>239</v>
      </c>
      <c r="C240" t="s">
        <v>605</v>
      </c>
      <c r="D240" t="s">
        <v>562</v>
      </c>
      <c r="E240" t="s">
        <v>606</v>
      </c>
      <c r="F240" t="s">
        <v>607</v>
      </c>
      <c r="G240" t="s">
        <v>634</v>
      </c>
      <c r="H240" t="s">
        <v>609</v>
      </c>
      <c r="I240" t="s">
        <v>635</v>
      </c>
      <c r="J240" t="s">
        <v>636</v>
      </c>
      <c r="K240" t="s">
        <v>637</v>
      </c>
    </row>
    <row r="241" spans="1:16" x14ac:dyDescent="0.25">
      <c r="A241">
        <f t="shared" si="4"/>
        <v>240</v>
      </c>
      <c r="C241" t="s">
        <v>605</v>
      </c>
      <c r="D241" t="s">
        <v>566</v>
      </c>
      <c r="E241" t="s">
        <v>606</v>
      </c>
      <c r="F241" t="s">
        <v>607</v>
      </c>
      <c r="G241" t="s">
        <v>638</v>
      </c>
      <c r="H241" t="s">
        <v>609</v>
      </c>
      <c r="I241" t="s">
        <v>635</v>
      </c>
      <c r="J241" t="s">
        <v>636</v>
      </c>
      <c r="K241" t="s">
        <v>639</v>
      </c>
      <c r="L241" t="s">
        <v>640</v>
      </c>
    </row>
    <row r="242" spans="1:16" x14ac:dyDescent="0.25">
      <c r="A242">
        <f t="shared" si="4"/>
        <v>241</v>
      </c>
      <c r="C242" t="s">
        <v>605</v>
      </c>
      <c r="D242" t="s">
        <v>570</v>
      </c>
      <c r="E242" t="s">
        <v>606</v>
      </c>
      <c r="F242" t="s">
        <v>607</v>
      </c>
      <c r="G242" t="s">
        <v>641</v>
      </c>
      <c r="H242" t="s">
        <v>609</v>
      </c>
      <c r="I242" t="s">
        <v>635</v>
      </c>
      <c r="J242" t="s">
        <v>636</v>
      </c>
      <c r="K242" t="s">
        <v>642</v>
      </c>
      <c r="L242" t="s">
        <v>643</v>
      </c>
    </row>
    <row r="243" spans="1:16" x14ac:dyDescent="0.25">
      <c r="A243">
        <f t="shared" si="4"/>
        <v>242</v>
      </c>
      <c r="C243" t="s">
        <v>605</v>
      </c>
      <c r="D243" t="s">
        <v>574</v>
      </c>
      <c r="E243" t="s">
        <v>606</v>
      </c>
      <c r="F243" t="s">
        <v>607</v>
      </c>
      <c r="G243" t="s">
        <v>644</v>
      </c>
      <c r="H243" t="s">
        <v>609</v>
      </c>
      <c r="I243" t="s">
        <v>645</v>
      </c>
      <c r="J243" t="s">
        <v>646</v>
      </c>
      <c r="K243" t="s">
        <v>647</v>
      </c>
      <c r="L243" t="s">
        <v>648</v>
      </c>
    </row>
    <row r="244" spans="1:16" x14ac:dyDescent="0.25">
      <c r="A244">
        <f t="shared" si="4"/>
        <v>243</v>
      </c>
      <c r="C244" t="s">
        <v>605</v>
      </c>
      <c r="D244" t="s">
        <v>578</v>
      </c>
      <c r="E244" t="s">
        <v>606</v>
      </c>
      <c r="F244" t="s">
        <v>607</v>
      </c>
      <c r="G244" t="s">
        <v>649</v>
      </c>
      <c r="H244" t="s">
        <v>609</v>
      </c>
      <c r="I244" t="s">
        <v>645</v>
      </c>
      <c r="J244" t="s">
        <v>646</v>
      </c>
      <c r="K244" t="s">
        <v>647</v>
      </c>
      <c r="L244" t="s">
        <v>650</v>
      </c>
    </row>
    <row r="245" spans="1:16" x14ac:dyDescent="0.25">
      <c r="A245">
        <f t="shared" si="4"/>
        <v>244</v>
      </c>
      <c r="C245" t="s">
        <v>605</v>
      </c>
      <c r="D245" t="s">
        <v>582</v>
      </c>
      <c r="E245" t="s">
        <v>606</v>
      </c>
      <c r="F245" t="s">
        <v>607</v>
      </c>
      <c r="G245" t="s">
        <v>651</v>
      </c>
      <c r="H245" t="s">
        <v>609</v>
      </c>
      <c r="I245" t="s">
        <v>645</v>
      </c>
      <c r="J245" t="s">
        <v>646</v>
      </c>
      <c r="K245" t="s">
        <v>647</v>
      </c>
      <c r="L245" t="s">
        <v>652</v>
      </c>
    </row>
    <row r="246" spans="1:16" x14ac:dyDescent="0.25">
      <c r="A246">
        <f t="shared" si="4"/>
        <v>245</v>
      </c>
      <c r="C246" t="s">
        <v>605</v>
      </c>
      <c r="D246" t="s">
        <v>586</v>
      </c>
      <c r="E246" t="s">
        <v>606</v>
      </c>
      <c r="F246" t="s">
        <v>607</v>
      </c>
      <c r="G246" t="s">
        <v>653</v>
      </c>
      <c r="H246" t="s">
        <v>609</v>
      </c>
      <c r="I246" t="s">
        <v>645</v>
      </c>
      <c r="J246" t="s">
        <v>654</v>
      </c>
      <c r="K246" t="s">
        <v>655</v>
      </c>
      <c r="L246" t="s">
        <v>648</v>
      </c>
      <c r="M246" t="s">
        <v>656</v>
      </c>
    </row>
    <row r="247" spans="1:16" x14ac:dyDescent="0.25">
      <c r="A247">
        <f t="shared" si="4"/>
        <v>246</v>
      </c>
      <c r="C247" t="s">
        <v>605</v>
      </c>
      <c r="D247" t="s">
        <v>590</v>
      </c>
      <c r="E247" t="s">
        <v>606</v>
      </c>
      <c r="F247" t="s">
        <v>607</v>
      </c>
      <c r="G247" t="s">
        <v>657</v>
      </c>
      <c r="H247" t="s">
        <v>609</v>
      </c>
      <c r="I247" t="s">
        <v>645</v>
      </c>
      <c r="J247" t="s">
        <v>654</v>
      </c>
      <c r="K247" t="s">
        <v>655</v>
      </c>
      <c r="L247" t="s">
        <v>650</v>
      </c>
      <c r="M247" t="s">
        <v>658</v>
      </c>
    </row>
    <row r="248" spans="1:16" x14ac:dyDescent="0.25">
      <c r="A248">
        <f t="shared" si="4"/>
        <v>247</v>
      </c>
      <c r="C248" t="s">
        <v>605</v>
      </c>
      <c r="D248" t="s">
        <v>594</v>
      </c>
      <c r="E248" t="s">
        <v>606</v>
      </c>
      <c r="F248" t="s">
        <v>607</v>
      </c>
      <c r="G248" t="s">
        <v>659</v>
      </c>
      <c r="H248" t="s">
        <v>609</v>
      </c>
      <c r="I248" t="s">
        <v>645</v>
      </c>
      <c r="J248" t="s">
        <v>654</v>
      </c>
      <c r="K248" t="s">
        <v>655</v>
      </c>
      <c r="L248" t="s">
        <v>650</v>
      </c>
      <c r="M248" t="s">
        <v>660</v>
      </c>
    </row>
    <row r="249" spans="1:16" x14ac:dyDescent="0.25">
      <c r="A249">
        <f t="shared" si="4"/>
        <v>248</v>
      </c>
      <c r="C249" t="s">
        <v>605</v>
      </c>
      <c r="D249" t="s">
        <v>598</v>
      </c>
      <c r="E249" t="s">
        <v>606</v>
      </c>
      <c r="F249" t="s">
        <v>607</v>
      </c>
      <c r="G249" t="s">
        <v>661</v>
      </c>
      <c r="H249" t="s">
        <v>609</v>
      </c>
      <c r="I249" t="s">
        <v>645</v>
      </c>
      <c r="J249" t="s">
        <v>654</v>
      </c>
      <c r="K249" t="s">
        <v>655</v>
      </c>
      <c r="L249" t="s">
        <v>650</v>
      </c>
      <c r="M249" t="s">
        <v>660</v>
      </c>
      <c r="N249" t="s">
        <v>662</v>
      </c>
    </row>
    <row r="250" spans="1:16" x14ac:dyDescent="0.25">
      <c r="A250">
        <f t="shared" si="4"/>
        <v>249</v>
      </c>
      <c r="C250" t="s">
        <v>605</v>
      </c>
      <c r="D250" t="s">
        <v>603</v>
      </c>
      <c r="E250" t="s">
        <v>606</v>
      </c>
      <c r="F250" t="s">
        <v>607</v>
      </c>
      <c r="G250" t="s">
        <v>663</v>
      </c>
      <c r="H250" t="s">
        <v>609</v>
      </c>
      <c r="I250" t="s">
        <v>645</v>
      </c>
      <c r="J250" t="s">
        <v>654</v>
      </c>
      <c r="K250" t="s">
        <v>655</v>
      </c>
      <c r="L250" t="s">
        <v>650</v>
      </c>
      <c r="M250" t="s">
        <v>660</v>
      </c>
      <c r="N250" t="s">
        <v>664</v>
      </c>
      <c r="O250" t="s">
        <v>665</v>
      </c>
    </row>
    <row r="251" spans="1:16" x14ac:dyDescent="0.25">
      <c r="A251">
        <f t="shared" si="4"/>
        <v>250</v>
      </c>
      <c r="C251" t="s">
        <v>605</v>
      </c>
      <c r="D251" t="s">
        <v>604</v>
      </c>
      <c r="E251" t="s">
        <v>606</v>
      </c>
      <c r="F251" t="s">
        <v>607</v>
      </c>
      <c r="G251" t="s">
        <v>666</v>
      </c>
      <c r="H251" t="s">
        <v>609</v>
      </c>
      <c r="I251" t="s">
        <v>645</v>
      </c>
      <c r="J251" t="s">
        <v>654</v>
      </c>
      <c r="K251" t="s">
        <v>655</v>
      </c>
      <c r="L251" t="s">
        <v>650</v>
      </c>
      <c r="M251" t="s">
        <v>660</v>
      </c>
      <c r="N251" t="s">
        <v>667</v>
      </c>
      <c r="O251" t="s">
        <v>668</v>
      </c>
      <c r="P251" t="s">
        <v>669</v>
      </c>
    </row>
    <row r="252" spans="1:16" x14ac:dyDescent="0.25">
      <c r="A252">
        <f t="shared" si="4"/>
        <v>251</v>
      </c>
      <c r="C252" t="s">
        <v>670</v>
      </c>
      <c r="D252" t="s">
        <v>671</v>
      </c>
      <c r="E252" t="s">
        <v>672</v>
      </c>
      <c r="F252" t="s">
        <v>673</v>
      </c>
    </row>
    <row r="253" spans="1:16" x14ac:dyDescent="0.25">
      <c r="A253">
        <f t="shared" si="4"/>
        <v>252</v>
      </c>
      <c r="C253" t="s">
        <v>670</v>
      </c>
      <c r="D253" t="s">
        <v>674</v>
      </c>
      <c r="E253" t="s">
        <v>675</v>
      </c>
      <c r="F253" t="s">
        <v>676</v>
      </c>
      <c r="G253">
        <v>0.1</v>
      </c>
    </row>
    <row r="254" spans="1:16" x14ac:dyDescent="0.25">
      <c r="A254">
        <f t="shared" si="4"/>
        <v>253</v>
      </c>
      <c r="C254" t="s">
        <v>670</v>
      </c>
      <c r="D254" t="s">
        <v>677</v>
      </c>
      <c r="E254" t="s">
        <v>678</v>
      </c>
      <c r="F254" t="s">
        <v>956</v>
      </c>
    </row>
    <row r="255" spans="1:16" x14ac:dyDescent="0.25">
      <c r="A255">
        <f t="shared" si="4"/>
        <v>254</v>
      </c>
      <c r="C255" t="s">
        <v>670</v>
      </c>
      <c r="D255" t="s">
        <v>679</v>
      </c>
      <c r="E255" t="s">
        <v>680</v>
      </c>
      <c r="F255" t="s">
        <v>957</v>
      </c>
    </row>
    <row r="256" spans="1:16" x14ac:dyDescent="0.25">
      <c r="A256">
        <f t="shared" si="4"/>
        <v>255</v>
      </c>
      <c r="C256" t="s">
        <v>670</v>
      </c>
      <c r="D256" t="s">
        <v>681</v>
      </c>
      <c r="E256" t="s">
        <v>682</v>
      </c>
      <c r="F256" t="s">
        <v>683</v>
      </c>
      <c r="G256">
        <v>0.5</v>
      </c>
    </row>
    <row r="257" spans="1:11" x14ac:dyDescent="0.25">
      <c r="A257">
        <f t="shared" si="4"/>
        <v>256</v>
      </c>
      <c r="C257" t="s">
        <v>670</v>
      </c>
      <c r="D257" t="s">
        <v>684</v>
      </c>
      <c r="E257" t="s">
        <v>685</v>
      </c>
      <c r="G257">
        <v>0.4</v>
      </c>
    </row>
    <row r="258" spans="1:11" x14ac:dyDescent="0.25">
      <c r="A258">
        <f t="shared" si="4"/>
        <v>257</v>
      </c>
      <c r="C258" t="s">
        <v>670</v>
      </c>
      <c r="D258" t="s">
        <v>523</v>
      </c>
      <c r="E258" t="s">
        <v>686</v>
      </c>
      <c r="F258" t="s">
        <v>687</v>
      </c>
      <c r="G258">
        <v>20000</v>
      </c>
      <c r="H258">
        <v>20</v>
      </c>
      <c r="I258">
        <v>10</v>
      </c>
    </row>
    <row r="259" spans="1:11" x14ac:dyDescent="0.25">
      <c r="A259">
        <f t="shared" si="4"/>
        <v>258</v>
      </c>
      <c r="C259" t="s">
        <v>670</v>
      </c>
      <c r="D259" t="s">
        <v>688</v>
      </c>
      <c r="E259" t="s">
        <v>689</v>
      </c>
      <c r="F259" t="s">
        <v>690</v>
      </c>
      <c r="G259">
        <v>3</v>
      </c>
    </row>
    <row r="260" spans="1:11" x14ac:dyDescent="0.25">
      <c r="A260">
        <f t="shared" si="4"/>
        <v>259</v>
      </c>
      <c r="C260" t="s">
        <v>670</v>
      </c>
      <c r="D260" t="s">
        <v>691</v>
      </c>
      <c r="E260" t="s">
        <v>692</v>
      </c>
      <c r="F260" t="s">
        <v>958</v>
      </c>
    </row>
    <row r="261" spans="1:11" x14ac:dyDescent="0.25">
      <c r="A261">
        <f t="shared" si="4"/>
        <v>260</v>
      </c>
      <c r="C261" t="s">
        <v>670</v>
      </c>
      <c r="D261" t="s">
        <v>693</v>
      </c>
      <c r="E261" t="s">
        <v>694</v>
      </c>
      <c r="F261" t="s">
        <v>695</v>
      </c>
      <c r="G261">
        <v>30</v>
      </c>
      <c r="H261">
        <v>10</v>
      </c>
      <c r="I261">
        <v>0.8</v>
      </c>
      <c r="J261">
        <v>1.5</v>
      </c>
      <c r="K261">
        <v>0.3</v>
      </c>
    </row>
    <row r="262" spans="1:11" x14ac:dyDescent="0.25">
      <c r="A262">
        <f t="shared" si="4"/>
        <v>261</v>
      </c>
      <c r="C262" t="s">
        <v>696</v>
      </c>
      <c r="D262" t="s">
        <v>697</v>
      </c>
      <c r="E262" t="s">
        <v>698</v>
      </c>
      <c r="F262" t="s">
        <v>699</v>
      </c>
      <c r="G262">
        <v>0.75</v>
      </c>
    </row>
    <row r="263" spans="1:11" x14ac:dyDescent="0.25">
      <c r="A263">
        <f t="shared" si="4"/>
        <v>262</v>
      </c>
      <c r="C263" t="s">
        <v>696</v>
      </c>
      <c r="D263" t="s">
        <v>700</v>
      </c>
      <c r="E263" t="s">
        <v>701</v>
      </c>
      <c r="G263">
        <v>1.25</v>
      </c>
    </row>
    <row r="264" spans="1:11" x14ac:dyDescent="0.25">
      <c r="A264">
        <f t="shared" ref="A264:A327" si="5">A263+1</f>
        <v>263</v>
      </c>
      <c r="C264" t="s">
        <v>696</v>
      </c>
      <c r="D264" t="s">
        <v>702</v>
      </c>
      <c r="E264" t="s">
        <v>703</v>
      </c>
      <c r="F264" t="s">
        <v>704</v>
      </c>
      <c r="G264">
        <v>45</v>
      </c>
      <c r="H264">
        <v>3</v>
      </c>
    </row>
    <row r="265" spans="1:11" x14ac:dyDescent="0.25">
      <c r="A265">
        <f t="shared" si="5"/>
        <v>264</v>
      </c>
      <c r="C265" t="s">
        <v>696</v>
      </c>
      <c r="D265" t="s">
        <v>705</v>
      </c>
      <c r="E265" t="s">
        <v>706</v>
      </c>
      <c r="F265" t="s">
        <v>959</v>
      </c>
    </row>
    <row r="266" spans="1:11" x14ac:dyDescent="0.25">
      <c r="A266">
        <f t="shared" si="5"/>
        <v>265</v>
      </c>
      <c r="C266" t="s">
        <v>696</v>
      </c>
      <c r="D266" t="s">
        <v>707</v>
      </c>
      <c r="E266" t="s">
        <v>708</v>
      </c>
      <c r="F266" t="s">
        <v>951</v>
      </c>
      <c r="G266">
        <v>0.1</v>
      </c>
    </row>
    <row r="267" spans="1:11" x14ac:dyDescent="0.25">
      <c r="A267">
        <f t="shared" si="5"/>
        <v>266</v>
      </c>
      <c r="C267" t="s">
        <v>709</v>
      </c>
      <c r="D267" t="s">
        <v>710</v>
      </c>
      <c r="E267" t="s">
        <v>711</v>
      </c>
      <c r="F267" t="s">
        <v>712</v>
      </c>
      <c r="G267">
        <v>8</v>
      </c>
    </row>
    <row r="268" spans="1:11" x14ac:dyDescent="0.25">
      <c r="A268">
        <f t="shared" si="5"/>
        <v>267</v>
      </c>
      <c r="C268" t="s">
        <v>709</v>
      </c>
      <c r="D268" t="s">
        <v>713</v>
      </c>
      <c r="E268" t="s">
        <v>714</v>
      </c>
      <c r="F268" t="s">
        <v>970</v>
      </c>
    </row>
    <row r="269" spans="1:11" x14ac:dyDescent="0.25">
      <c r="A269">
        <f t="shared" si="5"/>
        <v>268</v>
      </c>
      <c r="C269" t="s">
        <v>709</v>
      </c>
      <c r="D269" t="s">
        <v>715</v>
      </c>
      <c r="E269" t="s">
        <v>716</v>
      </c>
      <c r="F269" t="s">
        <v>971</v>
      </c>
    </row>
    <row r="270" spans="1:11" x14ac:dyDescent="0.25">
      <c r="A270">
        <f t="shared" si="5"/>
        <v>269</v>
      </c>
      <c r="C270" t="s">
        <v>709</v>
      </c>
      <c r="D270" t="s">
        <v>717</v>
      </c>
      <c r="E270" t="s">
        <v>718</v>
      </c>
      <c r="F270" t="s">
        <v>972</v>
      </c>
      <c r="G270">
        <v>0.8</v>
      </c>
    </row>
    <row r="271" spans="1:11" x14ac:dyDescent="0.25">
      <c r="A271">
        <f t="shared" si="5"/>
        <v>270</v>
      </c>
      <c r="C271" t="s">
        <v>709</v>
      </c>
      <c r="D271" t="s">
        <v>719</v>
      </c>
      <c r="E271" t="s">
        <v>720</v>
      </c>
      <c r="F271" t="s">
        <v>721</v>
      </c>
      <c r="G271">
        <v>0.5</v>
      </c>
      <c r="H271">
        <v>20000</v>
      </c>
    </row>
    <row r="272" spans="1:11" x14ac:dyDescent="0.25">
      <c r="A272">
        <f t="shared" si="5"/>
        <v>271</v>
      </c>
      <c r="C272" t="s">
        <v>709</v>
      </c>
      <c r="D272" t="s">
        <v>722</v>
      </c>
      <c r="E272" t="s">
        <v>723</v>
      </c>
      <c r="F272" t="s">
        <v>973</v>
      </c>
      <c r="G272">
        <v>30</v>
      </c>
    </row>
    <row r="273" spans="1:12" x14ac:dyDescent="0.25">
      <c r="A273">
        <f t="shared" si="5"/>
        <v>272</v>
      </c>
      <c r="C273" t="s">
        <v>724</v>
      </c>
      <c r="D273" t="s">
        <v>725</v>
      </c>
      <c r="E273" t="s">
        <v>37</v>
      </c>
      <c r="F273" t="s">
        <v>726</v>
      </c>
      <c r="G273">
        <v>1</v>
      </c>
      <c r="H273">
        <v>1</v>
      </c>
      <c r="I273">
        <v>2</v>
      </c>
      <c r="J273">
        <v>1</v>
      </c>
      <c r="K273">
        <v>1</v>
      </c>
      <c r="L273">
        <v>1</v>
      </c>
    </row>
    <row r="274" spans="1:12" x14ac:dyDescent="0.25">
      <c r="A274">
        <f t="shared" si="5"/>
        <v>273</v>
      </c>
      <c r="C274" t="s">
        <v>724</v>
      </c>
      <c r="D274" t="s">
        <v>727</v>
      </c>
      <c r="E274" t="s">
        <v>37</v>
      </c>
      <c r="F274" t="s">
        <v>726</v>
      </c>
      <c r="G274">
        <v>1.35</v>
      </c>
      <c r="H274">
        <v>1</v>
      </c>
      <c r="I274">
        <v>2</v>
      </c>
      <c r="J274">
        <v>1</v>
      </c>
      <c r="K274">
        <v>1</v>
      </c>
      <c r="L274">
        <v>1.7</v>
      </c>
    </row>
    <row r="275" spans="1:12" x14ac:dyDescent="0.25">
      <c r="A275">
        <f t="shared" si="5"/>
        <v>274</v>
      </c>
      <c r="C275" t="s">
        <v>724</v>
      </c>
      <c r="D275" t="s">
        <v>728</v>
      </c>
      <c r="E275" t="s">
        <v>37</v>
      </c>
      <c r="F275" t="s">
        <v>726</v>
      </c>
      <c r="G275">
        <v>1.75</v>
      </c>
      <c r="H275">
        <v>2</v>
      </c>
      <c r="I275">
        <v>3</v>
      </c>
      <c r="J275">
        <v>2</v>
      </c>
      <c r="K275">
        <v>1</v>
      </c>
      <c r="L275">
        <v>2.8</v>
      </c>
    </row>
    <row r="276" spans="1:12" x14ac:dyDescent="0.25">
      <c r="A276">
        <f t="shared" si="5"/>
        <v>275</v>
      </c>
      <c r="C276" t="s">
        <v>724</v>
      </c>
      <c r="D276" t="s">
        <v>729</v>
      </c>
      <c r="E276" t="s">
        <v>37</v>
      </c>
      <c r="F276" t="s">
        <v>726</v>
      </c>
      <c r="G276">
        <v>2.2999999999999998</v>
      </c>
      <c r="H276">
        <v>3</v>
      </c>
      <c r="I276">
        <v>4</v>
      </c>
      <c r="J276">
        <v>2</v>
      </c>
      <c r="K276">
        <v>2</v>
      </c>
      <c r="L276">
        <v>4.5</v>
      </c>
    </row>
    <row r="277" spans="1:12" x14ac:dyDescent="0.25">
      <c r="A277">
        <f t="shared" si="5"/>
        <v>276</v>
      </c>
      <c r="C277" t="s">
        <v>724</v>
      </c>
      <c r="D277" t="s">
        <v>730</v>
      </c>
      <c r="E277" t="s">
        <v>37</v>
      </c>
      <c r="F277" t="s">
        <v>726</v>
      </c>
      <c r="G277">
        <v>3</v>
      </c>
      <c r="H277">
        <v>4</v>
      </c>
      <c r="I277">
        <v>5</v>
      </c>
      <c r="J277">
        <v>3</v>
      </c>
      <c r="K277">
        <v>2</v>
      </c>
      <c r="L277">
        <v>7.5</v>
      </c>
    </row>
    <row r="278" spans="1:12" x14ac:dyDescent="0.25">
      <c r="A278">
        <f t="shared" si="5"/>
        <v>277</v>
      </c>
      <c r="C278" t="s">
        <v>724</v>
      </c>
      <c r="D278" t="s">
        <v>731</v>
      </c>
      <c r="E278" t="s">
        <v>37</v>
      </c>
      <c r="F278" t="s">
        <v>726</v>
      </c>
      <c r="G278">
        <v>4</v>
      </c>
      <c r="H278">
        <v>4</v>
      </c>
      <c r="I278">
        <v>5</v>
      </c>
      <c r="J278">
        <v>4</v>
      </c>
      <c r="K278">
        <v>2</v>
      </c>
      <c r="L278">
        <v>12</v>
      </c>
    </row>
    <row r="279" spans="1:12" x14ac:dyDescent="0.25">
      <c r="A279">
        <f t="shared" si="5"/>
        <v>278</v>
      </c>
      <c r="C279" t="s">
        <v>724</v>
      </c>
      <c r="D279" t="s">
        <v>732</v>
      </c>
      <c r="E279" t="s">
        <v>37</v>
      </c>
      <c r="F279" t="s">
        <v>726</v>
      </c>
      <c r="G279">
        <v>5.2</v>
      </c>
      <c r="H279">
        <v>6</v>
      </c>
      <c r="I279">
        <v>6</v>
      </c>
      <c r="J279">
        <v>5</v>
      </c>
      <c r="K279">
        <v>3</v>
      </c>
      <c r="L279">
        <v>19</v>
      </c>
    </row>
    <row r="280" spans="1:12" x14ac:dyDescent="0.25">
      <c r="A280">
        <f t="shared" si="5"/>
        <v>279</v>
      </c>
      <c r="C280" t="s">
        <v>724</v>
      </c>
      <c r="D280" t="s">
        <v>733</v>
      </c>
      <c r="E280" t="s">
        <v>37</v>
      </c>
      <c r="F280" t="s">
        <v>726</v>
      </c>
      <c r="G280">
        <v>6.8</v>
      </c>
      <c r="H280">
        <v>7</v>
      </c>
      <c r="I280">
        <v>7</v>
      </c>
      <c r="J280">
        <v>6</v>
      </c>
      <c r="K280">
        <v>3</v>
      </c>
      <c r="L280">
        <v>30</v>
      </c>
    </row>
    <row r="281" spans="1:12" x14ac:dyDescent="0.25">
      <c r="A281">
        <f t="shared" si="5"/>
        <v>280</v>
      </c>
      <c r="C281" t="s">
        <v>724</v>
      </c>
      <c r="D281" t="s">
        <v>734</v>
      </c>
      <c r="E281" t="s">
        <v>37</v>
      </c>
      <c r="F281" t="s">
        <v>726</v>
      </c>
      <c r="G281">
        <v>10.199999999999999</v>
      </c>
      <c r="H281">
        <v>7</v>
      </c>
      <c r="I281">
        <v>7</v>
      </c>
      <c r="J281">
        <v>6</v>
      </c>
      <c r="K281">
        <v>3</v>
      </c>
      <c r="L281">
        <v>45</v>
      </c>
    </row>
    <row r="282" spans="1:12" x14ac:dyDescent="0.25">
      <c r="A282">
        <f t="shared" si="5"/>
        <v>281</v>
      </c>
      <c r="C282" t="s">
        <v>735</v>
      </c>
      <c r="D282" t="s">
        <v>79</v>
      </c>
      <c r="E282" t="s">
        <v>736</v>
      </c>
      <c r="F282" t="s">
        <v>737</v>
      </c>
      <c r="G282">
        <v>4</v>
      </c>
      <c r="H282">
        <v>0.55000000000000004</v>
      </c>
      <c r="I282">
        <v>11</v>
      </c>
      <c r="J282" t="s">
        <v>262</v>
      </c>
      <c r="K282" t="s">
        <v>738</v>
      </c>
    </row>
    <row r="283" spans="1:12" x14ac:dyDescent="0.25">
      <c r="A283">
        <f t="shared" si="5"/>
        <v>282</v>
      </c>
      <c r="C283" t="s">
        <v>735</v>
      </c>
      <c r="D283" t="s">
        <v>739</v>
      </c>
      <c r="E283" t="s">
        <v>736</v>
      </c>
      <c r="F283" t="s">
        <v>737</v>
      </c>
      <c r="G283">
        <v>4</v>
      </c>
      <c r="H283">
        <v>0.02</v>
      </c>
      <c r="I283">
        <v>7</v>
      </c>
      <c r="J283" t="s">
        <v>262</v>
      </c>
      <c r="K283" t="s">
        <v>740</v>
      </c>
    </row>
    <row r="284" spans="1:12" x14ac:dyDescent="0.25">
      <c r="A284">
        <f t="shared" si="5"/>
        <v>283</v>
      </c>
      <c r="C284" t="s">
        <v>735</v>
      </c>
      <c r="D284" t="s">
        <v>82</v>
      </c>
      <c r="E284" t="s">
        <v>736</v>
      </c>
      <c r="F284" t="s">
        <v>737</v>
      </c>
      <c r="G284">
        <v>4</v>
      </c>
      <c r="H284">
        <v>0.55000000000000004</v>
      </c>
      <c r="I284">
        <v>11</v>
      </c>
      <c r="J284" t="s">
        <v>262</v>
      </c>
      <c r="K284" t="s">
        <v>738</v>
      </c>
    </row>
    <row r="285" spans="1:12" x14ac:dyDescent="0.25">
      <c r="A285">
        <f t="shared" si="5"/>
        <v>284</v>
      </c>
      <c r="C285" t="s">
        <v>735</v>
      </c>
      <c r="D285" t="s">
        <v>741</v>
      </c>
      <c r="E285" t="s">
        <v>736</v>
      </c>
      <c r="F285" t="s">
        <v>737</v>
      </c>
      <c r="G285">
        <v>4</v>
      </c>
      <c r="H285">
        <v>0.02</v>
      </c>
      <c r="I285">
        <v>7</v>
      </c>
      <c r="J285" t="s">
        <v>262</v>
      </c>
      <c r="K285" t="s">
        <v>740</v>
      </c>
    </row>
    <row r="286" spans="1:12" x14ac:dyDescent="0.25">
      <c r="A286">
        <f t="shared" si="5"/>
        <v>285</v>
      </c>
      <c r="C286" t="s">
        <v>735</v>
      </c>
      <c r="D286" t="s">
        <v>742</v>
      </c>
      <c r="E286" t="s">
        <v>736</v>
      </c>
      <c r="F286" t="s">
        <v>737</v>
      </c>
      <c r="G286">
        <v>22</v>
      </c>
      <c r="H286">
        <v>3</v>
      </c>
      <c r="I286">
        <v>11</v>
      </c>
      <c r="J286" t="s">
        <v>262</v>
      </c>
      <c r="K286" t="s">
        <v>738</v>
      </c>
    </row>
    <row r="287" spans="1:12" x14ac:dyDescent="0.25">
      <c r="A287">
        <f t="shared" si="5"/>
        <v>286</v>
      </c>
      <c r="C287" t="s">
        <v>735</v>
      </c>
      <c r="D287" t="s">
        <v>743</v>
      </c>
      <c r="E287" t="s">
        <v>736</v>
      </c>
      <c r="F287" t="s">
        <v>737</v>
      </c>
      <c r="G287">
        <v>5</v>
      </c>
      <c r="H287">
        <v>0.02</v>
      </c>
      <c r="I287">
        <v>7</v>
      </c>
      <c r="J287" t="s">
        <v>262</v>
      </c>
      <c r="K287" t="s">
        <v>740</v>
      </c>
    </row>
    <row r="288" spans="1:12" x14ac:dyDescent="0.25">
      <c r="A288">
        <f t="shared" si="5"/>
        <v>287</v>
      </c>
      <c r="C288" t="s">
        <v>735</v>
      </c>
      <c r="D288" t="s">
        <v>744</v>
      </c>
      <c r="E288" t="s">
        <v>736</v>
      </c>
      <c r="F288" t="s">
        <v>737</v>
      </c>
      <c r="G288">
        <v>2</v>
      </c>
      <c r="H288">
        <v>0.5</v>
      </c>
      <c r="I288">
        <v>5</v>
      </c>
      <c r="J288" t="s">
        <v>262</v>
      </c>
      <c r="K288" t="s">
        <v>738</v>
      </c>
    </row>
    <row r="289" spans="1:11" x14ac:dyDescent="0.25">
      <c r="A289">
        <f t="shared" si="5"/>
        <v>288</v>
      </c>
      <c r="C289" t="s">
        <v>735</v>
      </c>
      <c r="D289" t="s">
        <v>745</v>
      </c>
      <c r="E289" t="s">
        <v>736</v>
      </c>
      <c r="F289" t="s">
        <v>737</v>
      </c>
      <c r="G289">
        <v>10</v>
      </c>
      <c r="H289">
        <v>1.2</v>
      </c>
      <c r="I289">
        <v>5</v>
      </c>
      <c r="J289" t="s">
        <v>262</v>
      </c>
      <c r="K289" t="s">
        <v>738</v>
      </c>
    </row>
    <row r="290" spans="1:11" x14ac:dyDescent="0.25">
      <c r="A290">
        <f t="shared" si="5"/>
        <v>289</v>
      </c>
      <c r="C290" t="s">
        <v>735</v>
      </c>
      <c r="D290" t="s">
        <v>76</v>
      </c>
      <c r="E290" t="s">
        <v>736</v>
      </c>
      <c r="F290" t="s">
        <v>737</v>
      </c>
      <c r="G290">
        <v>0.8</v>
      </c>
      <c r="H290">
        <v>0.06</v>
      </c>
      <c r="I290">
        <v>4</v>
      </c>
      <c r="J290" t="s">
        <v>262</v>
      </c>
      <c r="K290" t="s">
        <v>738</v>
      </c>
    </row>
    <row r="291" spans="1:11" x14ac:dyDescent="0.25">
      <c r="A291">
        <f t="shared" si="5"/>
        <v>290</v>
      </c>
      <c r="C291" t="s">
        <v>735</v>
      </c>
      <c r="D291" t="s">
        <v>746</v>
      </c>
      <c r="E291" t="s">
        <v>736</v>
      </c>
      <c r="F291" t="s">
        <v>737</v>
      </c>
      <c r="G291">
        <v>3</v>
      </c>
      <c r="H291">
        <v>0.4</v>
      </c>
      <c r="I291">
        <v>8</v>
      </c>
      <c r="J291" t="s">
        <v>262</v>
      </c>
      <c r="K291" t="s">
        <v>738</v>
      </c>
    </row>
    <row r="292" spans="1:11" x14ac:dyDescent="0.25">
      <c r="A292">
        <f t="shared" si="5"/>
        <v>291</v>
      </c>
      <c r="C292" t="s">
        <v>735</v>
      </c>
      <c r="D292" t="s">
        <v>747</v>
      </c>
      <c r="E292" t="s">
        <v>736</v>
      </c>
      <c r="F292" t="s">
        <v>737</v>
      </c>
      <c r="G292">
        <v>3</v>
      </c>
      <c r="H292">
        <v>0.4</v>
      </c>
      <c r="I292">
        <v>8</v>
      </c>
      <c r="J292" t="s">
        <v>262</v>
      </c>
      <c r="K292" t="s">
        <v>738</v>
      </c>
    </row>
    <row r="293" spans="1:11" x14ac:dyDescent="0.25">
      <c r="A293">
        <f t="shared" si="5"/>
        <v>292</v>
      </c>
      <c r="C293" t="s">
        <v>735</v>
      </c>
      <c r="D293" t="s">
        <v>748</v>
      </c>
      <c r="E293" t="s">
        <v>736</v>
      </c>
      <c r="F293" t="s">
        <v>737</v>
      </c>
      <c r="G293">
        <v>3</v>
      </c>
      <c r="H293">
        <v>0.4</v>
      </c>
      <c r="I293">
        <v>8</v>
      </c>
      <c r="J293" t="s">
        <v>262</v>
      </c>
      <c r="K293" t="s">
        <v>738</v>
      </c>
    </row>
    <row r="294" spans="1:11" x14ac:dyDescent="0.25">
      <c r="A294">
        <f t="shared" si="5"/>
        <v>293</v>
      </c>
      <c r="C294" t="s">
        <v>735</v>
      </c>
      <c r="D294" t="s">
        <v>749</v>
      </c>
      <c r="E294" t="s">
        <v>736</v>
      </c>
      <c r="F294" t="s">
        <v>737</v>
      </c>
      <c r="G294">
        <v>3</v>
      </c>
      <c r="H294">
        <v>0.4</v>
      </c>
      <c r="I294">
        <v>8</v>
      </c>
      <c r="J294" t="s">
        <v>262</v>
      </c>
      <c r="K294" t="s">
        <v>738</v>
      </c>
    </row>
    <row r="295" spans="1:11" x14ac:dyDescent="0.25">
      <c r="A295">
        <f t="shared" si="5"/>
        <v>294</v>
      </c>
      <c r="C295" t="s">
        <v>735</v>
      </c>
      <c r="D295" t="s">
        <v>85</v>
      </c>
      <c r="E295" t="s">
        <v>736</v>
      </c>
      <c r="F295" t="s">
        <v>737</v>
      </c>
      <c r="G295">
        <v>3</v>
      </c>
      <c r="H295">
        <v>0.35</v>
      </c>
      <c r="I295">
        <v>9</v>
      </c>
      <c r="J295" t="s">
        <v>262</v>
      </c>
      <c r="K295" t="s">
        <v>738</v>
      </c>
    </row>
    <row r="296" spans="1:11" x14ac:dyDescent="0.25">
      <c r="A296">
        <f t="shared" si="5"/>
        <v>295</v>
      </c>
      <c r="C296" t="s">
        <v>735</v>
      </c>
      <c r="D296" t="s">
        <v>750</v>
      </c>
      <c r="E296" t="s">
        <v>736</v>
      </c>
      <c r="F296" t="s">
        <v>737</v>
      </c>
      <c r="G296">
        <v>4</v>
      </c>
      <c r="H296">
        <v>0.02</v>
      </c>
      <c r="I296">
        <v>6</v>
      </c>
      <c r="J296" t="s">
        <v>262</v>
      </c>
      <c r="K296" t="s">
        <v>740</v>
      </c>
    </row>
    <row r="297" spans="1:11" x14ac:dyDescent="0.25">
      <c r="A297">
        <f t="shared" si="5"/>
        <v>296</v>
      </c>
      <c r="C297" t="s">
        <v>735</v>
      </c>
      <c r="D297" t="s">
        <v>88</v>
      </c>
      <c r="E297" t="s">
        <v>736</v>
      </c>
      <c r="F297" t="s">
        <v>737</v>
      </c>
      <c r="G297">
        <v>3</v>
      </c>
      <c r="H297">
        <v>0.35</v>
      </c>
      <c r="I297">
        <v>9</v>
      </c>
      <c r="J297" t="s">
        <v>262</v>
      </c>
      <c r="K297" t="s">
        <v>738</v>
      </c>
    </row>
    <row r="298" spans="1:11" x14ac:dyDescent="0.25">
      <c r="A298">
        <f t="shared" si="5"/>
        <v>297</v>
      </c>
      <c r="C298" t="s">
        <v>735</v>
      </c>
      <c r="D298" t="s">
        <v>108</v>
      </c>
      <c r="E298" t="s">
        <v>736</v>
      </c>
      <c r="F298" t="s">
        <v>737</v>
      </c>
      <c r="G298">
        <v>3</v>
      </c>
      <c r="H298">
        <v>0.35</v>
      </c>
      <c r="I298">
        <v>9</v>
      </c>
      <c r="J298" t="s">
        <v>730</v>
      </c>
      <c r="K298" t="s">
        <v>738</v>
      </c>
    </row>
    <row r="299" spans="1:11" x14ac:dyDescent="0.25">
      <c r="A299">
        <f t="shared" si="5"/>
        <v>298</v>
      </c>
      <c r="C299" t="s">
        <v>735</v>
      </c>
      <c r="D299" t="s">
        <v>751</v>
      </c>
      <c r="E299" t="s">
        <v>736</v>
      </c>
      <c r="F299" t="s">
        <v>737</v>
      </c>
      <c r="G299">
        <v>3</v>
      </c>
      <c r="H299">
        <v>1.2E-2</v>
      </c>
      <c r="I299">
        <v>6</v>
      </c>
      <c r="J299" t="s">
        <v>262</v>
      </c>
      <c r="K299" t="s">
        <v>740</v>
      </c>
    </row>
    <row r="300" spans="1:11" x14ac:dyDescent="0.25">
      <c r="A300">
        <f t="shared" si="5"/>
        <v>299</v>
      </c>
      <c r="C300" t="s">
        <v>735</v>
      </c>
      <c r="D300" t="s">
        <v>752</v>
      </c>
      <c r="E300" t="s">
        <v>736</v>
      </c>
      <c r="F300" t="s">
        <v>737</v>
      </c>
      <c r="G300">
        <v>2.5</v>
      </c>
      <c r="H300">
        <v>1.2E-2</v>
      </c>
      <c r="I300">
        <v>6</v>
      </c>
      <c r="J300" t="s">
        <v>262</v>
      </c>
      <c r="K300" t="s">
        <v>740</v>
      </c>
    </row>
    <row r="301" spans="1:11" x14ac:dyDescent="0.25">
      <c r="A301">
        <f t="shared" si="5"/>
        <v>300</v>
      </c>
      <c r="C301" t="s">
        <v>735</v>
      </c>
      <c r="D301" t="s">
        <v>753</v>
      </c>
      <c r="E301" t="s">
        <v>736</v>
      </c>
      <c r="F301" t="s">
        <v>737</v>
      </c>
      <c r="G301">
        <v>8</v>
      </c>
      <c r="H301">
        <v>0.05</v>
      </c>
      <c r="I301">
        <v>5</v>
      </c>
      <c r="J301" t="s">
        <v>262</v>
      </c>
      <c r="K301" t="s">
        <v>740</v>
      </c>
    </row>
    <row r="302" spans="1:11" x14ac:dyDescent="0.25">
      <c r="A302">
        <f t="shared" si="5"/>
        <v>301</v>
      </c>
      <c r="C302" t="s">
        <v>735</v>
      </c>
      <c r="D302" t="s">
        <v>754</v>
      </c>
      <c r="E302" t="s">
        <v>736</v>
      </c>
      <c r="F302" t="s">
        <v>737</v>
      </c>
      <c r="G302">
        <v>3</v>
      </c>
      <c r="H302">
        <v>1.4999999999999999E-2</v>
      </c>
      <c r="I302">
        <v>4</v>
      </c>
      <c r="J302" t="s">
        <v>727</v>
      </c>
      <c r="K302" t="s">
        <v>740</v>
      </c>
    </row>
    <row r="303" spans="1:11" x14ac:dyDescent="0.25">
      <c r="A303">
        <f t="shared" si="5"/>
        <v>302</v>
      </c>
      <c r="C303" t="s">
        <v>735</v>
      </c>
      <c r="D303" t="s">
        <v>755</v>
      </c>
      <c r="E303" t="s">
        <v>736</v>
      </c>
      <c r="F303" t="s">
        <v>737</v>
      </c>
      <c r="G303">
        <v>3</v>
      </c>
      <c r="H303">
        <v>1.4999999999999999E-2</v>
      </c>
      <c r="I303">
        <v>4</v>
      </c>
      <c r="J303" t="s">
        <v>727</v>
      </c>
      <c r="K303" t="s">
        <v>740</v>
      </c>
    </row>
    <row r="304" spans="1:11" x14ac:dyDescent="0.25">
      <c r="A304">
        <f t="shared" si="5"/>
        <v>303</v>
      </c>
      <c r="C304" t="s">
        <v>735</v>
      </c>
      <c r="D304" t="s">
        <v>756</v>
      </c>
      <c r="E304" t="s">
        <v>736</v>
      </c>
      <c r="F304" t="s">
        <v>737</v>
      </c>
      <c r="G304">
        <v>3</v>
      </c>
      <c r="H304">
        <v>1.4999999999999999E-2</v>
      </c>
      <c r="I304">
        <v>5</v>
      </c>
      <c r="J304" t="s">
        <v>262</v>
      </c>
      <c r="K304" t="s">
        <v>740</v>
      </c>
    </row>
    <row r="305" spans="1:11" x14ac:dyDescent="0.25">
      <c r="A305">
        <f t="shared" si="5"/>
        <v>304</v>
      </c>
      <c r="C305" t="s">
        <v>735</v>
      </c>
      <c r="D305" t="s">
        <v>757</v>
      </c>
      <c r="E305" t="s">
        <v>736</v>
      </c>
      <c r="F305" t="s">
        <v>737</v>
      </c>
      <c r="G305">
        <v>2.5</v>
      </c>
      <c r="H305">
        <v>0.01</v>
      </c>
      <c r="I305">
        <v>4</v>
      </c>
      <c r="J305" t="s">
        <v>728</v>
      </c>
      <c r="K305" t="s">
        <v>740</v>
      </c>
    </row>
    <row r="306" spans="1:11" x14ac:dyDescent="0.25">
      <c r="A306">
        <f t="shared" si="5"/>
        <v>305</v>
      </c>
      <c r="C306" t="s">
        <v>735</v>
      </c>
      <c r="D306" t="s">
        <v>758</v>
      </c>
      <c r="E306" t="s">
        <v>736</v>
      </c>
      <c r="F306" t="s">
        <v>737</v>
      </c>
      <c r="G306">
        <v>3</v>
      </c>
      <c r="H306">
        <v>1.2E-2</v>
      </c>
      <c r="I306">
        <v>4</v>
      </c>
      <c r="J306" t="s">
        <v>728</v>
      </c>
      <c r="K306" t="s">
        <v>740</v>
      </c>
    </row>
    <row r="307" spans="1:11" x14ac:dyDescent="0.25">
      <c r="A307">
        <f t="shared" si="5"/>
        <v>306</v>
      </c>
      <c r="C307" t="s">
        <v>735</v>
      </c>
      <c r="D307" t="s">
        <v>759</v>
      </c>
      <c r="E307" t="s">
        <v>736</v>
      </c>
      <c r="F307" t="s">
        <v>737</v>
      </c>
      <c r="G307">
        <v>1.5</v>
      </c>
      <c r="H307">
        <v>8.0000000000000002E-3</v>
      </c>
      <c r="I307">
        <v>4</v>
      </c>
      <c r="J307" t="s">
        <v>262</v>
      </c>
      <c r="K307" t="s">
        <v>740</v>
      </c>
    </row>
    <row r="308" spans="1:11" x14ac:dyDescent="0.25">
      <c r="A308">
        <f t="shared" si="5"/>
        <v>307</v>
      </c>
      <c r="C308" t="s">
        <v>735</v>
      </c>
      <c r="D308" t="s">
        <v>760</v>
      </c>
      <c r="E308" t="s">
        <v>736</v>
      </c>
      <c r="F308" t="s">
        <v>737</v>
      </c>
      <c r="G308">
        <v>1.2</v>
      </c>
      <c r="H308">
        <v>6.0000000000000001E-3</v>
      </c>
      <c r="I308">
        <v>3</v>
      </c>
      <c r="J308" t="s">
        <v>728</v>
      </c>
      <c r="K308" t="s">
        <v>740</v>
      </c>
    </row>
    <row r="309" spans="1:11" x14ac:dyDescent="0.25">
      <c r="A309">
        <f t="shared" si="5"/>
        <v>308</v>
      </c>
      <c r="C309" t="s">
        <v>735</v>
      </c>
      <c r="D309" t="s">
        <v>761</v>
      </c>
      <c r="E309" t="s">
        <v>736</v>
      </c>
      <c r="F309" t="s">
        <v>737</v>
      </c>
      <c r="G309">
        <v>4</v>
      </c>
      <c r="H309">
        <v>0.02</v>
      </c>
      <c r="I309">
        <v>4</v>
      </c>
      <c r="J309" t="s">
        <v>728</v>
      </c>
      <c r="K309" t="s">
        <v>740</v>
      </c>
    </row>
    <row r="310" spans="1:11" x14ac:dyDescent="0.25">
      <c r="A310">
        <f t="shared" si="5"/>
        <v>309</v>
      </c>
      <c r="C310" t="s">
        <v>735</v>
      </c>
      <c r="D310" t="s">
        <v>762</v>
      </c>
      <c r="E310" t="s">
        <v>736</v>
      </c>
      <c r="F310" t="s">
        <v>737</v>
      </c>
      <c r="G310">
        <v>4</v>
      </c>
      <c r="H310">
        <v>0.02</v>
      </c>
      <c r="I310">
        <v>4</v>
      </c>
      <c r="J310" t="s">
        <v>728</v>
      </c>
      <c r="K310" t="s">
        <v>740</v>
      </c>
    </row>
    <row r="311" spans="1:11" x14ac:dyDescent="0.25">
      <c r="A311">
        <f t="shared" si="5"/>
        <v>310</v>
      </c>
      <c r="C311" t="s">
        <v>735</v>
      </c>
      <c r="D311" t="s">
        <v>763</v>
      </c>
      <c r="E311" t="s">
        <v>736</v>
      </c>
      <c r="F311" t="s">
        <v>737</v>
      </c>
      <c r="G311">
        <v>4</v>
      </c>
      <c r="H311">
        <v>0.02</v>
      </c>
      <c r="I311">
        <v>4</v>
      </c>
      <c r="J311" t="s">
        <v>728</v>
      </c>
      <c r="K311" t="s">
        <v>740</v>
      </c>
    </row>
    <row r="312" spans="1:11" x14ac:dyDescent="0.25">
      <c r="A312">
        <f t="shared" si="5"/>
        <v>311</v>
      </c>
      <c r="C312" t="s">
        <v>735</v>
      </c>
      <c r="D312" t="s">
        <v>764</v>
      </c>
      <c r="E312" t="s">
        <v>736</v>
      </c>
      <c r="F312" t="s">
        <v>737</v>
      </c>
      <c r="G312">
        <v>2.5</v>
      </c>
      <c r="H312">
        <v>1.2E-2</v>
      </c>
      <c r="I312">
        <v>4</v>
      </c>
      <c r="J312" t="s">
        <v>262</v>
      </c>
      <c r="K312" t="s">
        <v>740</v>
      </c>
    </row>
    <row r="313" spans="1:11" x14ac:dyDescent="0.25">
      <c r="A313">
        <f t="shared" si="5"/>
        <v>312</v>
      </c>
      <c r="C313" t="s">
        <v>735</v>
      </c>
      <c r="D313" t="s">
        <v>765</v>
      </c>
      <c r="E313" t="s">
        <v>736</v>
      </c>
      <c r="F313" t="s">
        <v>737</v>
      </c>
      <c r="G313">
        <v>4</v>
      </c>
      <c r="H313">
        <v>0.02</v>
      </c>
      <c r="I313">
        <v>3</v>
      </c>
      <c r="J313" t="s">
        <v>728</v>
      </c>
      <c r="K313" t="s">
        <v>740</v>
      </c>
    </row>
    <row r="314" spans="1:11" x14ac:dyDescent="0.25">
      <c r="A314">
        <f t="shared" si="5"/>
        <v>313</v>
      </c>
      <c r="C314" t="s">
        <v>735</v>
      </c>
      <c r="D314" t="s">
        <v>766</v>
      </c>
      <c r="E314" t="s">
        <v>736</v>
      </c>
      <c r="F314" t="s">
        <v>737</v>
      </c>
      <c r="G314">
        <v>2</v>
      </c>
      <c r="H314">
        <v>0.01</v>
      </c>
      <c r="I314">
        <v>4</v>
      </c>
      <c r="J314" t="s">
        <v>262</v>
      </c>
      <c r="K314" t="s">
        <v>740</v>
      </c>
    </row>
    <row r="315" spans="1:11" x14ac:dyDescent="0.25">
      <c r="A315">
        <f t="shared" si="5"/>
        <v>314</v>
      </c>
      <c r="C315" t="s">
        <v>735</v>
      </c>
      <c r="D315" t="s">
        <v>767</v>
      </c>
      <c r="E315" t="s">
        <v>736</v>
      </c>
      <c r="F315" t="s">
        <v>737</v>
      </c>
      <c r="G315">
        <v>4</v>
      </c>
      <c r="H315">
        <v>0.02</v>
      </c>
      <c r="I315">
        <v>3</v>
      </c>
      <c r="J315" t="s">
        <v>728</v>
      </c>
      <c r="K315" t="s">
        <v>740</v>
      </c>
    </row>
    <row r="316" spans="1:11" x14ac:dyDescent="0.25">
      <c r="A316">
        <f t="shared" si="5"/>
        <v>315</v>
      </c>
      <c r="C316" t="s">
        <v>735</v>
      </c>
      <c r="D316" t="s">
        <v>768</v>
      </c>
      <c r="E316" t="s">
        <v>736</v>
      </c>
      <c r="F316" t="s">
        <v>737</v>
      </c>
      <c r="G316">
        <v>5</v>
      </c>
      <c r="H316">
        <v>2.5000000000000001E-2</v>
      </c>
      <c r="I316">
        <v>3</v>
      </c>
      <c r="J316" t="s">
        <v>729</v>
      </c>
      <c r="K316" t="s">
        <v>740</v>
      </c>
    </row>
    <row r="317" spans="1:11" x14ac:dyDescent="0.25">
      <c r="A317">
        <f t="shared" si="5"/>
        <v>316</v>
      </c>
      <c r="C317" t="s">
        <v>735</v>
      </c>
      <c r="D317" t="s">
        <v>769</v>
      </c>
      <c r="E317" t="s">
        <v>736</v>
      </c>
      <c r="F317" t="s">
        <v>737</v>
      </c>
      <c r="G317">
        <v>2</v>
      </c>
      <c r="H317">
        <v>8.0000000000000002E-3</v>
      </c>
      <c r="I317">
        <v>3</v>
      </c>
      <c r="J317" t="s">
        <v>729</v>
      </c>
      <c r="K317" t="s">
        <v>740</v>
      </c>
    </row>
    <row r="318" spans="1:11" x14ac:dyDescent="0.25">
      <c r="A318">
        <f t="shared" si="5"/>
        <v>317</v>
      </c>
      <c r="C318" t="s">
        <v>735</v>
      </c>
      <c r="D318" t="s">
        <v>770</v>
      </c>
      <c r="E318" t="s">
        <v>736</v>
      </c>
      <c r="F318" t="s">
        <v>737</v>
      </c>
      <c r="G318">
        <v>2</v>
      </c>
      <c r="H318">
        <v>8.0000000000000002E-3</v>
      </c>
      <c r="I318">
        <v>3</v>
      </c>
      <c r="J318" t="s">
        <v>729</v>
      </c>
      <c r="K318" t="s">
        <v>740</v>
      </c>
    </row>
    <row r="319" spans="1:11" x14ac:dyDescent="0.25">
      <c r="A319">
        <f t="shared" si="5"/>
        <v>318</v>
      </c>
      <c r="C319" t="s">
        <v>735</v>
      </c>
      <c r="D319" t="s">
        <v>771</v>
      </c>
      <c r="E319" t="s">
        <v>736</v>
      </c>
      <c r="F319" t="s">
        <v>737</v>
      </c>
      <c r="G319">
        <v>4</v>
      </c>
      <c r="H319">
        <v>0.02</v>
      </c>
      <c r="I319">
        <v>3</v>
      </c>
      <c r="J319" t="s">
        <v>727</v>
      </c>
      <c r="K319" t="s">
        <v>740</v>
      </c>
    </row>
    <row r="320" spans="1:11" x14ac:dyDescent="0.25">
      <c r="A320">
        <f t="shared" si="5"/>
        <v>319</v>
      </c>
      <c r="C320" t="s">
        <v>735</v>
      </c>
      <c r="D320" t="s">
        <v>772</v>
      </c>
      <c r="E320" t="s">
        <v>736</v>
      </c>
      <c r="F320" t="s">
        <v>737</v>
      </c>
      <c r="G320">
        <v>4</v>
      </c>
      <c r="H320">
        <v>0.02</v>
      </c>
      <c r="I320">
        <v>3</v>
      </c>
      <c r="J320" t="s">
        <v>727</v>
      </c>
      <c r="K320" t="s">
        <v>740</v>
      </c>
    </row>
    <row r="321" spans="1:11" x14ac:dyDescent="0.25">
      <c r="A321">
        <f t="shared" si="5"/>
        <v>320</v>
      </c>
      <c r="C321" t="s">
        <v>735</v>
      </c>
      <c r="D321" t="s">
        <v>773</v>
      </c>
      <c r="E321" t="s">
        <v>736</v>
      </c>
      <c r="F321" t="s">
        <v>737</v>
      </c>
      <c r="G321">
        <v>4</v>
      </c>
      <c r="H321">
        <v>0.02</v>
      </c>
      <c r="I321">
        <v>3</v>
      </c>
      <c r="J321" t="s">
        <v>727</v>
      </c>
      <c r="K321" t="s">
        <v>740</v>
      </c>
    </row>
    <row r="322" spans="1:11" x14ac:dyDescent="0.25">
      <c r="A322">
        <f t="shared" si="5"/>
        <v>321</v>
      </c>
      <c r="C322" t="s">
        <v>735</v>
      </c>
      <c r="D322" t="s">
        <v>774</v>
      </c>
      <c r="E322" t="s">
        <v>736</v>
      </c>
      <c r="F322" t="s">
        <v>737</v>
      </c>
      <c r="G322">
        <v>4</v>
      </c>
      <c r="H322">
        <v>0.02</v>
      </c>
      <c r="I322">
        <v>3</v>
      </c>
      <c r="J322" t="s">
        <v>727</v>
      </c>
      <c r="K322" t="s">
        <v>740</v>
      </c>
    </row>
    <row r="323" spans="1:11" x14ac:dyDescent="0.25">
      <c r="A323">
        <f t="shared" si="5"/>
        <v>322</v>
      </c>
      <c r="C323" t="s">
        <v>735</v>
      </c>
      <c r="D323" t="s">
        <v>775</v>
      </c>
      <c r="E323" t="s">
        <v>736</v>
      </c>
      <c r="F323" t="s">
        <v>737</v>
      </c>
      <c r="G323">
        <v>4</v>
      </c>
      <c r="H323">
        <v>0.02</v>
      </c>
      <c r="I323">
        <v>3</v>
      </c>
      <c r="J323" t="s">
        <v>727</v>
      </c>
      <c r="K323" t="s">
        <v>740</v>
      </c>
    </row>
    <row r="324" spans="1:11" x14ac:dyDescent="0.25">
      <c r="A324">
        <f t="shared" si="5"/>
        <v>323</v>
      </c>
      <c r="C324" t="s">
        <v>735</v>
      </c>
      <c r="D324" t="s">
        <v>776</v>
      </c>
      <c r="E324" t="s">
        <v>736</v>
      </c>
      <c r="F324" t="s">
        <v>737</v>
      </c>
      <c r="G324">
        <v>4</v>
      </c>
      <c r="H324">
        <v>0.02</v>
      </c>
      <c r="I324">
        <v>3</v>
      </c>
      <c r="J324" t="s">
        <v>727</v>
      </c>
      <c r="K324" t="s">
        <v>740</v>
      </c>
    </row>
    <row r="325" spans="1:11" x14ac:dyDescent="0.25">
      <c r="A325">
        <f t="shared" si="5"/>
        <v>324</v>
      </c>
      <c r="C325" t="s">
        <v>735</v>
      </c>
      <c r="D325" t="s">
        <v>777</v>
      </c>
      <c r="E325" t="s">
        <v>736</v>
      </c>
      <c r="F325" t="s">
        <v>737</v>
      </c>
      <c r="G325">
        <v>4</v>
      </c>
      <c r="H325">
        <v>0.02</v>
      </c>
      <c r="I325">
        <v>3</v>
      </c>
      <c r="J325" t="s">
        <v>729</v>
      </c>
      <c r="K325" t="s">
        <v>740</v>
      </c>
    </row>
    <row r="326" spans="1:11" x14ac:dyDescent="0.25">
      <c r="A326">
        <f t="shared" si="5"/>
        <v>325</v>
      </c>
      <c r="C326" t="s">
        <v>735</v>
      </c>
      <c r="D326" t="s">
        <v>778</v>
      </c>
      <c r="E326" t="s">
        <v>736</v>
      </c>
      <c r="F326" t="s">
        <v>737</v>
      </c>
      <c r="G326">
        <v>3</v>
      </c>
      <c r="H326">
        <v>1.2E-2</v>
      </c>
      <c r="I326">
        <v>4</v>
      </c>
      <c r="J326" t="s">
        <v>262</v>
      </c>
      <c r="K326" t="s">
        <v>740</v>
      </c>
    </row>
    <row r="327" spans="1:11" x14ac:dyDescent="0.25">
      <c r="A327">
        <f t="shared" si="5"/>
        <v>326</v>
      </c>
      <c r="C327" t="s">
        <v>735</v>
      </c>
      <c r="D327" t="s">
        <v>779</v>
      </c>
      <c r="E327" t="s">
        <v>736</v>
      </c>
      <c r="F327" t="s">
        <v>737</v>
      </c>
      <c r="G327">
        <v>3</v>
      </c>
      <c r="H327">
        <v>1.4999999999999999E-2</v>
      </c>
      <c r="I327">
        <v>4</v>
      </c>
      <c r="J327" t="s">
        <v>262</v>
      </c>
      <c r="K327" t="s">
        <v>740</v>
      </c>
    </row>
    <row r="328" spans="1:11" x14ac:dyDescent="0.25">
      <c r="A328">
        <f t="shared" ref="A328:A391" si="6">A327+1</f>
        <v>327</v>
      </c>
      <c r="C328" t="s">
        <v>735</v>
      </c>
      <c r="D328" t="s">
        <v>780</v>
      </c>
      <c r="E328" t="s">
        <v>736</v>
      </c>
      <c r="F328" t="s">
        <v>737</v>
      </c>
      <c r="G328">
        <v>4</v>
      </c>
      <c r="H328">
        <v>0.02</v>
      </c>
      <c r="I328">
        <v>4</v>
      </c>
      <c r="J328" t="s">
        <v>262</v>
      </c>
      <c r="K328" t="s">
        <v>781</v>
      </c>
    </row>
    <row r="329" spans="1:11" x14ac:dyDescent="0.25">
      <c r="A329">
        <f t="shared" si="6"/>
        <v>328</v>
      </c>
      <c r="C329" t="s">
        <v>735</v>
      </c>
      <c r="D329" t="s">
        <v>782</v>
      </c>
      <c r="E329" t="s">
        <v>736</v>
      </c>
      <c r="F329" t="s">
        <v>737</v>
      </c>
      <c r="G329">
        <v>5</v>
      </c>
      <c r="H329">
        <v>2.5000000000000001E-2</v>
      </c>
      <c r="I329">
        <v>4</v>
      </c>
      <c r="J329" t="s">
        <v>262</v>
      </c>
      <c r="K329" t="s">
        <v>781</v>
      </c>
    </row>
    <row r="330" spans="1:11" x14ac:dyDescent="0.25">
      <c r="A330">
        <f t="shared" si="6"/>
        <v>329</v>
      </c>
      <c r="C330" t="s">
        <v>735</v>
      </c>
      <c r="D330" t="s">
        <v>783</v>
      </c>
      <c r="E330" t="s">
        <v>736</v>
      </c>
      <c r="F330" t="s">
        <v>737</v>
      </c>
      <c r="G330">
        <v>2</v>
      </c>
      <c r="H330">
        <v>0.1</v>
      </c>
      <c r="I330">
        <v>3</v>
      </c>
      <c r="J330" t="s">
        <v>729</v>
      </c>
      <c r="K330" t="s">
        <v>784</v>
      </c>
    </row>
    <row r="331" spans="1:11" x14ac:dyDescent="0.25">
      <c r="A331">
        <f t="shared" si="6"/>
        <v>330</v>
      </c>
      <c r="C331" t="s">
        <v>735</v>
      </c>
      <c r="D331" t="s">
        <v>102</v>
      </c>
      <c r="E331" t="s">
        <v>736</v>
      </c>
      <c r="F331" t="s">
        <v>737</v>
      </c>
      <c r="G331">
        <v>2</v>
      </c>
      <c r="H331">
        <v>0.3</v>
      </c>
      <c r="I331">
        <v>3</v>
      </c>
      <c r="J331" t="s">
        <v>262</v>
      </c>
      <c r="K331" t="s">
        <v>784</v>
      </c>
    </row>
    <row r="332" spans="1:11" x14ac:dyDescent="0.25">
      <c r="A332">
        <f t="shared" si="6"/>
        <v>331</v>
      </c>
      <c r="C332" t="s">
        <v>735</v>
      </c>
      <c r="D332" t="s">
        <v>785</v>
      </c>
      <c r="E332" t="s">
        <v>736</v>
      </c>
      <c r="F332" t="s">
        <v>737</v>
      </c>
      <c r="G332">
        <v>3</v>
      </c>
      <c r="H332">
        <v>1.4999999999999999E-2</v>
      </c>
      <c r="I332">
        <v>3</v>
      </c>
      <c r="J332" t="s">
        <v>729</v>
      </c>
      <c r="K332" t="s">
        <v>740</v>
      </c>
    </row>
    <row r="333" spans="1:11" x14ac:dyDescent="0.25">
      <c r="A333">
        <f t="shared" si="6"/>
        <v>332</v>
      </c>
      <c r="C333" t="s">
        <v>735</v>
      </c>
      <c r="D333" t="s">
        <v>786</v>
      </c>
      <c r="E333" t="s">
        <v>736</v>
      </c>
      <c r="F333" t="s">
        <v>737</v>
      </c>
      <c r="G333">
        <v>3</v>
      </c>
      <c r="H333">
        <v>1.4999999999999999E-2</v>
      </c>
      <c r="I333">
        <v>3</v>
      </c>
      <c r="J333" t="s">
        <v>729</v>
      </c>
      <c r="K333" t="s">
        <v>740</v>
      </c>
    </row>
    <row r="334" spans="1:11" x14ac:dyDescent="0.25">
      <c r="A334">
        <f t="shared" si="6"/>
        <v>333</v>
      </c>
      <c r="C334" t="s">
        <v>735</v>
      </c>
      <c r="D334" t="s">
        <v>787</v>
      </c>
      <c r="E334" t="s">
        <v>736</v>
      </c>
      <c r="F334" t="s">
        <v>737</v>
      </c>
      <c r="G334">
        <v>2.5</v>
      </c>
      <c r="H334">
        <v>1.2E-2</v>
      </c>
      <c r="I334">
        <v>2</v>
      </c>
      <c r="J334" t="s">
        <v>730</v>
      </c>
      <c r="K334" t="s">
        <v>740</v>
      </c>
    </row>
    <row r="335" spans="1:11" x14ac:dyDescent="0.25">
      <c r="A335">
        <f t="shared" si="6"/>
        <v>334</v>
      </c>
      <c r="C335" t="s">
        <v>735</v>
      </c>
      <c r="D335" t="s">
        <v>788</v>
      </c>
      <c r="E335" t="s">
        <v>736</v>
      </c>
      <c r="F335" t="s">
        <v>737</v>
      </c>
      <c r="G335">
        <v>2</v>
      </c>
      <c r="H335">
        <v>0.08</v>
      </c>
      <c r="I335">
        <v>2</v>
      </c>
      <c r="J335" t="s">
        <v>730</v>
      </c>
      <c r="K335" t="s">
        <v>738</v>
      </c>
    </row>
    <row r="336" spans="1:11" x14ac:dyDescent="0.25">
      <c r="A336">
        <f t="shared" si="6"/>
        <v>335</v>
      </c>
      <c r="C336" t="s">
        <v>735</v>
      </c>
      <c r="D336" t="s">
        <v>789</v>
      </c>
      <c r="E336" t="s">
        <v>736</v>
      </c>
      <c r="F336" t="s">
        <v>737</v>
      </c>
      <c r="G336">
        <v>3</v>
      </c>
      <c r="H336">
        <v>1.4999999999999999E-2</v>
      </c>
      <c r="I336">
        <v>2</v>
      </c>
      <c r="J336" t="s">
        <v>730</v>
      </c>
      <c r="K336" t="s">
        <v>781</v>
      </c>
    </row>
    <row r="337" spans="1:11" x14ac:dyDescent="0.25">
      <c r="A337">
        <f t="shared" si="6"/>
        <v>336</v>
      </c>
      <c r="C337" t="s">
        <v>735</v>
      </c>
      <c r="D337" t="s">
        <v>790</v>
      </c>
      <c r="E337" t="s">
        <v>736</v>
      </c>
      <c r="F337" t="s">
        <v>737</v>
      </c>
      <c r="G337">
        <v>5</v>
      </c>
      <c r="H337">
        <v>2.5000000000000001E-2</v>
      </c>
      <c r="I337">
        <v>2</v>
      </c>
      <c r="J337" t="s">
        <v>730</v>
      </c>
      <c r="K337" t="s">
        <v>781</v>
      </c>
    </row>
    <row r="338" spans="1:11" x14ac:dyDescent="0.25">
      <c r="A338">
        <f t="shared" si="6"/>
        <v>337</v>
      </c>
      <c r="C338" t="s">
        <v>791</v>
      </c>
      <c r="D338" t="s">
        <v>792</v>
      </c>
      <c r="E338" t="s">
        <v>793</v>
      </c>
      <c r="F338" t="s">
        <v>794</v>
      </c>
      <c r="G338">
        <v>10</v>
      </c>
      <c r="H338">
        <v>2</v>
      </c>
      <c r="I338" t="s">
        <v>203</v>
      </c>
    </row>
    <row r="339" spans="1:11" x14ac:dyDescent="0.25">
      <c r="A339">
        <f t="shared" si="6"/>
        <v>338</v>
      </c>
      <c r="C339" t="s">
        <v>791</v>
      </c>
      <c r="D339" t="s">
        <v>795</v>
      </c>
      <c r="E339" t="s">
        <v>793</v>
      </c>
      <c r="F339" t="s">
        <v>794</v>
      </c>
      <c r="G339">
        <v>5</v>
      </c>
      <c r="H339">
        <v>1</v>
      </c>
      <c r="I339" t="s">
        <v>203</v>
      </c>
    </row>
    <row r="340" spans="1:11" x14ac:dyDescent="0.25">
      <c r="A340">
        <f t="shared" si="6"/>
        <v>339</v>
      </c>
      <c r="C340" t="s">
        <v>791</v>
      </c>
      <c r="D340" t="s">
        <v>796</v>
      </c>
      <c r="E340" t="s">
        <v>793</v>
      </c>
      <c r="F340" t="s">
        <v>794</v>
      </c>
      <c r="G340">
        <v>10</v>
      </c>
      <c r="H340">
        <v>2</v>
      </c>
      <c r="I340">
        <v>45</v>
      </c>
    </row>
    <row r="341" spans="1:11" x14ac:dyDescent="0.25">
      <c r="A341">
        <f t="shared" si="6"/>
        <v>340</v>
      </c>
      <c r="C341" t="s">
        <v>791</v>
      </c>
      <c r="D341" t="s">
        <v>797</v>
      </c>
      <c r="E341" t="s">
        <v>793</v>
      </c>
      <c r="F341" t="s">
        <v>794</v>
      </c>
      <c r="G341">
        <v>6</v>
      </c>
      <c r="H341">
        <v>1.5</v>
      </c>
      <c r="I341">
        <v>30</v>
      </c>
    </row>
    <row r="342" spans="1:11" x14ac:dyDescent="0.25">
      <c r="A342">
        <f t="shared" si="6"/>
        <v>341</v>
      </c>
      <c r="C342" t="s">
        <v>791</v>
      </c>
      <c r="D342" t="s">
        <v>798</v>
      </c>
      <c r="E342" t="s">
        <v>793</v>
      </c>
      <c r="F342" t="s">
        <v>794</v>
      </c>
      <c r="G342">
        <v>12</v>
      </c>
      <c r="H342">
        <v>3</v>
      </c>
      <c r="I342" t="s">
        <v>203</v>
      </c>
    </row>
    <row r="343" spans="1:11" x14ac:dyDescent="0.25">
      <c r="A343">
        <f t="shared" si="6"/>
        <v>342</v>
      </c>
      <c r="C343" t="s">
        <v>791</v>
      </c>
      <c r="D343" t="s">
        <v>799</v>
      </c>
      <c r="E343" t="s">
        <v>793</v>
      </c>
      <c r="F343" t="s">
        <v>794</v>
      </c>
      <c r="G343">
        <v>6</v>
      </c>
      <c r="H343">
        <v>1.5</v>
      </c>
      <c r="I343" t="s">
        <v>203</v>
      </c>
    </row>
    <row r="344" spans="1:11" x14ac:dyDescent="0.25">
      <c r="A344">
        <f t="shared" si="6"/>
        <v>343</v>
      </c>
      <c r="C344" t="s">
        <v>791</v>
      </c>
      <c r="D344" t="s">
        <v>800</v>
      </c>
      <c r="E344" t="s">
        <v>793</v>
      </c>
      <c r="F344" t="s">
        <v>794</v>
      </c>
      <c r="G344">
        <v>5</v>
      </c>
      <c r="H344">
        <v>1.5</v>
      </c>
      <c r="I344" t="s">
        <v>203</v>
      </c>
    </row>
    <row r="345" spans="1:11" x14ac:dyDescent="0.25">
      <c r="A345">
        <f t="shared" si="6"/>
        <v>344</v>
      </c>
      <c r="C345" t="s">
        <v>801</v>
      </c>
      <c r="D345" t="s">
        <v>802</v>
      </c>
      <c r="E345" t="s">
        <v>803</v>
      </c>
      <c r="F345" t="s">
        <v>804</v>
      </c>
      <c r="G345">
        <v>25</v>
      </c>
    </row>
    <row r="346" spans="1:11" x14ac:dyDescent="0.25">
      <c r="A346">
        <f t="shared" si="6"/>
        <v>345</v>
      </c>
      <c r="C346" t="s">
        <v>801</v>
      </c>
      <c r="D346" t="s">
        <v>805</v>
      </c>
      <c r="E346" t="s">
        <v>803</v>
      </c>
      <c r="F346" t="s">
        <v>806</v>
      </c>
      <c r="G346">
        <v>18</v>
      </c>
    </row>
    <row r="347" spans="1:11" x14ac:dyDescent="0.25">
      <c r="A347">
        <f t="shared" si="6"/>
        <v>346</v>
      </c>
      <c r="C347" t="s">
        <v>801</v>
      </c>
      <c r="D347" t="s">
        <v>807</v>
      </c>
      <c r="E347" t="s">
        <v>803</v>
      </c>
      <c r="F347" t="s">
        <v>808</v>
      </c>
      <c r="G347">
        <v>15</v>
      </c>
    </row>
    <row r="348" spans="1:11" x14ac:dyDescent="0.25">
      <c r="A348">
        <f t="shared" si="6"/>
        <v>347</v>
      </c>
      <c r="C348" t="s">
        <v>801</v>
      </c>
      <c r="D348" t="s">
        <v>809</v>
      </c>
      <c r="E348" t="s">
        <v>803</v>
      </c>
      <c r="F348" t="s">
        <v>810</v>
      </c>
      <c r="G348">
        <v>30</v>
      </c>
    </row>
    <row r="349" spans="1:11" x14ac:dyDescent="0.25">
      <c r="A349">
        <f t="shared" si="6"/>
        <v>348</v>
      </c>
      <c r="C349" t="s">
        <v>801</v>
      </c>
      <c r="D349" t="s">
        <v>811</v>
      </c>
      <c r="E349" t="s">
        <v>803</v>
      </c>
      <c r="F349" t="s">
        <v>812</v>
      </c>
      <c r="G349">
        <v>25</v>
      </c>
    </row>
    <row r="350" spans="1:11" x14ac:dyDescent="0.25">
      <c r="A350">
        <f t="shared" si="6"/>
        <v>349</v>
      </c>
      <c r="C350" t="s">
        <v>801</v>
      </c>
      <c r="D350" t="s">
        <v>813</v>
      </c>
      <c r="E350" t="s">
        <v>803</v>
      </c>
      <c r="F350" t="s">
        <v>814</v>
      </c>
      <c r="G350">
        <v>25</v>
      </c>
    </row>
    <row r="351" spans="1:11" x14ac:dyDescent="0.25">
      <c r="A351">
        <f t="shared" si="6"/>
        <v>350</v>
      </c>
      <c r="C351" t="s">
        <v>801</v>
      </c>
      <c r="D351" t="s">
        <v>815</v>
      </c>
      <c r="E351" t="s">
        <v>803</v>
      </c>
      <c r="F351" t="s">
        <v>816</v>
      </c>
      <c r="G351">
        <v>12</v>
      </c>
    </row>
    <row r="352" spans="1:11" x14ac:dyDescent="0.25">
      <c r="A352">
        <f t="shared" si="6"/>
        <v>351</v>
      </c>
      <c r="C352" t="s">
        <v>801</v>
      </c>
      <c r="D352" t="s">
        <v>817</v>
      </c>
      <c r="E352" t="s">
        <v>803</v>
      </c>
      <c r="F352" t="s">
        <v>818</v>
      </c>
      <c r="G352">
        <v>15</v>
      </c>
    </row>
    <row r="353" spans="1:9" x14ac:dyDescent="0.25">
      <c r="A353">
        <f t="shared" si="6"/>
        <v>352</v>
      </c>
      <c r="C353" t="s">
        <v>801</v>
      </c>
      <c r="D353" t="s">
        <v>819</v>
      </c>
      <c r="E353" t="s">
        <v>803</v>
      </c>
      <c r="F353" t="s">
        <v>820</v>
      </c>
      <c r="G353">
        <v>8</v>
      </c>
    </row>
    <row r="354" spans="1:9" x14ac:dyDescent="0.25">
      <c r="A354">
        <f t="shared" si="6"/>
        <v>353</v>
      </c>
      <c r="C354" t="s">
        <v>801</v>
      </c>
      <c r="D354" t="s">
        <v>821</v>
      </c>
      <c r="E354" t="s">
        <v>803</v>
      </c>
      <c r="F354" t="s">
        <v>822</v>
      </c>
      <c r="G354">
        <v>30</v>
      </c>
    </row>
    <row r="355" spans="1:9" x14ac:dyDescent="0.25">
      <c r="A355">
        <f t="shared" si="6"/>
        <v>354</v>
      </c>
      <c r="C355" t="s">
        <v>801</v>
      </c>
      <c r="D355" t="s">
        <v>823</v>
      </c>
      <c r="E355" t="s">
        <v>803</v>
      </c>
      <c r="F355" t="s">
        <v>824</v>
      </c>
      <c r="G355">
        <v>5</v>
      </c>
    </row>
    <row r="356" spans="1:9" x14ac:dyDescent="0.25">
      <c r="A356">
        <f t="shared" si="6"/>
        <v>355</v>
      </c>
      <c r="C356" t="s">
        <v>801</v>
      </c>
      <c r="D356" t="s">
        <v>825</v>
      </c>
      <c r="E356" t="s">
        <v>803</v>
      </c>
      <c r="F356" t="s">
        <v>826</v>
      </c>
      <c r="G356">
        <v>35</v>
      </c>
    </row>
    <row r="357" spans="1:9" x14ac:dyDescent="0.25">
      <c r="A357">
        <f t="shared" si="6"/>
        <v>356</v>
      </c>
      <c r="C357" t="s">
        <v>827</v>
      </c>
      <c r="D357" t="s">
        <v>828</v>
      </c>
      <c r="E357" t="s">
        <v>829</v>
      </c>
      <c r="F357" t="s">
        <v>830</v>
      </c>
      <c r="G357">
        <v>6</v>
      </c>
      <c r="H357" t="s">
        <v>79</v>
      </c>
      <c r="I357" t="s">
        <v>738</v>
      </c>
    </row>
    <row r="358" spans="1:9" x14ac:dyDescent="0.25">
      <c r="A358">
        <f t="shared" si="6"/>
        <v>357</v>
      </c>
      <c r="C358" t="s">
        <v>827</v>
      </c>
      <c r="D358" t="s">
        <v>831</v>
      </c>
      <c r="E358" t="s">
        <v>829</v>
      </c>
      <c r="F358" t="s">
        <v>830</v>
      </c>
      <c r="G358">
        <v>6</v>
      </c>
      <c r="H358" t="s">
        <v>82</v>
      </c>
      <c r="I358" t="s">
        <v>738</v>
      </c>
    </row>
    <row r="359" spans="1:9" x14ac:dyDescent="0.25">
      <c r="A359">
        <f t="shared" si="6"/>
        <v>358</v>
      </c>
      <c r="C359" t="s">
        <v>827</v>
      </c>
      <c r="D359" t="s">
        <v>832</v>
      </c>
      <c r="E359" t="s">
        <v>829</v>
      </c>
      <c r="F359" t="s">
        <v>830</v>
      </c>
      <c r="G359">
        <v>40</v>
      </c>
      <c r="H359" t="s">
        <v>742</v>
      </c>
      <c r="I359" t="s">
        <v>738</v>
      </c>
    </row>
    <row r="360" spans="1:9" x14ac:dyDescent="0.25">
      <c r="A360">
        <f t="shared" si="6"/>
        <v>359</v>
      </c>
      <c r="C360" t="s">
        <v>827</v>
      </c>
      <c r="D360" t="s">
        <v>833</v>
      </c>
      <c r="E360" t="s">
        <v>829</v>
      </c>
      <c r="F360" t="s">
        <v>830</v>
      </c>
      <c r="G360">
        <v>3</v>
      </c>
      <c r="H360" t="s">
        <v>744</v>
      </c>
      <c r="I360" t="s">
        <v>738</v>
      </c>
    </row>
    <row r="361" spans="1:9" x14ac:dyDescent="0.25">
      <c r="A361">
        <f t="shared" si="6"/>
        <v>360</v>
      </c>
      <c r="C361" t="s">
        <v>827</v>
      </c>
      <c r="D361" t="s">
        <v>834</v>
      </c>
      <c r="E361" t="s">
        <v>829</v>
      </c>
      <c r="F361" t="s">
        <v>830</v>
      </c>
      <c r="G361">
        <v>5</v>
      </c>
      <c r="H361" t="s">
        <v>85</v>
      </c>
      <c r="I361" t="s">
        <v>738</v>
      </c>
    </row>
    <row r="362" spans="1:9" x14ac:dyDescent="0.25">
      <c r="A362">
        <f t="shared" si="6"/>
        <v>361</v>
      </c>
      <c r="C362" t="s">
        <v>827</v>
      </c>
      <c r="D362" t="s">
        <v>835</v>
      </c>
      <c r="E362" t="s">
        <v>829</v>
      </c>
      <c r="F362" t="s">
        <v>830</v>
      </c>
      <c r="G362">
        <v>5</v>
      </c>
      <c r="H362" t="s">
        <v>88</v>
      </c>
      <c r="I362" t="s">
        <v>738</v>
      </c>
    </row>
    <row r="363" spans="1:9" x14ac:dyDescent="0.25">
      <c r="A363">
        <f t="shared" si="6"/>
        <v>362</v>
      </c>
      <c r="C363" t="s">
        <v>827</v>
      </c>
      <c r="D363" t="s">
        <v>836</v>
      </c>
      <c r="E363" t="s">
        <v>829</v>
      </c>
      <c r="F363" t="s">
        <v>830</v>
      </c>
      <c r="G363">
        <v>1.5</v>
      </c>
      <c r="H363" t="s">
        <v>752</v>
      </c>
      <c r="I363" t="s">
        <v>740</v>
      </c>
    </row>
    <row r="364" spans="1:9" x14ac:dyDescent="0.25">
      <c r="A364">
        <f t="shared" si="6"/>
        <v>363</v>
      </c>
      <c r="C364" t="s">
        <v>827</v>
      </c>
      <c r="D364" t="s">
        <v>837</v>
      </c>
      <c r="E364" t="s">
        <v>829</v>
      </c>
      <c r="F364" t="s">
        <v>830</v>
      </c>
      <c r="G364">
        <v>5</v>
      </c>
      <c r="H364" t="s">
        <v>753</v>
      </c>
      <c r="I364" t="s">
        <v>740</v>
      </c>
    </row>
    <row r="365" spans="1:9" x14ac:dyDescent="0.25">
      <c r="A365">
        <f t="shared" si="6"/>
        <v>364</v>
      </c>
      <c r="C365" t="s">
        <v>827</v>
      </c>
      <c r="D365" t="s">
        <v>838</v>
      </c>
      <c r="E365" t="s">
        <v>829</v>
      </c>
      <c r="F365" t="s">
        <v>830</v>
      </c>
      <c r="G365">
        <v>1.5</v>
      </c>
      <c r="H365" t="s">
        <v>751</v>
      </c>
      <c r="I365" t="s">
        <v>740</v>
      </c>
    </row>
    <row r="366" spans="1:9" x14ac:dyDescent="0.25">
      <c r="A366">
        <f t="shared" si="6"/>
        <v>365</v>
      </c>
      <c r="C366" t="s">
        <v>827</v>
      </c>
      <c r="D366" t="s">
        <v>839</v>
      </c>
      <c r="E366" t="s">
        <v>829</v>
      </c>
      <c r="F366" t="s">
        <v>830</v>
      </c>
      <c r="G366">
        <v>1</v>
      </c>
      <c r="H366" t="s">
        <v>759</v>
      </c>
      <c r="I366" t="s">
        <v>740</v>
      </c>
    </row>
    <row r="367" spans="1:9" x14ac:dyDescent="0.25">
      <c r="A367">
        <f t="shared" si="6"/>
        <v>366</v>
      </c>
      <c r="C367" t="s">
        <v>827</v>
      </c>
      <c r="D367" t="s">
        <v>840</v>
      </c>
      <c r="E367" t="s">
        <v>829</v>
      </c>
      <c r="F367" t="s">
        <v>830</v>
      </c>
      <c r="G367">
        <v>1</v>
      </c>
      <c r="H367" t="s">
        <v>766</v>
      </c>
      <c r="I367" t="s">
        <v>740</v>
      </c>
    </row>
    <row r="368" spans="1:9" x14ac:dyDescent="0.25">
      <c r="A368">
        <f t="shared" si="6"/>
        <v>367</v>
      </c>
      <c r="C368" t="s">
        <v>827</v>
      </c>
      <c r="D368" t="s">
        <v>841</v>
      </c>
      <c r="E368" t="s">
        <v>829</v>
      </c>
      <c r="F368" t="s">
        <v>830</v>
      </c>
      <c r="G368">
        <v>1.5</v>
      </c>
      <c r="H368" t="s">
        <v>783</v>
      </c>
      <c r="I368" t="s">
        <v>738</v>
      </c>
    </row>
    <row r="369" spans="1:9" x14ac:dyDescent="0.25">
      <c r="A369">
        <f t="shared" si="6"/>
        <v>368</v>
      </c>
      <c r="C369" t="s">
        <v>827</v>
      </c>
      <c r="D369" t="s">
        <v>842</v>
      </c>
      <c r="E369" t="s">
        <v>829</v>
      </c>
      <c r="F369" t="s">
        <v>830</v>
      </c>
      <c r="G369">
        <v>1.5</v>
      </c>
      <c r="H369" t="s">
        <v>767</v>
      </c>
      <c r="I369" t="s">
        <v>740</v>
      </c>
    </row>
    <row r="370" spans="1:9" x14ac:dyDescent="0.25">
      <c r="A370">
        <f t="shared" si="6"/>
        <v>369</v>
      </c>
      <c r="C370" t="s">
        <v>827</v>
      </c>
      <c r="D370" t="s">
        <v>843</v>
      </c>
      <c r="E370" t="s">
        <v>829</v>
      </c>
      <c r="F370" t="s">
        <v>830</v>
      </c>
      <c r="G370">
        <v>1</v>
      </c>
      <c r="H370" t="s">
        <v>764</v>
      </c>
      <c r="I370" t="s">
        <v>740</v>
      </c>
    </row>
    <row r="371" spans="1:9" x14ac:dyDescent="0.25">
      <c r="A371">
        <f t="shared" si="6"/>
        <v>370</v>
      </c>
      <c r="C371" t="s">
        <v>827</v>
      </c>
      <c r="D371" t="s">
        <v>844</v>
      </c>
      <c r="E371" t="s">
        <v>829</v>
      </c>
      <c r="F371" t="s">
        <v>830</v>
      </c>
      <c r="G371">
        <v>1.5</v>
      </c>
      <c r="H371" t="s">
        <v>765</v>
      </c>
      <c r="I371" t="s">
        <v>740</v>
      </c>
    </row>
    <row r="372" spans="1:9" x14ac:dyDescent="0.25">
      <c r="A372">
        <f t="shared" si="6"/>
        <v>371</v>
      </c>
      <c r="C372" t="s">
        <v>827</v>
      </c>
      <c r="D372" t="s">
        <v>845</v>
      </c>
      <c r="E372" t="s">
        <v>829</v>
      </c>
      <c r="F372" t="s">
        <v>830</v>
      </c>
      <c r="G372">
        <v>2</v>
      </c>
      <c r="H372" t="s">
        <v>768</v>
      </c>
      <c r="I372" t="s">
        <v>740</v>
      </c>
    </row>
    <row r="373" spans="1:9" x14ac:dyDescent="0.25">
      <c r="A373">
        <f t="shared" si="6"/>
        <v>372</v>
      </c>
      <c r="C373" t="s">
        <v>827</v>
      </c>
      <c r="D373" t="s">
        <v>846</v>
      </c>
      <c r="E373" t="s">
        <v>829</v>
      </c>
      <c r="F373" t="s">
        <v>830</v>
      </c>
      <c r="G373">
        <v>0.8</v>
      </c>
      <c r="H373" t="s">
        <v>769</v>
      </c>
      <c r="I373" t="s">
        <v>740</v>
      </c>
    </row>
    <row r="374" spans="1:9" x14ac:dyDescent="0.25">
      <c r="A374">
        <f t="shared" si="6"/>
        <v>373</v>
      </c>
      <c r="C374" t="s">
        <v>827</v>
      </c>
      <c r="D374" t="s">
        <v>847</v>
      </c>
      <c r="E374" t="s">
        <v>829</v>
      </c>
      <c r="F374" t="s">
        <v>830</v>
      </c>
      <c r="G374">
        <v>0.8</v>
      </c>
      <c r="H374" t="s">
        <v>770</v>
      </c>
      <c r="I374" t="s">
        <v>740</v>
      </c>
    </row>
    <row r="375" spans="1:9" x14ac:dyDescent="0.25">
      <c r="A375">
        <f t="shared" si="6"/>
        <v>374</v>
      </c>
      <c r="C375" t="s">
        <v>848</v>
      </c>
      <c r="D375" t="s">
        <v>849</v>
      </c>
      <c r="E375" t="s">
        <v>850</v>
      </c>
      <c r="F375" t="s">
        <v>851</v>
      </c>
      <c r="G375">
        <v>25</v>
      </c>
      <c r="H375" t="s">
        <v>852</v>
      </c>
    </row>
    <row r="376" spans="1:9" x14ac:dyDescent="0.25">
      <c r="A376">
        <f t="shared" si="6"/>
        <v>375</v>
      </c>
      <c r="C376" t="s">
        <v>848</v>
      </c>
      <c r="D376" t="s">
        <v>853</v>
      </c>
      <c r="E376" t="s">
        <v>850</v>
      </c>
      <c r="F376" t="s">
        <v>854</v>
      </c>
      <c r="G376">
        <v>20</v>
      </c>
      <c r="H376" t="s">
        <v>852</v>
      </c>
    </row>
    <row r="377" spans="1:9" x14ac:dyDescent="0.25">
      <c r="A377">
        <f t="shared" si="6"/>
        <v>376</v>
      </c>
      <c r="C377" t="s">
        <v>848</v>
      </c>
      <c r="D377" t="s">
        <v>855</v>
      </c>
      <c r="E377" t="s">
        <v>850</v>
      </c>
      <c r="F377" t="s">
        <v>856</v>
      </c>
      <c r="G377">
        <v>25</v>
      </c>
      <c r="H377" t="s">
        <v>852</v>
      </c>
    </row>
    <row r="378" spans="1:9" x14ac:dyDescent="0.25">
      <c r="A378">
        <f t="shared" si="6"/>
        <v>377</v>
      </c>
      <c r="C378" t="s">
        <v>848</v>
      </c>
      <c r="D378" t="s">
        <v>857</v>
      </c>
      <c r="E378" t="s">
        <v>850</v>
      </c>
      <c r="F378" t="s">
        <v>858</v>
      </c>
      <c r="G378">
        <v>20</v>
      </c>
      <c r="H378" t="s">
        <v>852</v>
      </c>
    </row>
    <row r="379" spans="1:9" x14ac:dyDescent="0.25">
      <c r="A379">
        <f t="shared" si="6"/>
        <v>378</v>
      </c>
      <c r="C379" t="s">
        <v>848</v>
      </c>
      <c r="D379" t="s">
        <v>859</v>
      </c>
      <c r="E379" t="s">
        <v>850</v>
      </c>
      <c r="F379" t="s">
        <v>860</v>
      </c>
      <c r="G379">
        <v>0.4</v>
      </c>
      <c r="H379" t="s">
        <v>852</v>
      </c>
    </row>
    <row r="380" spans="1:9" x14ac:dyDescent="0.25">
      <c r="A380">
        <f t="shared" si="6"/>
        <v>379</v>
      </c>
      <c r="C380" t="s">
        <v>848</v>
      </c>
      <c r="D380" t="s">
        <v>861</v>
      </c>
      <c r="E380" t="s">
        <v>850</v>
      </c>
      <c r="F380" t="s">
        <v>862</v>
      </c>
      <c r="G380">
        <v>3</v>
      </c>
      <c r="H380" t="s">
        <v>852</v>
      </c>
    </row>
    <row r="381" spans="1:9" x14ac:dyDescent="0.25">
      <c r="A381">
        <f t="shared" si="6"/>
        <v>380</v>
      </c>
      <c r="C381" t="s">
        <v>848</v>
      </c>
      <c r="D381" t="s">
        <v>863</v>
      </c>
      <c r="E381" t="s">
        <v>850</v>
      </c>
      <c r="F381" t="s">
        <v>864</v>
      </c>
      <c r="G381">
        <v>1.5</v>
      </c>
      <c r="H381" t="s">
        <v>852</v>
      </c>
    </row>
    <row r="382" spans="1:9" x14ac:dyDescent="0.25">
      <c r="A382">
        <f t="shared" si="6"/>
        <v>381</v>
      </c>
      <c r="C382" t="s">
        <v>848</v>
      </c>
      <c r="D382" t="s">
        <v>865</v>
      </c>
      <c r="E382" t="s">
        <v>850</v>
      </c>
      <c r="F382" t="s">
        <v>866</v>
      </c>
      <c r="G382">
        <v>0.15</v>
      </c>
      <c r="H382" t="s">
        <v>852</v>
      </c>
    </row>
    <row r="383" spans="1:9" x14ac:dyDescent="0.25">
      <c r="A383">
        <f t="shared" si="6"/>
        <v>382</v>
      </c>
      <c r="C383" t="s">
        <v>848</v>
      </c>
      <c r="D383" t="s">
        <v>867</v>
      </c>
      <c r="E383" t="s">
        <v>850</v>
      </c>
      <c r="F383" t="s">
        <v>868</v>
      </c>
      <c r="G383">
        <v>0.5</v>
      </c>
      <c r="H383" t="s">
        <v>852</v>
      </c>
    </row>
    <row r="384" spans="1:9" x14ac:dyDescent="0.25">
      <c r="A384">
        <f t="shared" si="6"/>
        <v>383</v>
      </c>
      <c r="C384" t="s">
        <v>848</v>
      </c>
      <c r="D384" t="s">
        <v>869</v>
      </c>
      <c r="E384" t="s">
        <v>850</v>
      </c>
      <c r="F384" t="s">
        <v>870</v>
      </c>
      <c r="G384">
        <v>25</v>
      </c>
      <c r="H384" t="s">
        <v>852</v>
      </c>
    </row>
    <row r="385" spans="1:8" x14ac:dyDescent="0.25">
      <c r="A385">
        <f t="shared" si="6"/>
        <v>384</v>
      </c>
      <c r="C385" t="s">
        <v>848</v>
      </c>
      <c r="D385" t="s">
        <v>871</v>
      </c>
      <c r="E385" t="s">
        <v>850</v>
      </c>
      <c r="F385" t="s">
        <v>872</v>
      </c>
      <c r="G385">
        <v>8</v>
      </c>
      <c r="H385" t="s">
        <v>873</v>
      </c>
    </row>
    <row r="386" spans="1:8" x14ac:dyDescent="0.25">
      <c r="A386">
        <f t="shared" si="6"/>
        <v>385</v>
      </c>
      <c r="C386" t="s">
        <v>848</v>
      </c>
      <c r="D386" t="s">
        <v>874</v>
      </c>
      <c r="E386" t="s">
        <v>850</v>
      </c>
      <c r="F386" t="s">
        <v>875</v>
      </c>
      <c r="G386">
        <v>15</v>
      </c>
      <c r="H386" t="s">
        <v>873</v>
      </c>
    </row>
    <row r="387" spans="1:8" x14ac:dyDescent="0.25">
      <c r="A387">
        <f t="shared" si="6"/>
        <v>386</v>
      </c>
      <c r="C387" t="s">
        <v>876</v>
      </c>
      <c r="D387" t="s">
        <v>877</v>
      </c>
      <c r="E387" t="s">
        <v>878</v>
      </c>
      <c r="F387" t="s">
        <v>879</v>
      </c>
      <c r="G387">
        <v>0.8</v>
      </c>
    </row>
    <row r="388" spans="1:8" x14ac:dyDescent="0.25">
      <c r="A388">
        <f t="shared" si="6"/>
        <v>387</v>
      </c>
      <c r="C388" t="s">
        <v>876</v>
      </c>
      <c r="D388" t="s">
        <v>880</v>
      </c>
      <c r="E388" t="s">
        <v>881</v>
      </c>
      <c r="F388" t="s">
        <v>882</v>
      </c>
      <c r="G388">
        <v>3</v>
      </c>
    </row>
    <row r="389" spans="1:8" x14ac:dyDescent="0.25">
      <c r="A389">
        <f t="shared" si="6"/>
        <v>388</v>
      </c>
      <c r="C389" t="s">
        <v>876</v>
      </c>
      <c r="D389" t="s">
        <v>883</v>
      </c>
      <c r="E389" t="s">
        <v>884</v>
      </c>
      <c r="F389" t="s">
        <v>885</v>
      </c>
      <c r="G389">
        <v>7</v>
      </c>
    </row>
    <row r="390" spans="1:8" x14ac:dyDescent="0.25">
      <c r="A390">
        <f t="shared" si="6"/>
        <v>389</v>
      </c>
      <c r="C390" t="s">
        <v>876</v>
      </c>
      <c r="D390" t="s">
        <v>886</v>
      </c>
      <c r="E390" t="s">
        <v>887</v>
      </c>
      <c r="F390" t="s">
        <v>888</v>
      </c>
      <c r="G390">
        <v>10</v>
      </c>
    </row>
    <row r="391" spans="1:8" x14ac:dyDescent="0.25">
      <c r="A391">
        <f t="shared" si="6"/>
        <v>390</v>
      </c>
      <c r="C391" t="s">
        <v>876</v>
      </c>
      <c r="D391" t="s">
        <v>889</v>
      </c>
      <c r="E391" t="s">
        <v>890</v>
      </c>
      <c r="F391" t="s">
        <v>965</v>
      </c>
      <c r="G391">
        <v>2</v>
      </c>
    </row>
    <row r="392" spans="1:8" x14ac:dyDescent="0.25">
      <c r="A392">
        <f t="shared" ref="A392:A449" si="7">A391+1</f>
        <v>391</v>
      </c>
      <c r="C392" t="s">
        <v>876</v>
      </c>
      <c r="D392" t="s">
        <v>891</v>
      </c>
      <c r="E392" t="s">
        <v>892</v>
      </c>
      <c r="F392" t="s">
        <v>893</v>
      </c>
      <c r="G392">
        <v>5</v>
      </c>
      <c r="H392">
        <v>10</v>
      </c>
    </row>
    <row r="393" spans="1:8" x14ac:dyDescent="0.25">
      <c r="A393">
        <f t="shared" si="7"/>
        <v>392</v>
      </c>
      <c r="C393" t="s">
        <v>876</v>
      </c>
      <c r="D393" t="s">
        <v>894</v>
      </c>
      <c r="E393" t="s">
        <v>895</v>
      </c>
      <c r="F393" t="s">
        <v>896</v>
      </c>
      <c r="G393">
        <v>8</v>
      </c>
    </row>
    <row r="394" spans="1:8" x14ac:dyDescent="0.25">
      <c r="A394">
        <f t="shared" si="7"/>
        <v>393</v>
      </c>
      <c r="C394" t="s">
        <v>897</v>
      </c>
      <c r="D394" t="s">
        <v>79</v>
      </c>
      <c r="E394" t="s">
        <v>898</v>
      </c>
      <c r="F394" t="s">
        <v>899</v>
      </c>
      <c r="G394">
        <v>1</v>
      </c>
    </row>
    <row r="395" spans="1:8" x14ac:dyDescent="0.25">
      <c r="A395">
        <f t="shared" si="7"/>
        <v>394</v>
      </c>
      <c r="C395" t="s">
        <v>897</v>
      </c>
      <c r="D395" t="s">
        <v>739</v>
      </c>
      <c r="E395" t="s">
        <v>898</v>
      </c>
      <c r="F395" t="s">
        <v>899</v>
      </c>
      <c r="G395">
        <v>2.6</v>
      </c>
    </row>
    <row r="396" spans="1:8" x14ac:dyDescent="0.25">
      <c r="A396">
        <f t="shared" si="7"/>
        <v>395</v>
      </c>
      <c r="C396" t="s">
        <v>897</v>
      </c>
      <c r="D396" t="s">
        <v>82</v>
      </c>
      <c r="E396" t="s">
        <v>898</v>
      </c>
      <c r="F396" t="s">
        <v>899</v>
      </c>
      <c r="G396">
        <v>1</v>
      </c>
    </row>
    <row r="397" spans="1:8" x14ac:dyDescent="0.25">
      <c r="A397">
        <f t="shared" si="7"/>
        <v>396</v>
      </c>
      <c r="C397" t="s">
        <v>897</v>
      </c>
      <c r="D397" t="s">
        <v>741</v>
      </c>
      <c r="E397" t="s">
        <v>898</v>
      </c>
      <c r="F397" t="s">
        <v>899</v>
      </c>
      <c r="G397">
        <v>2.6</v>
      </c>
    </row>
    <row r="398" spans="1:8" x14ac:dyDescent="0.25">
      <c r="A398">
        <f t="shared" si="7"/>
        <v>397</v>
      </c>
      <c r="C398" t="s">
        <v>897</v>
      </c>
      <c r="D398" t="s">
        <v>742</v>
      </c>
      <c r="E398" t="s">
        <v>898</v>
      </c>
      <c r="F398" t="s">
        <v>899</v>
      </c>
      <c r="G398">
        <v>0.16</v>
      </c>
    </row>
    <row r="399" spans="1:8" x14ac:dyDescent="0.25">
      <c r="A399">
        <f t="shared" si="7"/>
        <v>398</v>
      </c>
      <c r="C399" t="s">
        <v>897</v>
      </c>
      <c r="D399" t="s">
        <v>743</v>
      </c>
      <c r="E399" t="s">
        <v>898</v>
      </c>
      <c r="F399" t="s">
        <v>899</v>
      </c>
      <c r="G399">
        <v>2.2000000000000002</v>
      </c>
    </row>
    <row r="400" spans="1:8" x14ac:dyDescent="0.25">
      <c r="A400">
        <f t="shared" si="7"/>
        <v>399</v>
      </c>
      <c r="C400" t="s">
        <v>897</v>
      </c>
      <c r="D400" t="s">
        <v>744</v>
      </c>
      <c r="E400" t="s">
        <v>898</v>
      </c>
      <c r="F400" t="s">
        <v>899</v>
      </c>
      <c r="G400">
        <v>0.6</v>
      </c>
    </row>
    <row r="401" spans="1:7" x14ac:dyDescent="0.25">
      <c r="A401">
        <f t="shared" si="7"/>
        <v>400</v>
      </c>
      <c r="C401" t="s">
        <v>897</v>
      </c>
      <c r="D401" t="s">
        <v>85</v>
      </c>
      <c r="E401" t="s">
        <v>898</v>
      </c>
      <c r="F401" t="s">
        <v>899</v>
      </c>
      <c r="G401">
        <v>0.9</v>
      </c>
    </row>
    <row r="402" spans="1:7" x14ac:dyDescent="0.25">
      <c r="A402">
        <f t="shared" si="7"/>
        <v>401</v>
      </c>
      <c r="C402" t="s">
        <v>897</v>
      </c>
      <c r="D402" t="s">
        <v>750</v>
      </c>
      <c r="E402" t="s">
        <v>898</v>
      </c>
      <c r="F402" t="s">
        <v>899</v>
      </c>
      <c r="G402">
        <v>1.8</v>
      </c>
    </row>
    <row r="403" spans="1:7" x14ac:dyDescent="0.25">
      <c r="A403">
        <f t="shared" si="7"/>
        <v>402</v>
      </c>
      <c r="C403" t="s">
        <v>897</v>
      </c>
      <c r="D403" t="s">
        <v>88</v>
      </c>
      <c r="E403" t="s">
        <v>898</v>
      </c>
      <c r="F403" t="s">
        <v>899</v>
      </c>
      <c r="G403">
        <v>0.9</v>
      </c>
    </row>
    <row r="404" spans="1:7" x14ac:dyDescent="0.25">
      <c r="A404">
        <f t="shared" si="7"/>
        <v>403</v>
      </c>
      <c r="C404" t="s">
        <v>897</v>
      </c>
      <c r="D404" t="s">
        <v>745</v>
      </c>
      <c r="E404" t="s">
        <v>898</v>
      </c>
      <c r="F404" t="s">
        <v>899</v>
      </c>
      <c r="G404">
        <v>0.25</v>
      </c>
    </row>
    <row r="405" spans="1:7" x14ac:dyDescent="0.25">
      <c r="A405">
        <f t="shared" si="7"/>
        <v>404</v>
      </c>
      <c r="C405" t="s">
        <v>897</v>
      </c>
      <c r="D405" t="s">
        <v>76</v>
      </c>
      <c r="E405" t="s">
        <v>898</v>
      </c>
      <c r="F405" t="s">
        <v>899</v>
      </c>
      <c r="G405">
        <v>2</v>
      </c>
    </row>
    <row r="406" spans="1:7" x14ac:dyDescent="0.25">
      <c r="A406">
        <f t="shared" si="7"/>
        <v>405</v>
      </c>
      <c r="C406" t="s">
        <v>897</v>
      </c>
      <c r="D406" t="s">
        <v>746</v>
      </c>
      <c r="E406" t="s">
        <v>898</v>
      </c>
      <c r="F406" t="s">
        <v>899</v>
      </c>
      <c r="G406">
        <v>1.8</v>
      </c>
    </row>
    <row r="407" spans="1:7" x14ac:dyDescent="0.25">
      <c r="A407">
        <f t="shared" si="7"/>
        <v>406</v>
      </c>
      <c r="C407" t="s">
        <v>897</v>
      </c>
      <c r="D407" t="s">
        <v>747</v>
      </c>
      <c r="E407" t="s">
        <v>898</v>
      </c>
      <c r="F407" t="s">
        <v>899</v>
      </c>
      <c r="G407">
        <v>1.8</v>
      </c>
    </row>
    <row r="408" spans="1:7" x14ac:dyDescent="0.25">
      <c r="A408">
        <f t="shared" si="7"/>
        <v>407</v>
      </c>
      <c r="C408" t="s">
        <v>897</v>
      </c>
      <c r="D408" t="s">
        <v>748</v>
      </c>
      <c r="E408" t="s">
        <v>898</v>
      </c>
      <c r="F408" t="s">
        <v>899</v>
      </c>
      <c r="G408">
        <v>1.8</v>
      </c>
    </row>
    <row r="409" spans="1:7" x14ac:dyDescent="0.25">
      <c r="A409">
        <f t="shared" si="7"/>
        <v>408</v>
      </c>
      <c r="C409" t="s">
        <v>897</v>
      </c>
      <c r="D409" t="s">
        <v>749</v>
      </c>
      <c r="E409" t="s">
        <v>898</v>
      </c>
      <c r="F409" t="s">
        <v>899</v>
      </c>
      <c r="G409">
        <v>1.8</v>
      </c>
    </row>
    <row r="410" spans="1:7" x14ac:dyDescent="0.25">
      <c r="A410">
        <f t="shared" si="7"/>
        <v>409</v>
      </c>
      <c r="C410" t="s">
        <v>897</v>
      </c>
      <c r="D410" t="s">
        <v>751</v>
      </c>
      <c r="E410" t="s">
        <v>898</v>
      </c>
      <c r="F410" t="s">
        <v>899</v>
      </c>
      <c r="G410">
        <v>2.8</v>
      </c>
    </row>
    <row r="411" spans="1:7" x14ac:dyDescent="0.25">
      <c r="A411">
        <f t="shared" si="7"/>
        <v>410</v>
      </c>
      <c r="C411" t="s">
        <v>897</v>
      </c>
      <c r="D411" t="s">
        <v>752</v>
      </c>
      <c r="E411" t="s">
        <v>898</v>
      </c>
      <c r="F411" t="s">
        <v>899</v>
      </c>
      <c r="G411">
        <v>2.4</v>
      </c>
    </row>
    <row r="412" spans="1:7" x14ac:dyDescent="0.25">
      <c r="A412">
        <f t="shared" si="7"/>
        <v>411</v>
      </c>
      <c r="C412" t="s">
        <v>897</v>
      </c>
      <c r="D412" t="s">
        <v>753</v>
      </c>
      <c r="E412" t="s">
        <v>898</v>
      </c>
      <c r="F412" t="s">
        <v>899</v>
      </c>
      <c r="G412">
        <v>0.9</v>
      </c>
    </row>
    <row r="413" spans="1:7" x14ac:dyDescent="0.25">
      <c r="A413">
        <f t="shared" si="7"/>
        <v>412</v>
      </c>
      <c r="C413" t="s">
        <v>897</v>
      </c>
      <c r="D413" t="s">
        <v>754</v>
      </c>
      <c r="E413" t="s">
        <v>898</v>
      </c>
      <c r="F413" t="s">
        <v>899</v>
      </c>
      <c r="G413">
        <v>2.2000000000000002</v>
      </c>
    </row>
    <row r="414" spans="1:7" x14ac:dyDescent="0.25">
      <c r="A414">
        <f t="shared" si="7"/>
        <v>413</v>
      </c>
      <c r="C414" t="s">
        <v>897</v>
      </c>
      <c r="D414" t="s">
        <v>755</v>
      </c>
      <c r="E414" t="s">
        <v>898</v>
      </c>
      <c r="F414" t="s">
        <v>899</v>
      </c>
      <c r="G414">
        <v>2.2000000000000002</v>
      </c>
    </row>
    <row r="415" spans="1:7" x14ac:dyDescent="0.25">
      <c r="A415">
        <f t="shared" si="7"/>
        <v>414</v>
      </c>
      <c r="C415" t="s">
        <v>897</v>
      </c>
      <c r="D415" t="s">
        <v>756</v>
      </c>
      <c r="E415" t="s">
        <v>898</v>
      </c>
      <c r="F415" t="s">
        <v>899</v>
      </c>
      <c r="G415">
        <v>1.2</v>
      </c>
    </row>
    <row r="416" spans="1:7" x14ac:dyDescent="0.25">
      <c r="A416">
        <f t="shared" si="7"/>
        <v>415</v>
      </c>
      <c r="C416" t="s">
        <v>897</v>
      </c>
      <c r="D416" t="s">
        <v>757</v>
      </c>
      <c r="E416" t="s">
        <v>898</v>
      </c>
      <c r="F416" t="s">
        <v>899</v>
      </c>
      <c r="G416">
        <v>2</v>
      </c>
    </row>
    <row r="417" spans="1:7" x14ac:dyDescent="0.25">
      <c r="A417">
        <f t="shared" si="7"/>
        <v>416</v>
      </c>
      <c r="C417" t="s">
        <v>897</v>
      </c>
      <c r="D417" t="s">
        <v>758</v>
      </c>
      <c r="E417" t="s">
        <v>898</v>
      </c>
      <c r="F417" t="s">
        <v>899</v>
      </c>
      <c r="G417">
        <v>1.4</v>
      </c>
    </row>
    <row r="418" spans="1:7" x14ac:dyDescent="0.25">
      <c r="A418">
        <f t="shared" si="7"/>
        <v>417</v>
      </c>
      <c r="C418" t="s">
        <v>897</v>
      </c>
      <c r="D418" t="s">
        <v>759</v>
      </c>
      <c r="E418" t="s">
        <v>898</v>
      </c>
      <c r="F418" t="s">
        <v>899</v>
      </c>
      <c r="G418">
        <v>2.2000000000000002</v>
      </c>
    </row>
    <row r="419" spans="1:7" x14ac:dyDescent="0.25">
      <c r="A419">
        <f t="shared" si="7"/>
        <v>418</v>
      </c>
      <c r="C419" t="s">
        <v>897</v>
      </c>
      <c r="D419" t="s">
        <v>760</v>
      </c>
      <c r="E419" t="s">
        <v>898</v>
      </c>
      <c r="F419" t="s">
        <v>899</v>
      </c>
      <c r="G419">
        <v>1.4</v>
      </c>
    </row>
    <row r="420" spans="1:7" x14ac:dyDescent="0.25">
      <c r="A420">
        <f t="shared" si="7"/>
        <v>419</v>
      </c>
      <c r="C420" t="s">
        <v>897</v>
      </c>
      <c r="D420" t="s">
        <v>761</v>
      </c>
      <c r="E420" t="s">
        <v>898</v>
      </c>
      <c r="F420" t="s">
        <v>899</v>
      </c>
      <c r="G420">
        <v>1.2</v>
      </c>
    </row>
    <row r="421" spans="1:7" x14ac:dyDescent="0.25">
      <c r="A421">
        <f t="shared" si="7"/>
        <v>420</v>
      </c>
      <c r="C421" t="s">
        <v>897</v>
      </c>
      <c r="D421" t="s">
        <v>762</v>
      </c>
      <c r="E421" t="s">
        <v>898</v>
      </c>
      <c r="F421" t="s">
        <v>899</v>
      </c>
      <c r="G421">
        <v>1.2</v>
      </c>
    </row>
    <row r="422" spans="1:7" x14ac:dyDescent="0.25">
      <c r="A422">
        <f t="shared" si="7"/>
        <v>421</v>
      </c>
      <c r="C422" t="s">
        <v>897</v>
      </c>
      <c r="D422" t="s">
        <v>763</v>
      </c>
      <c r="E422" t="s">
        <v>898</v>
      </c>
      <c r="F422" t="s">
        <v>899</v>
      </c>
      <c r="G422">
        <v>1.4</v>
      </c>
    </row>
    <row r="423" spans="1:7" x14ac:dyDescent="0.25">
      <c r="A423">
        <f t="shared" si="7"/>
        <v>422</v>
      </c>
      <c r="C423" t="s">
        <v>897</v>
      </c>
      <c r="D423" t="s">
        <v>108</v>
      </c>
      <c r="E423" t="s">
        <v>898</v>
      </c>
      <c r="F423" t="s">
        <v>899</v>
      </c>
      <c r="G423">
        <v>1</v>
      </c>
    </row>
    <row r="424" spans="1:7" x14ac:dyDescent="0.25">
      <c r="A424">
        <f t="shared" si="7"/>
        <v>423</v>
      </c>
      <c r="C424" t="s">
        <v>897</v>
      </c>
      <c r="D424" t="s">
        <v>764</v>
      </c>
      <c r="E424" t="s">
        <v>898</v>
      </c>
      <c r="F424" t="s">
        <v>899</v>
      </c>
      <c r="G424">
        <v>2</v>
      </c>
    </row>
    <row r="425" spans="1:7" x14ac:dyDescent="0.25">
      <c r="A425">
        <f t="shared" si="7"/>
        <v>424</v>
      </c>
      <c r="C425" t="s">
        <v>897</v>
      </c>
      <c r="D425" t="s">
        <v>765</v>
      </c>
      <c r="E425" t="s">
        <v>898</v>
      </c>
      <c r="F425" t="s">
        <v>899</v>
      </c>
      <c r="G425">
        <v>1.2</v>
      </c>
    </row>
    <row r="426" spans="1:7" x14ac:dyDescent="0.25">
      <c r="A426">
        <f t="shared" si="7"/>
        <v>425</v>
      </c>
      <c r="C426" t="s">
        <v>897</v>
      </c>
      <c r="D426" t="s">
        <v>766</v>
      </c>
      <c r="E426" t="s">
        <v>898</v>
      </c>
      <c r="F426" t="s">
        <v>899</v>
      </c>
      <c r="G426">
        <v>2.2000000000000002</v>
      </c>
    </row>
    <row r="427" spans="1:7" x14ac:dyDescent="0.25">
      <c r="A427">
        <f t="shared" si="7"/>
        <v>426</v>
      </c>
      <c r="C427" t="s">
        <v>897</v>
      </c>
      <c r="D427" t="s">
        <v>767</v>
      </c>
      <c r="E427" t="s">
        <v>898</v>
      </c>
      <c r="F427" t="s">
        <v>899</v>
      </c>
      <c r="G427">
        <v>1.2</v>
      </c>
    </row>
    <row r="428" spans="1:7" x14ac:dyDescent="0.25">
      <c r="A428">
        <f t="shared" si="7"/>
        <v>427</v>
      </c>
      <c r="C428" t="s">
        <v>897</v>
      </c>
      <c r="D428" t="s">
        <v>768</v>
      </c>
      <c r="E428" t="s">
        <v>898</v>
      </c>
      <c r="F428" t="s">
        <v>899</v>
      </c>
      <c r="G428">
        <v>1</v>
      </c>
    </row>
    <row r="429" spans="1:7" x14ac:dyDescent="0.25">
      <c r="A429">
        <f t="shared" si="7"/>
        <v>428</v>
      </c>
      <c r="C429" t="s">
        <v>897</v>
      </c>
      <c r="D429" t="s">
        <v>769</v>
      </c>
      <c r="E429" t="s">
        <v>898</v>
      </c>
      <c r="F429" t="s">
        <v>899</v>
      </c>
      <c r="G429">
        <v>2</v>
      </c>
    </row>
    <row r="430" spans="1:7" x14ac:dyDescent="0.25">
      <c r="A430">
        <f t="shared" si="7"/>
        <v>429</v>
      </c>
      <c r="C430" t="s">
        <v>897</v>
      </c>
      <c r="D430" t="s">
        <v>770</v>
      </c>
      <c r="E430" t="s">
        <v>898</v>
      </c>
      <c r="F430" t="s">
        <v>899</v>
      </c>
      <c r="G430">
        <v>2</v>
      </c>
    </row>
    <row r="431" spans="1:7" x14ac:dyDescent="0.25">
      <c r="A431">
        <f t="shared" si="7"/>
        <v>430</v>
      </c>
      <c r="C431" t="s">
        <v>897</v>
      </c>
      <c r="D431" t="s">
        <v>771</v>
      </c>
      <c r="E431" t="s">
        <v>898</v>
      </c>
      <c r="F431" t="s">
        <v>899</v>
      </c>
      <c r="G431">
        <v>0.8</v>
      </c>
    </row>
    <row r="432" spans="1:7" x14ac:dyDescent="0.25">
      <c r="A432">
        <f t="shared" si="7"/>
        <v>431</v>
      </c>
      <c r="C432" t="s">
        <v>897</v>
      </c>
      <c r="D432" t="s">
        <v>772</v>
      </c>
      <c r="E432" t="s">
        <v>898</v>
      </c>
      <c r="F432" t="s">
        <v>899</v>
      </c>
      <c r="G432">
        <v>0.8</v>
      </c>
    </row>
    <row r="433" spans="1:7" x14ac:dyDescent="0.25">
      <c r="A433">
        <f t="shared" si="7"/>
        <v>432</v>
      </c>
      <c r="C433" t="s">
        <v>897</v>
      </c>
      <c r="D433" t="s">
        <v>773</v>
      </c>
      <c r="E433" t="s">
        <v>898</v>
      </c>
      <c r="F433" t="s">
        <v>899</v>
      </c>
      <c r="G433">
        <v>0.8</v>
      </c>
    </row>
    <row r="434" spans="1:7" x14ac:dyDescent="0.25">
      <c r="A434">
        <f t="shared" si="7"/>
        <v>433</v>
      </c>
      <c r="C434" t="s">
        <v>897</v>
      </c>
      <c r="D434" t="s">
        <v>774</v>
      </c>
      <c r="E434" t="s">
        <v>898</v>
      </c>
      <c r="F434" t="s">
        <v>899</v>
      </c>
      <c r="G434">
        <v>0.8</v>
      </c>
    </row>
    <row r="435" spans="1:7" x14ac:dyDescent="0.25">
      <c r="A435">
        <f t="shared" si="7"/>
        <v>434</v>
      </c>
      <c r="C435" t="s">
        <v>897</v>
      </c>
      <c r="D435" t="s">
        <v>775</v>
      </c>
      <c r="E435" t="s">
        <v>898</v>
      </c>
      <c r="F435" t="s">
        <v>899</v>
      </c>
      <c r="G435">
        <v>0.8</v>
      </c>
    </row>
    <row r="436" spans="1:7" x14ac:dyDescent="0.25">
      <c r="A436">
        <f t="shared" si="7"/>
        <v>435</v>
      </c>
      <c r="C436" t="s">
        <v>897</v>
      </c>
      <c r="D436" t="s">
        <v>776</v>
      </c>
      <c r="E436" t="s">
        <v>898</v>
      </c>
      <c r="F436" t="s">
        <v>899</v>
      </c>
      <c r="G436">
        <v>0.8</v>
      </c>
    </row>
    <row r="437" spans="1:7" x14ac:dyDescent="0.25">
      <c r="A437">
        <f t="shared" si="7"/>
        <v>436</v>
      </c>
      <c r="C437" t="s">
        <v>897</v>
      </c>
      <c r="D437" t="s">
        <v>777</v>
      </c>
      <c r="E437" t="s">
        <v>898</v>
      </c>
      <c r="F437" t="s">
        <v>899</v>
      </c>
      <c r="G437">
        <v>1.2</v>
      </c>
    </row>
    <row r="438" spans="1:7" x14ac:dyDescent="0.25">
      <c r="A438">
        <f t="shared" si="7"/>
        <v>437</v>
      </c>
      <c r="C438" t="s">
        <v>897</v>
      </c>
      <c r="D438" t="s">
        <v>778</v>
      </c>
      <c r="E438" t="s">
        <v>898</v>
      </c>
      <c r="F438" t="s">
        <v>899</v>
      </c>
      <c r="G438">
        <v>1.5</v>
      </c>
    </row>
    <row r="439" spans="1:7" x14ac:dyDescent="0.25">
      <c r="A439">
        <f t="shared" si="7"/>
        <v>438</v>
      </c>
      <c r="C439" t="s">
        <v>897</v>
      </c>
      <c r="D439" t="s">
        <v>779</v>
      </c>
      <c r="E439" t="s">
        <v>898</v>
      </c>
      <c r="F439" t="s">
        <v>899</v>
      </c>
      <c r="G439">
        <v>0.8</v>
      </c>
    </row>
    <row r="440" spans="1:7" x14ac:dyDescent="0.25">
      <c r="A440">
        <f t="shared" si="7"/>
        <v>439</v>
      </c>
      <c r="C440" t="s">
        <v>897</v>
      </c>
      <c r="D440" t="s">
        <v>780</v>
      </c>
      <c r="E440" t="s">
        <v>898</v>
      </c>
      <c r="F440" t="s">
        <v>899</v>
      </c>
      <c r="G440">
        <v>0.8</v>
      </c>
    </row>
    <row r="441" spans="1:7" x14ac:dyDescent="0.25">
      <c r="A441">
        <f t="shared" si="7"/>
        <v>440</v>
      </c>
      <c r="C441" t="s">
        <v>897</v>
      </c>
      <c r="D441" t="s">
        <v>782</v>
      </c>
      <c r="E441" t="s">
        <v>898</v>
      </c>
      <c r="F441" t="s">
        <v>899</v>
      </c>
      <c r="G441">
        <v>0.8</v>
      </c>
    </row>
    <row r="442" spans="1:7" x14ac:dyDescent="0.25">
      <c r="A442">
        <f t="shared" si="7"/>
        <v>441</v>
      </c>
      <c r="C442" t="s">
        <v>897</v>
      </c>
      <c r="D442" t="s">
        <v>783</v>
      </c>
      <c r="E442" t="s">
        <v>898</v>
      </c>
      <c r="F442" t="s">
        <v>899</v>
      </c>
      <c r="G442">
        <v>1.5</v>
      </c>
    </row>
    <row r="443" spans="1:7" x14ac:dyDescent="0.25">
      <c r="A443">
        <f t="shared" si="7"/>
        <v>442</v>
      </c>
      <c r="C443" t="s">
        <v>897</v>
      </c>
      <c r="D443" t="s">
        <v>102</v>
      </c>
      <c r="E443" t="s">
        <v>898</v>
      </c>
      <c r="F443" t="s">
        <v>899</v>
      </c>
      <c r="G443">
        <v>0.8</v>
      </c>
    </row>
    <row r="444" spans="1:7" x14ac:dyDescent="0.25">
      <c r="A444">
        <f t="shared" si="7"/>
        <v>443</v>
      </c>
      <c r="C444" t="s">
        <v>897</v>
      </c>
      <c r="D444" t="s">
        <v>785</v>
      </c>
      <c r="E444" t="s">
        <v>898</v>
      </c>
      <c r="F444" t="s">
        <v>899</v>
      </c>
      <c r="G444">
        <v>0.8</v>
      </c>
    </row>
    <row r="445" spans="1:7" x14ac:dyDescent="0.25">
      <c r="A445">
        <f t="shared" si="7"/>
        <v>444</v>
      </c>
      <c r="C445" t="s">
        <v>897</v>
      </c>
      <c r="D445" t="s">
        <v>786</v>
      </c>
      <c r="E445" t="s">
        <v>898</v>
      </c>
      <c r="F445" t="s">
        <v>899</v>
      </c>
      <c r="G445">
        <v>0.8</v>
      </c>
    </row>
    <row r="446" spans="1:7" x14ac:dyDescent="0.25">
      <c r="A446">
        <f t="shared" si="7"/>
        <v>445</v>
      </c>
      <c r="C446" t="s">
        <v>897</v>
      </c>
      <c r="D446" t="s">
        <v>787</v>
      </c>
      <c r="E446" t="s">
        <v>898</v>
      </c>
      <c r="F446" t="s">
        <v>899</v>
      </c>
      <c r="G446">
        <v>1.2</v>
      </c>
    </row>
    <row r="447" spans="1:7" x14ac:dyDescent="0.25">
      <c r="A447">
        <f t="shared" si="7"/>
        <v>446</v>
      </c>
      <c r="C447" t="s">
        <v>897</v>
      </c>
      <c r="D447" t="s">
        <v>788</v>
      </c>
      <c r="E447" t="s">
        <v>898</v>
      </c>
      <c r="F447" t="s">
        <v>899</v>
      </c>
      <c r="G447">
        <v>1</v>
      </c>
    </row>
    <row r="448" spans="1:7" x14ac:dyDescent="0.25">
      <c r="A448">
        <f t="shared" si="7"/>
        <v>447</v>
      </c>
      <c r="C448" t="s">
        <v>897</v>
      </c>
      <c r="D448" t="s">
        <v>789</v>
      </c>
      <c r="E448" t="s">
        <v>898</v>
      </c>
      <c r="F448" t="s">
        <v>899</v>
      </c>
      <c r="G448">
        <v>1.2</v>
      </c>
    </row>
    <row r="449" spans="1:7" x14ac:dyDescent="0.25">
      <c r="A449">
        <f t="shared" si="7"/>
        <v>448</v>
      </c>
      <c r="C449" t="s">
        <v>897</v>
      </c>
      <c r="D449" t="s">
        <v>790</v>
      </c>
      <c r="E449" t="s">
        <v>898</v>
      </c>
      <c r="F449" t="s">
        <v>899</v>
      </c>
      <c r="G449">
        <v>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KOF</dc:creator>
  <cp:lastModifiedBy>心情好 王任</cp:lastModifiedBy>
  <dcterms:created xsi:type="dcterms:W3CDTF">2015-06-05T18:19:34Z</dcterms:created>
  <dcterms:modified xsi:type="dcterms:W3CDTF">2026-07-15T06:17:58Z</dcterms:modified>
</cp:coreProperties>
</file>
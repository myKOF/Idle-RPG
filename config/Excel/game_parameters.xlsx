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3A6EA2E2-9D48-462C-857E-BD9B5F8C339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17" i="1" l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A333" i="2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G11" i="1"/>
  <c r="H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K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K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K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K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K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K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K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K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K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K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K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K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K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K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K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K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K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K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K35" i="1"/>
  <c r="L35" i="1"/>
  <c r="M35" i="1"/>
  <c r="N35" i="1"/>
  <c r="O35" i="1"/>
  <c r="P35" i="1"/>
  <c r="Q35" i="1"/>
  <c r="R35" i="1"/>
  <c r="B36" i="1"/>
  <c r="C36" i="1"/>
  <c r="D36" i="1"/>
  <c r="E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E60" i="1"/>
  <c r="F60" i="1"/>
  <c r="G60" i="1"/>
  <c r="I60" i="1"/>
  <c r="J60" i="1"/>
  <c r="K60" i="1"/>
  <c r="L60" i="1"/>
  <c r="M60" i="1"/>
  <c r="N60" i="1"/>
  <c r="O60" i="1"/>
  <c r="P60" i="1"/>
  <c r="Q60" i="1"/>
  <c r="R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B65" i="1"/>
  <c r="C65" i="1"/>
  <c r="D65" i="1"/>
  <c r="E65" i="1"/>
  <c r="F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E66" i="1"/>
  <c r="F66" i="1"/>
  <c r="G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H146" i="1"/>
  <c r="I146" i="1"/>
  <c r="J146" i="1"/>
  <c r="K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J147" i="1"/>
  <c r="K147" i="1"/>
  <c r="L147" i="1"/>
  <c r="M147" i="1"/>
  <c r="N147" i="1"/>
  <c r="O147" i="1"/>
  <c r="P147" i="1"/>
  <c r="Q147" i="1"/>
  <c r="R147" i="1"/>
  <c r="B148" i="1"/>
  <c r="C148" i="1"/>
  <c r="D148" i="1"/>
  <c r="E148" i="1"/>
  <c r="F148" i="1"/>
  <c r="I148" i="1"/>
  <c r="L148" i="1"/>
  <c r="M148" i="1"/>
  <c r="N148" i="1"/>
  <c r="O148" i="1"/>
  <c r="P148" i="1"/>
  <c r="Q148" i="1"/>
  <c r="R148" i="1"/>
  <c r="B149" i="1"/>
  <c r="C149" i="1"/>
  <c r="D149" i="1"/>
  <c r="E149" i="1"/>
  <c r="F149" i="1"/>
  <c r="M149" i="1"/>
  <c r="N149" i="1"/>
  <c r="O149" i="1"/>
  <c r="P149" i="1"/>
  <c r="Q149" i="1"/>
  <c r="R149" i="1"/>
  <c r="B150" i="1"/>
  <c r="C150" i="1"/>
  <c r="D150" i="1"/>
  <c r="E150" i="1"/>
  <c r="F150" i="1"/>
  <c r="O150" i="1"/>
  <c r="P150" i="1"/>
  <c r="Q150" i="1"/>
  <c r="R150" i="1"/>
  <c r="B151" i="1"/>
  <c r="C151" i="1"/>
  <c r="D151" i="1"/>
  <c r="E151" i="1"/>
  <c r="F151" i="1"/>
  <c r="O151" i="1"/>
  <c r="P151" i="1"/>
  <c r="Q151" i="1"/>
  <c r="R151" i="1"/>
  <c r="B152" i="1"/>
  <c r="C152" i="1"/>
  <c r="D152" i="1"/>
  <c r="E152" i="1"/>
  <c r="F152" i="1"/>
  <c r="P152" i="1"/>
  <c r="Q152" i="1"/>
  <c r="R152" i="1"/>
  <c r="B153" i="1"/>
  <c r="C153" i="1"/>
  <c r="D153" i="1"/>
  <c r="E153" i="1"/>
  <c r="F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B314" i="1"/>
  <c r="C314" i="1"/>
  <c r="D314" i="1"/>
  <c r="E314" i="1"/>
  <c r="F314" i="1"/>
  <c r="H314" i="1"/>
  <c r="I314" i="1"/>
  <c r="J314" i="1"/>
  <c r="K314" i="1"/>
  <c r="L314" i="1"/>
  <c r="M314" i="1"/>
  <c r="N314" i="1"/>
  <c r="O314" i="1"/>
  <c r="P314" i="1"/>
  <c r="Q314" i="1"/>
  <c r="R314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4" i="2" l="1"/>
  <c r="A4" i="1" s="1"/>
  <c r="U232" i="2"/>
  <c r="A5" i="2" l="1"/>
  <c r="A5" i="1" s="1"/>
  <c r="A6" i="2"/>
  <c r="A6" i="1" s="1"/>
  <c r="A7" i="2" l="1"/>
  <c r="A7" i="1" s="1"/>
  <c r="A8" i="2" l="1"/>
  <c r="A8" i="1" s="1"/>
  <c r="A9" i="2" l="1"/>
  <c r="A9" i="1" s="1"/>
  <c r="A10" i="2" l="1"/>
  <c r="A10" i="1" s="1"/>
  <c r="A11" i="2" l="1"/>
  <c r="A11" i="1" s="1"/>
  <c r="A12" i="2" l="1"/>
  <c r="A12" i="1" s="1"/>
  <c r="A13" i="2" l="1"/>
  <c r="A13" i="1" s="1"/>
  <c r="A14" i="2" l="1"/>
  <c r="A14" i="1" s="1"/>
  <c r="A15" i="2" l="1"/>
  <c r="A15" i="1" s="1"/>
  <c r="A16" i="2" l="1"/>
  <c r="A16" i="1" s="1"/>
  <c r="A17" i="2" l="1"/>
  <c r="A17" i="1" s="1"/>
  <c r="A18" i="2" l="1"/>
  <c r="A18" i="1" s="1"/>
  <c r="A19" i="2" l="1"/>
  <c r="A19" i="1" s="1"/>
  <c r="A20" i="2" l="1"/>
  <c r="A20" i="1" s="1"/>
  <c r="A21" i="2" l="1"/>
  <c r="A21" i="1" s="1"/>
  <c r="A22" i="2" l="1"/>
  <c r="A22" i="1" s="1"/>
  <c r="A23" i="2" l="1"/>
  <c r="A23" i="1" s="1"/>
  <c r="A24" i="2" l="1"/>
  <c r="A24" i="1" s="1"/>
  <c r="A25" i="2" l="1"/>
  <c r="A25" i="1" s="1"/>
  <c r="A26" i="2" l="1"/>
  <c r="A26" i="1" s="1"/>
  <c r="A27" i="2" l="1"/>
  <c r="A27" i="1" s="1"/>
  <c r="A28" i="2" l="1"/>
  <c r="A28" i="1" s="1"/>
  <c r="A29" i="2" l="1"/>
  <c r="A29" i="1" s="1"/>
  <c r="A30" i="2" l="1"/>
  <c r="A30" i="1" s="1"/>
  <c r="A31" i="2" l="1"/>
  <c r="A31" i="1" s="1"/>
  <c r="A32" i="2" l="1"/>
  <c r="A32" i="1" s="1"/>
  <c r="A33" i="2" l="1"/>
  <c r="A33" i="1" s="1"/>
  <c r="A34" i="2" l="1"/>
  <c r="A34" i="1" s="1"/>
  <c r="A35" i="2" l="1"/>
  <c r="A35" i="1" s="1"/>
  <c r="A36" i="2" l="1"/>
  <c r="A36" i="1" s="1"/>
  <c r="A37" i="2" l="1"/>
  <c r="A37" i="1" s="1"/>
  <c r="A38" i="2" l="1"/>
  <c r="A38" i="1" s="1"/>
  <c r="A39" i="2" l="1"/>
  <c r="A39" i="1" s="1"/>
  <c r="A40" i="2" l="1"/>
  <c r="A40" i="1" s="1"/>
  <c r="A41" i="2" l="1"/>
  <c r="A41" i="1" s="1"/>
  <c r="A42" i="2" l="1"/>
  <c r="A42" i="1" s="1"/>
  <c r="A43" i="2" l="1"/>
  <c r="A43" i="1" s="1"/>
  <c r="A44" i="2" l="1"/>
  <c r="A44" i="1" s="1"/>
  <c r="A45" i="2" l="1"/>
  <c r="A45" i="1" s="1"/>
  <c r="A46" i="2" l="1"/>
  <c r="A46" i="1" s="1"/>
  <c r="A47" i="2" l="1"/>
  <c r="A47" i="1" s="1"/>
  <c r="A48" i="2" l="1"/>
  <c r="A48" i="1" s="1"/>
  <c r="A49" i="2" l="1"/>
  <c r="A49" i="1" s="1"/>
  <c r="A50" i="2" l="1"/>
  <c r="A50" i="1" s="1"/>
  <c r="A51" i="2" l="1"/>
  <c r="A51" i="1" s="1"/>
  <c r="A52" i="2" l="1"/>
  <c r="A52" i="1" s="1"/>
  <c r="A53" i="2" l="1"/>
  <c r="A53" i="1" s="1"/>
  <c r="A54" i="2" l="1"/>
  <c r="A54" i="1" s="1"/>
  <c r="A55" i="2" l="1"/>
  <c r="A55" i="1" s="1"/>
  <c r="A56" i="2" l="1"/>
  <c r="A56" i="1" s="1"/>
  <c r="A57" i="2" l="1"/>
  <c r="A57" i="1" s="1"/>
  <c r="A58" i="2" l="1"/>
  <c r="A58" i="1" s="1"/>
  <c r="A59" i="2" l="1"/>
  <c r="A59" i="1" s="1"/>
  <c r="A60" i="2" l="1"/>
  <c r="A60" i="1" s="1"/>
  <c r="A61" i="2" l="1"/>
  <c r="A61" i="1" s="1"/>
  <c r="A62" i="2" l="1"/>
  <c r="A62" i="1" s="1"/>
  <c r="A63" i="2" l="1"/>
  <c r="A63" i="1" s="1"/>
  <c r="A64" i="2" l="1"/>
  <c r="A64" i="1" s="1"/>
  <c r="A65" i="2" l="1"/>
  <c r="A65" i="1" s="1"/>
  <c r="A66" i="2" l="1"/>
  <c r="A66" i="1" s="1"/>
  <c r="A67" i="2" l="1"/>
  <c r="A67" i="1" s="1"/>
  <c r="A68" i="2" l="1"/>
  <c r="A68" i="1" s="1"/>
  <c r="A69" i="2" l="1"/>
  <c r="A69" i="1" s="1"/>
  <c r="A70" i="2" l="1"/>
  <c r="A70" i="1" s="1"/>
  <c r="A71" i="2" l="1"/>
  <c r="A71" i="1" s="1"/>
  <c r="A72" i="2" l="1"/>
  <c r="A72" i="1" s="1"/>
  <c r="A73" i="2" l="1"/>
  <c r="A73" i="1" s="1"/>
  <c r="A74" i="2" l="1"/>
  <c r="A74" i="1" s="1"/>
  <c r="A75" i="2" l="1"/>
  <c r="A75" i="1" s="1"/>
  <c r="A76" i="2" l="1"/>
  <c r="A76" i="1" s="1"/>
  <c r="A77" i="2" l="1"/>
  <c r="A77" i="1" s="1"/>
  <c r="A78" i="2" l="1"/>
  <c r="A78" i="1" s="1"/>
  <c r="A79" i="2" l="1"/>
  <c r="A79" i="1" s="1"/>
  <c r="A80" i="2" l="1"/>
  <c r="A80" i="1" s="1"/>
  <c r="A81" i="2" l="1"/>
  <c r="A81" i="1" s="1"/>
  <c r="A82" i="2" l="1"/>
  <c r="A82" i="1" s="1"/>
  <c r="A83" i="2" l="1"/>
  <c r="A83" i="1" s="1"/>
  <c r="A84" i="2" l="1"/>
  <c r="A84" i="1" s="1"/>
  <c r="A85" i="2" l="1"/>
  <c r="A85" i="1" s="1"/>
  <c r="A86" i="2" l="1"/>
  <c r="A86" i="1" s="1"/>
  <c r="A87" i="2" l="1"/>
  <c r="A87" i="1" s="1"/>
  <c r="A88" i="2" l="1"/>
  <c r="A88" i="1" s="1"/>
  <c r="A89" i="2" l="1"/>
  <c r="A89" i="1" s="1"/>
  <c r="A90" i="2" l="1"/>
  <c r="A90" i="1" s="1"/>
  <c r="A91" i="2" l="1"/>
  <c r="A91" i="1" s="1"/>
  <c r="A92" i="2" l="1"/>
  <c r="A92" i="1" s="1"/>
  <c r="A93" i="2" l="1"/>
  <c r="A93" i="1" s="1"/>
  <c r="A94" i="2" l="1"/>
  <c r="A94" i="1" s="1"/>
  <c r="A95" i="2" l="1"/>
  <c r="A95" i="1" s="1"/>
  <c r="A96" i="2" l="1"/>
  <c r="A96" i="1" s="1"/>
  <c r="A97" i="2" l="1"/>
  <c r="A97" i="1" s="1"/>
  <c r="A98" i="2" l="1"/>
  <c r="A98" i="1" s="1"/>
  <c r="A99" i="2" l="1"/>
  <c r="A99" i="1" s="1"/>
  <c r="A100" i="2" l="1"/>
  <c r="A100" i="1" s="1"/>
  <c r="A101" i="2" l="1"/>
  <c r="A101" i="1" s="1"/>
  <c r="A102" i="2" l="1"/>
  <c r="A102" i="1" s="1"/>
  <c r="A103" i="2" l="1"/>
  <c r="A103" i="1" s="1"/>
  <c r="A104" i="2" l="1"/>
  <c r="A104" i="1" s="1"/>
  <c r="A105" i="2" l="1"/>
  <c r="A105" i="1" s="1"/>
  <c r="A106" i="2" l="1"/>
  <c r="A106" i="1" s="1"/>
  <c r="A107" i="2" l="1"/>
  <c r="A107" i="1" s="1"/>
  <c r="A108" i="2" l="1"/>
  <c r="A108" i="1" s="1"/>
  <c r="A109" i="2" l="1"/>
  <c r="A109" i="1" s="1"/>
  <c r="A110" i="2" l="1"/>
  <c r="A110" i="1" s="1"/>
  <c r="A111" i="2" l="1"/>
  <c r="A111" i="1" s="1"/>
  <c r="A112" i="2" l="1"/>
  <c r="A112" i="1" s="1"/>
  <c r="A113" i="2" l="1"/>
  <c r="A113" i="1" s="1"/>
  <c r="A114" i="2" l="1"/>
  <c r="A114" i="1" s="1"/>
  <c r="A115" i="2" l="1"/>
  <c r="A115" i="1" s="1"/>
  <c r="A116" i="2" l="1"/>
  <c r="A116" i="1" s="1"/>
  <c r="A117" i="2" l="1"/>
  <c r="A117" i="1" s="1"/>
  <c r="A118" i="2" l="1"/>
  <c r="A118" i="1" s="1"/>
  <c r="A119" i="2" l="1"/>
  <c r="A119" i="1" s="1"/>
  <c r="A120" i="2" l="1"/>
  <c r="A120" i="1" s="1"/>
  <c r="A121" i="2" l="1"/>
  <c r="A121" i="1" s="1"/>
  <c r="A122" i="2" l="1"/>
  <c r="A122" i="1" s="1"/>
  <c r="A123" i="2" l="1"/>
  <c r="A123" i="1" s="1"/>
  <c r="A124" i="2" l="1"/>
  <c r="A124" i="1" s="1"/>
  <c r="A125" i="2" l="1"/>
  <c r="A125" i="1" s="1"/>
  <c r="A126" i="2" l="1"/>
  <c r="A126" i="1" s="1"/>
  <c r="A127" i="2" l="1"/>
  <c r="A127" i="1" s="1"/>
  <c r="A128" i="2" l="1"/>
  <c r="A128" i="1" s="1"/>
  <c r="A129" i="2" l="1"/>
  <c r="A129" i="1" s="1"/>
  <c r="A130" i="2" l="1"/>
  <c r="A130" i="1" s="1"/>
  <c r="A131" i="2" l="1"/>
  <c r="A131" i="1" s="1"/>
  <c r="A132" i="2" l="1"/>
  <c r="A132" i="1" l="1"/>
  <c r="A133" i="2"/>
  <c r="A133" i="1" l="1"/>
  <c r="A134" i="2"/>
  <c r="A135" i="2" l="1"/>
  <c r="A134" i="1"/>
  <c r="A136" i="2" l="1"/>
  <c r="A135" i="1"/>
  <c r="A137" i="2" l="1"/>
  <c r="A136" i="1"/>
  <c r="A138" i="2" l="1"/>
  <c r="A137" i="1"/>
  <c r="A139" i="2" l="1"/>
  <c r="A138" i="1"/>
  <c r="A140" i="2" l="1"/>
  <c r="A139" i="1"/>
  <c r="A141" i="2" l="1"/>
  <c r="A140" i="1"/>
  <c r="A142" i="2" l="1"/>
  <c r="A141" i="1"/>
  <c r="A143" i="2" l="1"/>
  <c r="A142" i="1"/>
  <c r="A144" i="2" l="1"/>
  <c r="A143" i="1"/>
  <c r="A145" i="2" l="1"/>
  <c r="A144" i="1"/>
  <c r="A146" i="2" l="1"/>
  <c r="A145" i="1"/>
  <c r="A147" i="2" l="1"/>
  <c r="A146" i="1"/>
  <c r="A148" i="2" l="1"/>
  <c r="A147" i="1"/>
  <c r="A149" i="2" l="1"/>
  <c r="A148" i="1"/>
  <c r="A150" i="2" l="1"/>
  <c r="A149" i="1"/>
  <c r="A151" i="2" l="1"/>
  <c r="A150" i="1"/>
  <c r="A152" i="2" l="1"/>
  <c r="A151" i="1"/>
  <c r="A153" i="2" l="1"/>
  <c r="A152" i="1"/>
  <c r="A154" i="2" l="1"/>
  <c r="A153" i="1"/>
  <c r="A155" i="2" l="1"/>
  <c r="A154" i="1"/>
  <c r="A156" i="2" l="1"/>
  <c r="A155" i="1"/>
  <c r="A157" i="2" l="1"/>
  <c r="A156" i="1"/>
  <c r="A158" i="2" l="1"/>
  <c r="A157" i="1"/>
  <c r="A159" i="2" l="1"/>
  <c r="A158" i="1"/>
  <c r="A160" i="2" l="1"/>
  <c r="A159" i="1"/>
  <c r="A161" i="2" l="1"/>
  <c r="A160" i="1"/>
  <c r="A162" i="2" l="1"/>
  <c r="A161" i="1"/>
  <c r="A163" i="2" l="1"/>
  <c r="A162" i="1"/>
  <c r="A164" i="2" l="1"/>
  <c r="A163" i="1"/>
  <c r="A165" i="2" l="1"/>
  <c r="A164" i="1"/>
  <c r="A166" i="2" l="1"/>
  <c r="A165" i="1"/>
  <c r="A167" i="2" l="1"/>
  <c r="A166" i="1"/>
  <c r="A168" i="2" l="1"/>
  <c r="A167" i="1"/>
  <c r="A169" i="2" l="1"/>
  <c r="A168" i="1"/>
  <c r="A170" i="2" l="1"/>
  <c r="A169" i="1"/>
  <c r="A171" i="2" l="1"/>
  <c r="A170" i="1"/>
  <c r="A172" i="2" l="1"/>
  <c r="A171" i="1"/>
  <c r="A173" i="2" l="1"/>
  <c r="A172" i="1"/>
  <c r="A174" i="2" l="1"/>
  <c r="A173" i="1"/>
  <c r="A175" i="2" l="1"/>
  <c r="A174" i="1"/>
  <c r="A176" i="2" l="1"/>
  <c r="A175" i="1"/>
  <c r="A177" i="2" l="1"/>
  <c r="A176" i="1"/>
  <c r="A178" i="2" l="1"/>
  <c r="A177" i="1"/>
  <c r="A179" i="2" l="1"/>
  <c r="A178" i="1"/>
  <c r="A180" i="2" l="1"/>
  <c r="A179" i="1"/>
  <c r="A181" i="2" l="1"/>
  <c r="A180" i="1"/>
  <c r="A182" i="2" l="1"/>
  <c r="A181" i="1"/>
  <c r="A183" i="2" l="1"/>
  <c r="A182" i="1"/>
  <c r="A184" i="2" l="1"/>
  <c r="A185" i="2" s="1"/>
  <c r="A183" i="1"/>
  <c r="A186" i="2" l="1"/>
  <c r="A184" i="1"/>
  <c r="A187" i="2" l="1"/>
  <c r="A185" i="1"/>
  <c r="A188" i="2" l="1"/>
  <c r="A186" i="1"/>
  <c r="A189" i="2" l="1"/>
  <c r="A187" i="1"/>
  <c r="A190" i="2" l="1"/>
  <c r="A188" i="1"/>
  <c r="A191" i="2" l="1"/>
  <c r="A189" i="1"/>
  <c r="A192" i="2" l="1"/>
  <c r="A190" i="1"/>
  <c r="A193" i="2" l="1"/>
  <c r="A191" i="1"/>
  <c r="A194" i="2" l="1"/>
  <c r="A192" i="1"/>
  <c r="A195" i="2" l="1"/>
  <c r="A193" i="1"/>
  <c r="A196" i="2" l="1"/>
  <c r="A194" i="1"/>
  <c r="A197" i="2" l="1"/>
  <c r="A195" i="1"/>
  <c r="A198" i="2" l="1"/>
  <c r="A196" i="1"/>
  <c r="A199" i="2" l="1"/>
  <c r="A197" i="1"/>
  <c r="A200" i="2" l="1"/>
  <c r="A198" i="1"/>
  <c r="A201" i="2" l="1"/>
  <c r="A199" i="1"/>
  <c r="A202" i="2" l="1"/>
  <c r="A200" i="1"/>
  <c r="A203" i="2" l="1"/>
  <c r="A201" i="1"/>
  <c r="A204" i="2" l="1"/>
  <c r="A202" i="1"/>
  <c r="A205" i="2" l="1"/>
  <c r="A203" i="1"/>
  <c r="A206" i="2" l="1"/>
  <c r="A204" i="1"/>
  <c r="A207" i="2" l="1"/>
  <c r="A205" i="1"/>
  <c r="A208" i="2" l="1"/>
  <c r="A206" i="1"/>
  <c r="A209" i="2" l="1"/>
  <c r="A207" i="1"/>
  <c r="A210" i="2" l="1"/>
  <c r="A208" i="1"/>
  <c r="A211" i="2" l="1"/>
  <c r="A209" i="1"/>
  <c r="A212" i="2" l="1"/>
  <c r="A210" i="1"/>
  <c r="A213" i="2" l="1"/>
  <c r="A211" i="1"/>
  <c r="A214" i="2" l="1"/>
  <c r="A212" i="1"/>
  <c r="A215" i="2" l="1"/>
  <c r="A213" i="1"/>
  <c r="A216" i="2" l="1"/>
  <c r="A214" i="1"/>
  <c r="A217" i="2" l="1"/>
  <c r="A215" i="1"/>
  <c r="A218" i="2" l="1"/>
  <c r="A216" i="1"/>
  <c r="A219" i="2" l="1"/>
  <c r="A217" i="1"/>
  <c r="A220" i="2" l="1"/>
  <c r="A218" i="1"/>
  <c r="A221" i="2" l="1"/>
  <c r="A219" i="1"/>
  <c r="A222" i="2" l="1"/>
  <c r="A220" i="1"/>
  <c r="A223" i="2" l="1"/>
  <c r="A221" i="1"/>
  <c r="A224" i="2" l="1"/>
  <c r="A222" i="1"/>
  <c r="A225" i="2" l="1"/>
  <c r="A223" i="1"/>
  <c r="A226" i="2" l="1"/>
  <c r="A224" i="1"/>
  <c r="A227" i="2" l="1"/>
  <c r="A225" i="1"/>
  <c r="A228" i="2" l="1"/>
  <c r="A226" i="1"/>
  <c r="A229" i="2" l="1"/>
  <c r="A227" i="1"/>
  <c r="A230" i="2" l="1"/>
  <c r="A228" i="1"/>
  <c r="A231" i="2" l="1"/>
  <c r="A229" i="1"/>
  <c r="A232" i="2" l="1"/>
  <c r="A230" i="1"/>
  <c r="A233" i="2" l="1"/>
  <c r="A231" i="1"/>
  <c r="A234" i="2" l="1"/>
  <c r="A232" i="1"/>
  <c r="A235" i="2" l="1"/>
  <c r="A233" i="1"/>
  <c r="A236" i="2" l="1"/>
  <c r="A234" i="1"/>
  <c r="A237" i="2" l="1"/>
  <c r="A235" i="1"/>
  <c r="A238" i="2" l="1"/>
  <c r="A236" i="1"/>
  <c r="A239" i="2" l="1"/>
  <c r="A237" i="1"/>
  <c r="A240" i="2" l="1"/>
  <c r="A238" i="1"/>
  <c r="A241" i="2" l="1"/>
  <c r="A239" i="1"/>
  <c r="A242" i="2" l="1"/>
  <c r="A240" i="1"/>
  <c r="A243" i="2" l="1"/>
  <c r="A241" i="1"/>
  <c r="A244" i="2" l="1"/>
  <c r="A242" i="1"/>
  <c r="A245" i="2" l="1"/>
  <c r="A243" i="1"/>
  <c r="A246" i="2" l="1"/>
  <c r="A244" i="1"/>
  <c r="A247" i="2" l="1"/>
  <c r="A245" i="1"/>
  <c r="A248" i="2" l="1"/>
  <c r="A246" i="1"/>
  <c r="A249" i="2" l="1"/>
  <c r="A247" i="1"/>
  <c r="A250" i="2" l="1"/>
  <c r="A248" i="1"/>
  <c r="A251" i="2" l="1"/>
  <c r="A249" i="1"/>
  <c r="A252" i="2" l="1"/>
  <c r="A250" i="1"/>
  <c r="A253" i="2" l="1"/>
  <c r="A251" i="1"/>
  <c r="A254" i="2" l="1"/>
  <c r="A252" i="1"/>
  <c r="A255" i="2" l="1"/>
  <c r="A253" i="1"/>
  <c r="A256" i="2" l="1"/>
  <c r="A254" i="1"/>
  <c r="A257" i="2" l="1"/>
  <c r="A255" i="1"/>
  <c r="A258" i="2" l="1"/>
  <c r="A256" i="1"/>
  <c r="A259" i="2" l="1"/>
  <c r="A257" i="1"/>
  <c r="A260" i="2" l="1"/>
  <c r="A258" i="1"/>
  <c r="A261" i="2" l="1"/>
  <c r="A259" i="1"/>
  <c r="A262" i="2" l="1"/>
  <c r="A260" i="1"/>
  <c r="A263" i="2" l="1"/>
  <c r="A261" i="1"/>
  <c r="A264" i="2" l="1"/>
  <c r="A262" i="1"/>
  <c r="A265" i="2" l="1"/>
  <c r="A263" i="1"/>
  <c r="A266" i="2" l="1"/>
  <c r="A264" i="1"/>
  <c r="A267" i="2" l="1"/>
  <c r="A265" i="1"/>
  <c r="A268" i="2" l="1"/>
  <c r="A266" i="1"/>
  <c r="A269" i="2" l="1"/>
  <c r="A267" i="1"/>
  <c r="A270" i="2" l="1"/>
  <c r="A268" i="1"/>
  <c r="A271" i="2" l="1"/>
  <c r="A269" i="1"/>
  <c r="A272" i="2" l="1"/>
  <c r="A270" i="1"/>
  <c r="A273" i="2" l="1"/>
  <c r="A271" i="1"/>
  <c r="A274" i="2" l="1"/>
  <c r="A272" i="1"/>
  <c r="A275" i="2" l="1"/>
  <c r="A273" i="1"/>
  <c r="A276" i="2" l="1"/>
  <c r="A274" i="1"/>
  <c r="A277" i="2" l="1"/>
  <c r="A275" i="1"/>
  <c r="A278" i="2" l="1"/>
  <c r="A276" i="1"/>
  <c r="A279" i="2" l="1"/>
  <c r="A277" i="1"/>
  <c r="A280" i="2" l="1"/>
  <c r="A278" i="1"/>
  <c r="A281" i="2" l="1"/>
  <c r="A279" i="1"/>
  <c r="A282" i="2" l="1"/>
  <c r="A280" i="1"/>
  <c r="A283" i="2" l="1"/>
  <c r="A281" i="1"/>
  <c r="A284" i="2" l="1"/>
  <c r="A285" i="2" s="1"/>
  <c r="A286" i="2" s="1"/>
  <c r="A287" i="2" s="1"/>
  <c r="A282" i="1"/>
  <c r="A288" i="2" l="1"/>
  <c r="A283" i="1"/>
  <c r="A289" i="2" l="1"/>
  <c r="A284" i="1"/>
  <c r="A290" i="2" l="1"/>
  <c r="A285" i="1"/>
  <c r="A291" i="2" l="1"/>
  <c r="A286" i="1"/>
  <c r="A292" i="2" l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287" i="1"/>
  <c r="A305" i="2" l="1"/>
  <c r="A288" i="1"/>
  <c r="A306" i="2" l="1"/>
  <c r="A289" i="1"/>
  <c r="A307" i="2" l="1"/>
  <c r="A290" i="1"/>
  <c r="A308" i="2" l="1"/>
  <c r="A291" i="1"/>
  <c r="A309" i="2" l="1"/>
  <c r="A292" i="1"/>
  <c r="A310" i="2" l="1"/>
  <c r="A293" i="1"/>
  <c r="A311" i="2" l="1"/>
  <c r="A294" i="1"/>
  <c r="A312" i="2" l="1"/>
  <c r="A295" i="1"/>
  <c r="A313" i="2" l="1"/>
  <c r="A296" i="1"/>
  <c r="A314" i="2" l="1"/>
  <c r="A297" i="1"/>
  <c r="A315" i="2" l="1"/>
  <c r="A298" i="1"/>
  <c r="A316" i="2" l="1"/>
  <c r="A299" i="1"/>
  <c r="A317" i="2" l="1"/>
  <c r="A300" i="1"/>
  <c r="A318" i="2" l="1"/>
  <c r="A301" i="1"/>
  <c r="A319" i="2" l="1"/>
  <c r="A302" i="1"/>
  <c r="A320" i="2" l="1"/>
  <c r="A303" i="1"/>
  <c r="A321" i="2" l="1"/>
  <c r="A304" i="1"/>
  <c r="A322" i="2" l="1"/>
  <c r="A305" i="1"/>
  <c r="A323" i="2" l="1"/>
  <c r="A306" i="1"/>
  <c r="A324" i="2" l="1"/>
  <c r="A307" i="1"/>
  <c r="A325" i="2" l="1"/>
  <c r="A308" i="1"/>
  <c r="A326" i="2" l="1"/>
  <c r="A309" i="1"/>
  <c r="A327" i="2" l="1"/>
  <c r="A310" i="1"/>
  <c r="A328" i="2" l="1"/>
  <c r="A311" i="1"/>
  <c r="A329" i="2" l="1"/>
  <c r="A312" i="1"/>
  <c r="A330" i="2" l="1"/>
  <c r="A313" i="1"/>
  <c r="A331" i="2" l="1"/>
  <c r="A314" i="1"/>
  <c r="A332" i="2" l="1"/>
  <c r="A316" i="1" s="1"/>
  <c r="A315" i="1"/>
</calcChain>
</file>

<file path=xl/sharedStrings.xml><?xml version="1.0" encoding="utf-8"?>
<sst xmlns="http://schemas.openxmlformats.org/spreadsheetml/2006/main" count="1840" uniqueCount="1084">
  <si>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</si>
  <si>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</si>
  <si>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</si>
  <si>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</si>
  <si>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</si>
  <si>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</si>
  <si>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</si>
  <si>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</si>
  <si>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</si>
  <si>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</si>
  <si>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</si>
  <si>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</si>
  <si>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</si>
  <si>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</si>
  <si>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</si>
  <si>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</si>
  <si>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</si>
  <si>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</si>
  <si>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</si>
  <si>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</si>
  <si>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</si>
  <si>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</si>
  <si>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</si>
  <si>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</si>
  <si>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</si>
  <si>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</si>
  <si>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</si>
  <si>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</si>
  <si>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</si>
  <si>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</si>
  <si>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</si>
  <si>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</si>
  <si>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</si>
  <si>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</si>
  <si>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</si>
  <si>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</si>
  <si>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</si>
  <si>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</si>
  <si>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</si>
  <si>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</si>
  <si>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</si>
  <si>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</si>
  <si>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</si>
  <si>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</si>
  <si>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</si>
  <si>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</si>
  <si>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</si>
  <si>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</si>
  <si>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</si>
  <si>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</si>
  <si>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</si>
  <si>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</si>
  <si>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</si>
  <si>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</si>
  <si>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</si>
  <si>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</si>
  <si>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</si>
  <si>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</si>
  <si>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</si>
  <si>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</si>
  <si>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</si>
  <si>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</si>
  <si>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</si>
  <si>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</si>
  <si>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</si>
  <si>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</si>
  <si>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</si>
  <si>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</si>
  <si>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</si>
  <si>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</si>
  <si>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</si>
  <si>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</si>
  <si>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</si>
  <si>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</si>
  <si>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</si>
  <si>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</si>
  <si>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</si>
  <si>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</si>
  <si>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</si>
  <si>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</si>
  <si>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</si>
  <si>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</si>
  <si>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</si>
  <si>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</si>
  <si>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</si>
  <si>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</si>
  <si>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</si>
  <si>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</si>
  <si>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</si>
  <si>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</si>
  <si>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</si>
  <si>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</si>
  <si>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</si>
  <si>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</si>
  <si>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</si>
  <si>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</si>
  <si>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</si>
  <si>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</si>
  <si>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</si>
  <si>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</si>
  <si>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</si>
  <si>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</si>
  <si>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</si>
  <si>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</si>
  <si>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</si>
  <si>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</si>
  <si>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</si>
  <si>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</si>
  <si>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</si>
  <si>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</si>
  <si>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</si>
  <si>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</si>
  <si>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</si>
  <si>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</si>
  <si>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</si>
  <si>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</si>
  <si>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</si>
  <si>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</si>
  <si>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</si>
  <si>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</si>
  <si>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</si>
  <si>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</si>
  <si>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</si>
  <si>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</si>
  <si>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</si>
  <si>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</si>
  <si>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</si>
  <si>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</si>
  <si>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</si>
  <si>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</si>
  <si>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</si>
  <si>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</si>
  <si>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</si>
  <si>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</si>
  <si>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</si>
  <si>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</si>
  <si>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</si>
  <si>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</si>
  <si>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</si>
  <si>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</si>
  <si>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</si>
  <si>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</si>
  <si>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</si>
  <si>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</si>
  <si>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</si>
  <si>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</si>
  <si>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</si>
  <si>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</si>
  <si>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</si>
  <si>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</si>
  <si>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</si>
  <si>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</si>
  <si>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</si>
  <si>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</si>
  <si>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</si>
  <si>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</si>
  <si>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</si>
  <si>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</si>
  <si>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</si>
  <si>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</si>
  <si>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</si>
  <si>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</si>
  <si>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</si>
  <si>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</si>
  <si>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</si>
  <si>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</si>
  <si>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</si>
  <si>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</si>
  <si>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</si>
  <si>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</si>
  <si>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</si>
  <si>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</si>
  <si>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</si>
  <si>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</si>
  <si>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</si>
  <si>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</si>
  <si>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</si>
  <si>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</si>
  <si>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</si>
  <si>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</si>
  <si>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</si>
  <si>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</si>
  <si>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</si>
  <si>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</si>
  <si>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</si>
  <si>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</si>
  <si>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</si>
  <si>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</si>
  <si>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</si>
  <si>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</si>
  <si>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</si>
  <si>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</si>
  <si>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</si>
  <si>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</si>
  <si>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</si>
  <si>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</si>
  <si>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</si>
  <si>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</si>
  <si>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</si>
  <si>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</si>
  <si>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</si>
  <si>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</si>
  <si>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</si>
  <si>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</si>
  <si>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</si>
  <si>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</si>
  <si>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</si>
  <si>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</si>
  <si>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</si>
  <si>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</si>
  <si>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</si>
  <si>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</si>
  <si>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</si>
  <si>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</si>
  <si>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</si>
  <si>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</si>
  <si>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</si>
  <si>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</si>
  <si>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</si>
  <si>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</si>
  <si>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</si>
  <si>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</si>
  <si>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</si>
  <si>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</si>
  <si>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</si>
  <si>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</si>
  <si>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</si>
  <si>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</si>
  <si>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</si>
  <si>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</si>
  <si>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</si>
  <si>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</si>
  <si>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</si>
  <si>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</si>
  <si>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</si>
  <si>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</si>
  <si>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</si>
  <si>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</si>
  <si>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</si>
  <si>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</si>
  <si>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</si>
  <si>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</si>
  <si>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</si>
  <si>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</si>
  <si>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</si>
  <si>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</si>
  <si>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</si>
  <si>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</si>
  <si>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</si>
  <si>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</si>
  <si>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</si>
  <si>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</si>
  <si>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</si>
  <si>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</si>
  <si>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</si>
  <si>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</si>
  <si>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</si>
  <si>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</si>
  <si>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</si>
  <si>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</si>
  <si>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</si>
  <si>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</si>
  <si>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</si>
  <si>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</si>
  <si>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</si>
  <si>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</si>
  <si>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</si>
  <si>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</si>
  <si>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</si>
  <si>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</si>
  <si>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</si>
  <si>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</si>
  <si>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</si>
  <si>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</si>
  <si>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</si>
  <si>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</si>
  <si>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</si>
  <si>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</si>
  <si>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</si>
  <si>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</si>
  <si>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</si>
  <si>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</si>
  <si>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</si>
  <si>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</si>
  <si>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</si>
  <si>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</si>
  <si>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</si>
  <si>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</si>
  <si>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</si>
  <si>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</si>
  <si>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</si>
  <si>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</si>
  <si>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</si>
  <si>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</si>
  <si>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</si>
  <si>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</si>
  <si>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</si>
  <si>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</si>
  <si>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</si>
  <si>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</si>
  <si>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</si>
  <si>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</si>
  <si>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</si>
  <si>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</si>
  <si>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</si>
  <si>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</si>
  <si>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</si>
  <si>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</si>
  <si>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</si>
  <si>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</si>
  <si>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</si>
  <si>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</si>
  <si>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</si>
  <si>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</si>
  <si>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</si>
  <si>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</si>
  <si>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</si>
  <si>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</si>
  <si>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</si>
  <si>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</si>
  <si>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</si>
  <si>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</si>
  <si>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</si>
  <si>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</si>
  <si>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</si>
  <si>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</si>
  <si>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</si>
  <si>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</si>
  <si>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</si>
  <si>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</si>
  <si>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</si>
  <si>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</si>
  <si>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</si>
  <si>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</si>
  <si>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</si>
  <si>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</si>
  <si>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</si>
  <si>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</si>
  <si>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</si>
  <si>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</si>
  <si>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</si>
  <si>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</si>
  <si>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</si>
  <si>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</si>
  <si>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</si>
  <si>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</si>
  <si>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</si>
  <si>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</si>
  <si>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</si>
  <si>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</si>
  <si>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</si>
  <si>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</si>
  <si>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</si>
  <si>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</si>
  <si>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</si>
  <si>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</si>
  <si>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</si>
  <si>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</si>
  <si>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</si>
  <si>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</si>
  <si>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</si>
  <si>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</si>
  <si>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</si>
  <si>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</si>
  <si>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</si>
  <si>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</si>
  <si>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</si>
  <si>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</si>
  <si>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</si>
  <si>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</si>
  <si>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</si>
  <si>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</si>
  <si>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</si>
  <si>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</si>
  <si>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</si>
  <si>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</si>
  <si>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</si>
  <si>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</si>
  <si>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</si>
  <si>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</si>
  <si>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</si>
  <si>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</si>
  <si>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</si>
  <si>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</si>
  <si>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</si>
  <si>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</si>
  <si>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</si>
  <si>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</si>
  <si>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</si>
  <si>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</si>
  <si>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</si>
  <si>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</si>
  <si>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</si>
  <si>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</si>
  <si>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</si>
  <si>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</si>
  <si>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</si>
  <si>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</si>
  <si>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</si>
  <si>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</si>
  <si>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</si>
  <si>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</si>
  <si>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</si>
  <si>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</si>
  <si>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</si>
  <si>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</si>
  <si>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</si>
  <si>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</si>
  <si>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</si>
  <si>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</si>
  <si>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</si>
  <si>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</si>
  <si>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</si>
  <si>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</si>
  <si>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</si>
  <si>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</si>
  <si>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</si>
  <si>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</si>
  <si>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</si>
  <si>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</si>
  <si>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</si>
  <si>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</si>
  <si>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</si>
  <si>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</si>
  <si>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</si>
  <si>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</si>
  <si>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</si>
  <si>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</si>
  <si>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</si>
  <si>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</si>
  <si>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</si>
  <si>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</si>
  <si>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</si>
  <si>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</si>
  <si>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</si>
  <si>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</si>
  <si>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</si>
  <si>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</si>
  <si>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</si>
  <si>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</si>
  <si>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</si>
  <si>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</si>
  <si>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</si>
  <si>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</si>
  <si>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</si>
  <si>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</si>
  <si>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</si>
  <si>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</si>
  <si>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</si>
  <si>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</si>
  <si>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</si>
  <si>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</si>
  <si>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</si>
  <si>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</si>
  <si>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</si>
  <si>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</si>
  <si>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</si>
  <si>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</si>
  <si>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</si>
  <si>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</si>
  <si>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</si>
  <si>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</si>
  <si>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</si>
  <si>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</si>
  <si>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</si>
  <si>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</si>
  <si>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</si>
  <si>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</si>
  <si>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</si>
  <si>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</si>
  <si>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</si>
  <si>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</si>
  <si>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</si>
  <si>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</si>
  <si>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</si>
  <si>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</si>
  <si>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</si>
  <si>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</si>
  <si>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</si>
  <si>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</si>
  <si>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</si>
  <si>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</si>
  <si>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</si>
  <si>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</si>
  <si>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</si>
  <si>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</si>
  <si>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</si>
  <si>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</si>
  <si>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</si>
  <si>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</si>
  <si>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</si>
  <si>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</si>
  <si>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</si>
  <si>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</si>
  <si>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</si>
  <si>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</si>
  <si>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</si>
  <si>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</si>
  <si>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</si>
  <si>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</si>
  <si>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</si>
  <si>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</si>
  <si>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</si>
  <si>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</si>
  <si>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</si>
  <si>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</si>
  <si>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</si>
  <si>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</si>
  <si>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</si>
  <si>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</si>
  <si>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</si>
  <si>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</si>
  <si>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</si>
  <si>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</si>
  <si>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</si>
  <si>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</si>
  <si>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</si>
  <si>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</si>
  <si>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</si>
  <si>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</si>
  <si>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</si>
  <si>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</si>
  <si>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</si>
  <si>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</si>
  <si>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</si>
  <si>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</si>
  <si>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</si>
  <si>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</si>
  <si>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</si>
  <si>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</si>
  <si>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</si>
  <si>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</si>
  <si>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</si>
  <si>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</si>
  <si>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</si>
  <si>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</si>
  <si>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</si>
  <si>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</si>
  <si>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</si>
  <si>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</si>
  <si>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</si>
  <si>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</si>
  <si>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</si>
  <si>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</si>
  <si>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</si>
  <si>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</si>
  <si>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</si>
  <si>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</si>
  <si>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</si>
  <si>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</si>
  <si>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</si>
  <si>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</si>
  <si>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</si>
  <si>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</si>
  <si>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</si>
  <si>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</si>
  <si>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</si>
  <si>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</si>
  <si>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</si>
  <si>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</si>
  <si>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</si>
  <si>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</si>
  <si>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</si>
  <si>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</si>
  <si>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</si>
  <si>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</si>
  <si>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</si>
  <si>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</si>
  <si>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</si>
  <si>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</si>
  <si>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</si>
  <si>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</si>
  <si>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</si>
  <si>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</si>
  <si>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</si>
  <si>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</si>
  <si>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</si>
  <si>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</si>
  <si>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</si>
  <si>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</si>
  <si>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</si>
  <si>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</si>
  <si>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</si>
  <si>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</si>
  <si>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</si>
  <si>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</si>
  <si>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</si>
  <si>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</si>
  <si>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</si>
  <si>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</si>
  <si>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</si>
  <si>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</si>
  <si>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</si>
  <si>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</si>
  <si>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</si>
  <si>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</si>
  <si>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</si>
  <si>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</si>
  <si>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</si>
  <si>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</si>
  <si>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</si>
  <si>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</si>
  <si>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</si>
  <si>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</si>
  <si>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</si>
  <si>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</si>
  <si>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</si>
  <si>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</si>
  <si>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</si>
  <si>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</si>
  <si>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</si>
  <si>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</si>
  <si>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</si>
  <si>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</si>
  <si>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</si>
  <si>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</si>
  <si>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</si>
  <si>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</si>
  <si>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</si>
  <si>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</si>
  <si>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</si>
  <si>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</si>
  <si>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</si>
  <si>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</si>
  <si>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</si>
  <si>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</si>
  <si>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</si>
  <si>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</si>
  <si>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</si>
  <si>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</si>
  <si>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</si>
  <si>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</si>
  <si>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</si>
  <si>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</si>
  <si>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</si>
  <si>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</si>
  <si>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</si>
  <si>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</si>
  <si>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</si>
  <si>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</si>
  <si>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</si>
  <si>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</si>
  <si>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</si>
  <si>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</si>
  <si>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</si>
  <si>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</si>
  <si>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</si>
  <si>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</si>
  <si>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</si>
  <si>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</si>
  <si>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</si>
  <si>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</si>
  <si>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</si>
  <si>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</si>
  <si>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</si>
  <si>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</si>
  <si>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</si>
  <si>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</si>
  <si>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</si>
  <si>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</si>
  <si>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</si>
  <si>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</si>
  <si>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</si>
  <si>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</si>
  <si>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</si>
  <si>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</si>
  <si>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</si>
  <si>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</si>
  <si>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</si>
  <si>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</si>
  <si>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</si>
  <si>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</si>
  <si>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</si>
  <si>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</si>
  <si>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</si>
  <si>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</si>
  <si>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</si>
  <si>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</si>
  <si>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</si>
  <si>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</si>
  <si>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</si>
  <si>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</si>
  <si>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</si>
  <si>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</si>
  <si>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</si>
  <si>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</si>
  <si>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</si>
  <si>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</si>
  <si>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</si>
  <si>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</si>
  <si>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</si>
  <si>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</si>
  <si>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</si>
  <si>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</si>
  <si>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</si>
  <si>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</si>
  <si>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</si>
  <si>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</si>
  <si>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</si>
  <si>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</si>
  <si>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</si>
  <si>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</si>
  <si>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</si>
  <si>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</si>
  <si>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</si>
  <si>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</si>
  <si>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</si>
  <si>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</si>
  <si>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</si>
  <si>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</si>
  <si>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</si>
  <si>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</si>
  <si>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</si>
  <si>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</si>
  <si>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</si>
  <si>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</si>
  <si>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</si>
  <si>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</si>
  <si>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</si>
  <si>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</si>
  <si>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</si>
  <si>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</si>
  <si>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</si>
  <si>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</si>
  <si>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</si>
  <si>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</si>
  <si>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</si>
  <si>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</si>
  <si>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</si>
  <si>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</si>
  <si>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</si>
  <si>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</si>
  <si>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</si>
  <si>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</si>
  <si>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</si>
  <si>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</si>
  <si>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</si>
  <si>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</si>
  <si>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</si>
  <si>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</si>
  <si>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</si>
  <si>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</si>
  <si>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</si>
  <si>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</si>
  <si>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</si>
  <si>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</si>
  <si>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</si>
  <si>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</si>
  <si>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</si>
  <si>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</si>
  <si>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</si>
  <si>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</si>
  <si>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</si>
  <si>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</si>
  <si>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</si>
  <si>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</si>
  <si>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</si>
  <si>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</si>
  <si>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</si>
  <si>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</si>
  <si>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</si>
  <si>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</si>
  <si>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</si>
  <si>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</si>
  <si>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</si>
  <si>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</si>
  <si>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</si>
  <si>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</si>
  <si>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</si>
  <si>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</si>
  <si>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</si>
  <si>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</si>
  <si>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</si>
  <si>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</si>
  <si>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</si>
  <si>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</si>
  <si>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</si>
  <si>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</si>
  <si>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</si>
  <si>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</si>
  <si>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</si>
  <si>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</si>
  <si>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</si>
  <si>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</si>
  <si>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</si>
  <si>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</si>
  <si>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</si>
  <si>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</si>
  <si>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</si>
  <si>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</si>
  <si>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</si>
  <si>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</si>
  <si>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</si>
  <si>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</si>
  <si>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</si>
  <si>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</si>
  <si>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</si>
  <si>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</si>
  <si>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</si>
  <si>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</si>
  <si>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</si>
  <si>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</si>
  <si>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</si>
  <si>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</si>
  <si>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</si>
  <si>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</si>
  <si>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</si>
  <si>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</si>
  <si>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</si>
  <si>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</si>
  <si>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</si>
  <si>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</si>
  <si>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</si>
  <si>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</si>
  <si>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</si>
  <si>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</si>
  <si>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</si>
  <si>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</si>
  <si>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</si>
  <si>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</si>
  <si>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</si>
  <si>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</si>
  <si>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</si>
  <si>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</si>
  <si>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</si>
  <si>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</si>
  <si>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</si>
  <si>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</si>
  <si>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</si>
  <si>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</si>
  <si>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</si>
  <si>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</si>
  <si>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</si>
  <si>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</si>
  <si>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</si>
  <si>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</si>
  <si>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</si>
  <si>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</si>
  <si>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</si>
  <si>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</si>
  <si>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</si>
  <si>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</si>
  <si>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</si>
  <si>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</si>
  <si>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</si>
  <si>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</si>
  <si>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</si>
  <si>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</si>
  <si>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</si>
  <si>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</si>
  <si>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</si>
  <si>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</si>
  <si>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</si>
  <si>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</si>
  <si>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</si>
  <si>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</si>
  <si>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</si>
  <si>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</si>
  <si>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</si>
  <si>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</si>
  <si>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</si>
  <si>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</si>
  <si>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</si>
  <si>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</si>
  <si>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</si>
  <si>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</si>
  <si>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</si>
  <si>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</si>
  <si>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</si>
  <si>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</si>
  <si>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</si>
  <si>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</si>
  <si>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</si>
  <si>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</si>
  <si>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</si>
  <si>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</si>
  <si>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</si>
  <si>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</si>
  <si>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</si>
  <si>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</si>
  <si>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</si>
  <si>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</si>
  <si>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</si>
  <si>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</si>
  <si>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</si>
  <si>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</si>
  <si>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</si>
  <si>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</si>
  <si>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</si>
  <si>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</si>
  <si>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</si>
  <si>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</si>
  <si>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</si>
  <si>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</si>
  <si>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</si>
  <si>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</si>
  <si>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</si>
  <si>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</si>
  <si>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</si>
  <si>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</si>
  <si>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</si>
  <si>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</si>
  <si>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</si>
  <si>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</si>
  <si>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</si>
  <si>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</si>
  <si>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</si>
  <si>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</si>
  <si>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</si>
  <si>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</si>
  <si>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</si>
  <si>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</si>
  <si>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</si>
  <si>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</si>
  <si>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</si>
  <si>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</si>
  <si>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</si>
  <si>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</si>
  <si>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</si>
  <si>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</si>
  <si>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</si>
  <si>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</si>
  <si>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</si>
  <si>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</si>
  <si>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</si>
  <si>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</si>
  <si>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</si>
  <si>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</si>
  <si>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</si>
  <si>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</si>
  <si>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</si>
  <si>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</si>
  <si>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</si>
  <si>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</si>
  <si>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</si>
  <si>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</si>
  <si>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</si>
  <si>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</si>
  <si>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</si>
  <si>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</si>
  <si>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</si>
  <si>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</si>
  <si>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</si>
  <si>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</si>
  <si>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</si>
  <si>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</si>
  <si>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</si>
  <si>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</si>
  <si>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</si>
  <si>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</si>
  <si>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</si>
  <si>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</si>
  <si>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</si>
  <si>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</si>
  <si>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</si>
  <si>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</si>
  <si>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</si>
  <si>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</si>
  <si>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</si>
  <si>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</si>
  <si>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</si>
  <si>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</si>
  <si>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</si>
  <si>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</si>
  <si>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</si>
  <si>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</si>
  <si>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</si>
  <si>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</si>
  <si>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</si>
  <si>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</si>
  <si>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</si>
  <si>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</si>
  <si>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</si>
  <si>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</si>
  <si>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</si>
  <si>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</si>
  <si>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</si>
  <si>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</si>
  <si>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</si>
  <si>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</si>
  <si>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</si>
  <si>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</si>
  <si>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</si>
  <si>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</si>
  <si>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</si>
  <si>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</si>
  <si>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</si>
  <si>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</si>
  <si>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</si>
  <si>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</si>
  <si>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</si>
  <si>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</si>
  <si>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</si>
  <si>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</si>
  <si>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</si>
  <si>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</si>
  <si>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</si>
  <si>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</si>
  <si>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</si>
  <si>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</si>
  <si>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</si>
  <si>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</si>
  <si>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</si>
  <si>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</si>
  <si>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</si>
  <si>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</si>
  <si>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</si>
  <si>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</si>
  <si>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</si>
  <si>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</si>
  <si>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</si>
  <si>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</si>
  <si>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</si>
  <si>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</si>
  <si>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</si>
  <si>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</si>
  <si>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</si>
  <si>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</si>
  <si>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>2026-07-30 改制：技能點不再隨角色升級發放，改由技能熟練度提供（每級 1 點）；目前只用於潛力技能。a=基礎點數；b 停用；c=舊制上限常數（保留相容）。</t>
  </si>
  <si>
    <t>a=生命與四維最終倍率 b=升級經驗倍率  c=升級經驗基礎增加值 d=階級名稱 e=潛力技能等級上限（查表）。 f=已停用（舊融合技上限增加值，2026-09-29 移除）。</t>
  </si>
  <si>
    <t>4.0000000000000001E-3</t>
  </si>
  <si>
    <t>1.0000000000000001E-5</t>
  </si>
  <si>
    <t>2.5000000000000001E-3</t>
  </si>
  <si>
    <t>3.4999999999999999E-6</t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</si>
  <si>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</si>
  <si>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</si>
  <si>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</si>
  <si>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</si>
  <si>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</si>
  <si>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</si>
  <si>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</si>
  <si>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</si>
  <si>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</si>
  <si>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</si>
  <si>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</si>
  <si>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</si>
  <si>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</si>
  <si>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</si>
  <si>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</si>
  <si>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</si>
  <si>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</si>
  <si>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</si>
  <si>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</si>
  <si>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</si>
  <si>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</si>
  <si>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</si>
  <si>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</si>
  <si>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</si>
  <si>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</si>
  <si>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</si>
  <si>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</si>
  <si>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</si>
  <si>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</si>
  <si>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</si>
  <si>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</si>
  <si>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</si>
  <si>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</si>
  <si>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</si>
  <si>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</si>
  <si>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</si>
  <si>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</si>
  <si>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</si>
  <si>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</si>
  <si>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</si>
  <si>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</si>
  <si>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</si>
  <si>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</si>
  <si>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</si>
  <si>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</si>
  <si>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潛力技能 10；轉生後 15</t>
  </si>
  <si>
    <t>2026-09-29 舊版技能移除後只剩潛力技能：等級上限走「轉生對照表」param e（未轉生 10、轉生後見表）。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</si>
  <si>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</si>
  <si>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</si>
  <si>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</si>
  <si>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</si>
  <si>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</si>
  <si>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</si>
  <si>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</si>
  <si>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</si>
  <si>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</si>
  <si>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</si>
  <si>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{elemDmgFire,elemDmgIce,elemDmgLightning,elemDmgPoison,elemDmgLight,elemDmgDark,elemDmgEarth,elemDmgWind,resFire,resIce,resLightning,resPoison,resLight,resDark,resEarth,resWind,resAll}</t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</si>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</sst>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17"/>
  <sheetViews>
    <sheetView topLeftCell="A58" workbookViewId="0">
      <selection activeCell="O79" sqref="O79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s="7" t="s">
        <v>1018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6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s="7" t="s">
        <v>1019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s="7" t="s">
        <v>1019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s="7" t="s">
        <v>1019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s="7" t="s">
        <v>1019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s="7" t="s">
        <v>1019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s="7" t="s">
        <v>1019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s="7" t="s">
        <v>1019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s="7" t="s">
        <v>1019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s="7" t="s">
        <v>1019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s="7" t="s">
        <v>1019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s="7" t="s">
        <v>1019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s="7" t="s">
        <v>1019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s="7" t="s">
        <v>1019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s="7" t="s">
        <v>1019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s="7" t="s">
        <v>1019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s="7" t="s">
        <v>1019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s="7" t="s">
        <v>1019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s="7" t="s">
        <v>1019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s="7" t="s">
        <v>1019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s="7" t="s">
        <v>1019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s="7" t="s">
        <v>1019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a=吸血上限（定值）；0＝無上限。吸血是定值：每次對敵人造成傷害固定回復的生命（舊版百分比以 1%＝1 轉換），單獨計算，與每秒生命回復、造成的傷害皆無關。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a=吸魔上限（定值）；0＝無上限。吸魔是定值：每次對敵人造成傷害固定回復的法力（舊版百分比以 1%＝1 轉換），單獨計算，與每秒法力恢復、造成的傷害皆無關。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1</v>
      </c>
      <c r="H60" s="7" t="s">
        <v>1020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 s="7" t="s">
        <v>1021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 s="7" t="s">
        <v>1022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攻速遞減計算：實際攻速 = 1 + a * (攻速總加成) - b * (攻速總加成)^c</v>
      </c>
      <c r="F68" t="str">
        <f>計算表!F68</f>
        <v>a,b = 系數 c=乘方值</v>
      </c>
      <c r="G68">
        <f>計算表!G68</f>
        <v>0.86</v>
      </c>
      <c r="H68">
        <f>計算表!H68</f>
        <v>0.2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 s="7" t="s">
        <v>1023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(a + 加成)/秒</v>
      </c>
      <c r="F72" t="str">
        <f>計算表!F72</f>
        <v>a=基礎生命回復定值。</v>
      </c>
      <c r="G72">
        <f>計算表!G72</f>
        <v>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 × max(0, 1 − 該類已被控次數 × 每次遞減%)</v>
      </c>
      <c r="F87" t="str">
        <f>計算表!F87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7">
        <f>計算表!G87</f>
        <v>10</v>
      </c>
      <c r="H87">
        <f>計算表!H87</f>
        <v>10</v>
      </c>
      <c r="I87">
        <f>計算表!I87</f>
        <v>10</v>
      </c>
      <c r="J87">
        <f>計算表!J87</f>
        <v>0.5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s="7" t="s">
        <v>1024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 s="7" t="s">
        <v>1025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 s="7" t="s">
        <v>1026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 s="7" t="s">
        <v>1027</v>
      </c>
      <c r="H147" s="7" t="s">
        <v>1028</v>
      </c>
      <c r="I147" s="7" t="s">
        <v>1029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 s="7" t="s">
        <v>1030</v>
      </c>
      <c r="H148" s="7" t="s">
        <v>1031</v>
      </c>
      <c r="I148">
        <f>計算表!I148</f>
        <v>9.11754</v>
      </c>
      <c r="J148" s="7" t="s">
        <v>1032</v>
      </c>
      <c r="K148" s="7" t="s">
        <v>1033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 s="7" t="s">
        <v>1034</v>
      </c>
      <c r="H149" s="7" t="s">
        <v>1035</v>
      </c>
      <c r="I149" s="7" t="s">
        <v>1036</v>
      </c>
      <c r="J149" s="7" t="s">
        <v>1037</v>
      </c>
      <c r="K149" s="7" t="s">
        <v>1038</v>
      </c>
      <c r="L149" s="7" t="s">
        <v>1039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 s="7" t="s">
        <v>1040</v>
      </c>
      <c r="H150" s="7" t="s">
        <v>1041</v>
      </c>
      <c r="I150" s="7" t="s">
        <v>1042</v>
      </c>
      <c r="J150" s="7" t="s">
        <v>1043</v>
      </c>
      <c r="K150" s="7" t="s">
        <v>1044</v>
      </c>
      <c r="L150" s="7" t="s">
        <v>1045</v>
      </c>
      <c r="M150" s="7" t="s">
        <v>1046</v>
      </c>
      <c r="N150" s="7" t="s">
        <v>1047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 s="7" t="s">
        <v>1048</v>
      </c>
      <c r="H151" s="7" t="s">
        <v>1049</v>
      </c>
      <c r="I151" s="7" t="s">
        <v>1050</v>
      </c>
      <c r="J151" s="7" t="s">
        <v>1051</v>
      </c>
      <c r="K151" s="7" t="s">
        <v>1052</v>
      </c>
      <c r="L151" s="7" t="s">
        <v>1053</v>
      </c>
      <c r="M151" s="7" t="s">
        <v>1054</v>
      </c>
      <c r="N151" s="7" t="s">
        <v>1055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 s="7" t="s">
        <v>1056</v>
      </c>
      <c r="H152" s="7" t="s">
        <v>1057</v>
      </c>
      <c r="I152" s="7" t="s">
        <v>1058</v>
      </c>
      <c r="J152" s="7" t="s">
        <v>1059</v>
      </c>
      <c r="K152" s="7" t="s">
        <v>1060</v>
      </c>
      <c r="L152" s="7" t="s">
        <v>1061</v>
      </c>
      <c r="M152" s="7" t="s">
        <v>1062</v>
      </c>
      <c r="N152" s="7" t="s">
        <v>1063</v>
      </c>
      <c r="O152" s="7" t="s">
        <v>1064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 s="7" t="s">
        <v>1065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 s="7" t="s">
        <v>1066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 s="7" t="s">
        <v>1067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計算表!A185</f>
        <v>184</v>
      </c>
      <c r="B184">
        <f>計算表!B185</f>
        <v>0</v>
      </c>
      <c r="C184" t="str">
        <f>計算表!C185</f>
        <v>6-神鑄</v>
      </c>
      <c r="D184" t="str">
        <f>計算表!D185</f>
        <v>裝備神鑄成功率</v>
      </c>
      <c r="E184" t="str">
        <f>計算表!E185</f>
        <v>clamp(基礎 + 魔塵數×a, 0, 100)</v>
      </c>
      <c r="F184" t="str">
        <f>計算表!F185</f>
        <v>傳統品質每魔塵 a%；混沌品質另由「裝備神鑄混沌魔塵加成」控制。</v>
      </c>
      <c r="G184">
        <f>計算表!G185</f>
        <v>5</v>
      </c>
      <c r="H184">
        <f>計算表!H185</f>
        <v>0</v>
      </c>
      <c r="I184">
        <f>計算表!I185</f>
        <v>0</v>
      </c>
      <c r="J184">
        <f>計算表!J185</f>
        <v>0</v>
      </c>
      <c r="K184">
        <f>計算表!K185</f>
        <v>0</v>
      </c>
      <c r="L184">
        <f>計算表!L185</f>
        <v>0</v>
      </c>
      <c r="M184">
        <f>計算表!M185</f>
        <v>0</v>
      </c>
      <c r="N184">
        <f>計算表!N185</f>
        <v>0</v>
      </c>
      <c r="O184">
        <f>計算表!O185</f>
        <v>0</v>
      </c>
      <c r="P184">
        <f>計算表!P185</f>
        <v>0</v>
      </c>
      <c r="Q184">
        <f>計算表!Q185</f>
        <v>0</v>
      </c>
      <c r="R184">
        <f>計算表!R185</f>
        <v>0</v>
      </c>
    </row>
    <row r="185" spans="1:18" x14ac:dyDescent="0.25">
      <c r="A185">
        <f>計算表!A186</f>
        <v>185</v>
      </c>
      <c r="B185">
        <f>計算表!B186</f>
        <v>0</v>
      </c>
      <c r="C185" t="str">
        <f>計算表!C186</f>
        <v>6-神鑄</v>
      </c>
      <c r="D185" t="str">
        <f>計算表!D186</f>
        <v>裝備神鑄基礎成功率</v>
      </c>
      <c r="E185" t="str">
        <f>計算表!E186</f>
        <v>傳說a 神話b 創世c 混沌d（%）</v>
      </c>
      <c r="F185" t="str">
        <f>計算表!F186</f>
        <v>依素材品質。</v>
      </c>
      <c r="G185">
        <f>計算表!G186</f>
        <v>55</v>
      </c>
      <c r="H185">
        <f>計算表!H186</f>
        <v>40</v>
      </c>
      <c r="I185">
        <f>計算表!I186</f>
        <v>25</v>
      </c>
      <c r="J185">
        <f>計算表!J186</f>
        <v>20</v>
      </c>
      <c r="K185">
        <f>計算表!K186</f>
        <v>0</v>
      </c>
      <c r="L185">
        <f>計算表!L186</f>
        <v>0</v>
      </c>
      <c r="M185">
        <f>計算表!M186</f>
        <v>0</v>
      </c>
      <c r="N185">
        <f>計算表!N186</f>
        <v>0</v>
      </c>
      <c r="O185">
        <f>計算表!O186</f>
        <v>0</v>
      </c>
      <c r="P185">
        <f>計算表!P186</f>
        <v>0</v>
      </c>
      <c r="Q185">
        <f>計算表!Q186</f>
        <v>0</v>
      </c>
      <c r="R185">
        <f>計算表!R186</f>
        <v>0</v>
      </c>
    </row>
    <row r="186" spans="1:18" x14ac:dyDescent="0.25">
      <c r="A186">
        <f>計算表!A187</f>
        <v>186</v>
      </c>
      <c r="B186">
        <f>計算表!B187</f>
        <v>0</v>
      </c>
      <c r="C186" t="str">
        <f>計算表!C187</f>
        <v>6-神鑄</v>
      </c>
      <c r="D186" t="str">
        <f>計算表!D187</f>
        <v>裝備神鑄金幣</v>
      </c>
      <c r="E186" t="str">
        <f>計算表!E187</f>
        <v>傳說a 神話b 創世c 混沌d</v>
      </c>
      <c r="F186" t="str">
        <f>計算表!F187</f>
        <v>單次金幣消耗；混沌暫定 5 億。</v>
      </c>
      <c r="G186">
        <f>計算表!G187</f>
        <v>5000000</v>
      </c>
      <c r="H186">
        <f>計算表!H187</f>
        <v>20000000</v>
      </c>
      <c r="I186">
        <f>計算表!I187</f>
        <v>100000000</v>
      </c>
      <c r="J186">
        <f>計算表!J187</f>
        <v>500000000</v>
      </c>
      <c r="K186">
        <f>計算表!K187</f>
        <v>0</v>
      </c>
      <c r="L186">
        <f>計算表!L187</f>
        <v>0</v>
      </c>
      <c r="M186">
        <f>計算表!M187</f>
        <v>0</v>
      </c>
      <c r="N186">
        <f>計算表!N187</f>
        <v>0</v>
      </c>
      <c r="O186">
        <f>計算表!O187</f>
        <v>0</v>
      </c>
      <c r="P186">
        <f>計算表!P187</f>
        <v>0</v>
      </c>
      <c r="Q186">
        <f>計算表!Q187</f>
        <v>0</v>
      </c>
      <c r="R186">
        <f>計算表!R187</f>
        <v>0</v>
      </c>
    </row>
    <row r="187" spans="1:18" x14ac:dyDescent="0.25">
      <c r="A187">
        <f>計算表!A188</f>
        <v>187</v>
      </c>
      <c r="B187">
        <f>計算表!B188</f>
        <v>0</v>
      </c>
      <c r="C187" t="str">
        <f>計算表!C188</f>
        <v>6-神鑄</v>
      </c>
      <c r="D187" t="str">
        <f>計算表!D188</f>
        <v>裝備神鑄時間(秒)</v>
      </c>
      <c r="E187" t="str">
        <f>計算表!E188</f>
        <v>傳說a 神話b 創世c 混沌d</v>
      </c>
      <c r="F187">
        <f>計算表!F188</f>
        <v>0</v>
      </c>
      <c r="G187">
        <f>計算表!G188</f>
        <v>3</v>
      </c>
      <c r="H187">
        <f>計算表!H188</f>
        <v>5</v>
      </c>
      <c r="I187">
        <f>計算表!I188</f>
        <v>8</v>
      </c>
      <c r="J187">
        <f>計算表!J188</f>
        <v>13</v>
      </c>
      <c r="K187">
        <f>計算表!K188</f>
        <v>0</v>
      </c>
      <c r="L187">
        <f>計算表!L188</f>
        <v>0</v>
      </c>
      <c r="M187">
        <f>計算表!M188</f>
        <v>0</v>
      </c>
      <c r="N187">
        <f>計算表!N188</f>
        <v>0</v>
      </c>
      <c r="O187">
        <f>計算表!O188</f>
        <v>0</v>
      </c>
      <c r="P187">
        <f>計算表!P188</f>
        <v>0</v>
      </c>
      <c r="Q187">
        <f>計算表!Q188</f>
        <v>0</v>
      </c>
      <c r="R187">
        <f>計算表!R188</f>
        <v>0</v>
      </c>
    </row>
    <row r="188" spans="1:18" x14ac:dyDescent="0.25">
      <c r="A188">
        <f>計算表!A189</f>
        <v>188</v>
      </c>
      <c r="B188">
        <f>計算表!B189</f>
        <v>0</v>
      </c>
      <c r="C188" t="str">
        <f>計算表!C189</f>
        <v>6-神鑄</v>
      </c>
      <c r="D188" t="str">
        <f>計算表!D189</f>
        <v>裝備神鑄混沌魔塵加成</v>
      </c>
      <c r="E188" t="str">
        <f>計算表!E189</f>
        <v>混沌品質每個魔塵增加 a% 成功率</v>
      </c>
      <c r="F188" t="str">
        <f>計算表!F189</f>
        <v>僅適用 6 件混沌裝備神鑄為神鑄混沌。</v>
      </c>
      <c r="G188">
        <f>計算表!G189</f>
        <v>3</v>
      </c>
      <c r="H188">
        <f>計算表!H189</f>
        <v>0</v>
      </c>
      <c r="I188">
        <f>計算表!I189</f>
        <v>0</v>
      </c>
      <c r="J188">
        <f>計算表!J189</f>
        <v>0</v>
      </c>
      <c r="K188">
        <f>計算表!K189</f>
        <v>0</v>
      </c>
      <c r="L188">
        <f>計算表!L189</f>
        <v>0</v>
      </c>
      <c r="M188">
        <f>計算表!M189</f>
        <v>0</v>
      </c>
      <c r="N188">
        <f>計算表!N189</f>
        <v>0</v>
      </c>
      <c r="O188">
        <f>計算表!O189</f>
        <v>0</v>
      </c>
      <c r="P188">
        <f>計算表!P189</f>
        <v>0</v>
      </c>
      <c r="Q188">
        <f>計算表!Q189</f>
        <v>0</v>
      </c>
      <c r="R188">
        <f>計算表!R189</f>
        <v>0</v>
      </c>
    </row>
    <row r="189" spans="1:18" x14ac:dyDescent="0.25">
      <c r="A189">
        <f>計算表!A190</f>
        <v>189</v>
      </c>
      <c r="B189">
        <f>計算表!B190</f>
        <v>0</v>
      </c>
      <c r="C189" t="str">
        <f>計算表!C190</f>
        <v>6-神鑄</v>
      </c>
      <c r="D189" t="str">
        <f>計算表!D190</f>
        <v>寶石神鑄成功率</v>
      </c>
      <c r="E189" t="str">
        <f>計算表!E190</f>
        <v>clamp(基礎 + 魔塵數×a, 0, 100)</v>
      </c>
      <c r="F189" t="str">
        <f>計算表!F190</f>
        <v>基礎：5階45 6階35 7階25 8階15 9階5。a=每魔塵加成%。</v>
      </c>
      <c r="G189">
        <f>計算表!G190</f>
        <v>3</v>
      </c>
      <c r="H189">
        <f>計算表!H190</f>
        <v>0</v>
      </c>
      <c r="I189">
        <f>計算表!I190</f>
        <v>0</v>
      </c>
      <c r="J189">
        <f>計算表!J190</f>
        <v>0</v>
      </c>
      <c r="K189">
        <f>計算表!K190</f>
        <v>0</v>
      </c>
      <c r="L189">
        <f>計算表!L190</f>
        <v>0</v>
      </c>
      <c r="M189">
        <f>計算表!M190</f>
        <v>0</v>
      </c>
      <c r="N189">
        <f>計算表!N190</f>
        <v>0</v>
      </c>
      <c r="O189">
        <f>計算表!O190</f>
        <v>0</v>
      </c>
      <c r="P189">
        <f>計算表!P190</f>
        <v>0</v>
      </c>
      <c r="Q189">
        <f>計算表!Q190</f>
        <v>0</v>
      </c>
      <c r="R189">
        <f>計算表!R190</f>
        <v>0</v>
      </c>
    </row>
    <row r="190" spans="1:18" x14ac:dyDescent="0.25">
      <c r="A190">
        <f>計算表!A191</f>
        <v>190</v>
      </c>
      <c r="B190">
        <f>計算表!B191</f>
        <v>0</v>
      </c>
      <c r="C190" t="str">
        <f>計算表!C191</f>
        <v>6-神鑄</v>
      </c>
      <c r="D190" t="str">
        <f>計算表!D191</f>
        <v>寶石神鑄基礎成功率</v>
      </c>
      <c r="E190" t="str">
        <f>計算表!E191</f>
        <v>5階a 6階b 7階c 8階d 9階e（%）</v>
      </c>
      <c r="F190" t="str">
        <f>計算表!F191</f>
        <v>依素材階級。</v>
      </c>
      <c r="G190">
        <f>計算表!G191</f>
        <v>50</v>
      </c>
      <c r="H190">
        <f>計算表!H191</f>
        <v>40</v>
      </c>
      <c r="I190">
        <f>計算表!I191</f>
        <v>35</v>
      </c>
      <c r="J190">
        <f>計算表!J191</f>
        <v>25</v>
      </c>
      <c r="K190">
        <f>計算表!K191</f>
        <v>15</v>
      </c>
      <c r="L190">
        <f>計算表!L191</f>
        <v>0</v>
      </c>
      <c r="M190">
        <f>計算表!M191</f>
        <v>0</v>
      </c>
      <c r="N190">
        <f>計算表!N191</f>
        <v>0</v>
      </c>
      <c r="O190">
        <f>計算表!O191</f>
        <v>0</v>
      </c>
      <c r="P190">
        <f>計算表!P191</f>
        <v>0</v>
      </c>
      <c r="Q190">
        <f>計算表!Q191</f>
        <v>0</v>
      </c>
      <c r="R190">
        <f>計算表!R191</f>
        <v>0</v>
      </c>
    </row>
    <row r="191" spans="1:18" x14ac:dyDescent="0.25">
      <c r="A191">
        <f>計算表!A192</f>
        <v>191</v>
      </c>
      <c r="B191">
        <f>計算表!B192</f>
        <v>0</v>
      </c>
      <c r="C191" t="str">
        <f>計算表!C192</f>
        <v>6-神鑄</v>
      </c>
      <c r="D191" t="str">
        <f>計算表!D192</f>
        <v>寶石神鑄金幣</v>
      </c>
      <c r="E191" t="str">
        <f>計算表!E192</f>
        <v>a + (素材階級-b)×a</v>
      </c>
      <c r="F191" t="str">
        <f>計算表!F192</f>
        <v>a=基礎 b=起始階級。</v>
      </c>
      <c r="G191">
        <f>計算表!G192</f>
        <v>1000000</v>
      </c>
      <c r="H191">
        <f>計算表!H192</f>
        <v>5</v>
      </c>
      <c r="I191">
        <f>計算表!I192</f>
        <v>0</v>
      </c>
      <c r="J191">
        <f>計算表!J192</f>
        <v>0</v>
      </c>
      <c r="K191">
        <f>計算表!K192</f>
        <v>0</v>
      </c>
      <c r="L191">
        <f>計算表!L192</f>
        <v>0</v>
      </c>
      <c r="M191">
        <f>計算表!M192</f>
        <v>0</v>
      </c>
      <c r="N191">
        <f>計算表!N192</f>
        <v>0</v>
      </c>
      <c r="O191">
        <f>計算表!O192</f>
        <v>0</v>
      </c>
      <c r="P191">
        <f>計算表!P192</f>
        <v>0</v>
      </c>
      <c r="Q191">
        <f>計算表!Q192</f>
        <v>0</v>
      </c>
      <c r="R191">
        <f>計算表!R192</f>
        <v>0</v>
      </c>
    </row>
    <row r="192" spans="1:18" x14ac:dyDescent="0.25">
      <c r="A192">
        <f>計算表!A193</f>
        <v>192</v>
      </c>
      <c r="B192">
        <f>計算表!B193</f>
        <v>0</v>
      </c>
      <c r="C192" t="str">
        <f>計算表!C193</f>
        <v>6-神鑄</v>
      </c>
      <c r="D192" t="str">
        <f>計算表!D193</f>
        <v>寶石神鑄時間(秒)</v>
      </c>
      <c r="E192" t="str">
        <f>計算表!E193</f>
        <v>5階a 6階b 7階c 8階d 9階e</v>
      </c>
      <c r="F192">
        <f>計算表!F193</f>
        <v>0</v>
      </c>
      <c r="G192">
        <f>計算表!G193</f>
        <v>1</v>
      </c>
      <c r="H192">
        <f>計算表!H193</f>
        <v>2</v>
      </c>
      <c r="I192">
        <f>計算表!I193</f>
        <v>3</v>
      </c>
      <c r="J192">
        <f>計算表!J193</f>
        <v>4</v>
      </c>
      <c r="K192">
        <f>計算表!K193</f>
        <v>6</v>
      </c>
      <c r="L192">
        <f>計算表!L193</f>
        <v>0</v>
      </c>
      <c r="M192">
        <f>計算表!M193</f>
        <v>0</v>
      </c>
      <c r="N192">
        <f>計算表!N193</f>
        <v>0</v>
      </c>
      <c r="O192">
        <f>計算表!O193</f>
        <v>0</v>
      </c>
      <c r="P192">
        <f>計算表!P193</f>
        <v>0</v>
      </c>
      <c r="Q192">
        <f>計算表!Q193</f>
        <v>0</v>
      </c>
      <c r="R192">
        <f>計算表!R193</f>
        <v>0</v>
      </c>
    </row>
    <row r="193" spans="1:18" x14ac:dyDescent="0.25">
      <c r="A193">
        <f>計算表!A194</f>
        <v>193</v>
      </c>
      <c r="B193">
        <f>計算表!B194</f>
        <v>0</v>
      </c>
      <c r="C193" t="str">
        <f>計算表!C194</f>
        <v>6-神鑄</v>
      </c>
      <c r="D193" t="str">
        <f>計算表!D194</f>
        <v>神鑄失敗</v>
      </c>
      <c r="E193" t="str">
        <f>計算表!E194</f>
        <v>裝備消耗a件退b件；寶石消耗a顆退b顆；每次失敗得魔塵1</v>
      </c>
      <c r="F193" t="str">
        <f>計算表!F194</f>
        <v>a=消耗 b=退回。</v>
      </c>
      <c r="G193">
        <f>計算表!G194</f>
        <v>3</v>
      </c>
      <c r="H193">
        <f>計算表!H194</f>
        <v>3</v>
      </c>
      <c r="I193">
        <f>計算表!I194</f>
        <v>0</v>
      </c>
      <c r="J193">
        <f>計算表!J194</f>
        <v>0</v>
      </c>
      <c r="K193">
        <f>計算表!K194</f>
        <v>0</v>
      </c>
      <c r="L193">
        <f>計算表!L194</f>
        <v>0</v>
      </c>
      <c r="M193">
        <f>計算表!M194</f>
        <v>0</v>
      </c>
      <c r="N193">
        <f>計算表!N194</f>
        <v>0</v>
      </c>
      <c r="O193">
        <f>計算表!O194</f>
        <v>0</v>
      </c>
      <c r="P193">
        <f>計算表!P194</f>
        <v>0</v>
      </c>
      <c r="Q193">
        <f>計算表!Q194</f>
        <v>0</v>
      </c>
      <c r="R193">
        <f>計算表!R194</f>
        <v>0</v>
      </c>
    </row>
    <row r="194" spans="1:18" x14ac:dyDescent="0.25">
      <c r="A194">
        <f>計算表!A195</f>
        <v>194</v>
      </c>
      <c r="B194">
        <f>計算表!B195</f>
        <v>0</v>
      </c>
      <c r="C194" t="str">
        <f>計算表!C195</f>
        <v>6-神鑄</v>
      </c>
      <c r="D194" t="str">
        <f>計算表!D195</f>
        <v>神鑄槽位 / 魔塵上限</v>
      </c>
      <c r="E194" t="str">
        <f>計算表!E195</f>
        <v>法陣a格；魔塵最多b個</v>
      </c>
      <c r="F194" t="str">
        <f>計算表!F195</f>
        <v>a=槽位 b=魔塵上限。</v>
      </c>
      <c r="G194">
        <f>計算表!G195</f>
        <v>6</v>
      </c>
      <c r="H194">
        <f>計算表!H195</f>
        <v>6</v>
      </c>
      <c r="I194">
        <f>計算表!I195</f>
        <v>0</v>
      </c>
      <c r="J194">
        <f>計算表!J195</f>
        <v>0</v>
      </c>
      <c r="K194">
        <f>計算表!K195</f>
        <v>0</v>
      </c>
      <c r="L194">
        <f>計算表!L195</f>
        <v>0</v>
      </c>
      <c r="M194">
        <f>計算表!M195</f>
        <v>0</v>
      </c>
      <c r="N194">
        <f>計算表!N195</f>
        <v>0</v>
      </c>
      <c r="O194">
        <f>計算表!O195</f>
        <v>0</v>
      </c>
      <c r="P194">
        <f>計算表!P195</f>
        <v>0</v>
      </c>
      <c r="Q194">
        <f>計算表!Q195</f>
        <v>0</v>
      </c>
      <c r="R194">
        <f>計算表!R195</f>
        <v>0</v>
      </c>
    </row>
    <row r="195" spans="1:18" x14ac:dyDescent="0.25">
      <c r="A195">
        <f>計算表!A196</f>
        <v>195</v>
      </c>
      <c r="B195">
        <f>計算表!B196</f>
        <v>0</v>
      </c>
      <c r="C195" t="str">
        <f>計算表!C196</f>
        <v>6-神鑄</v>
      </c>
      <c r="D195" t="str">
        <f>計算表!D196</f>
        <v>裝備神鑄混沌基礎成功率</v>
      </c>
      <c r="E195" t="str">
        <f>計算表!E196</f>
        <v>混沌品質基礎成功率 a%</v>
      </c>
      <c r="F195" t="str">
        <f>計算表!F196</f>
        <v>6 件混沌裝備神鑄為神鑄混沌的基礎成功率。</v>
      </c>
      <c r="G195">
        <f>計算表!G196</f>
        <v>20</v>
      </c>
      <c r="H195">
        <f>計算表!H196</f>
        <v>0</v>
      </c>
      <c r="I195">
        <f>計算表!I196</f>
        <v>0</v>
      </c>
      <c r="J195">
        <f>計算表!J196</f>
        <v>0</v>
      </c>
      <c r="K195">
        <f>計算表!K196</f>
        <v>0</v>
      </c>
      <c r="L195">
        <f>計算表!L196</f>
        <v>0</v>
      </c>
      <c r="M195">
        <f>計算表!M196</f>
        <v>0</v>
      </c>
      <c r="N195">
        <f>計算表!N196</f>
        <v>0</v>
      </c>
      <c r="O195">
        <f>計算表!O196</f>
        <v>0</v>
      </c>
      <c r="P195">
        <f>計算表!P196</f>
        <v>0</v>
      </c>
      <c r="Q195">
        <f>計算表!Q196</f>
        <v>0</v>
      </c>
      <c r="R195">
        <f>計算表!R196</f>
        <v>0</v>
      </c>
    </row>
    <row r="196" spans="1:18" x14ac:dyDescent="0.25">
      <c r="A196">
        <f>計算表!A197</f>
        <v>196</v>
      </c>
      <c r="B196">
        <f>計算表!B197</f>
        <v>0</v>
      </c>
      <c r="C196" t="str">
        <f>計算表!C197</f>
        <v>6-神鑄</v>
      </c>
      <c r="D196" t="str">
        <f>計算表!D197</f>
        <v>裝備神鑄混沌金幣</v>
      </c>
      <c r="E196" t="str">
        <f>計算表!E197</f>
        <v>混沌品質單次金幣消耗 a</v>
      </c>
      <c r="F196" t="str">
        <f>計算表!F197</f>
        <v>暫定 5 億，可自行調整。</v>
      </c>
      <c r="G196">
        <f>計算表!G197</f>
        <v>500000000</v>
      </c>
      <c r="H196">
        <f>計算表!H197</f>
        <v>0</v>
      </c>
      <c r="I196">
        <f>計算表!I197</f>
        <v>0</v>
      </c>
      <c r="J196">
        <f>計算表!J197</f>
        <v>0</v>
      </c>
      <c r="K196">
        <f>計算表!K197</f>
        <v>0</v>
      </c>
      <c r="L196">
        <f>計算表!L197</f>
        <v>0</v>
      </c>
      <c r="M196">
        <f>計算表!M197</f>
        <v>0</v>
      </c>
      <c r="N196">
        <f>計算表!N197</f>
        <v>0</v>
      </c>
      <c r="O196">
        <f>計算表!O197</f>
        <v>0</v>
      </c>
      <c r="P196">
        <f>計算表!P197</f>
        <v>0</v>
      </c>
      <c r="Q196">
        <f>計算表!Q197</f>
        <v>0</v>
      </c>
      <c r="R196">
        <f>計算表!R197</f>
        <v>0</v>
      </c>
    </row>
    <row r="197" spans="1:18" x14ac:dyDescent="0.25">
      <c r="A197">
        <f>計算表!A198</f>
        <v>197</v>
      </c>
      <c r="B197">
        <f>計算表!B198</f>
        <v>0</v>
      </c>
      <c r="C197" t="str">
        <f>計算表!C198</f>
        <v>6-神鑄</v>
      </c>
      <c r="D197" t="str">
        <f>計算表!D198</f>
        <v>裝備神鑄混沌時間(秒)</v>
      </c>
      <c r="E197" t="str">
        <f>計算表!E198</f>
        <v>混沌品質神鑄時間 a 秒</v>
      </c>
      <c r="F197" t="str">
        <f>計算表!F198</f>
        <v>暫定 13 秒，可自行調整。</v>
      </c>
      <c r="G197">
        <f>計算表!G198</f>
        <v>13</v>
      </c>
      <c r="H197">
        <f>計算表!H198</f>
        <v>0</v>
      </c>
      <c r="I197">
        <f>計算表!I198</f>
        <v>0</v>
      </c>
      <c r="J197">
        <f>計算表!J198</f>
        <v>0</v>
      </c>
      <c r="K197">
        <f>計算表!K198</f>
        <v>0</v>
      </c>
      <c r="L197">
        <f>計算表!L198</f>
        <v>0</v>
      </c>
      <c r="M197">
        <f>計算表!M198</f>
        <v>0</v>
      </c>
      <c r="N197">
        <f>計算表!N198</f>
        <v>0</v>
      </c>
      <c r="O197">
        <f>計算表!O198</f>
        <v>0</v>
      </c>
      <c r="P197">
        <f>計算表!P198</f>
        <v>0</v>
      </c>
      <c r="Q197">
        <f>計算表!Q198</f>
        <v>0</v>
      </c>
      <c r="R197">
        <f>計算表!R198</f>
        <v>0</v>
      </c>
    </row>
    <row r="198" spans="1:18" x14ac:dyDescent="0.25">
      <c r="A198">
        <f>計算表!A199</f>
        <v>198</v>
      </c>
      <c r="B198">
        <f>計算表!B199</f>
        <v>0</v>
      </c>
      <c r="C198" t="str">
        <f>計算表!C199</f>
        <v>6-裝備</v>
      </c>
      <c r="D198" t="str">
        <f>計算表!D199</f>
        <v>詞條數值</v>
      </c>
      <c r="E198" t="str">
        <f>計算表!E199</f>
        <v>(base+base×lv係數×(裝備等級-1))×稀有度倍率×rnd(0.8,1.2)</v>
      </c>
      <c r="F198" t="str">
        <f>計算表!F199</f>
        <v>base/lv係數見「詞條池」；稀有度倍率見「稀有度表」。　※指標列：base/lv 見「表-詞條池」，稀有度倍率見「表-稀有度」。</v>
      </c>
      <c r="G198">
        <f>計算表!G199</f>
        <v>0</v>
      </c>
      <c r="H198">
        <f>計算表!H199</f>
        <v>0</v>
      </c>
      <c r="I198">
        <f>計算表!I199</f>
        <v>0</v>
      </c>
      <c r="J198">
        <f>計算表!J199</f>
        <v>0</v>
      </c>
      <c r="K198">
        <f>計算表!K199</f>
        <v>0</v>
      </c>
      <c r="L198">
        <f>計算表!L199</f>
        <v>0</v>
      </c>
      <c r="M198">
        <f>計算表!M199</f>
        <v>0</v>
      </c>
      <c r="N198">
        <f>計算表!N199</f>
        <v>0</v>
      </c>
      <c r="O198">
        <f>計算表!O199</f>
        <v>0</v>
      </c>
      <c r="P198">
        <f>計算表!P199</f>
        <v>0</v>
      </c>
      <c r="Q198">
        <f>計算表!Q199</f>
        <v>0</v>
      </c>
      <c r="R198">
        <f>計算表!R199</f>
        <v>0</v>
      </c>
    </row>
    <row r="199" spans="1:18" x14ac:dyDescent="0.25">
      <c r="A199">
        <f>計算表!A200</f>
        <v>199</v>
      </c>
      <c r="B199">
        <f>計算表!B200</f>
        <v>0</v>
      </c>
      <c r="C199" t="str">
        <f>計算表!C200</f>
        <v>6-裝備</v>
      </c>
      <c r="D199" t="str">
        <f>計算表!D200</f>
        <v>太古詞條數值</v>
      </c>
      <c r="E199" t="str">
        <f>計算表!E200</f>
        <v>基準值×1.2×a</v>
      </c>
      <c r="F199" t="str">
        <f>計算表!F200</f>
        <v>a=太古倍率（=原上限的 135%）。　※實際由「5-太古詞條/太古詞條數值倍率」控制，本列不生效。</v>
      </c>
      <c r="G199">
        <f>計算表!G200</f>
        <v>1.35</v>
      </c>
      <c r="H199">
        <f>計算表!H200</f>
        <v>0</v>
      </c>
      <c r="I199">
        <f>計算表!I200</f>
        <v>0</v>
      </c>
      <c r="J199">
        <f>計算表!J200</f>
        <v>0</v>
      </c>
      <c r="K199">
        <f>計算表!K200</f>
        <v>0</v>
      </c>
      <c r="L199">
        <f>計算表!L200</f>
        <v>0</v>
      </c>
      <c r="M199">
        <f>計算表!M200</f>
        <v>0</v>
      </c>
      <c r="N199">
        <f>計算表!N200</f>
        <v>0</v>
      </c>
      <c r="O199">
        <f>計算表!O200</f>
        <v>0</v>
      </c>
      <c r="P199">
        <f>計算表!P200</f>
        <v>0</v>
      </c>
      <c r="Q199">
        <f>計算表!Q200</f>
        <v>0</v>
      </c>
      <c r="R199">
        <f>計算表!R200</f>
        <v>0</v>
      </c>
    </row>
    <row r="200" spans="1:18" x14ac:dyDescent="0.25">
      <c r="A200">
        <f>計算表!A201</f>
        <v>200</v>
      </c>
      <c r="B200">
        <f>計算表!B201</f>
        <v>0</v>
      </c>
      <c r="C200" t="str">
        <f>計算表!C201</f>
        <v>6-裝備</v>
      </c>
      <c r="D200" t="str">
        <f>計算表!D201</f>
        <v>強化倍率</v>
      </c>
      <c r="E200" t="str">
        <f>計算表!E201</f>
        <v>1 + a×強化等級</v>
      </c>
      <c r="F200" t="str">
        <f>計算表!F201</f>
        <v>裝備每 +1，全詞條數值 +5%。</v>
      </c>
      <c r="G200">
        <f>計算表!G201</f>
        <v>0.05</v>
      </c>
      <c r="H200">
        <f>計算表!H201</f>
        <v>0</v>
      </c>
      <c r="I200">
        <f>計算表!I201</f>
        <v>0</v>
      </c>
      <c r="J200">
        <f>計算表!J201</f>
        <v>0</v>
      </c>
      <c r="K200">
        <f>計算表!K201</f>
        <v>0</v>
      </c>
      <c r="L200">
        <f>計算表!L201</f>
        <v>0</v>
      </c>
      <c r="M200">
        <f>計算表!M201</f>
        <v>0</v>
      </c>
      <c r="N200">
        <f>計算表!N201</f>
        <v>0</v>
      </c>
      <c r="O200">
        <f>計算表!O201</f>
        <v>0</v>
      </c>
      <c r="P200">
        <f>計算表!P201</f>
        <v>0</v>
      </c>
      <c r="Q200">
        <f>計算表!Q201</f>
        <v>0</v>
      </c>
      <c r="R200">
        <f>計算表!R201</f>
        <v>0</v>
      </c>
    </row>
    <row r="201" spans="1:18" x14ac:dyDescent="0.25">
      <c r="A201">
        <f>計算表!A202</f>
        <v>201</v>
      </c>
      <c r="B201">
        <f>計算表!B202</f>
        <v>0</v>
      </c>
      <c r="C201" t="str">
        <f>計算表!C202</f>
        <v>6-裝備</v>
      </c>
      <c r="D201" t="str">
        <f>計算表!D202</f>
        <v>特殊被動數值</v>
      </c>
      <c r="E201" t="str">
        <f>計算表!E202</f>
        <v>base + perR×(稀有度-a)</v>
      </c>
      <c r="F201" t="str">
        <f>計算表!F202</f>
        <v>a=稀有級索引（稀有=基準）。base/perR 見「特殊被動表」。　※指標列：base/perR 見「表-特殊被動」。</v>
      </c>
      <c r="G201">
        <f>計算表!G202</f>
        <v>2</v>
      </c>
      <c r="H201">
        <f>計算表!H202</f>
        <v>0</v>
      </c>
      <c r="I201">
        <f>計算表!I202</f>
        <v>0</v>
      </c>
      <c r="J201">
        <f>計算表!J202</f>
        <v>0</v>
      </c>
      <c r="K201">
        <f>計算表!K202</f>
        <v>0</v>
      </c>
      <c r="L201">
        <f>計算表!L202</f>
        <v>0</v>
      </c>
      <c r="M201">
        <f>計算表!M202</f>
        <v>0</v>
      </c>
      <c r="N201">
        <f>計算表!N202</f>
        <v>0</v>
      </c>
      <c r="O201">
        <f>計算表!O202</f>
        <v>0</v>
      </c>
      <c r="P201">
        <f>計算表!P202</f>
        <v>0</v>
      </c>
      <c r="Q201">
        <f>計算表!Q202</f>
        <v>0</v>
      </c>
      <c r="R201">
        <f>計算表!R202</f>
        <v>0</v>
      </c>
    </row>
    <row r="202" spans="1:18" x14ac:dyDescent="0.25">
      <c r="A202">
        <f>計算表!A203</f>
        <v>202</v>
      </c>
      <c r="B202">
        <f>計算表!B203</f>
        <v>0</v>
      </c>
      <c r="C202" t="str">
        <f>計算表!C203</f>
        <v>6-裝備</v>
      </c>
      <c r="D202" t="str">
        <f>計算表!D203</f>
        <v>神鑄特效數值</v>
      </c>
      <c r="E202" t="str">
        <f>計算表!E203</f>
        <v>base × rnd(0.8, 1.2)</v>
      </c>
      <c r="F202" t="str">
        <f>計算表!F203</f>
        <v>base 見「神鑄特效表」。神力為額外乘區、彼此相乘。　※指標列：base 見「表-神鑄特效」。</v>
      </c>
      <c r="G202">
        <f>計算表!G203</f>
        <v>0</v>
      </c>
      <c r="H202">
        <f>計算表!H203</f>
        <v>0</v>
      </c>
      <c r="I202">
        <f>計算表!I203</f>
        <v>0</v>
      </c>
      <c r="J202">
        <f>計算表!J203</f>
        <v>0</v>
      </c>
      <c r="K202">
        <f>計算表!K203</f>
        <v>0</v>
      </c>
      <c r="L202">
        <f>計算表!L203</f>
        <v>0</v>
      </c>
      <c r="M202">
        <f>計算表!M203</f>
        <v>0</v>
      </c>
      <c r="N202">
        <f>計算表!N203</f>
        <v>0</v>
      </c>
      <c r="O202">
        <f>計算表!O203</f>
        <v>0</v>
      </c>
      <c r="P202">
        <f>計算表!P203</f>
        <v>0</v>
      </c>
      <c r="Q202">
        <f>計算表!Q203</f>
        <v>0</v>
      </c>
      <c r="R202">
        <f>計算表!R203</f>
        <v>0</v>
      </c>
    </row>
    <row r="203" spans="1:18" x14ac:dyDescent="0.25">
      <c r="A203">
        <f>計算表!A204</f>
        <v>203</v>
      </c>
      <c r="B203">
        <f>計算表!B204</f>
        <v>0</v>
      </c>
      <c r="C203" t="str">
        <f>計算表!C204</f>
        <v>6-裝備</v>
      </c>
      <c r="D203" t="str">
        <f>計算表!D204</f>
        <v>附魔-攻擊類</v>
      </c>
      <c r="E203" t="str">
        <f>計算表!E204</f>
        <v>(a+裝備等級×b)×稀有度倍率×(1+c×寶石等級)</v>
      </c>
      <c r="F203" t="str">
        <f>計算表!F204</f>
        <v>火焰附魔再×1.25。寶石等級只在混合合成帶入。</v>
      </c>
      <c r="G203">
        <f>計算表!G204</f>
        <v>5</v>
      </c>
      <c r="H203">
        <f>計算表!H204</f>
        <v>1.2</v>
      </c>
      <c r="I203">
        <f>計算表!I204</f>
        <v>0.15</v>
      </c>
      <c r="J203">
        <f>計算表!J204</f>
        <v>0</v>
      </c>
      <c r="K203">
        <f>計算表!K204</f>
        <v>0</v>
      </c>
      <c r="L203">
        <f>計算表!L204</f>
        <v>0</v>
      </c>
      <c r="M203">
        <f>計算表!M204</f>
        <v>0</v>
      </c>
      <c r="N203">
        <f>計算表!N204</f>
        <v>0</v>
      </c>
      <c r="O203">
        <f>計算表!O204</f>
        <v>0</v>
      </c>
      <c r="P203">
        <f>計算表!P204</f>
        <v>0</v>
      </c>
      <c r="Q203">
        <f>計算表!Q204</f>
        <v>0</v>
      </c>
      <c r="R203">
        <f>計算表!R204</f>
        <v>0</v>
      </c>
    </row>
    <row r="204" spans="1:18" x14ac:dyDescent="0.25">
      <c r="A204">
        <f>計算表!A205</f>
        <v>204</v>
      </c>
      <c r="B204">
        <f>計算表!B205</f>
        <v>0</v>
      </c>
      <c r="C204" t="str">
        <f>計算表!C205</f>
        <v>6-裝備</v>
      </c>
      <c r="D204" t="str">
        <f>計算表!D205</f>
        <v>附魔-防禦/功能類</v>
      </c>
      <c r="E204" t="str">
        <f>計算表!E205</f>
        <v>min(a + 稀有度×b + 寶石等級×c, d)</v>
      </c>
      <c r="F204" t="str">
        <f>計算表!F205</f>
        <v>a=基礎 b=每階 c=每寶石等級 d=上限%。</v>
      </c>
      <c r="G204">
        <f>計算表!G205</f>
        <v>8</v>
      </c>
      <c r="H204">
        <f>計算表!H205</f>
        <v>4</v>
      </c>
      <c r="I204">
        <f>計算表!I205</f>
        <v>3</v>
      </c>
      <c r="J204">
        <f>計算表!J205</f>
        <v>60</v>
      </c>
      <c r="K204">
        <f>計算表!K205</f>
        <v>0</v>
      </c>
      <c r="L204">
        <f>計算表!L205</f>
        <v>0</v>
      </c>
      <c r="M204">
        <f>計算表!M205</f>
        <v>0</v>
      </c>
      <c r="N204">
        <f>計算表!N205</f>
        <v>0</v>
      </c>
      <c r="O204">
        <f>計算表!O205</f>
        <v>0</v>
      </c>
      <c r="P204">
        <f>計算表!P205</f>
        <v>0</v>
      </c>
      <c r="Q204">
        <f>計算表!Q205</f>
        <v>0</v>
      </c>
      <c r="R204">
        <f>計算表!R205</f>
        <v>0</v>
      </c>
    </row>
    <row r="205" spans="1:18" x14ac:dyDescent="0.25">
      <c r="A205">
        <f>計算表!A206</f>
        <v>205</v>
      </c>
      <c r="B205">
        <f>計算表!B206</f>
        <v>0</v>
      </c>
      <c r="C205" t="str">
        <f>計算表!C206</f>
        <v>6-裝備</v>
      </c>
      <c r="D205" t="str">
        <f>計算表!D206</f>
        <v>手動附魔費用</v>
      </c>
      <c r="E205" t="str">
        <f>計算表!E206</f>
        <v>a 本附魔書 + b 附魔精華</v>
      </c>
      <c r="F205" t="str">
        <f>計算表!F206</f>
        <v>取下返還書、不退精華。</v>
      </c>
      <c r="G205">
        <f>計算表!G206</f>
        <v>1</v>
      </c>
      <c r="H205">
        <f>計算表!H206</f>
        <v>1</v>
      </c>
      <c r="I205">
        <f>計算表!I206</f>
        <v>0</v>
      </c>
      <c r="J205">
        <f>計算表!J206</f>
        <v>0</v>
      </c>
      <c r="K205">
        <f>計算表!K206</f>
        <v>0</v>
      </c>
      <c r="L205">
        <f>計算表!L206</f>
        <v>0</v>
      </c>
      <c r="M205">
        <f>計算表!M206</f>
        <v>0</v>
      </c>
      <c r="N205">
        <f>計算表!N206</f>
        <v>0</v>
      </c>
      <c r="O205">
        <f>計算表!O206</f>
        <v>0</v>
      </c>
      <c r="P205">
        <f>計算表!P206</f>
        <v>0</v>
      </c>
      <c r="Q205">
        <f>計算表!Q206</f>
        <v>0</v>
      </c>
      <c r="R205">
        <f>計算表!R206</f>
        <v>0</v>
      </c>
    </row>
    <row r="206" spans="1:18" x14ac:dyDescent="0.25">
      <c r="A206">
        <f>計算表!A207</f>
        <v>206</v>
      </c>
      <c r="B206">
        <f>計算表!B207</f>
        <v>0</v>
      </c>
      <c r="C206" t="str">
        <f>計算表!C207</f>
        <v>6-裝備</v>
      </c>
      <c r="D206" t="str">
        <f>計算表!D207</f>
        <v>戰力評分</v>
      </c>
      <c r="E206" t="str">
        <f>計算表!E207</f>
        <v>Σ(詞條×權重×強化)+Σ(寶石×權重) →被動×1.15 →神鑄特效×(1+a×件數) →+Σ(附魔×1.2攻/×2防) →×(1+稀有度×b)</v>
      </c>
      <c r="F206" t="str">
        <f>計算表!F207</f>
        <v>詞條/寶石權重見 Equipment_Affix 表各詞條列的「戰力權重」欄。a=每條神鑄特效加成 b=稀有度加成。自動換裝門檻：新評分&gt;舊×1.02。</v>
      </c>
      <c r="G206">
        <f>計算表!G207</f>
        <v>0.15</v>
      </c>
      <c r="H206">
        <f>計算表!H207</f>
        <v>0.06</v>
      </c>
      <c r="I206">
        <f>計算表!I207</f>
        <v>0</v>
      </c>
      <c r="J206">
        <f>計算表!J207</f>
        <v>0</v>
      </c>
      <c r="K206">
        <f>計算表!K207</f>
        <v>0</v>
      </c>
      <c r="L206">
        <f>計算表!L207</f>
        <v>0</v>
      </c>
      <c r="M206">
        <f>計算表!M207</f>
        <v>0</v>
      </c>
      <c r="N206">
        <f>計算表!N207</f>
        <v>0</v>
      </c>
      <c r="O206">
        <f>計算表!O207</f>
        <v>0</v>
      </c>
      <c r="P206">
        <f>計算表!P207</f>
        <v>0</v>
      </c>
      <c r="Q206">
        <f>計算表!Q207</f>
        <v>0</v>
      </c>
      <c r="R206">
        <f>計算表!R207</f>
        <v>0</v>
      </c>
    </row>
    <row r="207" spans="1:18" x14ac:dyDescent="0.25">
      <c r="A207">
        <f>計算表!A208</f>
        <v>207</v>
      </c>
      <c r="B207">
        <f>計算表!B208</f>
        <v>0</v>
      </c>
      <c r="C207" t="str">
        <f>計算表!C208</f>
        <v>6-裝備</v>
      </c>
      <c r="D207" t="str">
        <f>計算表!D208</f>
        <v>分解-碎片</v>
      </c>
      <c r="E207" t="str">
        <f>計算表!E208</f>
        <v>max(1, (a+裝備等級×b)×分解係數×rnd(0.85,1.15))</v>
      </c>
      <c r="F207" t="str">
        <f>計算表!F208</f>
        <v>分解係數見「稀有度表」salv 欄。</v>
      </c>
      <c r="G207">
        <f>計算表!G208</f>
        <v>2</v>
      </c>
      <c r="H207">
        <f>計算表!H208</f>
        <v>0.6</v>
      </c>
      <c r="I207">
        <f>計算表!I208</f>
        <v>0</v>
      </c>
      <c r="J207">
        <f>計算表!J208</f>
        <v>0</v>
      </c>
      <c r="K207">
        <f>計算表!K208</f>
        <v>0</v>
      </c>
      <c r="L207">
        <f>計算表!L208</f>
        <v>0</v>
      </c>
      <c r="M207">
        <f>計算表!M208</f>
        <v>0</v>
      </c>
      <c r="N207">
        <f>計算表!N208</f>
        <v>0</v>
      </c>
      <c r="O207">
        <f>計算表!O208</f>
        <v>0</v>
      </c>
      <c r="P207">
        <f>計算表!P208</f>
        <v>0</v>
      </c>
      <c r="Q207">
        <f>計算表!Q208</f>
        <v>0</v>
      </c>
      <c r="R207">
        <f>計算表!R208</f>
        <v>0</v>
      </c>
    </row>
    <row r="208" spans="1:18" x14ac:dyDescent="0.25">
      <c r="A208">
        <f>計算表!A209</f>
        <v>208</v>
      </c>
      <c r="B208">
        <f>計算表!B209</f>
        <v>0</v>
      </c>
      <c r="C208" t="str">
        <f>計算表!C209</f>
        <v>6-裝備</v>
      </c>
      <c r="D208" t="str">
        <f>計算表!D209</f>
        <v>分解-金幣</v>
      </c>
      <c r="E208" t="str">
        <f>計算表!E209</f>
        <v>round((a+裝備等級) × 品質分解係數 × b)</v>
      </c>
      <c r="F208" t="str">
        <f>計算表!F209</f>
        <v>a=基礎金幣；b=分解金幣倍率。淘金濾網金幣為額外來源，不影響本公式。</v>
      </c>
      <c r="G208">
        <f>計算表!G209</f>
        <v>3</v>
      </c>
      <c r="H208">
        <f>計算表!H209</f>
        <v>10</v>
      </c>
      <c r="I208">
        <f>計算表!I209</f>
        <v>0</v>
      </c>
      <c r="J208">
        <f>計算表!J209</f>
        <v>0</v>
      </c>
      <c r="K208">
        <f>計算表!K209</f>
        <v>0</v>
      </c>
      <c r="L208">
        <f>計算表!L209</f>
        <v>0</v>
      </c>
      <c r="M208">
        <f>計算表!M209</f>
        <v>0</v>
      </c>
      <c r="N208">
        <f>計算表!N209</f>
        <v>0</v>
      </c>
      <c r="O208">
        <f>計算表!O209</f>
        <v>0</v>
      </c>
      <c r="P208">
        <f>計算表!P209</f>
        <v>0</v>
      </c>
      <c r="Q208">
        <f>計算表!Q209</f>
        <v>0</v>
      </c>
      <c r="R208">
        <f>計算表!R209</f>
        <v>0</v>
      </c>
    </row>
    <row r="209" spans="1:18" x14ac:dyDescent="0.25">
      <c r="A209">
        <f>計算表!A210</f>
        <v>209</v>
      </c>
      <c r="B209">
        <f>計算表!B210</f>
        <v>0</v>
      </c>
      <c r="C209" t="str">
        <f>計算表!C210</f>
        <v>7-分解速度</v>
      </c>
      <c r="D209" t="str">
        <f>計算表!D210</f>
        <v>分解處理速度</v>
      </c>
      <c r="E209" t="str">
        <f>計算表!E210</f>
        <v>間隔 = a 秒 ÷ (1+加速加成)</v>
      </c>
      <c r="F209" t="str">
        <f>計算表!F210</f>
        <v>加速齒輪每階+25%，另固定+50 個百分點。　※＝生產線處理間隔，由「7-容量/生產線處理間隔」控制，本列不生效。</v>
      </c>
      <c r="G209">
        <f>計算表!G210</f>
        <v>2</v>
      </c>
      <c r="H209">
        <f>計算表!H210</f>
        <v>0</v>
      </c>
      <c r="I209">
        <f>計算表!I210</f>
        <v>0</v>
      </c>
      <c r="J209">
        <f>計算表!J210</f>
        <v>0</v>
      </c>
      <c r="K209">
        <f>計算表!K210</f>
        <v>0</v>
      </c>
      <c r="L209">
        <f>計算表!L210</f>
        <v>0</v>
      </c>
      <c r="M209">
        <f>計算表!M210</f>
        <v>0</v>
      </c>
      <c r="N209">
        <f>計算表!N210</f>
        <v>0</v>
      </c>
      <c r="O209">
        <f>計算表!O210</f>
        <v>0</v>
      </c>
      <c r="P209">
        <f>計算表!P210</f>
        <v>0</v>
      </c>
      <c r="Q209">
        <f>計算表!Q210</f>
        <v>0</v>
      </c>
      <c r="R209">
        <f>計算表!R210</f>
        <v>0</v>
      </c>
    </row>
    <row r="210" spans="1:18" x14ac:dyDescent="0.25">
      <c r="A210">
        <f>計算表!A211</f>
        <v>210</v>
      </c>
      <c r="B210">
        <f>計算表!B211</f>
        <v>0</v>
      </c>
      <c r="C210" t="str">
        <f>計算表!C211</f>
        <v>7-分解槽</v>
      </c>
      <c r="D210" t="str">
        <f>計算表!D211</f>
        <v>分解槽解鎖費用</v>
      </c>
      <c r="E210" t="str">
        <f>計算表!E211</f>
        <v>a × b^(目標格數-1)</v>
      </c>
      <c r="F210" t="str">
        <f>計算表!F211</f>
        <v>初始 10 格、上限 20 格。</v>
      </c>
      <c r="G210">
        <f>計算表!G211</f>
        <v>10000</v>
      </c>
      <c r="H210">
        <f>計算表!H211</f>
        <v>10000</v>
      </c>
      <c r="I210">
        <f>計算表!I211</f>
        <v>2</v>
      </c>
      <c r="J210">
        <f>計算表!J211</f>
        <v>3</v>
      </c>
      <c r="K210">
        <f>計算表!K211</f>
        <v>0</v>
      </c>
      <c r="L210">
        <f>計算表!L211</f>
        <v>0</v>
      </c>
      <c r="M210">
        <f>計算表!M211</f>
        <v>0</v>
      </c>
      <c r="N210">
        <f>計算表!N211</f>
        <v>0</v>
      </c>
      <c r="O210">
        <f>計算表!O211</f>
        <v>0</v>
      </c>
      <c r="P210">
        <f>計算表!P211</f>
        <v>0</v>
      </c>
      <c r="Q210">
        <f>計算表!Q211</f>
        <v>0</v>
      </c>
      <c r="R210">
        <f>計算表!R211</f>
        <v>0</v>
      </c>
    </row>
    <row r="211" spans="1:18" x14ac:dyDescent="0.25">
      <c r="A211">
        <f>計算表!A212</f>
        <v>211</v>
      </c>
      <c r="B211">
        <f>計算表!B212</f>
        <v>0</v>
      </c>
      <c r="C211" t="str">
        <f>計算表!C212</f>
        <v>7-合成</v>
      </c>
      <c r="D211" t="str">
        <f>計算表!D212</f>
        <v>大成功率</v>
      </c>
      <c r="E211" t="str">
        <f>計算表!E212</f>
        <v>a%</v>
      </c>
      <c r="F211" t="str">
        <f>計算表!F212</f>
        <v>合成功能停用；保留基礎參數供舊資料相容。</v>
      </c>
      <c r="G211">
        <f>計算表!G212</f>
        <v>5</v>
      </c>
      <c r="H211">
        <f>計算表!H212</f>
        <v>0</v>
      </c>
      <c r="I211">
        <f>計算表!I212</f>
        <v>0</v>
      </c>
      <c r="J211">
        <f>計算表!J212</f>
        <v>0</v>
      </c>
      <c r="K211">
        <f>計算表!K212</f>
        <v>0</v>
      </c>
      <c r="L211">
        <f>計算表!L212</f>
        <v>0</v>
      </c>
      <c r="M211">
        <f>計算表!M212</f>
        <v>0</v>
      </c>
      <c r="N211">
        <f>計算表!N212</f>
        <v>0</v>
      </c>
      <c r="O211">
        <f>計算表!O212</f>
        <v>0</v>
      </c>
      <c r="P211">
        <f>計算表!P212</f>
        <v>0</v>
      </c>
      <c r="Q211">
        <f>計算表!Q212</f>
        <v>0</v>
      </c>
      <c r="R211">
        <f>計算表!R212</f>
        <v>0</v>
      </c>
    </row>
    <row r="212" spans="1:18" x14ac:dyDescent="0.25">
      <c r="A212">
        <f>計算表!A213</f>
        <v>212</v>
      </c>
      <c r="B212">
        <f>計算表!B213</f>
        <v>0</v>
      </c>
      <c r="C212" t="str">
        <f>計算表!C213</f>
        <v>7-合成</v>
      </c>
      <c r="D212" t="str">
        <f>計算表!D213</f>
        <v>品質合成</v>
      </c>
      <c r="E212" t="str">
        <f>計算表!E213</f>
        <v>3 件同稀有度 → 1 件高一階（等級=平均）；大成功再+1 階</v>
      </c>
      <c r="F212" t="str">
        <f>計算表!F213</f>
        <v>合成功能已停用(SYNTHESIS_ENABLED=false)，本列未生效。</v>
      </c>
      <c r="G212">
        <f>計算表!G213</f>
        <v>0</v>
      </c>
      <c r="H212">
        <f>計算表!H213</f>
        <v>0</v>
      </c>
      <c r="I212">
        <f>計算表!I213</f>
        <v>0</v>
      </c>
      <c r="J212">
        <f>計算表!J213</f>
        <v>0</v>
      </c>
      <c r="K212">
        <f>計算表!K213</f>
        <v>0</v>
      </c>
      <c r="L212">
        <f>計算表!L213</f>
        <v>0</v>
      </c>
      <c r="M212">
        <f>計算表!M213</f>
        <v>0</v>
      </c>
      <c r="N212">
        <f>計算表!N213</f>
        <v>0</v>
      </c>
      <c r="O212">
        <f>計算表!O213</f>
        <v>0</v>
      </c>
      <c r="P212">
        <f>計算表!P213</f>
        <v>0</v>
      </c>
      <c r="Q212">
        <f>計算表!Q213</f>
        <v>0</v>
      </c>
      <c r="R212">
        <f>計算表!R213</f>
        <v>0</v>
      </c>
    </row>
    <row r="213" spans="1:18" x14ac:dyDescent="0.25">
      <c r="A213">
        <f>計算表!A214</f>
        <v>213</v>
      </c>
      <c r="B213">
        <f>計算表!B214</f>
        <v>0</v>
      </c>
      <c r="C213" t="str">
        <f>計算表!C214</f>
        <v>7-合成</v>
      </c>
      <c r="D213" t="str">
        <f>計算表!D214</f>
        <v>混合合成</v>
      </c>
      <c r="E213" t="str">
        <f>計算表!E214</f>
        <v>1 裝備+1 寶石+1 附魔書 → 附魔（威力吃寶石等級）；大成功稀有度+1</v>
      </c>
      <c r="F213" t="str">
        <f>計算表!F214</f>
        <v>合成功能已停用，本列未生效。</v>
      </c>
      <c r="G213">
        <f>計算表!G214</f>
        <v>0</v>
      </c>
      <c r="H213">
        <f>計算表!H214</f>
        <v>0</v>
      </c>
      <c r="I213">
        <f>計算表!I214</f>
        <v>0</v>
      </c>
      <c r="J213">
        <f>計算表!J214</f>
        <v>0</v>
      </c>
      <c r="K213">
        <f>計算表!K214</f>
        <v>0</v>
      </c>
      <c r="L213">
        <f>計算表!L214</f>
        <v>0</v>
      </c>
      <c r="M213">
        <f>計算表!M214</f>
        <v>0</v>
      </c>
      <c r="N213">
        <f>計算表!N214</f>
        <v>0</v>
      </c>
      <c r="O213">
        <f>計算表!O214</f>
        <v>0</v>
      </c>
      <c r="P213">
        <f>計算表!P214</f>
        <v>0</v>
      </c>
      <c r="Q213">
        <f>計算表!Q214</f>
        <v>0</v>
      </c>
      <c r="R213">
        <f>計算表!R214</f>
        <v>0</v>
      </c>
    </row>
    <row r="214" spans="1:18" x14ac:dyDescent="0.25">
      <c r="A214">
        <f>計算表!A215</f>
        <v>214</v>
      </c>
      <c r="B214">
        <f>計算表!B215</f>
        <v>0</v>
      </c>
      <c r="C214" t="str">
        <f>計算表!C215</f>
        <v>7-合成</v>
      </c>
      <c r="D214" t="str">
        <f>計算表!D215</f>
        <v>合成變異</v>
      </c>
      <c r="E214" t="str">
        <f>計算表!E215</f>
        <v>機率=合成變異率屬性（上限60%）；附魔威力×1.5 並追加 1 條詞條</v>
      </c>
      <c r="F214" t="str">
        <f>計算表!F215</f>
        <v>合成功能已停用，本列未生效。</v>
      </c>
      <c r="G214">
        <f>計算表!G215</f>
        <v>0</v>
      </c>
      <c r="H214">
        <f>計算表!H215</f>
        <v>0</v>
      </c>
      <c r="I214">
        <f>計算表!I215</f>
        <v>0</v>
      </c>
      <c r="J214">
        <f>計算表!J215</f>
        <v>0</v>
      </c>
      <c r="K214">
        <f>計算表!K215</f>
        <v>0</v>
      </c>
      <c r="L214">
        <f>計算表!L215</f>
        <v>0</v>
      </c>
      <c r="M214">
        <f>計算表!M215</f>
        <v>0</v>
      </c>
      <c r="N214">
        <f>計算表!N215</f>
        <v>0</v>
      </c>
      <c r="O214">
        <f>計算表!O215</f>
        <v>0</v>
      </c>
      <c r="P214">
        <f>計算表!P215</f>
        <v>0</v>
      </c>
      <c r="Q214">
        <f>計算表!Q215</f>
        <v>0</v>
      </c>
      <c r="R214">
        <f>計算表!R215</f>
        <v>0</v>
      </c>
    </row>
    <row r="215" spans="1:18" x14ac:dyDescent="0.25">
      <c r="A215">
        <f>計算表!A216</f>
        <v>215</v>
      </c>
      <c r="B215">
        <f>計算表!B216</f>
        <v>0</v>
      </c>
      <c r="C215" t="str">
        <f>計算表!C216</f>
        <v>7-洗煉</v>
      </c>
      <c r="D215" t="str">
        <f>計算表!D216</f>
        <v>混沌精華費用</v>
      </c>
      <c r="E215" t="str">
        <f>計算表!E216</f>
        <v>混沌品質洗煉精華消耗 a</v>
      </c>
      <c r="F215" t="str">
        <f>計算表!F216</f>
        <v>可自行調整。</v>
      </c>
      <c r="G215">
        <f>計算表!G216</f>
        <v>27</v>
      </c>
      <c r="H215">
        <f>計算表!H216</f>
        <v>0</v>
      </c>
      <c r="I215">
        <f>計算表!I216</f>
        <v>0</v>
      </c>
      <c r="J215">
        <f>計算表!J216</f>
        <v>0</v>
      </c>
      <c r="K215">
        <f>計算表!K216</f>
        <v>0</v>
      </c>
      <c r="L215">
        <f>計算表!L216</f>
        <v>0</v>
      </c>
      <c r="M215">
        <f>計算表!M216</f>
        <v>0</v>
      </c>
      <c r="N215">
        <f>計算表!N216</f>
        <v>0</v>
      </c>
      <c r="O215">
        <f>計算表!O216</f>
        <v>0</v>
      </c>
      <c r="P215">
        <f>計算表!P216</f>
        <v>0</v>
      </c>
      <c r="Q215">
        <f>計算表!Q216</f>
        <v>0</v>
      </c>
      <c r="R215">
        <f>計算表!R216</f>
        <v>0</v>
      </c>
    </row>
    <row r="216" spans="1:18" x14ac:dyDescent="0.25">
      <c r="A216">
        <f>計算表!A217</f>
        <v>216</v>
      </c>
      <c r="B216">
        <f>計算表!B217</f>
        <v>0</v>
      </c>
      <c r="C216" t="str">
        <f>計算表!C217</f>
        <v>7-洗煉</v>
      </c>
      <c r="D216" t="str">
        <f>計算表!D217</f>
        <v>神鑄混沌精華費用</v>
      </c>
      <c r="E216" t="str">
        <f>計算表!E217</f>
        <v>神鑄混沌品質洗煉精華消耗 a</v>
      </c>
      <c r="F216" t="str">
        <f>計算表!F217</f>
        <v>可自行調整。</v>
      </c>
      <c r="G216">
        <f>計算表!G217</f>
        <v>36</v>
      </c>
      <c r="H216">
        <f>計算表!H217</f>
        <v>0</v>
      </c>
      <c r="I216">
        <f>計算表!I217</f>
        <v>0</v>
      </c>
      <c r="J216">
        <f>計算表!J217</f>
        <v>0</v>
      </c>
      <c r="K216">
        <f>計算表!K217</f>
        <v>0</v>
      </c>
      <c r="L216">
        <f>計算表!L217</f>
        <v>0</v>
      </c>
      <c r="M216">
        <f>計算表!M217</f>
        <v>0</v>
      </c>
      <c r="N216">
        <f>計算表!N217</f>
        <v>0</v>
      </c>
      <c r="O216">
        <f>計算表!O217</f>
        <v>0</v>
      </c>
      <c r="P216">
        <f>計算表!P217</f>
        <v>0</v>
      </c>
      <c r="Q216">
        <f>計算表!Q217</f>
        <v>0</v>
      </c>
      <c r="R216">
        <f>計算表!R217</f>
        <v>0</v>
      </c>
    </row>
    <row r="217" spans="1:18" x14ac:dyDescent="0.25">
      <c r="A217">
        <f>計算表!A218</f>
        <v>217</v>
      </c>
      <c r="B217">
        <f>計算表!B218</f>
        <v>0</v>
      </c>
      <c r="C217" t="str">
        <f>計算表!C218</f>
        <v>7-洗煉</v>
      </c>
      <c r="D217" t="str">
        <f>計算表!D218</f>
        <v>金幣費用</v>
      </c>
      <c r="E217" t="str">
        <f>計算表!E218</f>
        <v>a × b^稀有度 × (1+裝備等級×c)</v>
      </c>
      <c r="F217">
        <f>計算表!F218</f>
        <v>0</v>
      </c>
      <c r="G217">
        <f>計算表!G218</f>
        <v>40</v>
      </c>
      <c r="H217">
        <f>計算表!H218</f>
        <v>1.7</v>
      </c>
      <c r="I217">
        <f>計算表!I218</f>
        <v>0.15</v>
      </c>
      <c r="J217">
        <f>計算表!J218</f>
        <v>0</v>
      </c>
      <c r="K217">
        <f>計算表!K218</f>
        <v>0</v>
      </c>
      <c r="L217">
        <f>計算表!L218</f>
        <v>0</v>
      </c>
      <c r="M217">
        <f>計算表!M218</f>
        <v>0</v>
      </c>
      <c r="N217">
        <f>計算表!N218</f>
        <v>0</v>
      </c>
      <c r="O217">
        <f>計算表!O218</f>
        <v>0</v>
      </c>
      <c r="P217">
        <f>計算表!P218</f>
        <v>0</v>
      </c>
      <c r="Q217">
        <f>計算表!Q218</f>
        <v>0</v>
      </c>
      <c r="R217">
        <f>計算表!R218</f>
        <v>0</v>
      </c>
    </row>
    <row r="218" spans="1:18" x14ac:dyDescent="0.25">
      <c r="A218">
        <f>計算表!A219</f>
        <v>218</v>
      </c>
      <c r="B218">
        <f>計算表!B219</f>
        <v>0</v>
      </c>
      <c r="C218" t="str">
        <f>計算表!C219</f>
        <v>7-洗煉</v>
      </c>
      <c r="D218" t="str">
        <f>計算表!D219</f>
        <v>精華費用</v>
      </c>
      <c r="E218" t="str">
        <f>計算表!E219</f>
        <v>普通~傳說 1+稀有度；神話a 創世b 神鑄c</v>
      </c>
      <c r="F218" t="str">
        <f>計算表!F219</f>
        <v>a/b/c=神話/創世/神鑄創世固定值。</v>
      </c>
      <c r="G218">
        <f>計算表!G219</f>
        <v>9</v>
      </c>
      <c r="H218">
        <f>計算表!H219</f>
        <v>14</v>
      </c>
      <c r="I218">
        <f>計算表!I219</f>
        <v>20</v>
      </c>
      <c r="J218">
        <f>計算表!J219</f>
        <v>50</v>
      </c>
      <c r="K218">
        <f>計算表!K219</f>
        <v>0</v>
      </c>
      <c r="L218">
        <f>計算表!L219</f>
        <v>0</v>
      </c>
      <c r="M218">
        <f>計算表!M219</f>
        <v>0</v>
      </c>
      <c r="N218">
        <f>計算表!N219</f>
        <v>0</v>
      </c>
      <c r="O218">
        <f>計算表!O219</f>
        <v>0</v>
      </c>
      <c r="P218">
        <f>計算表!P219</f>
        <v>0</v>
      </c>
      <c r="Q218">
        <f>計算表!Q219</f>
        <v>0</v>
      </c>
      <c r="R218">
        <f>計算表!R219</f>
        <v>0</v>
      </c>
    </row>
    <row r="219" spans="1:18" x14ac:dyDescent="0.25">
      <c r="A219">
        <f>計算表!A220</f>
        <v>219</v>
      </c>
      <c r="B219">
        <f>計算表!B220</f>
        <v>0</v>
      </c>
      <c r="C219" t="str">
        <f>計算表!C220</f>
        <v>7-洗煉</v>
      </c>
      <c r="D219" t="str">
        <f>計算表!D220</f>
        <v>數值洗煉分段權重</v>
      </c>
      <c r="E219" t="str">
        <f>計算表!E220</f>
        <v>先平分洗煉數值範圍，再以權重選擇低／高段：A=a；B=b＋（詞條上限率/100）^c</v>
      </c>
      <c r="F219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計算表!G220</f>
        <v>1</v>
      </c>
      <c r="H219">
        <f>計算表!H220</f>
        <v>1</v>
      </c>
      <c r="I219" s="7" t="s">
        <v>1068</v>
      </c>
      <c r="J219">
        <f>計算表!J220</f>
        <v>0</v>
      </c>
      <c r="K219">
        <f>計算表!K220</f>
        <v>0</v>
      </c>
      <c r="L219">
        <f>計算表!L220</f>
        <v>0</v>
      </c>
      <c r="M219">
        <f>計算表!M220</f>
        <v>0</v>
      </c>
      <c r="N219">
        <f>計算表!N220</f>
        <v>0</v>
      </c>
      <c r="O219">
        <f>計算表!O220</f>
        <v>0</v>
      </c>
      <c r="P219">
        <f>計算表!P220</f>
        <v>0</v>
      </c>
      <c r="Q219">
        <f>計算表!Q220</f>
        <v>0</v>
      </c>
      <c r="R219">
        <f>計算表!R220</f>
        <v>0</v>
      </c>
    </row>
    <row r="220" spans="1:18" x14ac:dyDescent="0.25">
      <c r="A220">
        <f>計算表!A221</f>
        <v>220</v>
      </c>
      <c r="B220">
        <f>計算表!B221</f>
        <v>0</v>
      </c>
      <c r="C220" t="str">
        <f>計算表!C221</f>
        <v>7-容量</v>
      </c>
      <c r="D220" t="str">
        <f>計算表!D221</f>
        <v>輸送帶容量</v>
      </c>
      <c r="E220" t="str">
        <f>計算表!E221</f>
        <v>a（固定上限）</v>
      </c>
      <c r="F220" t="str">
        <f>計算表!F221</f>
        <v>程式實際為固定 20000；超出的新裝備直接丟棄。</v>
      </c>
      <c r="G220">
        <f>計算表!G221</f>
        <v>20000</v>
      </c>
      <c r="H220">
        <f>計算表!H221</f>
        <v>0</v>
      </c>
      <c r="I220">
        <f>計算表!I221</f>
        <v>0</v>
      </c>
      <c r="J220">
        <f>計算表!J221</f>
        <v>0</v>
      </c>
      <c r="K220">
        <f>計算表!K221</f>
        <v>0</v>
      </c>
      <c r="L220">
        <f>計算表!L221</f>
        <v>0</v>
      </c>
      <c r="M220">
        <f>計算表!M221</f>
        <v>0</v>
      </c>
      <c r="N220">
        <f>計算表!N221</f>
        <v>0</v>
      </c>
      <c r="O220">
        <f>計算表!O221</f>
        <v>0</v>
      </c>
      <c r="P220">
        <f>計算表!P221</f>
        <v>0</v>
      </c>
      <c r="Q220">
        <f>計算表!Q221</f>
        <v>0</v>
      </c>
      <c r="R220">
        <f>計算表!R221</f>
        <v>0</v>
      </c>
    </row>
    <row r="221" spans="1:18" x14ac:dyDescent="0.25">
      <c r="A221">
        <f>計算表!A222</f>
        <v>221</v>
      </c>
      <c r="B221">
        <f>計算表!B222</f>
        <v>0</v>
      </c>
      <c r="C221" t="str">
        <f>計算表!C222</f>
        <v>7-容量</v>
      </c>
      <c r="D221" t="str">
        <f>計算表!D222</f>
        <v>合成暫存區</v>
      </c>
      <c r="E221" t="str">
        <f>計算表!E222</f>
        <v>a + ⌊負重上限/b⌋</v>
      </c>
      <c r="F221">
        <f>計算表!F222</f>
        <v>0</v>
      </c>
      <c r="G221">
        <f>計算表!G222</f>
        <v>30</v>
      </c>
      <c r="H221">
        <f>計算表!H222</f>
        <v>2</v>
      </c>
      <c r="I221">
        <f>計算表!I222</f>
        <v>0</v>
      </c>
      <c r="J221">
        <f>計算表!J222</f>
        <v>0</v>
      </c>
      <c r="K221">
        <f>計算表!K222</f>
        <v>0</v>
      </c>
      <c r="L221">
        <f>計算表!L222</f>
        <v>0</v>
      </c>
      <c r="M221">
        <f>計算表!M222</f>
        <v>0</v>
      </c>
      <c r="N221">
        <f>計算表!N222</f>
        <v>0</v>
      </c>
      <c r="O221">
        <f>計算表!O222</f>
        <v>0</v>
      </c>
      <c r="P221">
        <f>計算表!P222</f>
        <v>0</v>
      </c>
      <c r="Q221">
        <f>計算表!Q222</f>
        <v>0</v>
      </c>
      <c r="R221">
        <f>計算表!R222</f>
        <v>0</v>
      </c>
    </row>
    <row r="222" spans="1:18" x14ac:dyDescent="0.25">
      <c r="A222">
        <f>計算表!A223</f>
        <v>222</v>
      </c>
      <c r="B222">
        <f>計算表!B223</f>
        <v>0</v>
      </c>
      <c r="C222" t="str">
        <f>計算表!C223</f>
        <v>7-容量</v>
      </c>
      <c r="D222" t="str">
        <f>計算表!D223</f>
        <v>背包容量</v>
      </c>
      <c r="E222" t="str">
        <f>計算表!E223</f>
        <v>a + 背包擴充上限次數b</v>
      </c>
      <c r="F222" t="str">
        <f>計算表!F223</f>
        <v>a=初始格數 b為上限值；滿了自動分解新進裝備。</v>
      </c>
      <c r="G222">
        <f>計算表!G223</f>
        <v>100</v>
      </c>
      <c r="H222">
        <f>計算表!H223</f>
        <v>1000</v>
      </c>
      <c r="I222">
        <f>計算表!I223</f>
        <v>0</v>
      </c>
      <c r="J222">
        <f>計算表!J223</f>
        <v>0</v>
      </c>
      <c r="K222">
        <f>計算表!K223</f>
        <v>0</v>
      </c>
      <c r="L222">
        <f>計算表!L223</f>
        <v>0</v>
      </c>
      <c r="M222">
        <f>計算表!M223</f>
        <v>0</v>
      </c>
      <c r="N222">
        <f>計算表!N223</f>
        <v>0</v>
      </c>
      <c r="O222">
        <f>計算表!O223</f>
        <v>0</v>
      </c>
      <c r="P222">
        <f>計算表!P223</f>
        <v>0</v>
      </c>
      <c r="Q222">
        <f>計算表!Q223</f>
        <v>0</v>
      </c>
      <c r="R222">
        <f>計算表!R223</f>
        <v>0</v>
      </c>
    </row>
    <row r="223" spans="1:18" x14ac:dyDescent="0.25">
      <c r="A223">
        <f>計算表!A224</f>
        <v>223</v>
      </c>
      <c r="B223">
        <f>計算表!B224</f>
        <v>0</v>
      </c>
      <c r="C223" t="str">
        <f>計算表!C224</f>
        <v>7-容量</v>
      </c>
      <c r="D223" t="str">
        <f>計算表!D224</f>
        <v>背包擴充費用</v>
      </c>
      <c r="E223" t="str">
        <f>計算表!E224</f>
        <v>a + b × c^購買次數</v>
      </c>
      <c r="F223" t="str">
        <f>計算表!F224</f>
        <v>a=基值值 b=擴充倍數 c=指數底；達上限後不可再擴充。</v>
      </c>
      <c r="G223">
        <f>計算表!G224</f>
        <v>10000</v>
      </c>
      <c r="H223">
        <f>計算表!H224</f>
        <v>10000</v>
      </c>
      <c r="I223">
        <f>計算表!I224</f>
        <v>1.02</v>
      </c>
      <c r="J223">
        <f>計算表!J224</f>
        <v>0</v>
      </c>
      <c r="K223">
        <f>計算表!K224</f>
        <v>0</v>
      </c>
      <c r="L223">
        <f>計算表!L224</f>
        <v>0</v>
      </c>
      <c r="M223">
        <f>計算表!M224</f>
        <v>0</v>
      </c>
      <c r="N223">
        <f>計算表!N224</f>
        <v>0</v>
      </c>
      <c r="O223">
        <f>計算表!O224</f>
        <v>0</v>
      </c>
      <c r="P223">
        <f>計算表!P224</f>
        <v>0</v>
      </c>
      <c r="Q223">
        <f>計算表!Q224</f>
        <v>0</v>
      </c>
      <c r="R223">
        <f>計算表!R224</f>
        <v>0</v>
      </c>
    </row>
    <row r="224" spans="1:18" x14ac:dyDescent="0.25">
      <c r="A224">
        <f>計算表!A225</f>
        <v>224</v>
      </c>
      <c r="B224">
        <f>計算表!B225</f>
        <v>0</v>
      </c>
      <c r="C224" t="str">
        <f>計算表!C225</f>
        <v>7-容量</v>
      </c>
      <c r="D224" t="str">
        <f>計算表!D225</f>
        <v>生產線處理間隔</v>
      </c>
      <c r="E224" t="str">
        <f>計算表!E225</f>
        <v>a 秒/件</v>
      </c>
      <c r="F224">
        <f>計算表!F225</f>
        <v>0</v>
      </c>
      <c r="G224">
        <f>計算表!G225</f>
        <v>2</v>
      </c>
      <c r="H224">
        <f>計算表!H225</f>
        <v>0</v>
      </c>
      <c r="I224">
        <f>計算表!I225</f>
        <v>0</v>
      </c>
      <c r="J224">
        <f>計算表!J225</f>
        <v>0</v>
      </c>
      <c r="K224">
        <f>計算表!K225</f>
        <v>0</v>
      </c>
      <c r="L224">
        <f>計算表!L225</f>
        <v>0</v>
      </c>
      <c r="M224">
        <f>計算表!M225</f>
        <v>0</v>
      </c>
      <c r="N224">
        <f>計算表!N225</f>
        <v>0</v>
      </c>
      <c r="O224">
        <f>計算表!O225</f>
        <v>0</v>
      </c>
      <c r="P224">
        <f>計算表!P225</f>
        <v>0</v>
      </c>
      <c r="Q224">
        <f>計算表!Q225</f>
        <v>0</v>
      </c>
      <c r="R224">
        <f>計算表!R225</f>
        <v>0</v>
      </c>
    </row>
    <row r="225" spans="1:18" x14ac:dyDescent="0.25">
      <c r="A225">
        <f>計算表!A226</f>
        <v>225</v>
      </c>
      <c r="B225">
        <f>計算表!B226</f>
        <v>0</v>
      </c>
      <c r="C225" t="str">
        <f>計算表!C226</f>
        <v>7-強化</v>
      </c>
      <c r="D225" t="str">
        <f>計算表!D226</f>
        <v>基礎成功率</v>
      </c>
      <c r="E225" t="str">
        <f>計算表!E226</f>
        <v>+5 以內 100%；之後 max(a%, 100% - (目標等級-5)×b%)</v>
      </c>
      <c r="F225" t="str">
        <f>計算表!F226</f>
        <v>a=下限 b=每級遞減。實際=基礎+強化成功率屬性。</v>
      </c>
      <c r="G225">
        <f>計算表!G226</f>
        <v>30</v>
      </c>
      <c r="H225">
        <f>計算表!H226</f>
        <v>6</v>
      </c>
      <c r="I225">
        <f>計算表!I226</f>
        <v>0</v>
      </c>
      <c r="J225">
        <f>計算表!J226</f>
        <v>0</v>
      </c>
      <c r="K225">
        <f>計算表!K226</f>
        <v>0</v>
      </c>
      <c r="L225">
        <f>計算表!L226</f>
        <v>0</v>
      </c>
      <c r="M225">
        <f>計算表!M226</f>
        <v>0</v>
      </c>
      <c r="N225">
        <f>計算表!N226</f>
        <v>0</v>
      </c>
      <c r="O225">
        <f>計算表!O226</f>
        <v>0</v>
      </c>
      <c r="P225">
        <f>計算表!P226</f>
        <v>0</v>
      </c>
      <c r="Q225">
        <f>計算表!Q226</f>
        <v>0</v>
      </c>
      <c r="R225">
        <f>計算表!R226</f>
        <v>0</v>
      </c>
    </row>
    <row r="226" spans="1:18" x14ac:dyDescent="0.25">
      <c r="A226">
        <f>計算表!A227</f>
        <v>226</v>
      </c>
      <c r="B226">
        <f>計算表!B227</f>
        <v>0</v>
      </c>
      <c r="C226" t="str">
        <f>計算表!C227</f>
        <v>7-強化</v>
      </c>
      <c r="D226" t="str">
        <f>計算表!D227</f>
        <v>金幣費用</v>
      </c>
      <c r="E226" t="str">
        <f>計算表!E227</f>
        <v>a × b^目前強化等級 × (1+裝備等級×c)</v>
      </c>
      <c r="F226">
        <f>計算表!F227</f>
        <v>0</v>
      </c>
      <c r="G226">
        <f>計算表!G227</f>
        <v>25</v>
      </c>
      <c r="H226">
        <f>計算表!H227</f>
        <v>1.3</v>
      </c>
      <c r="I226">
        <f>計算表!I227</f>
        <v>0.2</v>
      </c>
      <c r="J226">
        <f>計算表!J227</f>
        <v>0</v>
      </c>
      <c r="K226">
        <f>計算表!K227</f>
        <v>0</v>
      </c>
      <c r="L226">
        <f>計算表!L227</f>
        <v>0</v>
      </c>
      <c r="M226">
        <f>計算表!M227</f>
        <v>0</v>
      </c>
      <c r="N226">
        <f>計算表!N227</f>
        <v>0</v>
      </c>
      <c r="O226">
        <f>計算表!O227</f>
        <v>0</v>
      </c>
      <c r="P226">
        <f>計算表!P227</f>
        <v>0</v>
      </c>
      <c r="Q226">
        <f>計算表!Q227</f>
        <v>0</v>
      </c>
      <c r="R226">
        <f>計算表!R227</f>
        <v>0</v>
      </c>
    </row>
    <row r="227" spans="1:18" x14ac:dyDescent="0.25">
      <c r="A227">
        <f>計算表!A228</f>
        <v>227</v>
      </c>
      <c r="B227">
        <f>計算表!B228</f>
        <v>0</v>
      </c>
      <c r="C227" t="str">
        <f>計算表!C228</f>
        <v>7-強化</v>
      </c>
      <c r="D227" t="str">
        <f>計算表!D228</f>
        <v>碎片費用</v>
      </c>
      <c r="E227" t="str">
        <f>計算表!E228</f>
        <v>a × b^目前強化等級 × (1+裝備等級×c)</v>
      </c>
      <c r="F227">
        <f>計算表!F228</f>
        <v>0</v>
      </c>
      <c r="G227">
        <f>計算表!G228</f>
        <v>8</v>
      </c>
      <c r="H227">
        <f>計算表!H228</f>
        <v>1.35</v>
      </c>
      <c r="I227">
        <f>計算表!I228</f>
        <v>0.04</v>
      </c>
      <c r="J227">
        <f>計算表!J228</f>
        <v>0</v>
      </c>
      <c r="K227">
        <f>計算表!K228</f>
        <v>0</v>
      </c>
      <c r="L227">
        <f>計算表!L228</f>
        <v>0</v>
      </c>
      <c r="M227">
        <f>計算表!M228</f>
        <v>0</v>
      </c>
      <c r="N227">
        <f>計算表!N228</f>
        <v>0</v>
      </c>
      <c r="O227">
        <f>計算表!O228</f>
        <v>0</v>
      </c>
      <c r="P227">
        <f>計算表!P228</f>
        <v>0</v>
      </c>
      <c r="Q227">
        <f>計算表!Q228</f>
        <v>0</v>
      </c>
      <c r="R227">
        <f>計算表!R228</f>
        <v>0</v>
      </c>
    </row>
    <row r="228" spans="1:18" x14ac:dyDescent="0.25">
      <c r="A228">
        <f>計算表!A229</f>
        <v>228</v>
      </c>
      <c r="B228">
        <f>計算表!B229</f>
        <v>0</v>
      </c>
      <c r="C228" t="str">
        <f>計算表!C229</f>
        <v>7-強化</v>
      </c>
      <c r="D228" t="str">
        <f>計算表!D229</f>
        <v>失敗懲罰</v>
      </c>
      <c r="E228" t="str">
        <f>計算表!E229</f>
        <v>消耗半數費用，強化等級不變</v>
      </c>
      <c r="F228" t="str">
        <f>計算表!F229</f>
        <v>寫死：失敗消耗半數費用。</v>
      </c>
      <c r="G228">
        <f>計算表!G229</f>
        <v>0</v>
      </c>
      <c r="H228">
        <f>計算表!H229</f>
        <v>0</v>
      </c>
      <c r="I228">
        <f>計算表!I229</f>
        <v>0</v>
      </c>
      <c r="J228">
        <f>計算表!J229</f>
        <v>0</v>
      </c>
      <c r="K228">
        <f>計算表!K229</f>
        <v>0</v>
      </c>
      <c r="L228">
        <f>計算表!L229</f>
        <v>0</v>
      </c>
      <c r="M228">
        <f>計算表!M229</f>
        <v>0</v>
      </c>
      <c r="N228">
        <f>計算表!N229</f>
        <v>0</v>
      </c>
      <c r="O228">
        <f>計算表!O229</f>
        <v>0</v>
      </c>
      <c r="P228">
        <f>計算表!P229</f>
        <v>0</v>
      </c>
      <c r="Q228">
        <f>計算表!Q229</f>
        <v>0</v>
      </c>
      <c r="R228">
        <f>計算表!R229</f>
        <v>0</v>
      </c>
    </row>
    <row r="229" spans="1:18" x14ac:dyDescent="0.25">
      <c r="A229">
        <f>計算表!A230</f>
        <v>229</v>
      </c>
      <c r="B229">
        <f>計算表!B230</f>
        <v>0</v>
      </c>
      <c r="C229" t="str">
        <f>計算表!C230</f>
        <v>8-寶石</v>
      </c>
      <c r="D229" t="str">
        <f>計算表!D230</f>
        <v>能力數值(1~5階)</v>
      </c>
      <c r="E229" t="str">
        <f>計算表!E230</f>
        <v>base × 等級 × (1 + a×(等級-1))</v>
      </c>
      <c r="F229" t="str">
        <f>計算表!F230</f>
        <v>base 見「寶石種類表」。Lv1×1 Lv2×2.4 Lv3×4.2 Lv4×6.4 Lv5×9。</v>
      </c>
      <c r="G229">
        <f>計算表!G230</f>
        <v>0.2</v>
      </c>
      <c r="H229">
        <f>計算表!H230</f>
        <v>0</v>
      </c>
      <c r="I229">
        <f>計算表!I230</f>
        <v>0</v>
      </c>
      <c r="J229">
        <f>計算表!J230</f>
        <v>0</v>
      </c>
      <c r="K229">
        <f>計算表!K230</f>
        <v>0</v>
      </c>
      <c r="L229">
        <f>計算表!L230</f>
        <v>0</v>
      </c>
      <c r="M229">
        <f>計算表!M230</f>
        <v>0</v>
      </c>
      <c r="N229">
        <f>計算表!N230</f>
        <v>0</v>
      </c>
      <c r="O229">
        <f>計算表!O230</f>
        <v>0</v>
      </c>
      <c r="P229">
        <f>計算表!P230</f>
        <v>0</v>
      </c>
      <c r="Q229">
        <f>計算表!Q230</f>
        <v>0</v>
      </c>
      <c r="R229">
        <f>計算表!R230</f>
        <v>0</v>
      </c>
    </row>
    <row r="230" spans="1:18" x14ac:dyDescent="0.25">
      <c r="A230">
        <f>計算表!A231</f>
        <v>230</v>
      </c>
      <c r="B230">
        <f>計算表!B231</f>
        <v>0</v>
      </c>
      <c r="C230" t="str">
        <f>計算表!C231</f>
        <v>8-寶石</v>
      </c>
      <c r="D230" t="str">
        <f>計算表!D231</f>
        <v>能力數值(6~10階神鑄)</v>
      </c>
      <c r="E230" t="str">
        <f>計算表!E231</f>
        <v>五階數值 × a^(階級-5)</v>
      </c>
      <c r="F230" t="str">
        <f>計算表!F231</f>
        <v>每高 1 階能力×a。</v>
      </c>
      <c r="G230">
        <f>計算表!G231</f>
        <v>2</v>
      </c>
      <c r="H230">
        <f>計算表!H231</f>
        <v>0</v>
      </c>
      <c r="I230">
        <f>計算表!I231</f>
        <v>0</v>
      </c>
      <c r="J230">
        <f>計算表!J231</f>
        <v>0</v>
      </c>
      <c r="K230">
        <f>計算表!K231</f>
        <v>0</v>
      </c>
      <c r="L230">
        <f>計算表!L231</f>
        <v>0</v>
      </c>
      <c r="M230">
        <f>計算表!M231</f>
        <v>0</v>
      </c>
      <c r="N230">
        <f>計算表!N231</f>
        <v>0</v>
      </c>
      <c r="O230">
        <f>計算表!O231</f>
        <v>0</v>
      </c>
      <c r="P230">
        <f>計算表!P231</f>
        <v>0</v>
      </c>
      <c r="Q230">
        <f>計算表!Q231</f>
        <v>0</v>
      </c>
      <c r="R230">
        <f>計算表!R231</f>
        <v>0</v>
      </c>
    </row>
    <row r="231" spans="1:18" x14ac:dyDescent="0.25">
      <c r="A231">
        <f>計算表!A232</f>
        <v>231</v>
      </c>
      <c r="B231">
        <f>計算表!B232</f>
        <v>0</v>
      </c>
      <c r="C231" t="str">
        <f>計算表!C232</f>
        <v>8-寶石</v>
      </c>
      <c r="D231" t="str">
        <f>計算表!D232</f>
        <v>寶石升階(工廠自動)</v>
      </c>
      <c r="E231" t="str">
        <f>計算表!E232</f>
        <v>c 顆同種同級 → 1 顆同種高一級</v>
      </c>
      <c r="F231" t="str">
        <f>計算表!F232</f>
        <v>免費、自動（熔爐合成節點開關）。　※合成功能已停用，本列未生效。</v>
      </c>
      <c r="G231">
        <f>計算表!G232</f>
        <v>3</v>
      </c>
      <c r="H231">
        <f>計算表!H232</f>
        <v>0</v>
      </c>
      <c r="I231">
        <f>計算表!I232</f>
        <v>0</v>
      </c>
      <c r="J231">
        <f>計算表!J232</f>
        <v>0</v>
      </c>
      <c r="K231">
        <f>計算表!K232</f>
        <v>0</v>
      </c>
      <c r="L231">
        <f>計算表!L232</f>
        <v>0</v>
      </c>
      <c r="M231">
        <f>計算表!M232</f>
        <v>0</v>
      </c>
      <c r="N231">
        <f>計算表!N232</f>
        <v>0</v>
      </c>
      <c r="O231">
        <f>計算表!O232</f>
        <v>0</v>
      </c>
      <c r="P231">
        <f>計算表!P232</f>
        <v>0</v>
      </c>
      <c r="Q231">
        <f>計算表!Q232</f>
        <v>0</v>
      </c>
      <c r="R231">
        <f>計算表!R232</f>
        <v>0</v>
      </c>
    </row>
    <row r="232" spans="1:18" x14ac:dyDescent="0.25">
      <c r="A232">
        <f>計算表!A233</f>
        <v>232</v>
      </c>
      <c r="B232">
        <f>計算表!B233</f>
        <v>0</v>
      </c>
      <c r="C232" t="str">
        <f>計算表!C233</f>
        <v>8-寶石</v>
      </c>
      <c r="D232" t="str">
        <f>計算表!D233</f>
        <v>寶石合成(手動)</v>
      </c>
      <c r="E232" t="str">
        <f>計算表!E233</f>
        <v>a 顆同種同級 → 1 顆同種下一階</v>
      </c>
      <c r="F232" t="str">
        <f>計算表!F233</f>
        <v>a=3；手動合成素材數量（3 合 1）；金幣另見「寶石合成金幣」。</v>
      </c>
      <c r="G232">
        <f>計算表!G233</f>
        <v>3</v>
      </c>
      <c r="H232">
        <f>計算表!H233</f>
        <v>0</v>
      </c>
      <c r="I232">
        <f>計算表!I233</f>
        <v>0</v>
      </c>
      <c r="J232">
        <f>計算表!J233</f>
        <v>0</v>
      </c>
      <c r="K232">
        <f>計算表!K233</f>
        <v>0</v>
      </c>
      <c r="L232">
        <f>計算表!L233</f>
        <v>0</v>
      </c>
      <c r="M232">
        <f>計算表!M233</f>
        <v>0</v>
      </c>
      <c r="N232">
        <f>計算表!N233</f>
        <v>0</v>
      </c>
      <c r="O232">
        <f>計算表!O233</f>
        <v>0</v>
      </c>
      <c r="P232">
        <f>計算表!P233</f>
        <v>0</v>
      </c>
      <c r="Q232">
        <f>計算表!Q233</f>
        <v>0</v>
      </c>
      <c r="R232">
        <f>計算表!R233</f>
        <v>0</v>
      </c>
    </row>
    <row r="233" spans="1:18" x14ac:dyDescent="0.25">
      <c r="A233">
        <f>計算表!A234</f>
        <v>233</v>
      </c>
      <c r="B233">
        <f>計算表!B234</f>
        <v>0</v>
      </c>
      <c r="C233" t="str">
        <f>計算表!C234</f>
        <v>8-寶石</v>
      </c>
      <c r="D233" t="str">
        <f>計算表!D234</f>
        <v>寶石合成金幣</v>
      </c>
      <c r="E233" t="str">
        <f>計算表!E234</f>
        <v>依素材等級 a/b/c/d/e</v>
      </c>
      <c r="F233" t="str">
        <f>計算表!F234</f>
        <v>1級→2級 a、2級→3級 b …。</v>
      </c>
      <c r="G233">
        <f>計算表!G234</f>
        <v>100</v>
      </c>
      <c r="H233">
        <f>計算表!H234</f>
        <v>300</v>
      </c>
      <c r="I233">
        <f>計算表!I234</f>
        <v>900</v>
      </c>
      <c r="J233">
        <f>計算表!J234</f>
        <v>2700</v>
      </c>
      <c r="K233">
        <f>計算表!K234</f>
        <v>8100</v>
      </c>
      <c r="L233">
        <f>計算表!L234</f>
        <v>0</v>
      </c>
      <c r="M233">
        <f>計算表!M234</f>
        <v>0</v>
      </c>
      <c r="N233">
        <f>計算表!N234</f>
        <v>0</v>
      </c>
      <c r="O233">
        <f>計算表!O234</f>
        <v>0</v>
      </c>
      <c r="P233">
        <f>計算表!P234</f>
        <v>0</v>
      </c>
      <c r="Q233">
        <f>計算表!Q234</f>
        <v>0</v>
      </c>
      <c r="R233">
        <f>計算表!R234</f>
        <v>0</v>
      </c>
    </row>
    <row r="234" spans="1:18" x14ac:dyDescent="0.25">
      <c r="A234">
        <f>計算表!A235</f>
        <v>234</v>
      </c>
      <c r="B234">
        <f>計算表!B235</f>
        <v>0</v>
      </c>
      <c r="C234" t="str">
        <f>計算表!C235</f>
        <v>8-寶石</v>
      </c>
      <c r="D234" t="str">
        <f>計算表!D235</f>
        <v>寶石轉換(九宮格)</v>
      </c>
      <c r="E234" t="str">
        <f>計算表!E235</f>
        <v>a 格；每格上限 b 顆；同階轉換數量不變（免費）</v>
      </c>
      <c r="F234" t="str">
        <f>計算表!F235</f>
        <v>融合寶石無法轉換。</v>
      </c>
      <c r="G234">
        <f>計算表!G235</f>
        <v>9</v>
      </c>
      <c r="H234">
        <f>計算表!H235</f>
        <v>1000</v>
      </c>
      <c r="I234">
        <f>計算表!I235</f>
        <v>0</v>
      </c>
      <c r="J234">
        <f>計算表!J235</f>
        <v>0</v>
      </c>
      <c r="K234">
        <f>計算表!K235</f>
        <v>0</v>
      </c>
      <c r="L234">
        <f>計算表!L235</f>
        <v>0</v>
      </c>
      <c r="M234">
        <f>計算表!M235</f>
        <v>0</v>
      </c>
      <c r="N234">
        <f>計算表!N235</f>
        <v>0</v>
      </c>
      <c r="O234">
        <f>計算表!O235</f>
        <v>0</v>
      </c>
      <c r="P234">
        <f>計算表!P235</f>
        <v>0</v>
      </c>
      <c r="Q234">
        <f>計算表!Q235</f>
        <v>0</v>
      </c>
      <c r="R234">
        <f>計算表!R235</f>
        <v>0</v>
      </c>
    </row>
    <row r="235" spans="1:18" x14ac:dyDescent="0.25">
      <c r="A235">
        <f>計算表!A236</f>
        <v>235</v>
      </c>
      <c r="B235">
        <f>計算表!B236</f>
        <v>0</v>
      </c>
      <c r="C235" t="str">
        <f>計算表!C236</f>
        <v>8-寶石</v>
      </c>
      <c r="D235" t="str">
        <f>計算表!D236</f>
        <v>寶石拆解(一般)</v>
      </c>
      <c r="E235" t="str">
        <f>計算表!E236</f>
        <v>⌊3^(N-1) × a⌋ 顆同種 1 級</v>
      </c>
      <c r="F235" t="str">
        <f>計算表!F236</f>
        <v>a=保留比例（損失 30%）。2級→2 3級→6 4級→18 5級→56。</v>
      </c>
      <c r="G235">
        <f>計算表!G236</f>
        <v>0.7</v>
      </c>
      <c r="H235">
        <f>計算表!H236</f>
        <v>0</v>
      </c>
      <c r="I235">
        <f>計算表!I236</f>
        <v>0</v>
      </c>
      <c r="J235">
        <f>計算表!J236</f>
        <v>0</v>
      </c>
      <c r="K235">
        <f>計算表!K236</f>
        <v>0</v>
      </c>
      <c r="L235">
        <f>計算表!L236</f>
        <v>0</v>
      </c>
      <c r="M235">
        <f>計算表!M236</f>
        <v>0</v>
      </c>
      <c r="N235">
        <f>計算表!N236</f>
        <v>0</v>
      </c>
      <c r="O235">
        <f>計算表!O236</f>
        <v>0</v>
      </c>
      <c r="P235">
        <f>計算表!P236</f>
        <v>0</v>
      </c>
      <c r="Q235">
        <f>計算表!Q236</f>
        <v>0</v>
      </c>
      <c r="R235">
        <f>計算表!R236</f>
        <v>0</v>
      </c>
    </row>
    <row r="236" spans="1:18" x14ac:dyDescent="0.25">
      <c r="A236">
        <f>計算表!A237</f>
        <v>236</v>
      </c>
      <c r="B236">
        <f>計算表!B237</f>
        <v>0</v>
      </c>
      <c r="C236" t="str">
        <f>計算表!C237</f>
        <v>8-寶石</v>
      </c>
      <c r="D236" t="str">
        <f>計算表!D237</f>
        <v>寶石拆解(融合)</v>
      </c>
      <c r="E236" t="str">
        <f>計算表!E237</f>
        <v>⌊81×leaves × a⌋ 顆 1 級（依屬性均分）</v>
      </c>
      <c r="F236" t="str">
        <f>計算表!F237</f>
        <v>leaves=素材 5 階總數（融合時雙方相加）。　※與「寶石拆解(一般)」共用保留率，本列不生效。</v>
      </c>
      <c r="G236">
        <f>計算表!G237</f>
        <v>0.7</v>
      </c>
      <c r="H236">
        <f>計算表!H237</f>
        <v>0</v>
      </c>
      <c r="I236">
        <f>計算表!I237</f>
        <v>0</v>
      </c>
      <c r="J236">
        <f>計算表!J237</f>
        <v>0</v>
      </c>
      <c r="K236">
        <f>計算表!K237</f>
        <v>0</v>
      </c>
      <c r="L236">
        <f>計算表!L237</f>
        <v>0</v>
      </c>
      <c r="M236">
        <f>計算表!M237</f>
        <v>0</v>
      </c>
      <c r="N236">
        <f>計算表!N237</f>
        <v>0</v>
      </c>
      <c r="O236">
        <f>計算表!O237</f>
        <v>0</v>
      </c>
      <c r="P236">
        <f>計算表!P237</f>
        <v>0</v>
      </c>
      <c r="Q236">
        <f>計算表!Q237</f>
        <v>0</v>
      </c>
      <c r="R236">
        <f>計算表!R237</f>
        <v>0</v>
      </c>
    </row>
    <row r="237" spans="1:18" x14ac:dyDescent="0.25">
      <c r="A237">
        <f>計算表!A238</f>
        <v>237</v>
      </c>
      <c r="B237">
        <f>計算表!B238</f>
        <v>0</v>
      </c>
      <c r="C237" t="str">
        <f>計算表!C238</f>
        <v>8-寶石</v>
      </c>
      <c r="D237" t="str">
        <f>計算表!D238</f>
        <v>寶石融合成功率</v>
      </c>
      <c r="E237" t="str">
        <f>計算表!E238</f>
        <v>max(a%, b% - c%×雙方融合次數和)</v>
      </c>
      <c r="F237" t="str">
        <f>計算表!F238</f>
        <v>僅 5 階；產出雙屬性。</v>
      </c>
      <c r="G237">
        <f>計算表!G238</f>
        <v>10</v>
      </c>
      <c r="H237">
        <f>計算表!H238</f>
        <v>60</v>
      </c>
      <c r="I237">
        <f>計算表!I238</f>
        <v>10</v>
      </c>
      <c r="J237">
        <f>計算表!J238</f>
        <v>0</v>
      </c>
      <c r="K237">
        <f>計算表!K238</f>
        <v>0</v>
      </c>
      <c r="L237">
        <f>計算表!L238</f>
        <v>0</v>
      </c>
      <c r="M237">
        <f>計算表!M238</f>
        <v>0</v>
      </c>
      <c r="N237">
        <f>計算表!N238</f>
        <v>0</v>
      </c>
      <c r="O237">
        <f>計算表!O238</f>
        <v>0</v>
      </c>
      <c r="P237">
        <f>計算表!P238</f>
        <v>0</v>
      </c>
      <c r="Q237">
        <f>計算表!Q238</f>
        <v>0</v>
      </c>
      <c r="R237">
        <f>計算表!R238</f>
        <v>0</v>
      </c>
    </row>
    <row r="238" spans="1:18" x14ac:dyDescent="0.25">
      <c r="A238">
        <f>計算表!A239</f>
        <v>238</v>
      </c>
      <c r="B238">
        <f>計算表!B239</f>
        <v>0</v>
      </c>
      <c r="C238" t="str">
        <f>計算表!C239</f>
        <v>8-寶石</v>
      </c>
      <c r="D238" t="str">
        <f>計算表!D239</f>
        <v>寶石融合數值</v>
      </c>
      <c r="E238" t="str">
        <f>計算表!E239</f>
        <v>同屬性 rnd(較小值,較大值×2)；異屬性 原值×rnd(0.5,1.5)</v>
      </c>
      <c r="F238" t="str">
        <f>計算表!F239</f>
        <v>失敗：較弱一方降解為 50% 機率 4~8 顆 Lv1 / 50% 機率 2~4 顆 Lv2。　※結構寫死：同屬性 rnd(小,大×2)、異屬性 原值×rnd(0.5,1.5)。</v>
      </c>
      <c r="G238">
        <f>計算表!G239</f>
        <v>0</v>
      </c>
      <c r="H238">
        <f>計算表!H239</f>
        <v>0</v>
      </c>
      <c r="I238">
        <f>計算表!I239</f>
        <v>0</v>
      </c>
      <c r="J238">
        <f>計算表!J239</f>
        <v>0</v>
      </c>
      <c r="K238">
        <f>計算表!K239</f>
        <v>0</v>
      </c>
      <c r="L238">
        <f>計算表!L239</f>
        <v>0</v>
      </c>
      <c r="M238">
        <f>計算表!M239</f>
        <v>0</v>
      </c>
      <c r="N238">
        <f>計算表!N239</f>
        <v>0</v>
      </c>
      <c r="O238">
        <f>計算表!O239</f>
        <v>0</v>
      </c>
      <c r="P238">
        <f>計算表!P239</f>
        <v>0</v>
      </c>
      <c r="Q238">
        <f>計算表!Q239</f>
        <v>0</v>
      </c>
      <c r="R238">
        <f>計算表!R239</f>
        <v>0</v>
      </c>
    </row>
    <row r="239" spans="1:18" x14ac:dyDescent="0.25">
      <c r="A239">
        <f>計算表!A240</f>
        <v>239</v>
      </c>
      <c r="B239">
        <f>計算表!B240</f>
        <v>0</v>
      </c>
      <c r="C239" t="str">
        <f>計算表!C240</f>
        <v>8-寶石商店</v>
      </c>
      <c r="D239" t="str">
        <f>計算表!D240</f>
        <v>升級費用</v>
      </c>
      <c r="E239" t="str">
        <f>計算表!E240</f>
        <v>a + 商店等級^b × c</v>
      </c>
      <c r="F239" t="str">
        <f>計算表!F240</f>
        <v>Lv.1~20；Lv.20 滿級。</v>
      </c>
      <c r="G239">
        <f>計算表!G240</f>
        <v>100000</v>
      </c>
      <c r="H239">
        <f>計算表!H240</f>
        <v>3.5</v>
      </c>
      <c r="I239">
        <f>計算表!I240</f>
        <v>4000000</v>
      </c>
      <c r="J239">
        <f>計算表!J240</f>
        <v>0</v>
      </c>
      <c r="K239">
        <f>計算表!K240</f>
        <v>0</v>
      </c>
      <c r="L239">
        <f>計算表!L240</f>
        <v>0</v>
      </c>
      <c r="M239">
        <f>計算表!M240</f>
        <v>0</v>
      </c>
      <c r="N239">
        <f>計算表!N240</f>
        <v>0</v>
      </c>
      <c r="O239">
        <f>計算表!O240</f>
        <v>0</v>
      </c>
      <c r="P239">
        <f>計算表!P240</f>
        <v>0</v>
      </c>
      <c r="Q239">
        <f>計算表!Q240</f>
        <v>0</v>
      </c>
      <c r="R239">
        <f>計算表!R240</f>
        <v>0</v>
      </c>
    </row>
    <row r="240" spans="1:18" x14ac:dyDescent="0.25">
      <c r="A240">
        <f>計算表!A241</f>
        <v>240</v>
      </c>
      <c r="B240">
        <f>計算表!B241</f>
        <v>0</v>
      </c>
      <c r="C240" t="str">
        <f>計算表!C241</f>
        <v>8-寶石商店</v>
      </c>
      <c r="D240" t="str">
        <f>計算表!D241</f>
        <v>手動刷新費用</v>
      </c>
      <c r="E240" t="str">
        <f>計算表!E241</f>
        <v>a × (下一次重置序號^b)</v>
      </c>
      <c r="F240" t="str">
        <f>計算表!F241</f>
        <v>第一次刷新序號為 1。</v>
      </c>
      <c r="G240">
        <f>計算表!G241</f>
        <v>5000</v>
      </c>
      <c r="H240">
        <f>計算表!H241</f>
        <v>2.5</v>
      </c>
      <c r="I240">
        <f>計算表!I241</f>
        <v>0</v>
      </c>
      <c r="J240">
        <f>計算表!J241</f>
        <v>0</v>
      </c>
      <c r="K240">
        <f>計算表!K241</f>
        <v>0</v>
      </c>
      <c r="L240">
        <f>計算表!L241</f>
        <v>0</v>
      </c>
      <c r="M240">
        <f>計算表!M241</f>
        <v>0</v>
      </c>
      <c r="N240">
        <f>計算表!N241</f>
        <v>0</v>
      </c>
      <c r="O240">
        <f>計算表!O241</f>
        <v>0</v>
      </c>
      <c r="P240">
        <f>計算表!P241</f>
        <v>0</v>
      </c>
      <c r="Q240">
        <f>計算表!Q241</f>
        <v>0</v>
      </c>
      <c r="R240">
        <f>計算表!R241</f>
        <v>0</v>
      </c>
    </row>
    <row r="241" spans="1:18" x14ac:dyDescent="0.25">
      <c r="A241">
        <f>計算表!A242</f>
        <v>241</v>
      </c>
      <c r="B241">
        <f>計算表!B242</f>
        <v>0</v>
      </c>
      <c r="C241" t="str">
        <f>計算表!C242</f>
        <v>8-寶石商店</v>
      </c>
      <c r="D241" t="str">
        <f>計算表!D242</f>
        <v>刷新週期</v>
      </c>
      <c r="E241" t="str">
        <f>計算表!E242</f>
        <v>a 小時重置刷新次數</v>
      </c>
      <c r="F241">
        <f>計算表!F242</f>
        <v>0</v>
      </c>
      <c r="G241">
        <f>計算表!G242</f>
        <v>8</v>
      </c>
      <c r="H241">
        <f>計算表!H242</f>
        <v>0</v>
      </c>
      <c r="I241">
        <f>計算表!I242</f>
        <v>0</v>
      </c>
      <c r="J241">
        <f>計算表!J242</f>
        <v>0</v>
      </c>
      <c r="K241">
        <f>計算表!K242</f>
        <v>0</v>
      </c>
      <c r="L241">
        <f>計算表!L242</f>
        <v>0</v>
      </c>
      <c r="M241">
        <f>計算表!M242</f>
        <v>0</v>
      </c>
      <c r="N241">
        <f>計算表!N242</f>
        <v>0</v>
      </c>
      <c r="O241">
        <f>計算表!O242</f>
        <v>0</v>
      </c>
      <c r="P241">
        <f>計算表!P242</f>
        <v>0</v>
      </c>
      <c r="Q241">
        <f>計算表!Q242</f>
        <v>0</v>
      </c>
      <c r="R241">
        <f>計算表!R242</f>
        <v>0</v>
      </c>
    </row>
    <row r="242" spans="1:18" x14ac:dyDescent="0.25">
      <c r="A242">
        <f>計算表!A243</f>
        <v>242</v>
      </c>
      <c r="B242">
        <f>計算表!B243</f>
        <v>0</v>
      </c>
      <c r="C242" t="str">
        <f>計算表!C243</f>
        <v>8-寶石商店</v>
      </c>
      <c r="D242" t="str">
        <f>計算表!D243</f>
        <v>寶石標價(Lv1~10)</v>
      </c>
      <c r="E242" t="str">
        <f>計算表!E243</f>
        <v>各階價格</v>
      </c>
      <c r="F242" t="str">
        <f>計算表!F243</f>
        <v>a=Lv1 … j=Lv10。</v>
      </c>
      <c r="G242">
        <f>計算表!G243</f>
        <v>10000</v>
      </c>
      <c r="H242">
        <f>計算表!H243</f>
        <v>100000</v>
      </c>
      <c r="I242">
        <f>計算表!I243</f>
        <v>500000</v>
      </c>
      <c r="J242">
        <f>計算表!J243</f>
        <v>2000000</v>
      </c>
      <c r="K242">
        <f>計算表!K243</f>
        <v>10000000</v>
      </c>
      <c r="L242">
        <f>計算表!L243</f>
        <v>50000000</v>
      </c>
      <c r="M242">
        <f>計算表!M243</f>
        <v>200000000</v>
      </c>
      <c r="N242">
        <f>計算表!N243</f>
        <v>1000000000</v>
      </c>
      <c r="O242">
        <f>計算表!O243</f>
        <v>10000000000</v>
      </c>
      <c r="P242">
        <f>計算表!P243</f>
        <v>1000000000000</v>
      </c>
      <c r="Q242">
        <f>計算表!Q243</f>
        <v>0</v>
      </c>
      <c r="R242">
        <f>計算表!R243</f>
        <v>0</v>
      </c>
    </row>
    <row r="243" spans="1:18" x14ac:dyDescent="0.25">
      <c r="A243">
        <f>計算表!A244</f>
        <v>243</v>
      </c>
      <c r="B243">
        <f>計算表!B244</f>
        <v>0</v>
      </c>
      <c r="C243" t="str">
        <f>計算表!C244</f>
        <v>8-寶店刷出階級</v>
      </c>
      <c r="D243" t="str">
        <f>計算表!D244</f>
        <v>商店 Lv.1</v>
      </c>
      <c r="E243" t="str">
        <f>計算表!E244</f>
        <v>寶石階級=機率%（每顆獨立）</v>
      </c>
      <c r="F243" t="str">
        <f>計算表!F244</f>
        <v>格式「階級=機率%」，機率總和 100。</v>
      </c>
      <c r="G243" t="str">
        <f>計算表!G244</f>
        <v>1=75</v>
      </c>
      <c r="H243" t="str">
        <f>計算表!H244</f>
        <v>2=20</v>
      </c>
      <c r="I243" t="str">
        <f>計算表!I244</f>
        <v>3=4</v>
      </c>
      <c r="J243" t="str">
        <f>計算表!J244</f>
        <v>4=1</v>
      </c>
      <c r="K243">
        <f>計算表!K244</f>
        <v>0</v>
      </c>
      <c r="L243">
        <f>計算表!L244</f>
        <v>0</v>
      </c>
      <c r="M243">
        <f>計算表!M244</f>
        <v>0</v>
      </c>
      <c r="N243">
        <f>計算表!N244</f>
        <v>0</v>
      </c>
      <c r="O243">
        <f>計算表!O244</f>
        <v>0</v>
      </c>
      <c r="P243">
        <f>計算表!P244</f>
        <v>0</v>
      </c>
      <c r="Q243">
        <f>計算表!Q244</f>
        <v>0</v>
      </c>
      <c r="R243">
        <f>計算表!R244</f>
        <v>0</v>
      </c>
    </row>
    <row r="244" spans="1:18" x14ac:dyDescent="0.25">
      <c r="A244">
        <f>計算表!A245</f>
        <v>244</v>
      </c>
      <c r="B244">
        <f>計算表!B245</f>
        <v>0</v>
      </c>
      <c r="C244" t="str">
        <f>計算表!C245</f>
        <v>8-寶店刷出階級</v>
      </c>
      <c r="D244" t="str">
        <f>計算表!D245</f>
        <v>商店 Lv.2</v>
      </c>
      <c r="E244" t="str">
        <f>計算表!E245</f>
        <v>寶石階級=機率%（每顆獨立）</v>
      </c>
      <c r="F244" t="str">
        <f>計算表!F245</f>
        <v>格式「階級=機率%」，機率總和 100。</v>
      </c>
      <c r="G244" t="str">
        <f>計算表!G245</f>
        <v>1=73</v>
      </c>
      <c r="H244" t="str">
        <f>計算表!H245</f>
        <v>2=20</v>
      </c>
      <c r="I244" t="str">
        <f>計算表!I245</f>
        <v>3=5</v>
      </c>
      <c r="J244" t="str">
        <f>計算表!J245</f>
        <v>4=2</v>
      </c>
      <c r="K244">
        <f>計算表!K245</f>
        <v>0</v>
      </c>
      <c r="L244">
        <f>計算表!L245</f>
        <v>0</v>
      </c>
      <c r="M244">
        <f>計算表!M245</f>
        <v>0</v>
      </c>
      <c r="N244">
        <f>計算表!N245</f>
        <v>0</v>
      </c>
      <c r="O244">
        <f>計算表!O245</f>
        <v>0</v>
      </c>
      <c r="P244">
        <f>計算表!P245</f>
        <v>0</v>
      </c>
      <c r="Q244">
        <f>計算表!Q245</f>
        <v>0</v>
      </c>
      <c r="R244">
        <f>計算表!R245</f>
        <v>0</v>
      </c>
    </row>
    <row r="245" spans="1:18" x14ac:dyDescent="0.25">
      <c r="A245">
        <f>計算表!A246</f>
        <v>245</v>
      </c>
      <c r="B245">
        <f>計算表!B246</f>
        <v>0</v>
      </c>
      <c r="C245" t="str">
        <f>計算表!C246</f>
        <v>8-寶店刷出階級</v>
      </c>
      <c r="D245" t="str">
        <f>計算表!D246</f>
        <v>商店 Lv.3</v>
      </c>
      <c r="E245" t="str">
        <f>計算表!E246</f>
        <v>寶石階級=機率%（每顆獨立）</v>
      </c>
      <c r="F245" t="str">
        <f>計算表!F246</f>
        <v>格式「階級=機率%」，機率總和 100。</v>
      </c>
      <c r="G245" t="str">
        <f>計算表!G246</f>
        <v>1=71</v>
      </c>
      <c r="H245" t="str">
        <f>計算表!H246</f>
        <v>2=20</v>
      </c>
      <c r="I245" t="str">
        <f>計算表!I246</f>
        <v>3=6</v>
      </c>
      <c r="J245" t="str">
        <f>計算表!J246</f>
        <v>4=3</v>
      </c>
      <c r="K245">
        <f>計算表!K246</f>
        <v>0</v>
      </c>
      <c r="L245">
        <f>計算表!L246</f>
        <v>0</v>
      </c>
      <c r="M245">
        <f>計算表!M246</f>
        <v>0</v>
      </c>
      <c r="N245">
        <f>計算表!N246</f>
        <v>0</v>
      </c>
      <c r="O245">
        <f>計算表!O246</f>
        <v>0</v>
      </c>
      <c r="P245">
        <f>計算表!P246</f>
        <v>0</v>
      </c>
      <c r="Q245">
        <f>計算表!Q246</f>
        <v>0</v>
      </c>
      <c r="R245">
        <f>計算表!R246</f>
        <v>0</v>
      </c>
    </row>
    <row r="246" spans="1:18" x14ac:dyDescent="0.25">
      <c r="A246">
        <f>計算表!A247</f>
        <v>246</v>
      </c>
      <c r="B246">
        <f>計算表!B247</f>
        <v>0</v>
      </c>
      <c r="C246" t="str">
        <f>計算表!C247</f>
        <v>8-寶店刷出階級</v>
      </c>
      <c r="D246" t="str">
        <f>計算表!D247</f>
        <v>商店 Lv.4</v>
      </c>
      <c r="E246" t="str">
        <f>計算表!E247</f>
        <v>寶石階級=機率%（每顆獨立）</v>
      </c>
      <c r="F246" t="str">
        <f>計算表!F247</f>
        <v>格式「階級=機率%」，機率總和 100。</v>
      </c>
      <c r="G246" t="str">
        <f>計算表!G247</f>
        <v>1=70.5</v>
      </c>
      <c r="H246" t="str">
        <f>計算表!H247</f>
        <v>2=20</v>
      </c>
      <c r="I246" t="str">
        <f>計算表!I247</f>
        <v>3=6</v>
      </c>
      <c r="J246" t="str">
        <f>計算表!J247</f>
        <v>4=3</v>
      </c>
      <c r="K246" t="str">
        <f>計算表!K247</f>
        <v>5=0.5</v>
      </c>
      <c r="L246">
        <f>計算表!L247</f>
        <v>0</v>
      </c>
      <c r="M246">
        <f>計算表!M247</f>
        <v>0</v>
      </c>
      <c r="N246">
        <f>計算表!N247</f>
        <v>0</v>
      </c>
      <c r="O246">
        <f>計算表!O247</f>
        <v>0</v>
      </c>
      <c r="P246">
        <f>計算表!P247</f>
        <v>0</v>
      </c>
      <c r="Q246">
        <f>計算表!Q247</f>
        <v>0</v>
      </c>
      <c r="R246">
        <f>計算表!R247</f>
        <v>0</v>
      </c>
    </row>
    <row r="247" spans="1:18" x14ac:dyDescent="0.25">
      <c r="A247">
        <f>計算表!A248</f>
        <v>247</v>
      </c>
      <c r="B247">
        <f>計算表!B248</f>
        <v>0</v>
      </c>
      <c r="C247" t="str">
        <f>計算表!C248</f>
        <v>8-寶店刷出階級</v>
      </c>
      <c r="D247" t="str">
        <f>計算表!D248</f>
        <v>商店 Lv.5</v>
      </c>
      <c r="E247" t="str">
        <f>計算表!E248</f>
        <v>寶石階級=機率%（每顆獨立）</v>
      </c>
      <c r="F247" t="str">
        <f>計算表!F248</f>
        <v>格式「階級=機率%」，機率總和 100。</v>
      </c>
      <c r="G247" t="str">
        <f>計算表!G248</f>
        <v>1=69</v>
      </c>
      <c r="H247" t="str">
        <f>計算表!H248</f>
        <v>2=20</v>
      </c>
      <c r="I247" t="str">
        <f>計算表!I248</f>
        <v>3=6</v>
      </c>
      <c r="J247" t="str">
        <f>計算表!J248</f>
        <v>4=4</v>
      </c>
      <c r="K247" t="str">
        <f>計算表!K248</f>
        <v>5=1</v>
      </c>
      <c r="L247">
        <f>計算表!L248</f>
        <v>0</v>
      </c>
      <c r="M247">
        <f>計算表!M248</f>
        <v>0</v>
      </c>
      <c r="N247">
        <f>計算表!N248</f>
        <v>0</v>
      </c>
      <c r="O247">
        <f>計算表!O248</f>
        <v>0</v>
      </c>
      <c r="P247">
        <f>計算表!P248</f>
        <v>0</v>
      </c>
      <c r="Q247">
        <f>計算表!Q248</f>
        <v>0</v>
      </c>
      <c r="R247">
        <f>計算表!R248</f>
        <v>0</v>
      </c>
    </row>
    <row r="248" spans="1:18" x14ac:dyDescent="0.25">
      <c r="A248">
        <f>計算表!A249</f>
        <v>248</v>
      </c>
      <c r="B248">
        <f>計算表!B249</f>
        <v>0</v>
      </c>
      <c r="C248" t="str">
        <f>計算表!C249</f>
        <v>8-寶店刷出階級</v>
      </c>
      <c r="D248" t="str">
        <f>計算表!D249</f>
        <v>商店 Lv.6</v>
      </c>
      <c r="E248" t="str">
        <f>計算表!E249</f>
        <v>寶石階級=機率%（每顆獨立）</v>
      </c>
      <c r="F248" t="str">
        <f>計算表!F249</f>
        <v>格式「階級=機率%」，機率總和 100。</v>
      </c>
      <c r="G248" t="str">
        <f>計算表!G249</f>
        <v>1=67.5</v>
      </c>
      <c r="H248" t="str">
        <f>計算表!H249</f>
        <v>2=20</v>
      </c>
      <c r="I248" t="str">
        <f>計算表!I249</f>
        <v>3=6</v>
      </c>
      <c r="J248" t="str">
        <f>計算表!J249</f>
        <v>4=5</v>
      </c>
      <c r="K248" t="str">
        <f>計算表!K249</f>
        <v>5=1.5</v>
      </c>
      <c r="L248">
        <f>計算表!L249</f>
        <v>0</v>
      </c>
      <c r="M248">
        <f>計算表!M249</f>
        <v>0</v>
      </c>
      <c r="N248">
        <f>計算表!N249</f>
        <v>0</v>
      </c>
      <c r="O248">
        <f>計算表!O249</f>
        <v>0</v>
      </c>
      <c r="P248">
        <f>計算表!P249</f>
        <v>0</v>
      </c>
      <c r="Q248">
        <f>計算表!Q249</f>
        <v>0</v>
      </c>
      <c r="R248">
        <f>計算表!R249</f>
        <v>0</v>
      </c>
    </row>
    <row r="249" spans="1:18" x14ac:dyDescent="0.25">
      <c r="A249">
        <f>計算表!A250</f>
        <v>249</v>
      </c>
      <c r="B249">
        <f>計算表!B250</f>
        <v>0</v>
      </c>
      <c r="C249" t="str">
        <f>計算表!C250</f>
        <v>8-寶店刷出階級</v>
      </c>
      <c r="D249" t="str">
        <f>計算表!D250</f>
        <v>商店 Lv.7</v>
      </c>
      <c r="E249" t="str">
        <f>計算表!E250</f>
        <v>寶石階級=機率%（每顆獨立）</v>
      </c>
      <c r="F249" t="str">
        <f>計算表!F250</f>
        <v>格式「階級=機率%」，機率總和 100。</v>
      </c>
      <c r="G249" t="str">
        <f>計算表!G250</f>
        <v>1=64</v>
      </c>
      <c r="H249" t="str">
        <f>計算表!H250</f>
        <v>2=20</v>
      </c>
      <c r="I249" t="str">
        <f>計算表!I250</f>
        <v>3=8</v>
      </c>
      <c r="J249" t="str">
        <f>計算表!J250</f>
        <v>4=6</v>
      </c>
      <c r="K249" t="str">
        <f>計算表!K250</f>
        <v>5=2</v>
      </c>
      <c r="L249">
        <f>計算表!L250</f>
        <v>0</v>
      </c>
      <c r="M249">
        <f>計算表!M250</f>
        <v>0</v>
      </c>
      <c r="N249">
        <f>計算表!N250</f>
        <v>0</v>
      </c>
      <c r="O249">
        <f>計算表!O250</f>
        <v>0</v>
      </c>
      <c r="P249">
        <f>計算表!P250</f>
        <v>0</v>
      </c>
      <c r="Q249">
        <f>計算表!Q250</f>
        <v>0</v>
      </c>
      <c r="R249">
        <f>計算表!R250</f>
        <v>0</v>
      </c>
    </row>
    <row r="250" spans="1:18" x14ac:dyDescent="0.25">
      <c r="A250">
        <f>計算表!A251</f>
        <v>250</v>
      </c>
      <c r="B250">
        <f>計算表!B251</f>
        <v>0</v>
      </c>
      <c r="C250" t="str">
        <f>計算表!C251</f>
        <v>8-寶店刷出階級</v>
      </c>
      <c r="D250" t="str">
        <f>計算表!D251</f>
        <v>商店 Lv.8</v>
      </c>
      <c r="E250" t="str">
        <f>計算表!E251</f>
        <v>寶石階級=機率%（每顆獨立）</v>
      </c>
      <c r="F250" t="str">
        <f>計算表!F251</f>
        <v>格式「階級=機率%」，機率總和 100。</v>
      </c>
      <c r="G250" t="str">
        <f>計算表!G251</f>
        <v>1=61.5</v>
      </c>
      <c r="H250" t="str">
        <f>計算表!H251</f>
        <v>2=20</v>
      </c>
      <c r="I250" t="str">
        <f>計算表!I251</f>
        <v>3=9</v>
      </c>
      <c r="J250" t="str">
        <f>計算表!J251</f>
        <v>4=7</v>
      </c>
      <c r="K250" t="str">
        <f>計算表!K251</f>
        <v>5=2.5</v>
      </c>
      <c r="L250">
        <f>計算表!L251</f>
        <v>0</v>
      </c>
      <c r="M250">
        <f>計算表!M251</f>
        <v>0</v>
      </c>
      <c r="N250">
        <f>計算表!N251</f>
        <v>0</v>
      </c>
      <c r="O250">
        <f>計算表!O251</f>
        <v>0</v>
      </c>
      <c r="P250">
        <f>計算表!P251</f>
        <v>0</v>
      </c>
      <c r="Q250">
        <f>計算表!Q251</f>
        <v>0</v>
      </c>
      <c r="R250">
        <f>計算表!R251</f>
        <v>0</v>
      </c>
    </row>
    <row r="251" spans="1:18" x14ac:dyDescent="0.25">
      <c r="A251">
        <f>計算表!A252</f>
        <v>251</v>
      </c>
      <c r="B251">
        <f>計算表!B252</f>
        <v>0</v>
      </c>
      <c r="C251" t="str">
        <f>計算表!C252</f>
        <v>8-寶店刷出階級</v>
      </c>
      <c r="D251" t="str">
        <f>計算表!D252</f>
        <v>商店 Lv.9</v>
      </c>
      <c r="E251" t="str">
        <f>計算表!E252</f>
        <v>寶石階級=機率%（每顆獨立）</v>
      </c>
      <c r="F251" t="str">
        <f>計算表!F252</f>
        <v>格式「階級=機率%」，機率總和 100。</v>
      </c>
      <c r="G251" t="str">
        <f>計算表!G252</f>
        <v>1=59</v>
      </c>
      <c r="H251" t="str">
        <f>計算表!H252</f>
        <v>2=20</v>
      </c>
      <c r="I251" t="str">
        <f>計算表!I252</f>
        <v>3=10</v>
      </c>
      <c r="J251" t="str">
        <f>計算表!J252</f>
        <v>4=8</v>
      </c>
      <c r="K251" t="str">
        <f>計算表!K252</f>
        <v>5=3</v>
      </c>
      <c r="L251">
        <f>計算表!L252</f>
        <v>0</v>
      </c>
      <c r="M251">
        <f>計算表!M252</f>
        <v>0</v>
      </c>
      <c r="N251">
        <f>計算表!N252</f>
        <v>0</v>
      </c>
      <c r="O251">
        <f>計算表!O252</f>
        <v>0</v>
      </c>
      <c r="P251">
        <f>計算表!P252</f>
        <v>0</v>
      </c>
      <c r="Q251">
        <f>計算表!Q252</f>
        <v>0</v>
      </c>
      <c r="R251">
        <f>計算表!R252</f>
        <v>0</v>
      </c>
    </row>
    <row r="252" spans="1:18" x14ac:dyDescent="0.25">
      <c r="A252">
        <f>計算表!A253</f>
        <v>252</v>
      </c>
      <c r="B252">
        <f>計算表!B253</f>
        <v>0</v>
      </c>
      <c r="C252" t="str">
        <f>計算表!C253</f>
        <v>8-寶店刷出階級</v>
      </c>
      <c r="D252" t="str">
        <f>計算表!D253</f>
        <v>商店 Lv.10</v>
      </c>
      <c r="E252" t="str">
        <f>計算表!E253</f>
        <v>寶石階級=機率%（每顆獨立）</v>
      </c>
      <c r="F252" t="str">
        <f>計算表!F253</f>
        <v>格式「階級=機率%」，機率總和 100。</v>
      </c>
      <c r="G252" t="str">
        <f>計算表!G253</f>
        <v>1=58</v>
      </c>
      <c r="H252" t="str">
        <f>計算表!H253</f>
        <v>2=20</v>
      </c>
      <c r="I252" t="str">
        <f>計算表!I253</f>
        <v>3=10</v>
      </c>
      <c r="J252" t="str">
        <f>計算表!J253</f>
        <v>4=8</v>
      </c>
      <c r="K252" t="str">
        <f>計算表!K253</f>
        <v>5=3.5</v>
      </c>
      <c r="L252" t="str">
        <f>計算表!L253</f>
        <v>6=0.5</v>
      </c>
      <c r="M252">
        <f>計算表!M253</f>
        <v>0</v>
      </c>
      <c r="N252">
        <f>計算表!N253</f>
        <v>0</v>
      </c>
      <c r="O252">
        <f>計算表!O253</f>
        <v>0</v>
      </c>
      <c r="P252">
        <f>計算表!P253</f>
        <v>0</v>
      </c>
      <c r="Q252">
        <f>計算表!Q253</f>
        <v>0</v>
      </c>
      <c r="R252">
        <f>計算表!R253</f>
        <v>0</v>
      </c>
    </row>
    <row r="253" spans="1:18" x14ac:dyDescent="0.25">
      <c r="A253">
        <f>計算表!A254</f>
        <v>253</v>
      </c>
      <c r="B253">
        <f>計算表!B254</f>
        <v>0</v>
      </c>
      <c r="C253" t="str">
        <f>計算表!C254</f>
        <v>8-寶店刷出階級</v>
      </c>
      <c r="D253" t="str">
        <f>計算表!D254</f>
        <v>商店 Lv.11</v>
      </c>
      <c r="E253" t="str">
        <f>計算表!E254</f>
        <v>寶石階級=機率%（每顆獨立）</v>
      </c>
      <c r="F253" t="str">
        <f>計算表!F254</f>
        <v>格式「階級=機率%」，機率總和 100。</v>
      </c>
      <c r="G253" t="str">
        <f>計算表!G254</f>
        <v>1=57.25</v>
      </c>
      <c r="H253" t="str">
        <f>計算表!H254</f>
        <v>2=20</v>
      </c>
      <c r="I253" t="str">
        <f>計算表!I254</f>
        <v>3=10</v>
      </c>
      <c r="J253" t="str">
        <f>計算表!J254</f>
        <v>4=8</v>
      </c>
      <c r="K253" t="str">
        <f>計算表!K254</f>
        <v>5=4</v>
      </c>
      <c r="L253" t="str">
        <f>計算表!L254</f>
        <v>6=0.75</v>
      </c>
      <c r="M253">
        <f>計算表!M254</f>
        <v>0</v>
      </c>
      <c r="N253">
        <f>計算表!N254</f>
        <v>0</v>
      </c>
      <c r="O253">
        <f>計算表!O254</f>
        <v>0</v>
      </c>
      <c r="P253">
        <f>計算表!P254</f>
        <v>0</v>
      </c>
      <c r="Q253">
        <f>計算表!Q254</f>
        <v>0</v>
      </c>
      <c r="R253">
        <f>計算表!R254</f>
        <v>0</v>
      </c>
    </row>
    <row r="254" spans="1:18" x14ac:dyDescent="0.25">
      <c r="A254">
        <f>計算表!A255</f>
        <v>254</v>
      </c>
      <c r="B254">
        <f>計算表!B255</f>
        <v>0</v>
      </c>
      <c r="C254" t="str">
        <f>計算表!C255</f>
        <v>8-寶店刷出階級</v>
      </c>
      <c r="D254" t="str">
        <f>計算表!D255</f>
        <v>商店 Lv.12</v>
      </c>
      <c r="E254" t="str">
        <f>計算表!E255</f>
        <v>寶石階級=機率%（每顆獨立）</v>
      </c>
      <c r="F254" t="str">
        <f>計算表!F255</f>
        <v>格式「階級=機率%」，機率總和 100。</v>
      </c>
      <c r="G254" t="str">
        <f>計算表!G255</f>
        <v>1=53.5</v>
      </c>
      <c r="H254" t="str">
        <f>計算表!H255</f>
        <v>2=20</v>
      </c>
      <c r="I254" t="str">
        <f>計算表!I255</f>
        <v>3=12</v>
      </c>
      <c r="J254" t="str">
        <f>計算表!J255</f>
        <v>4=9</v>
      </c>
      <c r="K254" t="str">
        <f>計算表!K255</f>
        <v>5=4.5</v>
      </c>
      <c r="L254" t="str">
        <f>計算表!L255</f>
        <v>6=1</v>
      </c>
      <c r="M254">
        <f>計算表!M255</f>
        <v>0</v>
      </c>
      <c r="N254">
        <f>計算表!N255</f>
        <v>0</v>
      </c>
      <c r="O254">
        <f>計算表!O255</f>
        <v>0</v>
      </c>
      <c r="P254">
        <f>計算表!P255</f>
        <v>0</v>
      </c>
      <c r="Q254">
        <f>計算表!Q255</f>
        <v>0</v>
      </c>
      <c r="R254">
        <f>計算表!R255</f>
        <v>0</v>
      </c>
    </row>
    <row r="255" spans="1:18" x14ac:dyDescent="0.25">
      <c r="A255">
        <f>計算表!A256</f>
        <v>255</v>
      </c>
      <c r="B255">
        <f>計算表!B256</f>
        <v>0</v>
      </c>
      <c r="C255" t="str">
        <f>計算表!C256</f>
        <v>8-寶店刷出階級</v>
      </c>
      <c r="D255" t="str">
        <f>計算表!D256</f>
        <v>商店 Lv.13</v>
      </c>
      <c r="E255" t="str">
        <f>計算表!E256</f>
        <v>寶石階級=機率%（每顆獨立）</v>
      </c>
      <c r="F255" t="str">
        <f>計算表!F256</f>
        <v>格式「階級=機率%」，機率總和 100。</v>
      </c>
      <c r="G255" t="str">
        <f>計算表!G256</f>
        <v>1=53.25</v>
      </c>
      <c r="H255" t="str">
        <f>計算表!H256</f>
        <v>2=20</v>
      </c>
      <c r="I255" t="str">
        <f>計算表!I256</f>
        <v>3=12</v>
      </c>
      <c r="J255" t="str">
        <f>計算表!J256</f>
        <v>4=9</v>
      </c>
      <c r="K255" t="str">
        <f>計算表!K256</f>
        <v>5=4.5</v>
      </c>
      <c r="L255" t="str">
        <f>計算表!L256</f>
        <v>6=1.25</v>
      </c>
      <c r="M255">
        <f>計算表!M256</f>
        <v>0</v>
      </c>
      <c r="N255">
        <f>計算表!N256</f>
        <v>0</v>
      </c>
      <c r="O255">
        <f>計算表!O256</f>
        <v>0</v>
      </c>
      <c r="P255">
        <f>計算表!P256</f>
        <v>0</v>
      </c>
      <c r="Q255">
        <f>計算表!Q256</f>
        <v>0</v>
      </c>
      <c r="R255">
        <f>計算表!R256</f>
        <v>0</v>
      </c>
    </row>
    <row r="256" spans="1:18" x14ac:dyDescent="0.25">
      <c r="A256">
        <f>計算表!A257</f>
        <v>256</v>
      </c>
      <c r="B256">
        <f>計算表!B257</f>
        <v>0</v>
      </c>
      <c r="C256" t="str">
        <f>計算表!C257</f>
        <v>8-寶店刷出階級</v>
      </c>
      <c r="D256" t="str">
        <f>計算表!D257</f>
        <v>商店 Lv.14</v>
      </c>
      <c r="E256" t="str">
        <f>計算表!E257</f>
        <v>寶石階級=機率%（每顆獨立）</v>
      </c>
      <c r="F256" t="str">
        <f>計算表!F257</f>
        <v>格式「階級=機率%」，機率總和 100。</v>
      </c>
      <c r="G256" t="str">
        <f>計算表!G257</f>
        <v>1=53</v>
      </c>
      <c r="H256" t="str">
        <f>計算表!H257</f>
        <v>2=20</v>
      </c>
      <c r="I256" t="str">
        <f>計算表!I257</f>
        <v>3=12</v>
      </c>
      <c r="J256" t="str">
        <f>計算表!J257</f>
        <v>4=9</v>
      </c>
      <c r="K256" t="str">
        <f>計算表!K257</f>
        <v>5=4.5</v>
      </c>
      <c r="L256" t="str">
        <f>計算表!L257</f>
        <v>6=1.5</v>
      </c>
      <c r="M256">
        <f>計算表!M257</f>
        <v>0</v>
      </c>
      <c r="N256">
        <f>計算表!N257</f>
        <v>0</v>
      </c>
      <c r="O256">
        <f>計算表!O257</f>
        <v>0</v>
      </c>
      <c r="P256">
        <f>計算表!P257</f>
        <v>0</v>
      </c>
      <c r="Q256">
        <f>計算表!Q257</f>
        <v>0</v>
      </c>
      <c r="R256">
        <f>計算表!R257</f>
        <v>0</v>
      </c>
    </row>
    <row r="257" spans="1:18" x14ac:dyDescent="0.25">
      <c r="A257">
        <f>計算表!A258</f>
        <v>257</v>
      </c>
      <c r="B257">
        <f>計算表!B258</f>
        <v>0</v>
      </c>
      <c r="C257" t="str">
        <f>計算表!C258</f>
        <v>8-寶店刷出階級</v>
      </c>
      <c r="D257" t="str">
        <f>計算表!D258</f>
        <v>商店 Lv.15</v>
      </c>
      <c r="E257" t="str">
        <f>計算表!E258</f>
        <v>寶石階級=機率%（每顆獨立）</v>
      </c>
      <c r="F257" t="str">
        <f>計算表!F258</f>
        <v>格式「階級=機率%」，機率總和 100。</v>
      </c>
      <c r="G257" t="str">
        <f>計算表!G258</f>
        <v>1=51.5</v>
      </c>
      <c r="H257" t="str">
        <f>計算表!H258</f>
        <v>2=20</v>
      </c>
      <c r="I257" t="str">
        <f>計算表!I258</f>
        <v>3=12</v>
      </c>
      <c r="J257" t="str">
        <f>計算表!J258</f>
        <v>4=10</v>
      </c>
      <c r="K257" t="str">
        <f>計算表!K258</f>
        <v>5=5</v>
      </c>
      <c r="L257" t="str">
        <f>計算表!L258</f>
        <v>6=1</v>
      </c>
      <c r="M257" t="str">
        <f>計算表!M258</f>
        <v>7=0.5</v>
      </c>
      <c r="N257">
        <f>計算表!N258</f>
        <v>0</v>
      </c>
      <c r="O257">
        <f>計算表!O258</f>
        <v>0</v>
      </c>
      <c r="P257">
        <f>計算表!P258</f>
        <v>0</v>
      </c>
      <c r="Q257">
        <f>計算表!Q258</f>
        <v>0</v>
      </c>
      <c r="R257">
        <f>計算表!R258</f>
        <v>0</v>
      </c>
    </row>
    <row r="258" spans="1:18" x14ac:dyDescent="0.25">
      <c r="A258">
        <f>計算表!A259</f>
        <v>258</v>
      </c>
      <c r="B258">
        <f>計算表!B259</f>
        <v>0</v>
      </c>
      <c r="C258" t="str">
        <f>計算表!C259</f>
        <v>8-寶店刷出階級</v>
      </c>
      <c r="D258" t="str">
        <f>計算表!D259</f>
        <v>商店 Lv.16</v>
      </c>
      <c r="E258" t="str">
        <f>計算表!E259</f>
        <v>寶石階級=機率%（每顆獨立）</v>
      </c>
      <c r="F258" t="str">
        <f>計算表!F259</f>
        <v>格式「階級=機率%」，機率總和 100。</v>
      </c>
      <c r="G258" t="str">
        <f>計算表!G259</f>
        <v>1=50.75</v>
      </c>
      <c r="H258" t="str">
        <f>計算表!H259</f>
        <v>2=20</v>
      </c>
      <c r="I258" t="str">
        <f>計算表!I259</f>
        <v>3=12</v>
      </c>
      <c r="J258" t="str">
        <f>計算表!J259</f>
        <v>4=10</v>
      </c>
      <c r="K258" t="str">
        <f>計算表!K259</f>
        <v>5=5</v>
      </c>
      <c r="L258" t="str">
        <f>計算表!L259</f>
        <v>6=1.25</v>
      </c>
      <c r="M258" t="str">
        <f>計算表!M259</f>
        <v>7=1</v>
      </c>
      <c r="N258">
        <f>計算表!N259</f>
        <v>0</v>
      </c>
      <c r="O258">
        <f>計算表!O259</f>
        <v>0</v>
      </c>
      <c r="P258">
        <f>計算表!P259</f>
        <v>0</v>
      </c>
      <c r="Q258">
        <f>計算表!Q259</f>
        <v>0</v>
      </c>
      <c r="R258">
        <f>計算表!R259</f>
        <v>0</v>
      </c>
    </row>
    <row r="259" spans="1:18" x14ac:dyDescent="0.25">
      <c r="A259">
        <f>計算表!A260</f>
        <v>259</v>
      </c>
      <c r="B259">
        <f>計算表!B260</f>
        <v>0</v>
      </c>
      <c r="C259" t="str">
        <f>計算表!C260</f>
        <v>8-寶店刷出階級</v>
      </c>
      <c r="D259" t="str">
        <f>計算表!D260</f>
        <v>商店 Lv.17</v>
      </c>
      <c r="E259" t="str">
        <f>計算表!E260</f>
        <v>寶石階級=機率%（每顆獨立）</v>
      </c>
      <c r="F259" t="str">
        <f>計算表!F260</f>
        <v>格式「階級=機率%」，機率總和 100。</v>
      </c>
      <c r="G259" t="str">
        <f>計算表!G260</f>
        <v>1=50.5</v>
      </c>
      <c r="H259" t="str">
        <f>計算表!H260</f>
        <v>2=20</v>
      </c>
      <c r="I259" t="str">
        <f>計算表!I260</f>
        <v>3=12</v>
      </c>
      <c r="J259" t="str">
        <f>計算表!J260</f>
        <v>4=10</v>
      </c>
      <c r="K259" t="str">
        <f>計算表!K260</f>
        <v>5=5</v>
      </c>
      <c r="L259" t="str">
        <f>計算表!L260</f>
        <v>6=1.25</v>
      </c>
      <c r="M259" t="str">
        <f>計算表!M260</f>
        <v>7=1.25</v>
      </c>
      <c r="N259">
        <f>計算表!N260</f>
        <v>0</v>
      </c>
      <c r="O259">
        <f>計算表!O260</f>
        <v>0</v>
      </c>
      <c r="P259">
        <f>計算表!P260</f>
        <v>0</v>
      </c>
      <c r="Q259">
        <f>計算表!Q260</f>
        <v>0</v>
      </c>
      <c r="R259">
        <f>計算表!R260</f>
        <v>0</v>
      </c>
    </row>
    <row r="260" spans="1:18" x14ac:dyDescent="0.25">
      <c r="A260">
        <f>計算表!A261</f>
        <v>260</v>
      </c>
      <c r="B260">
        <f>計算表!B261</f>
        <v>0</v>
      </c>
      <c r="C260" t="str">
        <f>計算表!C261</f>
        <v>8-寶店刷出階級</v>
      </c>
      <c r="D260" t="str">
        <f>計算表!D261</f>
        <v>商店 Lv.18</v>
      </c>
      <c r="E260" t="str">
        <f>計算表!E261</f>
        <v>寶石階級=機率%（每顆獨立）</v>
      </c>
      <c r="F260" t="str">
        <f>計算表!F261</f>
        <v>格式「階級=機率%」，機率總和 100。</v>
      </c>
      <c r="G260" t="str">
        <f>計算表!G261</f>
        <v>1=50</v>
      </c>
      <c r="H260" t="str">
        <f>計算表!H261</f>
        <v>2=20</v>
      </c>
      <c r="I260" t="str">
        <f>計算表!I261</f>
        <v>3=12</v>
      </c>
      <c r="J260" t="str">
        <f>計算表!J261</f>
        <v>4=10</v>
      </c>
      <c r="K260" t="str">
        <f>計算表!K261</f>
        <v>5=5</v>
      </c>
      <c r="L260" t="str">
        <f>計算表!L261</f>
        <v>6=1.25</v>
      </c>
      <c r="M260" t="str">
        <f>計算表!M261</f>
        <v>7=1.25</v>
      </c>
      <c r="N260" t="str">
        <f>計算表!N261</f>
        <v>8=0.5</v>
      </c>
      <c r="O260">
        <f>計算表!O261</f>
        <v>0</v>
      </c>
      <c r="P260">
        <f>計算表!P261</f>
        <v>0</v>
      </c>
      <c r="Q260">
        <f>計算表!Q261</f>
        <v>0</v>
      </c>
      <c r="R260">
        <f>計算表!R261</f>
        <v>0</v>
      </c>
    </row>
    <row r="261" spans="1:18" x14ac:dyDescent="0.25">
      <c r="A261">
        <f>計算表!A262</f>
        <v>261</v>
      </c>
      <c r="B261">
        <f>計算表!B262</f>
        <v>0</v>
      </c>
      <c r="C261" t="str">
        <f>計算表!C262</f>
        <v>8-寶店刷出階級</v>
      </c>
      <c r="D261" t="str">
        <f>計算表!D262</f>
        <v>商店 Lv.19</v>
      </c>
      <c r="E261" t="str">
        <f>計算表!E262</f>
        <v>寶石階級=機率%（每顆獨立）</v>
      </c>
      <c r="F261" t="str">
        <f>計算表!F262</f>
        <v>格式「階級=機率%」，機率總和 100。</v>
      </c>
      <c r="G261" t="str">
        <f>計算表!G262</f>
        <v>1=49.65</v>
      </c>
      <c r="H261" t="str">
        <f>計算表!H262</f>
        <v>2=20</v>
      </c>
      <c r="I261" t="str">
        <f>計算表!I262</f>
        <v>3=12</v>
      </c>
      <c r="J261" t="str">
        <f>計算表!J262</f>
        <v>4=10</v>
      </c>
      <c r="K261" t="str">
        <f>計算表!K262</f>
        <v>5=5</v>
      </c>
      <c r="L261" t="str">
        <f>計算表!L262</f>
        <v>6=1.25</v>
      </c>
      <c r="M261" t="str">
        <f>計算表!M262</f>
        <v>7=1.25</v>
      </c>
      <c r="N261" t="str">
        <f>計算表!N262</f>
        <v>8=0.75</v>
      </c>
      <c r="O261" t="str">
        <f>計算表!O262</f>
        <v>9=0.1</v>
      </c>
      <c r="P261">
        <f>計算表!P262</f>
        <v>0</v>
      </c>
      <c r="Q261">
        <f>計算表!Q262</f>
        <v>0</v>
      </c>
      <c r="R261">
        <f>計算表!R262</f>
        <v>0</v>
      </c>
    </row>
    <row r="262" spans="1:18" x14ac:dyDescent="0.25">
      <c r="A262">
        <f>計算表!A263</f>
        <v>262</v>
      </c>
      <c r="B262">
        <f>計算表!B263</f>
        <v>0</v>
      </c>
      <c r="C262" t="str">
        <f>計算表!C263</f>
        <v>8-寶店刷出階級</v>
      </c>
      <c r="D262" t="str">
        <f>計算表!D263</f>
        <v>商店 Lv.20</v>
      </c>
      <c r="E262" t="str">
        <f>計算表!E263</f>
        <v>寶石階級=機率%（每顆獨立）</v>
      </c>
      <c r="F262" t="str">
        <f>計算表!F263</f>
        <v>格式「階級=機率%」，機率總和 100。</v>
      </c>
      <c r="G262" t="str">
        <f>計算表!G263</f>
        <v>1=48.9</v>
      </c>
      <c r="H262" t="str">
        <f>計算表!H263</f>
        <v>2=20</v>
      </c>
      <c r="I262" t="str">
        <f>計算表!I263</f>
        <v>3=12</v>
      </c>
      <c r="J262" t="str">
        <f>計算表!J263</f>
        <v>4=10</v>
      </c>
      <c r="K262" t="str">
        <f>計算表!K263</f>
        <v>5=5</v>
      </c>
      <c r="L262" t="str">
        <f>計算表!L263</f>
        <v>6=1.25</v>
      </c>
      <c r="M262" t="str">
        <f>計算表!M263</f>
        <v>7=1.25</v>
      </c>
      <c r="N262" t="str">
        <f>計算表!N263</f>
        <v>8=1</v>
      </c>
      <c r="O262" t="str">
        <f>計算表!O263</f>
        <v>9=0.5</v>
      </c>
      <c r="P262" t="str">
        <f>計算表!P263</f>
        <v>10=0.1</v>
      </c>
      <c r="Q262">
        <f>計算表!Q263</f>
        <v>0</v>
      </c>
      <c r="R262">
        <f>計算表!R263</f>
        <v>0</v>
      </c>
    </row>
    <row r="263" spans="1:18" x14ac:dyDescent="0.25">
      <c r="A263">
        <f>計算表!A264</f>
        <v>263</v>
      </c>
      <c r="B263">
        <f>計算表!B264</f>
        <v>0</v>
      </c>
      <c r="C263" t="str">
        <f>計算表!C264</f>
        <v>8-寶店刷出數量</v>
      </c>
      <c r="D263" t="str">
        <f>計算表!D264</f>
        <v>商店 Lv.1</v>
      </c>
      <c r="E263" t="str">
        <f>計算表!E264</f>
        <v>刷出數量=機率%（每格獨立）</v>
      </c>
      <c r="F263" t="str">
        <f>計算表!F264</f>
        <v>格式「刷出數量=機率%」，機率總和 100。</v>
      </c>
      <c r="G263" t="str">
        <f>計算表!G264</f>
        <v>5=50</v>
      </c>
      <c r="H263" t="str">
        <f>計算表!H264</f>
        <v>6=50</v>
      </c>
      <c r="I263">
        <f>計算表!I264</f>
        <v>0</v>
      </c>
      <c r="J263">
        <f>計算表!J264</f>
        <v>0</v>
      </c>
      <c r="K263">
        <f>計算表!K264</f>
        <v>0</v>
      </c>
      <c r="L263">
        <f>計算表!L264</f>
        <v>0</v>
      </c>
      <c r="M263">
        <f>計算表!M264</f>
        <v>0</v>
      </c>
      <c r="N263">
        <f>計算表!N264</f>
        <v>0</v>
      </c>
      <c r="O263">
        <f>計算表!O264</f>
        <v>0</v>
      </c>
      <c r="P263">
        <f>計算表!P264</f>
        <v>0</v>
      </c>
      <c r="Q263">
        <f>計算表!Q264</f>
        <v>0</v>
      </c>
      <c r="R263">
        <f>計算表!R264</f>
        <v>0</v>
      </c>
    </row>
    <row r="264" spans="1:18" x14ac:dyDescent="0.25">
      <c r="A264">
        <f>計算表!A265</f>
        <v>264</v>
      </c>
      <c r="B264">
        <f>計算表!B265</f>
        <v>0</v>
      </c>
      <c r="C264" t="str">
        <f>計算表!C265</f>
        <v>8-寶店刷出數量</v>
      </c>
      <c r="D264" t="str">
        <f>計算表!D265</f>
        <v>商店 Lv.2</v>
      </c>
      <c r="E264" t="str">
        <f>計算表!E265</f>
        <v>刷出數量=機率%（每格獨立）</v>
      </c>
      <c r="F264" t="str">
        <f>計算表!F265</f>
        <v>格式「刷出數量=機率%」，機率總和 100。</v>
      </c>
      <c r="G264" t="str">
        <f>計算表!G265</f>
        <v>5=50</v>
      </c>
      <c r="H264" t="str">
        <f>計算表!H265</f>
        <v>6=40</v>
      </c>
      <c r="I264" t="str">
        <f>計算表!I265</f>
        <v>7=10</v>
      </c>
      <c r="J264">
        <f>計算表!J265</f>
        <v>0</v>
      </c>
      <c r="K264">
        <f>計算表!K265</f>
        <v>0</v>
      </c>
      <c r="L264">
        <f>計算表!L265</f>
        <v>0</v>
      </c>
      <c r="M264">
        <f>計算表!M265</f>
        <v>0</v>
      </c>
      <c r="N264">
        <f>計算表!N265</f>
        <v>0</v>
      </c>
      <c r="O264">
        <f>計算表!O265</f>
        <v>0</v>
      </c>
      <c r="P264">
        <f>計算表!P265</f>
        <v>0</v>
      </c>
      <c r="Q264">
        <f>計算表!Q265</f>
        <v>0</v>
      </c>
      <c r="R264">
        <f>計算表!R265</f>
        <v>0</v>
      </c>
    </row>
    <row r="265" spans="1:18" x14ac:dyDescent="0.25">
      <c r="A265">
        <f>計算表!A266</f>
        <v>265</v>
      </c>
      <c r="B265">
        <f>計算表!B266</f>
        <v>0</v>
      </c>
      <c r="C265" t="str">
        <f>計算表!C266</f>
        <v>8-寶店刷出數量</v>
      </c>
      <c r="D265" t="str">
        <f>計算表!D266</f>
        <v>商店 Lv.3</v>
      </c>
      <c r="E265" t="str">
        <f>計算表!E266</f>
        <v>刷出數量=機率%（每格獨立）</v>
      </c>
      <c r="F265" t="str">
        <f>計算表!F266</f>
        <v>格式「刷出數量=機率%」，機率總和 100。</v>
      </c>
      <c r="G265" t="str">
        <f>計算表!G266</f>
        <v>5=50</v>
      </c>
      <c r="H265" t="str">
        <f>計算表!H266</f>
        <v>6=30</v>
      </c>
      <c r="I265" t="str">
        <f>計算表!I266</f>
        <v>7=10</v>
      </c>
      <c r="J265" t="str">
        <f>計算表!J266</f>
        <v>8=10</v>
      </c>
      <c r="K265">
        <f>計算表!K266</f>
        <v>0</v>
      </c>
      <c r="L265">
        <f>計算表!L266</f>
        <v>0</v>
      </c>
      <c r="M265">
        <f>計算表!M266</f>
        <v>0</v>
      </c>
      <c r="N265">
        <f>計算表!N266</f>
        <v>0</v>
      </c>
      <c r="O265">
        <f>計算表!O266</f>
        <v>0</v>
      </c>
      <c r="P265">
        <f>計算表!P266</f>
        <v>0</v>
      </c>
      <c r="Q265">
        <f>計算表!Q266</f>
        <v>0</v>
      </c>
      <c r="R265">
        <f>計算表!R266</f>
        <v>0</v>
      </c>
    </row>
    <row r="266" spans="1:18" x14ac:dyDescent="0.25">
      <c r="A266">
        <f>計算表!A267</f>
        <v>266</v>
      </c>
      <c r="B266">
        <f>計算表!B267</f>
        <v>0</v>
      </c>
      <c r="C266" t="str">
        <f>計算表!C267</f>
        <v>8-寶店刷出數量</v>
      </c>
      <c r="D266" t="str">
        <f>計算表!D267</f>
        <v>商店 Lv.4</v>
      </c>
      <c r="E266" t="str">
        <f>計算表!E267</f>
        <v>刷出數量=機率%（每格獨立）</v>
      </c>
      <c r="F266" t="str">
        <f>計算表!F267</f>
        <v>格式「刷出數量=機率%」，機率總和 100。</v>
      </c>
      <c r="G266" t="str">
        <f>計算表!G267</f>
        <v>5=45</v>
      </c>
      <c r="H266" t="str">
        <f>計算表!H267</f>
        <v>6=30</v>
      </c>
      <c r="I266" t="str">
        <f>計算表!I267</f>
        <v>7=15</v>
      </c>
      <c r="J266" t="str">
        <f>計算表!J267</f>
        <v>8=10</v>
      </c>
      <c r="K266">
        <f>計算表!K267</f>
        <v>0</v>
      </c>
      <c r="L266">
        <f>計算表!L267</f>
        <v>0</v>
      </c>
      <c r="M266">
        <f>計算表!M267</f>
        <v>0</v>
      </c>
      <c r="N266">
        <f>計算表!N267</f>
        <v>0</v>
      </c>
      <c r="O266">
        <f>計算表!O267</f>
        <v>0</v>
      </c>
      <c r="P266">
        <f>計算表!P267</f>
        <v>0</v>
      </c>
      <c r="Q266">
        <f>計算表!Q267</f>
        <v>0</v>
      </c>
      <c r="R266">
        <f>計算表!R267</f>
        <v>0</v>
      </c>
    </row>
    <row r="267" spans="1:18" x14ac:dyDescent="0.25">
      <c r="A267">
        <f>計算表!A268</f>
        <v>267</v>
      </c>
      <c r="B267">
        <f>計算表!B268</f>
        <v>0</v>
      </c>
      <c r="C267" t="str">
        <f>計算表!C268</f>
        <v>8-寶店刷出數量</v>
      </c>
      <c r="D267" t="str">
        <f>計算表!D268</f>
        <v>商店 Lv.5</v>
      </c>
      <c r="E267" t="str">
        <f>計算表!E268</f>
        <v>刷出數量=機率%（每格獨立）</v>
      </c>
      <c r="F267" t="str">
        <f>計算表!F268</f>
        <v>格式「刷出數量=機率%」，機率總和 100。</v>
      </c>
      <c r="G267" t="str">
        <f>計算表!G268</f>
        <v>5=40</v>
      </c>
      <c r="H267" t="str">
        <f>計算表!H268</f>
        <v>6=30</v>
      </c>
      <c r="I267" t="str">
        <f>計算表!I268</f>
        <v>7=15</v>
      </c>
      <c r="J267" t="str">
        <f>計算表!J268</f>
        <v>8=15</v>
      </c>
      <c r="K267">
        <f>計算表!K268</f>
        <v>0</v>
      </c>
      <c r="L267">
        <f>計算表!L268</f>
        <v>0</v>
      </c>
      <c r="M267">
        <f>計算表!M268</f>
        <v>0</v>
      </c>
      <c r="N267">
        <f>計算表!N268</f>
        <v>0</v>
      </c>
      <c r="O267">
        <f>計算表!O268</f>
        <v>0</v>
      </c>
      <c r="P267">
        <f>計算表!P268</f>
        <v>0</v>
      </c>
      <c r="Q267">
        <f>計算表!Q268</f>
        <v>0</v>
      </c>
      <c r="R267">
        <f>計算表!R268</f>
        <v>0</v>
      </c>
    </row>
    <row r="268" spans="1:18" x14ac:dyDescent="0.25">
      <c r="A268">
        <f>計算表!A269</f>
        <v>268</v>
      </c>
      <c r="B268">
        <f>計算表!B269</f>
        <v>0</v>
      </c>
      <c r="C268" t="str">
        <f>計算表!C269</f>
        <v>8-寶店刷出數量</v>
      </c>
      <c r="D268" t="str">
        <f>計算表!D269</f>
        <v>商店 Lv.6</v>
      </c>
      <c r="E268" t="str">
        <f>計算表!E269</f>
        <v>刷出數量=機率%（每格獨立）</v>
      </c>
      <c r="F268" t="str">
        <f>計算表!F269</f>
        <v>格式「刷出數量=機率%」，機率總和 100。</v>
      </c>
      <c r="G268" t="str">
        <f>計算表!G269</f>
        <v>5=35</v>
      </c>
      <c r="H268" t="str">
        <f>計算表!H269</f>
        <v>6=30</v>
      </c>
      <c r="I268" t="str">
        <f>計算表!I269</f>
        <v>7=15</v>
      </c>
      <c r="J268" t="str">
        <f>計算表!J269</f>
        <v>8=15</v>
      </c>
      <c r="K268" t="str">
        <f>計算表!K269</f>
        <v>9=5</v>
      </c>
      <c r="L268">
        <f>計算表!L269</f>
        <v>0</v>
      </c>
      <c r="M268">
        <f>計算表!M269</f>
        <v>0</v>
      </c>
      <c r="N268">
        <f>計算表!N269</f>
        <v>0</v>
      </c>
      <c r="O268">
        <f>計算表!O269</f>
        <v>0</v>
      </c>
      <c r="P268">
        <f>計算表!P269</f>
        <v>0</v>
      </c>
      <c r="Q268">
        <f>計算表!Q269</f>
        <v>0</v>
      </c>
      <c r="R268">
        <f>計算表!R269</f>
        <v>0</v>
      </c>
    </row>
    <row r="269" spans="1:18" x14ac:dyDescent="0.25">
      <c r="A269">
        <f>計算表!A270</f>
        <v>269</v>
      </c>
      <c r="B269">
        <f>計算表!B270</f>
        <v>0</v>
      </c>
      <c r="C269" t="str">
        <f>計算表!C270</f>
        <v>8-寶店刷出數量</v>
      </c>
      <c r="D269" t="str">
        <f>計算表!D270</f>
        <v>商店 Lv.7</v>
      </c>
      <c r="E269" t="str">
        <f>計算表!E270</f>
        <v>刷出數量=機率%（每格獨立）</v>
      </c>
      <c r="F269" t="str">
        <f>計算表!F270</f>
        <v>格式「刷出數量=機率%」，機率總和 100。</v>
      </c>
      <c r="G269" t="str">
        <f>計算表!G270</f>
        <v>6=35</v>
      </c>
      <c r="H269" t="str">
        <f>計算表!H270</f>
        <v>7=30</v>
      </c>
      <c r="I269" t="str">
        <f>計算表!I270</f>
        <v>8=15</v>
      </c>
      <c r="J269" t="str">
        <f>計算表!J270</f>
        <v>9=15</v>
      </c>
      <c r="K269" t="str">
        <f>計算表!K270</f>
        <v>10=5</v>
      </c>
      <c r="L269">
        <f>計算表!L270</f>
        <v>0</v>
      </c>
      <c r="M269">
        <f>計算表!M270</f>
        <v>0</v>
      </c>
      <c r="N269">
        <f>計算表!N270</f>
        <v>0</v>
      </c>
      <c r="O269">
        <f>計算表!O270</f>
        <v>0</v>
      </c>
      <c r="P269">
        <f>計算表!P270</f>
        <v>0</v>
      </c>
      <c r="Q269">
        <f>計算表!Q270</f>
        <v>0</v>
      </c>
      <c r="R269">
        <f>計算表!R270</f>
        <v>0</v>
      </c>
    </row>
    <row r="270" spans="1:18" x14ac:dyDescent="0.25">
      <c r="A270">
        <f>計算表!A271</f>
        <v>270</v>
      </c>
      <c r="B270">
        <f>計算表!B271</f>
        <v>0</v>
      </c>
      <c r="C270" t="str">
        <f>計算表!C271</f>
        <v>8-寶店刷出數量</v>
      </c>
      <c r="D270" t="str">
        <f>計算表!D271</f>
        <v>商店 Lv.8</v>
      </c>
      <c r="E270" t="str">
        <f>計算表!E271</f>
        <v>刷出數量=機率%（每格獨立）</v>
      </c>
      <c r="F270" t="str">
        <f>計算表!F271</f>
        <v>格式「刷出數量=機率%」，機率總和 100。</v>
      </c>
      <c r="G270" t="str">
        <f>計算表!G271</f>
        <v>6=30</v>
      </c>
      <c r="H270" t="str">
        <f>計算表!H271</f>
        <v>7=30</v>
      </c>
      <c r="I270" t="str">
        <f>計算表!I271</f>
        <v>8=15</v>
      </c>
      <c r="J270" t="str">
        <f>計算表!J271</f>
        <v>9=15</v>
      </c>
      <c r="K270" t="str">
        <f>計算表!K271</f>
        <v>10=10</v>
      </c>
      <c r="L270">
        <f>計算表!L271</f>
        <v>0</v>
      </c>
      <c r="M270">
        <f>計算表!M271</f>
        <v>0</v>
      </c>
      <c r="N270">
        <f>計算表!N271</f>
        <v>0</v>
      </c>
      <c r="O270">
        <f>計算表!O271</f>
        <v>0</v>
      </c>
      <c r="P270">
        <f>計算表!P271</f>
        <v>0</v>
      </c>
      <c r="Q270">
        <f>計算表!Q271</f>
        <v>0</v>
      </c>
      <c r="R270">
        <f>計算表!R271</f>
        <v>0</v>
      </c>
    </row>
    <row r="271" spans="1:18" x14ac:dyDescent="0.25">
      <c r="A271">
        <f>計算表!A272</f>
        <v>271</v>
      </c>
      <c r="B271">
        <f>計算表!B272</f>
        <v>0</v>
      </c>
      <c r="C271" t="str">
        <f>計算表!C272</f>
        <v>8-寶店刷出數量</v>
      </c>
      <c r="D271" t="str">
        <f>計算表!D272</f>
        <v>商店 Lv.9</v>
      </c>
      <c r="E271" t="str">
        <f>計算表!E272</f>
        <v>刷出數量=機率%（每格獨立）</v>
      </c>
      <c r="F271" t="str">
        <f>計算表!F272</f>
        <v>格式「刷出數量=機率%」，機率總和 100。</v>
      </c>
      <c r="G271" t="str">
        <f>計算表!G272</f>
        <v>7=30</v>
      </c>
      <c r="H271" t="str">
        <f>計算表!H272</f>
        <v>8=30</v>
      </c>
      <c r="I271" t="str">
        <f>計算表!I272</f>
        <v>9=15</v>
      </c>
      <c r="J271" t="str">
        <f>計算表!J272</f>
        <v>10=15</v>
      </c>
      <c r="K271" t="str">
        <f>計算表!K272</f>
        <v>11=10</v>
      </c>
      <c r="L271">
        <f>計算表!L272</f>
        <v>0</v>
      </c>
      <c r="M271">
        <f>計算表!M272</f>
        <v>0</v>
      </c>
      <c r="N271">
        <f>計算表!N272</f>
        <v>0</v>
      </c>
      <c r="O271">
        <f>計算表!O272</f>
        <v>0</v>
      </c>
      <c r="P271">
        <f>計算表!P272</f>
        <v>0</v>
      </c>
      <c r="Q271">
        <f>計算表!Q272</f>
        <v>0</v>
      </c>
      <c r="R271">
        <f>計算表!R272</f>
        <v>0</v>
      </c>
    </row>
    <row r="272" spans="1:18" x14ac:dyDescent="0.25">
      <c r="A272">
        <f>計算表!A273</f>
        <v>272</v>
      </c>
      <c r="B272">
        <f>計算表!B273</f>
        <v>0</v>
      </c>
      <c r="C272" t="str">
        <f>計算表!C273</f>
        <v>8-寶店刷出數量</v>
      </c>
      <c r="D272" t="str">
        <f>計算表!D273</f>
        <v>商店 Lv.10</v>
      </c>
      <c r="E272" t="str">
        <f>計算表!E273</f>
        <v>刷出數量=機率%（每格獨立）</v>
      </c>
      <c r="F272" t="str">
        <f>計算表!F273</f>
        <v>格式「刷出數量=機率%」，機率總和 100。</v>
      </c>
      <c r="G272" t="str">
        <f>計算表!G273</f>
        <v>8=30</v>
      </c>
      <c r="H272" t="str">
        <f>計算表!H273</f>
        <v>9=30</v>
      </c>
      <c r="I272" t="str">
        <f>計算表!I273</f>
        <v>10=15</v>
      </c>
      <c r="J272" t="str">
        <f>計算表!J273</f>
        <v>11=15</v>
      </c>
      <c r="K272" t="str">
        <f>計算表!K273</f>
        <v>12=10</v>
      </c>
      <c r="L272">
        <f>計算表!L273</f>
        <v>0</v>
      </c>
      <c r="M272">
        <f>計算表!M273</f>
        <v>0</v>
      </c>
      <c r="N272">
        <f>計算表!N273</f>
        <v>0</v>
      </c>
      <c r="O272">
        <f>計算表!O273</f>
        <v>0</v>
      </c>
      <c r="P272">
        <f>計算表!P273</f>
        <v>0</v>
      </c>
      <c r="Q272">
        <f>計算表!Q273</f>
        <v>0</v>
      </c>
      <c r="R272">
        <f>計算表!R273</f>
        <v>0</v>
      </c>
    </row>
    <row r="273" spans="1:18" x14ac:dyDescent="0.25">
      <c r="A273">
        <f>計算表!A274</f>
        <v>273</v>
      </c>
      <c r="B273">
        <f>計算表!B274</f>
        <v>0</v>
      </c>
      <c r="C273" t="str">
        <f>計算表!C274</f>
        <v>8-寶店刷出數量</v>
      </c>
      <c r="D273" t="str">
        <f>計算表!D274</f>
        <v>商店 Lv.11</v>
      </c>
      <c r="E273" t="str">
        <f>計算表!E274</f>
        <v>刷出數量=機率%（每格獨立）</v>
      </c>
      <c r="F273" t="str">
        <f>計算表!F274</f>
        <v>格式「刷出數量=機率%」，機率總和 100。</v>
      </c>
      <c r="G273" t="str">
        <f>計算表!G274</f>
        <v>9=30</v>
      </c>
      <c r="H273" t="str">
        <f>計算表!H274</f>
        <v>10=30</v>
      </c>
      <c r="I273" t="str">
        <f>計算表!I274</f>
        <v>11=15</v>
      </c>
      <c r="J273" t="str">
        <f>計算表!J274</f>
        <v>12=15</v>
      </c>
      <c r="K273" t="str">
        <f>計算表!K274</f>
        <v>13=10</v>
      </c>
      <c r="L273">
        <f>計算表!L274</f>
        <v>0</v>
      </c>
      <c r="M273">
        <f>計算表!M274</f>
        <v>0</v>
      </c>
      <c r="N273">
        <f>計算表!N274</f>
        <v>0</v>
      </c>
      <c r="O273">
        <f>計算表!O274</f>
        <v>0</v>
      </c>
      <c r="P273">
        <f>計算表!P274</f>
        <v>0</v>
      </c>
      <c r="Q273">
        <f>計算表!Q274</f>
        <v>0</v>
      </c>
      <c r="R273">
        <f>計算表!R274</f>
        <v>0</v>
      </c>
    </row>
    <row r="274" spans="1:18" x14ac:dyDescent="0.25">
      <c r="A274">
        <f>計算表!A275</f>
        <v>274</v>
      </c>
      <c r="B274">
        <f>計算表!B275</f>
        <v>0</v>
      </c>
      <c r="C274" t="str">
        <f>計算表!C275</f>
        <v>8-寶店刷出數量</v>
      </c>
      <c r="D274" t="str">
        <f>計算表!D275</f>
        <v>商店 Lv.12</v>
      </c>
      <c r="E274" t="str">
        <f>計算表!E275</f>
        <v>刷出數量=機率%（每格獨立）</v>
      </c>
      <c r="F274" t="str">
        <f>計算表!F275</f>
        <v>格式「刷出數量=機率%」，機率總和 100。</v>
      </c>
      <c r="G274" t="str">
        <f>計算表!G275</f>
        <v>10=30</v>
      </c>
      <c r="H274" t="str">
        <f>計算表!H275</f>
        <v>11=30</v>
      </c>
      <c r="I274" t="str">
        <f>計算表!I275</f>
        <v>12=15</v>
      </c>
      <c r="J274" t="str">
        <f>計算表!J275</f>
        <v>13=15</v>
      </c>
      <c r="K274" t="str">
        <f>計算表!K275</f>
        <v>14=10</v>
      </c>
      <c r="L274">
        <f>計算表!L275</f>
        <v>0</v>
      </c>
      <c r="M274">
        <f>計算表!M275</f>
        <v>0</v>
      </c>
      <c r="N274">
        <f>計算表!N275</f>
        <v>0</v>
      </c>
      <c r="O274">
        <f>計算表!O275</f>
        <v>0</v>
      </c>
      <c r="P274">
        <f>計算表!P275</f>
        <v>0</v>
      </c>
      <c r="Q274">
        <f>計算表!Q275</f>
        <v>0</v>
      </c>
      <c r="R274">
        <f>計算表!R275</f>
        <v>0</v>
      </c>
    </row>
    <row r="275" spans="1:18" x14ac:dyDescent="0.25">
      <c r="A275">
        <f>計算表!A276</f>
        <v>275</v>
      </c>
      <c r="B275">
        <f>計算表!B276</f>
        <v>0</v>
      </c>
      <c r="C275" t="str">
        <f>計算表!C276</f>
        <v>8-寶店刷出數量</v>
      </c>
      <c r="D275" t="str">
        <f>計算表!D276</f>
        <v>商店 Lv.13</v>
      </c>
      <c r="E275" t="str">
        <f>計算表!E276</f>
        <v>刷出數量=機率%（每格獨立）</v>
      </c>
      <c r="F275" t="str">
        <f>計算表!F276</f>
        <v>格式「刷出數量=機率%」，機率總和 100。</v>
      </c>
      <c r="G275" t="str">
        <f>計算表!G276</f>
        <v>11=30</v>
      </c>
      <c r="H275" t="str">
        <f>計算表!H276</f>
        <v>12=30</v>
      </c>
      <c r="I275" t="str">
        <f>計算表!I276</f>
        <v>13=15</v>
      </c>
      <c r="J275" t="str">
        <f>計算表!J276</f>
        <v>14=15</v>
      </c>
      <c r="K275" t="str">
        <f>計算表!K276</f>
        <v>15=10</v>
      </c>
      <c r="L275">
        <f>計算表!L276</f>
        <v>0</v>
      </c>
      <c r="M275">
        <f>計算表!M276</f>
        <v>0</v>
      </c>
      <c r="N275">
        <f>計算表!N276</f>
        <v>0</v>
      </c>
      <c r="O275">
        <f>計算表!O276</f>
        <v>0</v>
      </c>
      <c r="P275">
        <f>計算表!P276</f>
        <v>0</v>
      </c>
      <c r="Q275">
        <f>計算表!Q276</f>
        <v>0</v>
      </c>
      <c r="R275">
        <f>計算表!R276</f>
        <v>0</v>
      </c>
    </row>
    <row r="276" spans="1:18" x14ac:dyDescent="0.25">
      <c r="A276">
        <f>計算表!A277</f>
        <v>276</v>
      </c>
      <c r="B276">
        <f>計算表!B277</f>
        <v>0</v>
      </c>
      <c r="C276" t="str">
        <f>計算表!C277</f>
        <v>8-寶店刷出數量</v>
      </c>
      <c r="D276" t="str">
        <f>計算表!D277</f>
        <v>商店 Lv.14</v>
      </c>
      <c r="E276" t="str">
        <f>計算表!E277</f>
        <v>刷出數量=機率%（每格獨立）</v>
      </c>
      <c r="F276" t="str">
        <f>計算表!F277</f>
        <v>格式「刷出數量=機率%」，機率總和 100。</v>
      </c>
      <c r="G276" t="str">
        <f>計算表!G277</f>
        <v>12=30</v>
      </c>
      <c r="H276" t="str">
        <f>計算表!H277</f>
        <v>13=30</v>
      </c>
      <c r="I276" t="str">
        <f>計算表!I277</f>
        <v>14=15</v>
      </c>
      <c r="J276" t="str">
        <f>計算表!J277</f>
        <v>15=15</v>
      </c>
      <c r="K276" t="str">
        <f>計算表!K277</f>
        <v>16=10</v>
      </c>
      <c r="L276">
        <f>計算表!L277</f>
        <v>0</v>
      </c>
      <c r="M276">
        <f>計算表!M277</f>
        <v>0</v>
      </c>
      <c r="N276">
        <f>計算表!N277</f>
        <v>0</v>
      </c>
      <c r="O276">
        <f>計算表!O277</f>
        <v>0</v>
      </c>
      <c r="P276">
        <f>計算表!P277</f>
        <v>0</v>
      </c>
      <c r="Q276">
        <f>計算表!Q277</f>
        <v>0</v>
      </c>
      <c r="R276">
        <f>計算表!R277</f>
        <v>0</v>
      </c>
    </row>
    <row r="277" spans="1:18" x14ac:dyDescent="0.25">
      <c r="A277">
        <f>計算表!A278</f>
        <v>277</v>
      </c>
      <c r="B277">
        <f>計算表!B278</f>
        <v>0</v>
      </c>
      <c r="C277" t="str">
        <f>計算表!C278</f>
        <v>8-寶店刷出數量</v>
      </c>
      <c r="D277" t="str">
        <f>計算表!D278</f>
        <v>商店 Lv.15</v>
      </c>
      <c r="E277" t="str">
        <f>計算表!E278</f>
        <v>刷出數量=機率%（每格獨立）</v>
      </c>
      <c r="F277" t="str">
        <f>計算表!F278</f>
        <v>格式「刷出數量=機率%」，機率總和 100。</v>
      </c>
      <c r="G277" t="str">
        <f>計算表!G278</f>
        <v>13=30</v>
      </c>
      <c r="H277" t="str">
        <f>計算表!H278</f>
        <v>14=30</v>
      </c>
      <c r="I277" t="str">
        <f>計算表!I278</f>
        <v>15=15</v>
      </c>
      <c r="J277" t="str">
        <f>計算表!J278</f>
        <v>16=15</v>
      </c>
      <c r="K277" t="str">
        <f>計算表!K278</f>
        <v>17=10</v>
      </c>
      <c r="L277">
        <f>計算表!L278</f>
        <v>0</v>
      </c>
      <c r="M277">
        <f>計算表!M278</f>
        <v>0</v>
      </c>
      <c r="N277">
        <f>計算表!N278</f>
        <v>0</v>
      </c>
      <c r="O277">
        <f>計算表!O278</f>
        <v>0</v>
      </c>
      <c r="P277">
        <f>計算表!P278</f>
        <v>0</v>
      </c>
      <c r="Q277">
        <f>計算表!Q278</f>
        <v>0</v>
      </c>
      <c r="R277">
        <f>計算表!R278</f>
        <v>0</v>
      </c>
    </row>
    <row r="278" spans="1:18" x14ac:dyDescent="0.25">
      <c r="A278">
        <f>計算表!A279</f>
        <v>278</v>
      </c>
      <c r="B278">
        <f>計算表!B279</f>
        <v>0</v>
      </c>
      <c r="C278" t="str">
        <f>計算表!C279</f>
        <v>8-寶店刷出數量</v>
      </c>
      <c r="D278" t="str">
        <f>計算表!D279</f>
        <v>商店 Lv.16</v>
      </c>
      <c r="E278" t="str">
        <f>計算表!E279</f>
        <v>刷出數量=機率%（每格獨立）</v>
      </c>
      <c r="F278" t="str">
        <f>計算表!F279</f>
        <v>格式「刷出數量=機率%」，機率總和 100。</v>
      </c>
      <c r="G278" t="str">
        <f>計算表!G279</f>
        <v>14=30</v>
      </c>
      <c r="H278" t="str">
        <f>計算表!H279</f>
        <v>15=30</v>
      </c>
      <c r="I278" t="str">
        <f>計算表!I279</f>
        <v>16=15</v>
      </c>
      <c r="J278" t="str">
        <f>計算表!J279</f>
        <v>17=15</v>
      </c>
      <c r="K278" t="str">
        <f>計算表!K279</f>
        <v>18=10</v>
      </c>
      <c r="L278">
        <f>計算表!L279</f>
        <v>0</v>
      </c>
      <c r="M278">
        <f>計算表!M279</f>
        <v>0</v>
      </c>
      <c r="N278">
        <f>計算表!N279</f>
        <v>0</v>
      </c>
      <c r="O278">
        <f>計算表!O279</f>
        <v>0</v>
      </c>
      <c r="P278">
        <f>計算表!P279</f>
        <v>0</v>
      </c>
      <c r="Q278">
        <f>計算表!Q279</f>
        <v>0</v>
      </c>
      <c r="R278">
        <f>計算表!R279</f>
        <v>0</v>
      </c>
    </row>
    <row r="279" spans="1:18" x14ac:dyDescent="0.25">
      <c r="A279">
        <f>計算表!A280</f>
        <v>279</v>
      </c>
      <c r="B279">
        <f>計算表!B280</f>
        <v>0</v>
      </c>
      <c r="C279" t="str">
        <f>計算表!C280</f>
        <v>8-寶店刷出數量</v>
      </c>
      <c r="D279" t="str">
        <f>計算表!D280</f>
        <v>商店 Lv.17</v>
      </c>
      <c r="E279" t="str">
        <f>計算表!E280</f>
        <v>刷出數量=機率%（每格獨立）</v>
      </c>
      <c r="F279" t="str">
        <f>計算表!F280</f>
        <v>格式「刷出數量=機率%」，機率總和 100。</v>
      </c>
      <c r="G279" t="str">
        <f>計算表!G280</f>
        <v>15=30</v>
      </c>
      <c r="H279" t="str">
        <f>計算表!H280</f>
        <v>16=30</v>
      </c>
      <c r="I279" t="str">
        <f>計算表!I280</f>
        <v>17=15</v>
      </c>
      <c r="J279" t="str">
        <f>計算表!J280</f>
        <v>18=15</v>
      </c>
      <c r="K279" t="str">
        <f>計算表!K280</f>
        <v>19=10</v>
      </c>
      <c r="L279">
        <f>計算表!L280</f>
        <v>0</v>
      </c>
      <c r="M279">
        <f>計算表!M280</f>
        <v>0</v>
      </c>
      <c r="N279">
        <f>計算表!N280</f>
        <v>0</v>
      </c>
      <c r="O279">
        <f>計算表!O280</f>
        <v>0</v>
      </c>
      <c r="P279">
        <f>計算表!P280</f>
        <v>0</v>
      </c>
      <c r="Q279">
        <f>計算表!Q280</f>
        <v>0</v>
      </c>
      <c r="R279">
        <f>計算表!R280</f>
        <v>0</v>
      </c>
    </row>
    <row r="280" spans="1:18" x14ac:dyDescent="0.25">
      <c r="A280">
        <f>計算表!A281</f>
        <v>280</v>
      </c>
      <c r="B280">
        <f>計算表!B281</f>
        <v>0</v>
      </c>
      <c r="C280" t="str">
        <f>計算表!C281</f>
        <v>8-寶店刷出數量</v>
      </c>
      <c r="D280" t="str">
        <f>計算表!D281</f>
        <v>商店 Lv.18</v>
      </c>
      <c r="E280" t="str">
        <f>計算表!E281</f>
        <v>刷出數量=機率%（每格獨立）</v>
      </c>
      <c r="F280" t="str">
        <f>計算表!F281</f>
        <v>格式「刷出數量=機率%」，機率總和 100。</v>
      </c>
      <c r="G280" t="str">
        <f>計算表!G281</f>
        <v>15=10</v>
      </c>
      <c r="H280" t="str">
        <f>計算表!H281</f>
        <v>16=20</v>
      </c>
      <c r="I280" t="str">
        <f>計算表!I281</f>
        <v>17=30</v>
      </c>
      <c r="J280" t="str">
        <f>計算表!J281</f>
        <v>18=15</v>
      </c>
      <c r="K280" t="str">
        <f>計算表!K281</f>
        <v>19=15</v>
      </c>
      <c r="L280" t="str">
        <f>計算表!L281</f>
        <v>20=10</v>
      </c>
      <c r="M280">
        <f>計算表!M281</f>
        <v>0</v>
      </c>
      <c r="N280">
        <f>計算表!N281</f>
        <v>0</v>
      </c>
      <c r="O280">
        <f>計算表!O281</f>
        <v>0</v>
      </c>
      <c r="P280">
        <f>計算表!P281</f>
        <v>0</v>
      </c>
      <c r="Q280">
        <f>計算表!Q281</f>
        <v>0</v>
      </c>
      <c r="R280">
        <f>計算表!R281</f>
        <v>0</v>
      </c>
    </row>
    <row r="281" spans="1:18" x14ac:dyDescent="0.25">
      <c r="A281">
        <f>計算表!A282</f>
        <v>281</v>
      </c>
      <c r="B281">
        <f>計算表!B282</f>
        <v>0</v>
      </c>
      <c r="C281" t="str">
        <f>計算表!C282</f>
        <v>8-寶店刷出數量</v>
      </c>
      <c r="D281" t="str">
        <f>計算表!D282</f>
        <v>商店 Lv.19</v>
      </c>
      <c r="E281" t="str">
        <f>計算表!E282</f>
        <v>刷出數量=機率%（每格獨立）</v>
      </c>
      <c r="F281" t="str">
        <f>計算表!F282</f>
        <v>格式「刷出數量=機率%」，機率總和 100。</v>
      </c>
      <c r="G281" t="str">
        <f>計算表!G282</f>
        <v>15=10</v>
      </c>
      <c r="H281" t="str">
        <f>計算表!H282</f>
        <v>16=20</v>
      </c>
      <c r="I281" t="str">
        <f>計算表!I282</f>
        <v>17=30</v>
      </c>
      <c r="J281" t="str">
        <f>計算表!J282</f>
        <v>18=15</v>
      </c>
      <c r="K281" t="str">
        <f>計算表!K282</f>
        <v>19=15</v>
      </c>
      <c r="L281" t="str">
        <f>計算表!L282</f>
        <v>20=10</v>
      </c>
      <c r="M281">
        <f>計算表!M282</f>
        <v>0</v>
      </c>
      <c r="N281">
        <f>計算表!N282</f>
        <v>0</v>
      </c>
      <c r="O281">
        <f>計算表!O282</f>
        <v>0</v>
      </c>
      <c r="P281">
        <f>計算表!P282</f>
        <v>0</v>
      </c>
      <c r="Q281">
        <f>計算表!Q282</f>
        <v>0</v>
      </c>
      <c r="R281">
        <f>計算表!R282</f>
        <v>0</v>
      </c>
    </row>
    <row r="282" spans="1:18" x14ac:dyDescent="0.25">
      <c r="A282">
        <f>計算表!A283</f>
        <v>282</v>
      </c>
      <c r="B282">
        <f>計算表!B283</f>
        <v>0</v>
      </c>
      <c r="C282" t="str">
        <f>計算表!C283</f>
        <v>8-寶店刷出數量</v>
      </c>
      <c r="D282" t="str">
        <f>計算表!D283</f>
        <v>商店 Lv.20</v>
      </c>
      <c r="E282" t="str">
        <f>計算表!E283</f>
        <v>刷出數量=機率%（每格獨立）</v>
      </c>
      <c r="F282" t="str">
        <f>計算表!F283</f>
        <v>格式「刷出數量=機率%」，機率總和 100。</v>
      </c>
      <c r="G282" t="str">
        <f>計算表!G283</f>
        <v>15=10</v>
      </c>
      <c r="H282" t="str">
        <f>計算表!H283</f>
        <v>16=20</v>
      </c>
      <c r="I282" t="str">
        <f>計算表!I283</f>
        <v>17=30</v>
      </c>
      <c r="J282" t="str">
        <f>計算表!J283</f>
        <v>18=15</v>
      </c>
      <c r="K282" t="str">
        <f>計算表!K283</f>
        <v>19=15</v>
      </c>
      <c r="L282" t="str">
        <f>計算表!L283</f>
        <v>20=10</v>
      </c>
      <c r="M282">
        <f>計算表!M283</f>
        <v>0</v>
      </c>
      <c r="N282">
        <f>計算表!N283</f>
        <v>0</v>
      </c>
      <c r="O282">
        <f>計算表!O283</f>
        <v>0</v>
      </c>
      <c r="P282">
        <f>計算表!P283</f>
        <v>0</v>
      </c>
      <c r="Q282">
        <f>計算表!Q283</f>
        <v>0</v>
      </c>
      <c r="R282">
        <f>計算表!R283</f>
        <v>0</v>
      </c>
    </row>
    <row r="283" spans="1:18" x14ac:dyDescent="0.25">
      <c r="A283">
        <f>計算表!A287</f>
        <v>286</v>
      </c>
      <c r="B283">
        <f>計算表!B287</f>
        <v>0</v>
      </c>
      <c r="C283" t="str">
        <f>計算表!C287</f>
        <v>9-技能</v>
      </c>
      <c r="D283" t="str">
        <f>計算表!D287</f>
        <v>實際冷卻</v>
      </c>
      <c r="E283" t="str">
        <f>計算表!E287</f>
        <v>技能冷卻 × (1 - 冷卻縮減%)</v>
      </c>
      <c r="F283" t="str">
        <f>計算表!F287</f>
        <v>規則寫死：技能CD×(1-冷卻縮減%)。</v>
      </c>
      <c r="G283">
        <f>計算表!G287</f>
        <v>0</v>
      </c>
      <c r="H283">
        <f>計算表!H287</f>
        <v>0</v>
      </c>
      <c r="I283">
        <f>計算表!I287</f>
        <v>0</v>
      </c>
      <c r="J283">
        <f>計算表!J287</f>
        <v>0</v>
      </c>
      <c r="K283">
        <f>計算表!K287</f>
        <v>0</v>
      </c>
      <c r="L283">
        <f>計算表!L287</f>
        <v>0</v>
      </c>
      <c r="M283">
        <f>計算表!M287</f>
        <v>0</v>
      </c>
      <c r="N283">
        <f>計算表!N287</f>
        <v>0</v>
      </c>
      <c r="O283">
        <f>計算表!O287</f>
        <v>0</v>
      </c>
      <c r="P283">
        <f>計算表!P287</f>
        <v>0</v>
      </c>
      <c r="Q283">
        <f>計算表!Q287</f>
        <v>0</v>
      </c>
      <c r="R283">
        <f>計算表!R287</f>
        <v>0</v>
      </c>
    </row>
    <row r="284" spans="1:18" x14ac:dyDescent="0.25">
      <c r="A284">
        <f>計算表!A288</f>
        <v>287</v>
      </c>
      <c r="B284">
        <f>計算表!B288</f>
        <v>0</v>
      </c>
      <c r="C284" t="str">
        <f>計算表!C288</f>
        <v>9-技能</v>
      </c>
      <c r="D284" t="str">
        <f>計算表!D288</f>
        <v>施放硬直</v>
      </c>
      <c r="E284" t="str">
        <f>計算表!E288</f>
        <v>0 秒</v>
      </c>
      <c r="F284" t="str">
        <f>計算表!F288</f>
        <v>普攻與技能並行；技能施放間隔由技能共用冷卻（GCD）控制。</v>
      </c>
      <c r="G284">
        <f>計算表!G288</f>
        <v>0.2</v>
      </c>
      <c r="H284">
        <f>計算表!H288</f>
        <v>0</v>
      </c>
      <c r="I284">
        <f>計算表!I288</f>
        <v>0</v>
      </c>
      <c r="J284">
        <f>計算表!J288</f>
        <v>0</v>
      </c>
      <c r="K284">
        <f>計算表!K288</f>
        <v>0</v>
      </c>
      <c r="L284">
        <f>計算表!L288</f>
        <v>0</v>
      </c>
      <c r="M284">
        <f>計算表!M288</f>
        <v>0</v>
      </c>
      <c r="N284">
        <f>計算表!N288</f>
        <v>0</v>
      </c>
      <c r="O284">
        <f>計算表!O288</f>
        <v>0</v>
      </c>
      <c r="P284">
        <f>計算表!P288</f>
        <v>0</v>
      </c>
      <c r="Q284">
        <f>計算表!Q288</f>
        <v>0</v>
      </c>
      <c r="R284">
        <f>計算表!R288</f>
        <v>0</v>
      </c>
    </row>
    <row r="285" spans="1:18" x14ac:dyDescent="0.25">
      <c r="A285">
        <f>計算表!A289</f>
        <v>288</v>
      </c>
      <c r="B285">
        <f>計算表!B289</f>
        <v>0</v>
      </c>
      <c r="C285" t="str">
        <f>計算表!C289</f>
        <v>9-技能</v>
      </c>
      <c r="D285" t="str">
        <f>計算表!D289</f>
        <v>技能施放最短間隔</v>
      </c>
      <c r="E285" t="str">
        <f>計算表!E289</f>
        <v>a 秒（固定，不受冷卻縮減影響）</v>
      </c>
      <c r="F285" t="str">
        <f>計算表!F289</f>
        <v>技能最短施放間隔；普攻擊殺後換目標也沿用此間隔。</v>
      </c>
      <c r="G285">
        <f>計算表!G289</f>
        <v>0.5</v>
      </c>
      <c r="H285">
        <f>計算表!H289</f>
        <v>0</v>
      </c>
      <c r="I285">
        <f>計算表!I289</f>
        <v>0</v>
      </c>
      <c r="J285">
        <f>計算表!J289</f>
        <v>0</v>
      </c>
      <c r="K285">
        <f>計算表!K289</f>
        <v>0</v>
      </c>
      <c r="L285">
        <f>計算表!L289</f>
        <v>0</v>
      </c>
      <c r="M285">
        <f>計算表!M289</f>
        <v>0</v>
      </c>
      <c r="N285">
        <f>計算表!N289</f>
        <v>0</v>
      </c>
      <c r="O285">
        <f>計算表!O289</f>
        <v>0</v>
      </c>
      <c r="P285">
        <f>計算表!P289</f>
        <v>0</v>
      </c>
      <c r="Q285">
        <f>計算表!Q289</f>
        <v>0</v>
      </c>
      <c r="R285">
        <f>計算表!R289</f>
        <v>0</v>
      </c>
    </row>
    <row r="286" spans="1:18" x14ac:dyDescent="0.25">
      <c r="A286">
        <f>計算表!A290</f>
        <v>289</v>
      </c>
      <c r="B286">
        <f>計算表!B290</f>
        <v>0</v>
      </c>
      <c r="C286" t="str">
        <f>計算表!C290</f>
        <v>9-技能</v>
      </c>
      <c r="D286" t="str">
        <f>計算表!D290</f>
        <v>升級費用</v>
      </c>
      <c r="E286" t="str">
        <f>計算表!E290</f>
        <v>a×當前等級 + b^(1 + 當前等級/c)</v>
      </c>
      <c r="F286" t="str">
        <f>計算表!F290</f>
        <v>上限 5,000,000；降級全額退還。</v>
      </c>
      <c r="G286">
        <f>計算表!G290</f>
        <v>1000</v>
      </c>
      <c r="H286">
        <f>計算表!H290</f>
        <v>20</v>
      </c>
      <c r="I286">
        <f>計算表!I290</f>
        <v>10</v>
      </c>
      <c r="J286">
        <f>計算表!J290</f>
        <v>0</v>
      </c>
      <c r="K286">
        <f>計算表!K290</f>
        <v>0</v>
      </c>
      <c r="L286">
        <f>計算表!L290</f>
        <v>0</v>
      </c>
      <c r="M286">
        <f>計算表!M290</f>
        <v>0</v>
      </c>
      <c r="N286">
        <f>計算表!N290</f>
        <v>0</v>
      </c>
      <c r="O286">
        <f>計算表!O290</f>
        <v>0</v>
      </c>
      <c r="P286">
        <f>計算表!P290</f>
        <v>0</v>
      </c>
      <c r="Q286">
        <f>計算表!Q290</f>
        <v>0</v>
      </c>
      <c r="R286">
        <f>計算表!R290</f>
        <v>0</v>
      </c>
    </row>
    <row r="287" spans="1:18" x14ac:dyDescent="0.25">
      <c r="A287">
        <f>計算表!A291</f>
        <v>290</v>
      </c>
      <c r="B287">
        <f>計算表!B291</f>
        <v>0</v>
      </c>
      <c r="C287" t="str">
        <f>計算表!C291</f>
        <v>9-技能</v>
      </c>
      <c r="D287" t="str">
        <f>計算表!D291</f>
        <v>等級上限</v>
      </c>
      <c r="E287" s="7" t="s">
        <v>1069</v>
      </c>
      <c r="F287" s="7" t="s">
        <v>1070</v>
      </c>
      <c r="G287">
        <f>計算表!G291</f>
        <v>0</v>
      </c>
      <c r="H287">
        <f>計算表!H291</f>
        <v>0</v>
      </c>
      <c r="I287">
        <f>計算表!I291</f>
        <v>0</v>
      </c>
      <c r="J287">
        <f>計算表!J291</f>
        <v>0</v>
      </c>
      <c r="K287">
        <f>計算表!K291</f>
        <v>0</v>
      </c>
      <c r="L287">
        <f>計算表!L291</f>
        <v>0</v>
      </c>
      <c r="M287">
        <f>計算表!M291</f>
        <v>0</v>
      </c>
      <c r="N287">
        <f>計算表!N291</f>
        <v>0</v>
      </c>
      <c r="O287">
        <f>計算表!O291</f>
        <v>0</v>
      </c>
      <c r="P287">
        <f>計算表!P291</f>
        <v>0</v>
      </c>
      <c r="Q287">
        <f>計算表!Q291</f>
        <v>0</v>
      </c>
      <c r="R287">
        <f>計算表!R291</f>
        <v>0</v>
      </c>
    </row>
    <row r="288" spans="1:18" x14ac:dyDescent="0.25">
      <c r="A288">
        <f>計算表!A304</f>
        <v>303</v>
      </c>
      <c r="B288">
        <f>計算表!B304</f>
        <v>0</v>
      </c>
      <c r="C288" t="str">
        <f>計算表!C304</f>
        <v>表-自動機組零件</v>
      </c>
      <c r="D288" t="str">
        <f>計算表!D304</f>
        <v>加速齒輪</v>
      </c>
      <c r="E288" t="str">
        <f>計算表!E304</f>
        <v>效果值 = a + b × (等級-1)</v>
      </c>
      <c r="F288" t="str">
        <f>計算表!F304</f>
        <v>a=基礎值 b=每級增加值；節點為 salvage。分解速度另固定+50個百分點。</v>
      </c>
      <c r="G288">
        <f>計算表!G304</f>
        <v>25</v>
      </c>
      <c r="H288">
        <f>計算表!H304</f>
        <v>25</v>
      </c>
      <c r="I288" t="str">
        <f>計算表!I304</f>
        <v>salvage</v>
      </c>
      <c r="J288">
        <f>計算表!J304</f>
        <v>0</v>
      </c>
      <c r="K288">
        <f>計算表!K304</f>
        <v>0</v>
      </c>
      <c r="L288">
        <f>計算表!L304</f>
        <v>0</v>
      </c>
      <c r="M288">
        <f>計算表!M304</f>
        <v>0</v>
      </c>
      <c r="N288">
        <f>計算表!N304</f>
        <v>0</v>
      </c>
      <c r="O288">
        <f>計算表!O304</f>
        <v>0</v>
      </c>
      <c r="P288">
        <f>計算表!P304</f>
        <v>0</v>
      </c>
      <c r="Q288">
        <f>計算表!Q304</f>
        <v>0</v>
      </c>
      <c r="R288">
        <f>計算表!R304</f>
        <v>0</v>
      </c>
    </row>
    <row r="289" spans="1:18" x14ac:dyDescent="0.25">
      <c r="A289">
        <f>計算表!A305</f>
        <v>304</v>
      </c>
      <c r="B289">
        <f>計算表!B305</f>
        <v>0</v>
      </c>
      <c r="C289" t="str">
        <f>計算表!C305</f>
        <v>表-自動機組零件</v>
      </c>
      <c r="D289" t="str">
        <f>計算表!D305</f>
        <v>碎片熔煉爐</v>
      </c>
      <c r="E289" t="str">
        <f>計算表!E305</f>
        <v>效果值 = a + b × (等級-1)</v>
      </c>
      <c r="F289" t="str">
        <f>計算表!F305</f>
        <v>a=基礎值 b=每級增加值；節點為 salvage。分解碎片產量加成。</v>
      </c>
      <c r="G289">
        <f>計算表!G305</f>
        <v>20</v>
      </c>
      <c r="H289">
        <f>計算表!H305</f>
        <v>20</v>
      </c>
      <c r="I289" t="str">
        <f>計算表!I305</f>
        <v>salvage</v>
      </c>
      <c r="J289">
        <f>計算表!J305</f>
        <v>0</v>
      </c>
      <c r="K289">
        <f>計算表!K305</f>
        <v>0</v>
      </c>
      <c r="L289">
        <f>計算表!L305</f>
        <v>0</v>
      </c>
      <c r="M289">
        <f>計算表!M305</f>
        <v>0</v>
      </c>
      <c r="N289">
        <f>計算表!N305</f>
        <v>0</v>
      </c>
      <c r="O289">
        <f>計算表!O305</f>
        <v>0</v>
      </c>
      <c r="P289">
        <f>計算表!P305</f>
        <v>0</v>
      </c>
      <c r="Q289">
        <f>計算表!Q305</f>
        <v>0</v>
      </c>
      <c r="R289">
        <f>計算表!R305</f>
        <v>0</v>
      </c>
    </row>
    <row r="290" spans="1:18" x14ac:dyDescent="0.25">
      <c r="A290">
        <f>計算表!A306</f>
        <v>305</v>
      </c>
      <c r="B290">
        <f>計算表!B306</f>
        <v>0</v>
      </c>
      <c r="C290" t="str">
        <f>計算表!C306</f>
        <v>表-自動機組零件</v>
      </c>
      <c r="D290" t="str">
        <f>計算表!D306</f>
        <v>淘金濾網</v>
      </c>
      <c r="E290" t="str">
        <f>計算表!E306</f>
        <v>效果值 = a + b × (等級-1)</v>
      </c>
      <c r="F290" t="str">
        <f>計算表!F306</f>
        <v>a=基礎值 b=每級增加值；分解時獲得當前關卡敵人金幣的 a%。</v>
      </c>
      <c r="G290">
        <f>計算表!G306</f>
        <v>3</v>
      </c>
      <c r="H290">
        <f>計算表!H306</f>
        <v>1.5</v>
      </c>
      <c r="I290" t="str">
        <f>計算表!I306</f>
        <v>salvage</v>
      </c>
      <c r="J290">
        <f>計算表!J306</f>
        <v>0</v>
      </c>
      <c r="K290">
        <f>計算表!K306</f>
        <v>0</v>
      </c>
      <c r="L290">
        <f>計算表!L306</f>
        <v>0</v>
      </c>
      <c r="M290">
        <f>計算表!M306</f>
        <v>0</v>
      </c>
      <c r="N290">
        <f>計算表!N306</f>
        <v>0</v>
      </c>
      <c r="O290">
        <f>計算表!O306</f>
        <v>0</v>
      </c>
      <c r="P290">
        <f>計算表!P306</f>
        <v>0</v>
      </c>
      <c r="Q290">
        <f>計算表!Q306</f>
        <v>0</v>
      </c>
      <c r="R290">
        <f>計算表!R306</f>
        <v>0</v>
      </c>
    </row>
    <row r="291" spans="1:18" x14ac:dyDescent="0.25">
      <c r="A291">
        <f>計算表!A307</f>
        <v>306</v>
      </c>
      <c r="B291">
        <f>計算表!B307</f>
        <v>0</v>
      </c>
      <c r="C291" t="str">
        <f>計算表!C307</f>
        <v>表-自動機組零件</v>
      </c>
      <c r="D291" t="str">
        <f>計算表!D307</f>
        <v>精粹透鏡</v>
      </c>
      <c r="E291" t="str">
        <f>計算表!E307</f>
        <v>效果值 = a + b × (等級-1)</v>
      </c>
      <c r="F291" t="str">
        <f>計算表!F307</f>
        <v>a=基礎值 b=每級增加值；節點為 salvage。附魔精華拆解產出率加成。</v>
      </c>
      <c r="G291">
        <f>計算表!G307</f>
        <v>20</v>
      </c>
      <c r="H291">
        <f>計算表!H307</f>
        <v>20</v>
      </c>
      <c r="I291" t="str">
        <f>計算表!I307</f>
        <v>salvage</v>
      </c>
      <c r="J291">
        <f>計算表!J307</f>
        <v>0</v>
      </c>
      <c r="K291">
        <f>計算表!K307</f>
        <v>0</v>
      </c>
      <c r="L291">
        <f>計算表!L307</f>
        <v>0</v>
      </c>
      <c r="M291">
        <f>計算表!M307</f>
        <v>0</v>
      </c>
      <c r="N291">
        <f>計算表!N307</f>
        <v>0</v>
      </c>
      <c r="O291">
        <f>計算表!O307</f>
        <v>0</v>
      </c>
      <c r="P291">
        <f>計算表!P307</f>
        <v>0</v>
      </c>
      <c r="Q291">
        <f>計算表!Q307</f>
        <v>0</v>
      </c>
      <c r="R291">
        <f>計算表!R307</f>
        <v>0</v>
      </c>
    </row>
    <row r="292" spans="1:18" x14ac:dyDescent="0.25">
      <c r="A292">
        <f>計算表!A308</f>
        <v>307</v>
      </c>
      <c r="B292">
        <f>計算表!B308</f>
        <v>0</v>
      </c>
      <c r="C292" t="str">
        <f>計算表!C308</f>
        <v>表-自動機組零件</v>
      </c>
      <c r="D292" t="str">
        <f>計算表!D308</f>
        <v>知識核心</v>
      </c>
      <c r="E292" t="str">
        <f>計算表!E308</f>
        <v>效果值 = a + b × (等級-1)</v>
      </c>
      <c r="F292" t="str">
        <f>計算表!F308</f>
        <v>a=基礎值 b=每級增加值；分解時獲得當前關卡敵人經驗的 a%。</v>
      </c>
      <c r="G292">
        <f>計算表!G308</f>
        <v>3</v>
      </c>
      <c r="H292">
        <f>計算表!H308</f>
        <v>1.5</v>
      </c>
      <c r="I292" t="str">
        <f>計算表!I308</f>
        <v>salvage</v>
      </c>
      <c r="J292">
        <f>計算表!J308</f>
        <v>0</v>
      </c>
      <c r="K292">
        <f>計算表!K308</f>
        <v>0</v>
      </c>
      <c r="L292">
        <f>計算表!L308</f>
        <v>0</v>
      </c>
      <c r="M292">
        <f>計算表!M308</f>
        <v>0</v>
      </c>
      <c r="N292">
        <f>計算表!N308</f>
        <v>0</v>
      </c>
      <c r="O292">
        <f>計算表!O308</f>
        <v>0</v>
      </c>
      <c r="P292">
        <f>計算表!P308</f>
        <v>0</v>
      </c>
      <c r="Q292">
        <f>計算表!Q308</f>
        <v>0</v>
      </c>
      <c r="R292">
        <f>計算表!R308</f>
        <v>0</v>
      </c>
    </row>
    <row r="293" spans="1:18" x14ac:dyDescent="0.25">
      <c r="A293">
        <f>計算表!A309</f>
        <v>308</v>
      </c>
      <c r="B293">
        <f>計算表!B309</f>
        <v>0</v>
      </c>
      <c r="C293" t="str">
        <f>計算表!C309</f>
        <v>表-自動機組零件</v>
      </c>
      <c r="D293" t="str">
        <f>計算表!D309</f>
        <v>寶石採集器</v>
      </c>
      <c r="E293" t="str">
        <f>計算表!E309</f>
        <v>效果值 = a + b × (等級-1)</v>
      </c>
      <c r="F293" t="str">
        <f>計算表!F309</f>
        <v>a=基礎值 b=每級增加值；分解時有 a% 機率獲得 1 級寶石。</v>
      </c>
      <c r="G293">
        <f>計算表!G309</f>
        <v>3</v>
      </c>
      <c r="H293">
        <f>計算表!H309</f>
        <v>1.5</v>
      </c>
      <c r="I293" t="str">
        <f>計算表!I309</f>
        <v>salvage</v>
      </c>
      <c r="J293">
        <f>計算表!J309</f>
        <v>0</v>
      </c>
      <c r="K293">
        <f>計算表!K309</f>
        <v>0</v>
      </c>
      <c r="L293">
        <f>計算表!L309</f>
        <v>0</v>
      </c>
      <c r="M293">
        <f>計算表!M309</f>
        <v>0</v>
      </c>
      <c r="N293">
        <f>計算表!N309</f>
        <v>0</v>
      </c>
      <c r="O293">
        <f>計算表!O309</f>
        <v>0</v>
      </c>
      <c r="P293">
        <f>計算表!P309</f>
        <v>0</v>
      </c>
      <c r="Q293">
        <f>計算表!Q309</f>
        <v>0</v>
      </c>
      <c r="R293">
        <f>計算表!R309</f>
        <v>0</v>
      </c>
    </row>
    <row r="294" spans="1:18" x14ac:dyDescent="0.25">
      <c r="A294">
        <f>計算表!A310</f>
        <v>309</v>
      </c>
      <c r="B294">
        <f>計算表!B310</f>
        <v>0</v>
      </c>
      <c r="C294" t="str">
        <f>計算表!C310</f>
        <v>表-自動機組零件</v>
      </c>
      <c r="D294" t="str">
        <f>計算表!D310</f>
        <v>幸運之心</v>
      </c>
      <c r="E294" t="str">
        <f>計算表!E310</f>
        <v>效果值 = a + b × (等級-1)</v>
      </c>
      <c r="F294" t="str">
        <f>計算表!F310</f>
        <v>a=基礎值 b=每級增加值；分解時有 a% 機率使所有產物變為 3 倍。</v>
      </c>
      <c r="G294">
        <f>計算表!G310</f>
        <v>3</v>
      </c>
      <c r="H294">
        <f>計算表!H310</f>
        <v>1.5</v>
      </c>
      <c r="I294" t="str">
        <f>計算表!I310</f>
        <v>salvage</v>
      </c>
      <c r="J294">
        <f>計算表!J310</f>
        <v>0</v>
      </c>
      <c r="K294">
        <f>計算表!K310</f>
        <v>0</v>
      </c>
      <c r="L294">
        <f>計算表!L310</f>
        <v>0</v>
      </c>
      <c r="M294">
        <f>計算表!M310</f>
        <v>0</v>
      </c>
      <c r="N294">
        <f>計算表!N310</f>
        <v>0</v>
      </c>
      <c r="O294">
        <f>計算表!O310</f>
        <v>0</v>
      </c>
      <c r="P294">
        <f>計算表!P310</f>
        <v>0</v>
      </c>
      <c r="Q294">
        <f>計算表!Q310</f>
        <v>0</v>
      </c>
      <c r="R294">
        <f>計算表!R310</f>
        <v>0</v>
      </c>
    </row>
    <row r="295" spans="1:18" x14ac:dyDescent="0.25">
      <c r="A295">
        <f>計算表!A311</f>
        <v>310</v>
      </c>
      <c r="B295">
        <f>計算表!B311</f>
        <v>0</v>
      </c>
      <c r="C295" t="str">
        <f>計算表!C311</f>
        <v>表-自動機組零件</v>
      </c>
      <c r="D295" t="str">
        <f>計算表!D311</f>
        <v>太古精華萃取器</v>
      </c>
      <c r="E295" t="str">
        <f>計算表!E311</f>
        <v>效果值 = a + b × (等級-1)</v>
      </c>
      <c r="F295" t="str">
        <f>計算表!F311</f>
        <v>a=基礎值 b=每級增加值；分解太古精華掉落率加成。</v>
      </c>
      <c r="G295">
        <f>計算表!G311</f>
        <v>25</v>
      </c>
      <c r="H295">
        <f>計算表!H311</f>
        <v>25</v>
      </c>
      <c r="I295" t="str">
        <f>計算表!I311</f>
        <v>salvage</v>
      </c>
      <c r="J295">
        <f>計算表!J311</f>
        <v>0</v>
      </c>
      <c r="K295">
        <f>計算表!K311</f>
        <v>0</v>
      </c>
      <c r="L295">
        <f>計算表!L311</f>
        <v>0</v>
      </c>
      <c r="M295">
        <f>計算表!M311</f>
        <v>0</v>
      </c>
      <c r="N295">
        <f>計算表!N311</f>
        <v>0</v>
      </c>
      <c r="O295">
        <f>計算表!O311</f>
        <v>0</v>
      </c>
      <c r="P295">
        <f>計算表!P311</f>
        <v>0</v>
      </c>
      <c r="Q295">
        <f>計算表!Q311</f>
        <v>0</v>
      </c>
      <c r="R295">
        <f>計算表!R311</f>
        <v>0</v>
      </c>
    </row>
    <row r="296" spans="1:18" x14ac:dyDescent="0.25">
      <c r="A296">
        <f>計算表!A312</f>
        <v>311</v>
      </c>
      <c r="B296">
        <f>計算表!B312</f>
        <v>0</v>
      </c>
      <c r="C296" t="str">
        <f>計算表!C312</f>
        <v>表-自動機組零件</v>
      </c>
      <c r="D296" t="str">
        <f>計算表!D312</f>
        <v>熔爐核心</v>
      </c>
      <c r="E296" t="str">
        <f>計算表!E312</f>
        <v>效果值 = a + b × (等級-1)</v>
      </c>
      <c r="F296" t="str">
        <f>計算表!F312</f>
        <v>a=基礎值 b=每級增加值；熔爐上的其他零件效果額外提升 a%，多個核心直接疊加。</v>
      </c>
      <c r="G296">
        <f>計算表!G312</f>
        <v>5</v>
      </c>
      <c r="H296">
        <f>計算表!H312</f>
        <v>2.5</v>
      </c>
      <c r="I296" t="str">
        <f>計算表!I312</f>
        <v>salvage</v>
      </c>
      <c r="J296">
        <f>計算表!J312</f>
        <v>0</v>
      </c>
      <c r="K296">
        <f>計算表!K312</f>
        <v>0</v>
      </c>
      <c r="L296">
        <f>計算表!L312</f>
        <v>0</v>
      </c>
      <c r="M296">
        <f>計算表!M312</f>
        <v>0</v>
      </c>
      <c r="N296">
        <f>計算表!N312</f>
        <v>0</v>
      </c>
      <c r="O296">
        <f>計算表!O312</f>
        <v>0</v>
      </c>
      <c r="P296">
        <f>計算表!P312</f>
        <v>0</v>
      </c>
      <c r="Q296">
        <f>計算表!Q312</f>
        <v>0</v>
      </c>
      <c r="R296">
        <f>計算表!R312</f>
        <v>0</v>
      </c>
    </row>
    <row r="297" spans="1:18" x14ac:dyDescent="0.25">
      <c r="A297">
        <f>計算表!A313</f>
        <v>312</v>
      </c>
      <c r="B297">
        <f>計算表!B313</f>
        <v>0</v>
      </c>
      <c r="C297" t="str">
        <f>計算表!C313</f>
        <v>表-固定參數</v>
      </c>
      <c r="D297" t="str">
        <f>計算表!D313</f>
        <v>出怪間隔</v>
      </c>
      <c r="E297" t="str">
        <f>計算表!E313</f>
        <v>a 秒</v>
      </c>
      <c r="F297" t="str">
        <f>計算表!F313</f>
        <v>RESPAWN_DELAY。</v>
      </c>
      <c r="G297" t="str">
        <f>計算表!G313</f>
        <v>{0.75,1,1.5,1.75,2,2,2,3,3,3,4,5}</v>
      </c>
      <c r="H297">
        <f>計算表!H313</f>
        <v>3</v>
      </c>
      <c r="I297">
        <f>計算表!I313</f>
        <v>0</v>
      </c>
      <c r="J297">
        <f>計算表!J313</f>
        <v>0</v>
      </c>
      <c r="K297">
        <f>計算表!K313</f>
        <v>0</v>
      </c>
      <c r="L297">
        <f>計算表!L313</f>
        <v>0</v>
      </c>
      <c r="M297">
        <f>計算表!M313</f>
        <v>0</v>
      </c>
      <c r="N297">
        <f>計算表!N313</f>
        <v>0</v>
      </c>
      <c r="O297">
        <f>計算表!O313</f>
        <v>0</v>
      </c>
      <c r="P297">
        <f>計算表!P313</f>
        <v>0</v>
      </c>
      <c r="Q297">
        <f>計算表!Q313</f>
        <v>0</v>
      </c>
      <c r="R297">
        <f>計算表!R313</f>
        <v>0</v>
      </c>
    </row>
    <row r="298" spans="1:18" x14ac:dyDescent="0.25">
      <c r="A298">
        <f>計算表!A314</f>
        <v>313</v>
      </c>
      <c r="B298">
        <f>計算表!B314</f>
        <v>0</v>
      </c>
      <c r="C298" t="str">
        <f>計算表!C314</f>
        <v>表-固定參數</v>
      </c>
      <c r="D298" t="str">
        <f>計算表!D314</f>
        <v>死亡復活時間</v>
      </c>
      <c r="E298" t="str">
        <f>計算表!E314</f>
        <v>a 秒</v>
      </c>
      <c r="F298" t="str">
        <f>計算表!F314</f>
        <v>REVIVE_DELAY。</v>
      </c>
      <c r="G298">
        <f>計算表!G314</f>
        <v>5</v>
      </c>
      <c r="H298">
        <f>計算表!H314</f>
        <v>0</v>
      </c>
      <c r="I298">
        <f>計算表!I314</f>
        <v>0</v>
      </c>
      <c r="J298">
        <f>計算表!J314</f>
        <v>0</v>
      </c>
      <c r="K298">
        <f>計算表!K314</f>
        <v>0</v>
      </c>
      <c r="L298">
        <f>計算表!L314</f>
        <v>0</v>
      </c>
      <c r="M298">
        <f>計算表!M314</f>
        <v>0</v>
      </c>
      <c r="N298">
        <f>計算表!N314</f>
        <v>0</v>
      </c>
      <c r="O298">
        <f>計算表!O314</f>
        <v>0</v>
      </c>
      <c r="P298">
        <f>計算表!P314</f>
        <v>0</v>
      </c>
      <c r="Q298">
        <f>計算表!Q314</f>
        <v>0</v>
      </c>
      <c r="R298">
        <f>計算表!R314</f>
        <v>0</v>
      </c>
    </row>
    <row r="299" spans="1:18" x14ac:dyDescent="0.25">
      <c r="A299">
        <f>計算表!A315</f>
        <v>314</v>
      </c>
      <c r="B299">
        <f>計算表!B315</f>
        <v>0</v>
      </c>
      <c r="C299" t="str">
        <f>計算表!C315</f>
        <v>表-固定參數</v>
      </c>
      <c r="D299" t="str">
        <f>計算表!D315</f>
        <v>零件階級上限</v>
      </c>
      <c r="E299" t="str">
        <f>計算表!E315</f>
        <v>T a</v>
      </c>
      <c r="F299" t="str">
        <f>計算表!F315</f>
        <v>PART_MAX_TIER。</v>
      </c>
      <c r="G299">
        <f>計算表!G315</f>
        <v>10</v>
      </c>
      <c r="H299">
        <f>計算表!H315</f>
        <v>0</v>
      </c>
      <c r="I299">
        <f>計算表!I315</f>
        <v>0</v>
      </c>
      <c r="J299">
        <f>計算表!J315</f>
        <v>0</v>
      </c>
      <c r="K299">
        <f>計算表!K315</f>
        <v>0</v>
      </c>
      <c r="L299">
        <f>計算表!L315</f>
        <v>0</v>
      </c>
      <c r="M299">
        <f>計算表!M315</f>
        <v>0</v>
      </c>
      <c r="N299">
        <f>計算表!N315</f>
        <v>0</v>
      </c>
      <c r="O299">
        <f>計算表!O315</f>
        <v>0</v>
      </c>
      <c r="P299">
        <f>計算表!P315</f>
        <v>0</v>
      </c>
      <c r="Q299">
        <f>計算表!Q315</f>
        <v>0</v>
      </c>
      <c r="R299">
        <f>計算表!R315</f>
        <v>0</v>
      </c>
    </row>
    <row r="300" spans="1:18" x14ac:dyDescent="0.25">
      <c r="A300">
        <f>計算表!A316</f>
        <v>315</v>
      </c>
      <c r="B300">
        <f>計算表!B316</f>
        <v>0</v>
      </c>
      <c r="C300" t="str">
        <f>計算表!C316</f>
        <v>表-固定參數</v>
      </c>
      <c r="D300" t="str">
        <f>計算表!D316</f>
        <v>零件庫存保留</v>
      </c>
      <c r="E300" t="str">
        <f>計算表!E316</f>
        <v>每種未安裝最多保留 a 顆</v>
      </c>
      <c r="F300" t="str">
        <f>計算表!F316</f>
        <v>PART_KEEP_PER_KEY，多餘自動分解。</v>
      </c>
      <c r="G300">
        <f>計算表!G316</f>
        <v>10</v>
      </c>
      <c r="H300">
        <f>計算表!H316</f>
        <v>0</v>
      </c>
      <c r="I300">
        <f>計算表!I316</f>
        <v>0</v>
      </c>
      <c r="J300">
        <f>計算表!J316</f>
        <v>0</v>
      </c>
      <c r="K300">
        <f>計算表!K316</f>
        <v>0</v>
      </c>
      <c r="L300">
        <f>計算表!L316</f>
        <v>0</v>
      </c>
      <c r="M300">
        <f>計算表!M316</f>
        <v>0</v>
      </c>
      <c r="N300">
        <f>計算表!N316</f>
        <v>0</v>
      </c>
      <c r="O300">
        <f>計算表!O316</f>
        <v>0</v>
      </c>
      <c r="P300">
        <f>計算表!P316</f>
        <v>0</v>
      </c>
      <c r="Q300">
        <f>計算表!Q316</f>
        <v>0</v>
      </c>
      <c r="R300">
        <f>計算表!R316</f>
        <v>0</v>
      </c>
    </row>
    <row r="301" spans="1:18" x14ac:dyDescent="0.25">
      <c r="A301">
        <f>計算表!A317</f>
        <v>316</v>
      </c>
      <c r="B301">
        <f>計算表!B317</f>
        <v>0</v>
      </c>
      <c r="C301" t="str">
        <f>計算表!C317</f>
        <v>表-固定參數</v>
      </c>
      <c r="D301" t="str">
        <f>計算表!D317</f>
        <v>合成節點槽位</v>
      </c>
      <c r="E301" t="str">
        <f>計算表!E317</f>
        <v>a 格</v>
      </c>
      <c r="F301" t="str">
        <f>計算表!F317</f>
        <v>分解槽為金幣解鎖 10~20 格。　※合成功能已停用，本列未生效。</v>
      </c>
      <c r="G301">
        <f>計算表!G317</f>
        <v>2</v>
      </c>
      <c r="H301">
        <f>計算表!H317</f>
        <v>0</v>
      </c>
      <c r="I301">
        <f>計算表!I317</f>
        <v>0</v>
      </c>
      <c r="J301">
        <f>計算表!J317</f>
        <v>0</v>
      </c>
      <c r="K301">
        <f>計算表!K317</f>
        <v>0</v>
      </c>
      <c r="L301">
        <f>計算表!L317</f>
        <v>0</v>
      </c>
      <c r="M301">
        <f>計算表!M317</f>
        <v>0</v>
      </c>
      <c r="N301">
        <f>計算表!N317</f>
        <v>0</v>
      </c>
      <c r="O301">
        <f>計算表!O317</f>
        <v>0</v>
      </c>
      <c r="P301">
        <f>計算表!P317</f>
        <v>0</v>
      </c>
      <c r="Q301">
        <f>計算表!Q317</f>
        <v>0</v>
      </c>
      <c r="R301">
        <f>計算表!R317</f>
        <v>0</v>
      </c>
    </row>
    <row r="302" spans="1:18" x14ac:dyDescent="0.25">
      <c r="A302">
        <f>計算表!A318</f>
        <v>317</v>
      </c>
      <c r="B302">
        <f>計算表!B318</f>
        <v>0</v>
      </c>
      <c r="C302" t="str">
        <f>計算表!C318</f>
        <v>表-固定參數</v>
      </c>
      <c r="D302" t="str">
        <f>計算表!D318</f>
        <v>寶石一般上限 / 神鑄上限</v>
      </c>
      <c r="E302" t="str">
        <f>計算表!E318</f>
        <v>一般 a 階；神鑄可到 b 階</v>
      </c>
      <c r="F302" t="str">
        <f>計算表!F318</f>
        <v>GEM_MAX_LEVEL / GEM_FORGE_MAX_LEVEL。</v>
      </c>
      <c r="G302">
        <f>計算表!G318</f>
        <v>5</v>
      </c>
      <c r="H302">
        <f>計算表!H318</f>
        <v>10</v>
      </c>
      <c r="I302">
        <f>計算表!I318</f>
        <v>0</v>
      </c>
      <c r="J302">
        <f>計算表!J318</f>
        <v>0</v>
      </c>
      <c r="K302">
        <f>計算表!K318</f>
        <v>0</v>
      </c>
      <c r="L302">
        <f>計算表!L318</f>
        <v>0</v>
      </c>
      <c r="M302">
        <f>計算表!M318</f>
        <v>0</v>
      </c>
      <c r="N302">
        <f>計算表!N318</f>
        <v>0</v>
      </c>
      <c r="O302">
        <f>計算表!O318</f>
        <v>0</v>
      </c>
      <c r="P302">
        <f>計算表!P318</f>
        <v>0</v>
      </c>
      <c r="Q302">
        <f>計算表!Q318</f>
        <v>0</v>
      </c>
      <c r="R302">
        <f>計算表!R318</f>
        <v>0</v>
      </c>
    </row>
    <row r="303" spans="1:18" x14ac:dyDescent="0.25">
      <c r="A303">
        <f>計算表!A319</f>
        <v>318</v>
      </c>
      <c r="B303">
        <f>計算表!B319</f>
        <v>0</v>
      </c>
      <c r="C303" t="str">
        <f>計算表!C319</f>
        <v>表-固定參數</v>
      </c>
      <c r="D303" t="str">
        <f>計算表!D319</f>
        <v>詞條數硬上限</v>
      </c>
      <c r="E303" t="str">
        <f>計算表!E319</f>
        <v>a 條</v>
      </c>
      <c r="F303" t="str">
        <f>計算表!F319</f>
        <v>MAX_AFFIXES = 單件裝備詞條數的安全硬上限；目前稀有度表最高 10 條。</v>
      </c>
      <c r="G303">
        <f>計算表!G319</f>
        <v>10</v>
      </c>
      <c r="H303">
        <f>計算表!H319</f>
        <v>0</v>
      </c>
      <c r="I303">
        <f>計算表!I319</f>
        <v>0</v>
      </c>
      <c r="J303">
        <f>計算表!J319</f>
        <v>0</v>
      </c>
      <c r="K303">
        <f>計算表!K319</f>
        <v>0</v>
      </c>
      <c r="L303">
        <f>計算表!L319</f>
        <v>0</v>
      </c>
      <c r="M303">
        <f>計算表!M319</f>
        <v>0</v>
      </c>
      <c r="N303">
        <f>計算表!N319</f>
        <v>0</v>
      </c>
      <c r="O303">
        <f>計算表!O319</f>
        <v>0</v>
      </c>
      <c r="P303">
        <f>計算表!P319</f>
        <v>0</v>
      </c>
      <c r="Q303">
        <f>計算表!Q319</f>
        <v>0</v>
      </c>
      <c r="R303">
        <f>計算表!R319</f>
        <v>0</v>
      </c>
    </row>
    <row r="304" spans="1:18" x14ac:dyDescent="0.25">
      <c r="A304">
        <f>計算表!A320</f>
        <v>319</v>
      </c>
      <c r="B304">
        <f>計算表!B320</f>
        <v>0</v>
      </c>
      <c r="C304" t="str">
        <f>計算表!C320</f>
        <v>表-固定參數</v>
      </c>
      <c r="D304" t="str">
        <f>計算表!D320</f>
        <v>零件升級金錢消耗</v>
      </c>
      <c r="E304" t="str">
        <f>計算表!E320</f>
        <v>a + b × c^升級後等級</v>
      </c>
      <c r="F304" t="str">
        <f>計算表!F320</f>
        <v>零件升級至下一級的金幣消耗；指數中的零件等級是升級後目標等級，例如 T5→T6 代入 6。</v>
      </c>
      <c r="G304">
        <f>計算表!G320</f>
        <v>20000</v>
      </c>
      <c r="H304">
        <f>計算表!H320</f>
        <v>10000</v>
      </c>
      <c r="I304">
        <f>計算表!I320</f>
        <v>6</v>
      </c>
      <c r="J304">
        <f>計算表!J320</f>
        <v>0</v>
      </c>
      <c r="K304">
        <f>計算表!K320</f>
        <v>0</v>
      </c>
      <c r="L304">
        <f>計算表!L320</f>
        <v>0</v>
      </c>
      <c r="M304">
        <f>計算表!M320</f>
        <v>0</v>
      </c>
      <c r="N304">
        <f>計算表!N320</f>
        <v>0</v>
      </c>
      <c r="O304">
        <f>計算表!O320</f>
        <v>0</v>
      </c>
      <c r="P304">
        <f>計算表!P320</f>
        <v>0</v>
      </c>
      <c r="Q304">
        <f>計算表!Q320</f>
        <v>0</v>
      </c>
      <c r="R304">
        <f>計算表!R320</f>
        <v>0</v>
      </c>
    </row>
    <row r="305" spans="1:18" x14ac:dyDescent="0.25">
      <c r="A305">
        <f>計算表!A321</f>
        <v>320</v>
      </c>
      <c r="B305">
        <f>計算表!B321</f>
        <v>0</v>
      </c>
      <c r="C305" t="str">
        <f>計算表!C321</f>
        <v>表-固定參數</v>
      </c>
      <c r="D305" t="str">
        <f>計算表!D321</f>
        <v>換目標間隔</v>
      </c>
      <c r="E305" t="str">
        <f>計算表!E321</f>
        <v>公式 a 秒</v>
      </c>
      <c r="F305" t="str">
        <f>計算表!F321</f>
        <v>轉頭打下一隻敵人的間隔時間</v>
      </c>
      <c r="G305">
        <f>計算表!G321</f>
        <v>0.35</v>
      </c>
      <c r="H305">
        <f>計算表!H321</f>
        <v>0</v>
      </c>
      <c r="I305">
        <f>計算表!I321</f>
        <v>0</v>
      </c>
      <c r="J305">
        <f>計算表!J321</f>
        <v>0</v>
      </c>
      <c r="K305">
        <f>計算表!K321</f>
        <v>0</v>
      </c>
      <c r="L305">
        <f>計算表!L321</f>
        <v>0</v>
      </c>
      <c r="M305">
        <f>計算表!M321</f>
        <v>0</v>
      </c>
      <c r="N305">
        <f>計算表!N321</f>
        <v>0</v>
      </c>
      <c r="O305">
        <f>計算表!O321</f>
        <v>0</v>
      </c>
      <c r="P305">
        <f>計算表!P321</f>
        <v>0</v>
      </c>
      <c r="Q305">
        <f>計算表!Q321</f>
        <v>0</v>
      </c>
      <c r="R305">
        <f>計算表!R321</f>
        <v>0</v>
      </c>
    </row>
    <row r="306" spans="1:18" x14ac:dyDescent="0.25">
      <c r="A306">
        <f>計算表!A322</f>
        <v>321</v>
      </c>
      <c r="B306">
        <f>計算表!B322</f>
        <v>0</v>
      </c>
      <c r="C306" t="str">
        <f>計算表!C322</f>
        <v>表-稀有度</v>
      </c>
      <c r="D306" t="str">
        <f>計算表!D322</f>
        <v>普通</v>
      </c>
      <c r="E306" t="str">
        <f>計算表!E322</f>
        <v>（查表）</v>
      </c>
      <c r="F306" t="str">
        <f>計算表!F322</f>
        <v>a=詞條數值倍率 b=詞條數下限 c=詞條數上限 d=寶石插槽 e=附魔欄位 f=分解係數。</v>
      </c>
      <c r="G306">
        <f>計算表!G322</f>
        <v>1</v>
      </c>
      <c r="H306">
        <f>計算表!H322</f>
        <v>1</v>
      </c>
      <c r="I306">
        <f>計算表!I322</f>
        <v>1</v>
      </c>
      <c r="J306">
        <f>計算表!J322</f>
        <v>1</v>
      </c>
      <c r="K306">
        <f>計算表!K322</f>
        <v>0</v>
      </c>
      <c r="L306">
        <f>計算表!L322</f>
        <v>1</v>
      </c>
      <c r="M306">
        <f>計算表!M322</f>
        <v>0</v>
      </c>
      <c r="N306">
        <f>計算表!N322</f>
        <v>0</v>
      </c>
      <c r="O306">
        <f>計算表!O322</f>
        <v>0</v>
      </c>
      <c r="P306">
        <f>計算表!P322</f>
        <v>0</v>
      </c>
      <c r="Q306">
        <f>計算表!Q322</f>
        <v>0</v>
      </c>
      <c r="R306">
        <f>計算表!R322</f>
        <v>0</v>
      </c>
    </row>
    <row r="307" spans="1:18" x14ac:dyDescent="0.25">
      <c r="A307">
        <f>計算表!A323</f>
        <v>322</v>
      </c>
      <c r="B307">
        <f>計算表!B323</f>
        <v>0</v>
      </c>
      <c r="C307" t="str">
        <f>計算表!C323</f>
        <v>表-稀有度</v>
      </c>
      <c r="D307" t="str">
        <f>計算表!D323</f>
        <v>精良</v>
      </c>
      <c r="E307" t="str">
        <f>計算表!E323</f>
        <v>（查表）</v>
      </c>
      <c r="F307" t="str">
        <f>計算表!F323</f>
        <v>a=詞條數值倍率 b=詞條數下限 c=詞條數上限 d=寶石插槽 e=附魔欄位 f=分解係數。</v>
      </c>
      <c r="G307">
        <f>計算表!G323</f>
        <v>1.35</v>
      </c>
      <c r="H307">
        <f>計算表!H323</f>
        <v>2</v>
      </c>
      <c r="I307">
        <f>計算表!I323</f>
        <v>2</v>
      </c>
      <c r="J307">
        <f>計算表!J323</f>
        <v>1</v>
      </c>
      <c r="K307">
        <f>計算表!K323</f>
        <v>1</v>
      </c>
      <c r="L307">
        <f>計算表!L323</f>
        <v>1.7</v>
      </c>
      <c r="M307">
        <f>計算表!M323</f>
        <v>0</v>
      </c>
      <c r="N307">
        <f>計算表!N323</f>
        <v>0</v>
      </c>
      <c r="O307">
        <f>計算表!O323</f>
        <v>0</v>
      </c>
      <c r="P307">
        <f>計算表!P323</f>
        <v>0</v>
      </c>
      <c r="Q307">
        <f>計算表!Q323</f>
        <v>0</v>
      </c>
      <c r="R307">
        <f>計算表!R323</f>
        <v>0</v>
      </c>
    </row>
    <row r="308" spans="1:18" x14ac:dyDescent="0.25">
      <c r="A308">
        <f>計算表!A324</f>
        <v>323</v>
      </c>
      <c r="B308">
        <f>計算表!B324</f>
        <v>0</v>
      </c>
      <c r="C308" t="str">
        <f>計算表!C324</f>
        <v>表-稀有度</v>
      </c>
      <c r="D308" t="str">
        <f>計算表!D324</f>
        <v>稀有</v>
      </c>
      <c r="E308" t="str">
        <f>計算表!E324</f>
        <v>（查表）</v>
      </c>
      <c r="F308" t="str">
        <f>計算表!F324</f>
        <v>a=詞條數值倍率 b=詞條數下限 c=詞條數上限 d=寶石插槽 e=附魔欄位 f=分解係數。</v>
      </c>
      <c r="G308">
        <f>計算表!G324</f>
        <v>1.75</v>
      </c>
      <c r="H308">
        <f>計算表!H324</f>
        <v>2</v>
      </c>
      <c r="I308">
        <f>計算表!I324</f>
        <v>2</v>
      </c>
      <c r="J308">
        <f>計算表!J324</f>
        <v>1</v>
      </c>
      <c r="K308">
        <f>計算表!K324</f>
        <v>1</v>
      </c>
      <c r="L308">
        <f>計算表!L324</f>
        <v>2.8</v>
      </c>
      <c r="M308">
        <f>計算表!M324</f>
        <v>0</v>
      </c>
      <c r="N308">
        <f>計算表!N324</f>
        <v>0</v>
      </c>
      <c r="O308">
        <f>計算表!O324</f>
        <v>0</v>
      </c>
      <c r="P308">
        <f>計算表!P324</f>
        <v>0</v>
      </c>
      <c r="Q308">
        <f>計算表!Q324</f>
        <v>0</v>
      </c>
      <c r="R308">
        <f>計算表!R324</f>
        <v>0</v>
      </c>
    </row>
    <row r="309" spans="1:18" x14ac:dyDescent="0.25">
      <c r="A309">
        <f>計算表!A325</f>
        <v>324</v>
      </c>
      <c r="B309">
        <f>計算表!B325</f>
        <v>0</v>
      </c>
      <c r="C309" t="str">
        <f>計算表!C325</f>
        <v>表-稀有度</v>
      </c>
      <c r="D309" t="str">
        <f>計算表!D325</f>
        <v>獨特</v>
      </c>
      <c r="E309" t="str">
        <f>計算表!E325</f>
        <v>（查表）</v>
      </c>
      <c r="F309" t="str">
        <f>計算表!F325</f>
        <v>a=詞條數值倍率 b=詞條數下限 c=詞條數上限 d=寶石插槽 e=附魔欄位 f=分解係數。</v>
      </c>
      <c r="G309" s="7" t="s">
        <v>1071</v>
      </c>
      <c r="H309">
        <f>計算表!H325</f>
        <v>3</v>
      </c>
      <c r="I309">
        <f>計算表!I325</f>
        <v>3</v>
      </c>
      <c r="J309">
        <f>計算表!J325</f>
        <v>2</v>
      </c>
      <c r="K309">
        <f>計算表!K325</f>
        <v>1</v>
      </c>
      <c r="L309">
        <f>計算表!L325</f>
        <v>4.5</v>
      </c>
      <c r="M309">
        <f>計算表!M325</f>
        <v>0</v>
      </c>
      <c r="N309">
        <f>計算表!N325</f>
        <v>0</v>
      </c>
      <c r="O309">
        <f>計算表!O325</f>
        <v>0</v>
      </c>
      <c r="P309">
        <f>計算表!P325</f>
        <v>0</v>
      </c>
      <c r="Q309">
        <f>計算表!Q325</f>
        <v>0</v>
      </c>
      <c r="R309">
        <f>計算表!R325</f>
        <v>0</v>
      </c>
    </row>
    <row r="310" spans="1:18" x14ac:dyDescent="0.25">
      <c r="A310">
        <f>計算表!A326</f>
        <v>325</v>
      </c>
      <c r="B310">
        <f>計算表!B326</f>
        <v>0</v>
      </c>
      <c r="C310" t="str">
        <f>計算表!C326</f>
        <v>表-稀有度</v>
      </c>
      <c r="D310" t="str">
        <f>計算表!D326</f>
        <v>史詩</v>
      </c>
      <c r="E310" t="str">
        <f>計算表!E326</f>
        <v>（查表）</v>
      </c>
      <c r="F310" t="str">
        <f>計算表!F326</f>
        <v>a=詞條數值倍率 b=詞條數下限 c=詞條數上限 d=寶石插槽 e=附魔欄位 f=分解係數。</v>
      </c>
      <c r="G310">
        <f>計算表!G326</f>
        <v>3</v>
      </c>
      <c r="H310">
        <f>計算表!H326</f>
        <v>4</v>
      </c>
      <c r="I310">
        <f>計算表!I326</f>
        <v>4</v>
      </c>
      <c r="J310">
        <f>計算表!J326</f>
        <v>3</v>
      </c>
      <c r="K310">
        <f>計算表!K326</f>
        <v>2</v>
      </c>
      <c r="L310">
        <f>計算表!L326</f>
        <v>7.5</v>
      </c>
      <c r="M310">
        <f>計算表!M326</f>
        <v>0</v>
      </c>
      <c r="N310">
        <f>計算表!N326</f>
        <v>0</v>
      </c>
      <c r="O310">
        <f>計算表!O326</f>
        <v>0</v>
      </c>
      <c r="P310">
        <f>計算表!P326</f>
        <v>0</v>
      </c>
      <c r="Q310">
        <f>計算表!Q326</f>
        <v>0</v>
      </c>
      <c r="R310">
        <f>計算表!R326</f>
        <v>0</v>
      </c>
    </row>
    <row r="311" spans="1:18" x14ac:dyDescent="0.25">
      <c r="A311">
        <f>計算表!A327</f>
        <v>326</v>
      </c>
      <c r="B311">
        <f>計算表!B327</f>
        <v>0</v>
      </c>
      <c r="C311" t="str">
        <f>計算表!C327</f>
        <v>表-稀有度</v>
      </c>
      <c r="D311" t="str">
        <f>計算表!D327</f>
        <v>傳說</v>
      </c>
      <c r="E311" t="str">
        <f>計算表!E327</f>
        <v>（查表）</v>
      </c>
      <c r="F311" t="str">
        <f>計算表!F327</f>
        <v>a=詞條數值倍率 b=詞條數下限 c=詞條數上限 d=寶石插槽 e=附魔欄位 f=分解係數。</v>
      </c>
      <c r="G311">
        <f>計算表!G327</f>
        <v>4</v>
      </c>
      <c r="H311">
        <f>計算表!H327</f>
        <v>5</v>
      </c>
      <c r="I311">
        <f>計算表!I327</f>
        <v>5</v>
      </c>
      <c r="J311">
        <f>計算表!J327</f>
        <v>4</v>
      </c>
      <c r="K311">
        <f>計算表!K327</f>
        <v>2</v>
      </c>
      <c r="L311">
        <f>計算表!L327</f>
        <v>12</v>
      </c>
      <c r="M311">
        <f>計算表!M327</f>
        <v>0</v>
      </c>
      <c r="N311">
        <f>計算表!N327</f>
        <v>0</v>
      </c>
      <c r="O311">
        <f>計算表!O327</f>
        <v>0</v>
      </c>
      <c r="P311">
        <f>計算表!P327</f>
        <v>0</v>
      </c>
      <c r="Q311">
        <f>計算表!Q327</f>
        <v>0</v>
      </c>
      <c r="R311">
        <f>計算表!R327</f>
        <v>0</v>
      </c>
    </row>
    <row r="312" spans="1:18" x14ac:dyDescent="0.25">
      <c r="A312">
        <f>計算表!A328</f>
        <v>327</v>
      </c>
      <c r="B312">
        <f>計算表!B328</f>
        <v>0</v>
      </c>
      <c r="C312" t="str">
        <f>計算表!C328</f>
        <v>表-稀有度</v>
      </c>
      <c r="D312" t="str">
        <f>計算表!D328</f>
        <v>神話</v>
      </c>
      <c r="E312" t="str">
        <f>計算表!E328</f>
        <v>（查表）</v>
      </c>
      <c r="F312" t="str">
        <f>計算表!F328</f>
        <v>a=詞條數值倍率 b=詞條數下限 c=詞條數上限 d=寶石插槽 e=附魔欄位 f=分解係數。</v>
      </c>
      <c r="G312">
        <f>計算表!G328</f>
        <v>5.2</v>
      </c>
      <c r="H312">
        <f>計算表!H328</f>
        <v>6</v>
      </c>
      <c r="I312">
        <f>計算表!I328</f>
        <v>6</v>
      </c>
      <c r="J312">
        <f>計算表!J328</f>
        <v>5</v>
      </c>
      <c r="K312">
        <f>計算表!K328</f>
        <v>2</v>
      </c>
      <c r="L312">
        <f>計算表!L328</f>
        <v>19</v>
      </c>
      <c r="M312">
        <f>計算表!M328</f>
        <v>0</v>
      </c>
      <c r="N312">
        <f>計算表!N328</f>
        <v>0</v>
      </c>
      <c r="O312">
        <f>計算表!O328</f>
        <v>0</v>
      </c>
      <c r="P312">
        <f>計算表!P328</f>
        <v>0</v>
      </c>
      <c r="Q312">
        <f>計算表!Q328</f>
        <v>0</v>
      </c>
      <c r="R312">
        <f>計算表!R328</f>
        <v>0</v>
      </c>
    </row>
    <row r="313" spans="1:18" x14ac:dyDescent="0.25">
      <c r="A313">
        <f>計算表!A329</f>
        <v>328</v>
      </c>
      <c r="B313">
        <f>計算表!B329</f>
        <v>0</v>
      </c>
      <c r="C313" t="str">
        <f>計算表!C329</f>
        <v>表-稀有度</v>
      </c>
      <c r="D313" t="str">
        <f>計算表!D329</f>
        <v>創世</v>
      </c>
      <c r="E313" t="str">
        <f>計算表!E329</f>
        <v>（查表）</v>
      </c>
      <c r="F313" t="str">
        <f>計算表!F329</f>
        <v>a=詞條數值倍率 b=詞條數下限 c=詞條數上限 d=寶石插槽 e=附魔欄位 f=分解係數。</v>
      </c>
      <c r="G313">
        <f>計算表!G329</f>
        <v>6.8</v>
      </c>
      <c r="H313">
        <f>計算表!H329</f>
        <v>7</v>
      </c>
      <c r="I313">
        <f>計算表!I329</f>
        <v>7</v>
      </c>
      <c r="J313">
        <f>計算表!J329</f>
        <v>6</v>
      </c>
      <c r="K313">
        <f>計算表!K329</f>
        <v>3</v>
      </c>
      <c r="L313">
        <f>計算表!L329</f>
        <v>30</v>
      </c>
      <c r="M313">
        <f>計算表!M329</f>
        <v>0</v>
      </c>
      <c r="N313">
        <f>計算表!N329</f>
        <v>0</v>
      </c>
      <c r="O313">
        <f>計算表!O329</f>
        <v>0</v>
      </c>
      <c r="P313">
        <f>計算表!P329</f>
        <v>0</v>
      </c>
      <c r="Q313">
        <f>計算表!Q329</f>
        <v>0</v>
      </c>
      <c r="R313">
        <f>計算表!R329</f>
        <v>0</v>
      </c>
    </row>
    <row r="314" spans="1:18" x14ac:dyDescent="0.25">
      <c r="A314">
        <f>計算表!A330</f>
        <v>329</v>
      </c>
      <c r="B314">
        <f>計算表!B330</f>
        <v>0</v>
      </c>
      <c r="C314" t="str">
        <f>計算表!C330</f>
        <v>表-稀有度</v>
      </c>
      <c r="D314" t="str">
        <f>計算表!D330</f>
        <v>神鑄創世</v>
      </c>
      <c r="E314" t="str">
        <f>計算表!E330</f>
        <v>（查表）</v>
      </c>
      <c r="F314" t="str">
        <f>計算表!F330</f>
        <v>a=詞條數值倍率 b=詞條數下限 c=詞條數上限 d=寶石插槽 e=附魔欄位 f=分解係數。</v>
      </c>
      <c r="G314" s="7" t="s">
        <v>1072</v>
      </c>
      <c r="H314">
        <f>計算表!H330</f>
        <v>8</v>
      </c>
      <c r="I314">
        <f>計算表!I330</f>
        <v>8</v>
      </c>
      <c r="J314">
        <f>計算表!J330</f>
        <v>6</v>
      </c>
      <c r="K314">
        <f>計算表!K330</f>
        <v>3</v>
      </c>
      <c r="L314">
        <f>計算表!L330</f>
        <v>45</v>
      </c>
      <c r="M314">
        <f>計算表!M330</f>
        <v>0</v>
      </c>
      <c r="N314">
        <f>計算表!N330</f>
        <v>0</v>
      </c>
      <c r="O314">
        <f>計算表!O330</f>
        <v>0</v>
      </c>
      <c r="P314">
        <f>計算表!P330</f>
        <v>0</v>
      </c>
      <c r="Q314">
        <f>計算表!Q330</f>
        <v>0</v>
      </c>
      <c r="R314">
        <f>計算表!R330</f>
        <v>0</v>
      </c>
    </row>
    <row r="315" spans="1:18" x14ac:dyDescent="0.25">
      <c r="A315">
        <f>計算表!A331</f>
        <v>330</v>
      </c>
      <c r="B315">
        <f>計算表!B331</f>
        <v>0</v>
      </c>
      <c r="C315" t="str">
        <f>計算表!C331</f>
        <v>表-稀有度</v>
      </c>
      <c r="D315" t="str">
        <f>計算表!D331</f>
        <v>混沌</v>
      </c>
      <c r="E315" t="str">
        <f>計算表!E331</f>
        <v>（查表）</v>
      </c>
      <c r="F315" t="str">
        <f>計算表!F331</f>
        <v>a=詞條數值倍率 b=詞條數下限 c=詞條數上限 d=寶石插槽 e=附魔欄位 f=分解係數；倍率與分解係數為暫定值，可調整。</v>
      </c>
      <c r="G315">
        <f>計算表!G331</f>
        <v>15.3</v>
      </c>
      <c r="H315">
        <f>計算表!H331</f>
        <v>9</v>
      </c>
      <c r="I315">
        <f>計算表!I331</f>
        <v>9</v>
      </c>
      <c r="J315">
        <f>計算表!J331</f>
        <v>6</v>
      </c>
      <c r="K315">
        <f>計算表!K331</f>
        <v>3</v>
      </c>
      <c r="L315">
        <f>計算表!L331</f>
        <v>67.5</v>
      </c>
      <c r="M315">
        <f>計算表!M331</f>
        <v>0</v>
      </c>
      <c r="N315">
        <f>計算表!N331</f>
        <v>0</v>
      </c>
      <c r="O315">
        <f>計算表!O331</f>
        <v>0</v>
      </c>
      <c r="P315">
        <f>計算表!P331</f>
        <v>0</v>
      </c>
      <c r="Q315">
        <f>計算表!Q331</f>
        <v>0</v>
      </c>
      <c r="R315">
        <f>計算表!R331</f>
        <v>0</v>
      </c>
    </row>
    <row r="316" spans="1:18" x14ac:dyDescent="0.25">
      <c r="A316">
        <f>計算表!A332</f>
        <v>331</v>
      </c>
      <c r="B316">
        <f>計算表!B332</f>
        <v>0</v>
      </c>
      <c r="C316" t="str">
        <f>計算表!C332</f>
        <v>表-稀有度</v>
      </c>
      <c r="D316" t="str">
        <f>計算表!D332</f>
        <v>神鑄混沌</v>
      </c>
      <c r="E316" t="str">
        <f>計算表!E332</f>
        <v>（查表）</v>
      </c>
      <c r="F316" t="str">
        <f>計算表!F332</f>
        <v>a=詞條數值倍率 b=詞條數下限 c=詞條數上限 d=寶石插槽 e=附魔欄位 f=分解係數；倍率與分解係數為暫定值，可調整。</v>
      </c>
      <c r="G316">
        <f>計算表!G332</f>
        <v>22.95</v>
      </c>
      <c r="H316">
        <f>計算表!H332</f>
        <v>10</v>
      </c>
      <c r="I316">
        <f>計算表!I332</f>
        <v>10</v>
      </c>
      <c r="J316">
        <f>計算表!J332</f>
        <v>7</v>
      </c>
      <c r="K316">
        <f>計算表!K332</f>
        <v>3</v>
      </c>
      <c r="L316">
        <f>計算表!L332</f>
        <v>101.25</v>
      </c>
      <c r="M316">
        <f>計算表!M332</f>
        <v>0</v>
      </c>
      <c r="N316">
        <f>計算表!N332</f>
        <v>0</v>
      </c>
      <c r="O316">
        <f>計算表!O332</f>
        <v>0</v>
      </c>
      <c r="P316">
        <f>計算表!P332</f>
        <v>0</v>
      </c>
      <c r="Q316">
        <f>計算表!Q332</f>
        <v>0</v>
      </c>
      <c r="R316">
        <f>計算表!R332</f>
        <v>0</v>
      </c>
    </row>
    <row r="317" spans="1:18" x14ac:dyDescent="0.25">
      <c r="A317">
        <f>計算表!A333</f>
        <v>332</v>
      </c>
      <c r="B317">
        <f>計算表!B333</f>
        <v>0</v>
      </c>
      <c r="C317" t="str">
        <f>計算表!C333</f>
        <v>6-裝備</v>
      </c>
      <c r="D317" t="str">
        <f>計算表!D333</f>
        <v>等級前不出現的屬性</v>
      </c>
      <c r="E317" t="str">
        <f>計算表!E333</f>
        <v>裝備等級（或角色等級）≤ 等級 時，陣列內的詞條不出現</v>
      </c>
      <c r="F317" t="str">
        <f>計算表!F333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317">
        <f>計算表!G333</f>
        <v>200</v>
      </c>
      <c r="H317" t="str">
        <f>計算表!H333</f>
        <v>{elemDmgFire,elemDmgIce,elemDmgLightning,elemDmgPoison,elemDmgLight,elemDmgDark,elemDmgEarth,elemDmgWind,resFire,resIce,resLightning,resPoison,resLight,resDark,resEarth,resWind,resAll}</v>
      </c>
      <c r="I317">
        <f>計算表!I333</f>
        <v>0</v>
      </c>
      <c r="J317">
        <f>計算表!J333</f>
        <v>0</v>
      </c>
      <c r="K317">
        <f>計算表!K333</f>
        <v>0</v>
      </c>
      <c r="L317">
        <f>計算表!L333</f>
        <v>0</v>
      </c>
      <c r="M317">
        <f>計算表!M333</f>
        <v>0</v>
      </c>
      <c r="N317">
        <f>計算表!N333</f>
        <v>0</v>
      </c>
      <c r="O317">
        <f>計算表!O333</f>
        <v>0</v>
      </c>
      <c r="P317">
        <f>計算表!P333</f>
        <v>0</v>
      </c>
      <c r="Q317">
        <f>計算表!Q333</f>
        <v>0</v>
      </c>
      <c r="R317">
        <f>計算表!R333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3"/>
  <sheetViews>
    <sheetView tabSelected="1" topLeftCell="A69" workbookViewId="0">
      <selection activeCell="I87" sqref="I87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950</v>
      </c>
      <c r="D2" t="s">
        <v>951</v>
      </c>
      <c r="E2" t="s">
        <v>952</v>
      </c>
      <c r="F2" t="s">
        <v>953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950</v>
      </c>
      <c r="D3" t="s">
        <v>954</v>
      </c>
      <c r="E3" t="s">
        <v>952</v>
      </c>
      <c r="F3" t="s">
        <v>955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950</v>
      </c>
      <c r="D4" t="s">
        <v>956</v>
      </c>
      <c r="E4" t="s">
        <v>952</v>
      </c>
      <c r="F4" t="s">
        <v>957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843</v>
      </c>
      <c r="D5" t="s">
        <v>844</v>
      </c>
      <c r="E5" t="s">
        <v>845</v>
      </c>
      <c r="F5" t="s">
        <v>846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843</v>
      </c>
      <c r="D6" t="s">
        <v>847</v>
      </c>
      <c r="E6" t="s">
        <v>848</v>
      </c>
      <c r="F6" t="s">
        <v>849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843</v>
      </c>
      <c r="D7" t="s">
        <v>850</v>
      </c>
      <c r="E7" t="s">
        <v>851</v>
      </c>
      <c r="F7" t="s">
        <v>852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843</v>
      </c>
      <c r="D8" t="s">
        <v>853</v>
      </c>
      <c r="E8" t="s">
        <v>854</v>
      </c>
      <c r="F8" t="s">
        <v>855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6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924</v>
      </c>
      <c r="E15" t="s">
        <v>925</v>
      </c>
      <c r="F15" t="s">
        <v>926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927</v>
      </c>
      <c r="E16" t="s">
        <v>928</v>
      </c>
      <c r="F16" t="s">
        <v>929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147</v>
      </c>
      <c r="D38" t="s">
        <v>148</v>
      </c>
      <c r="E38" t="s">
        <v>149</v>
      </c>
      <c r="F38" t="s">
        <v>150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147</v>
      </c>
      <c r="D39" t="s">
        <v>151</v>
      </c>
      <c r="E39" t="s">
        <v>149</v>
      </c>
      <c r="F39" t="s">
        <v>152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147</v>
      </c>
      <c r="D40" t="s">
        <v>153</v>
      </c>
      <c r="E40" t="s">
        <v>149</v>
      </c>
      <c r="F40" t="s">
        <v>154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147</v>
      </c>
      <c r="D41" t="s">
        <v>155</v>
      </c>
      <c r="E41" t="s">
        <v>149</v>
      </c>
      <c r="F41" t="s">
        <v>156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147</v>
      </c>
      <c r="D42" t="s">
        <v>157</v>
      </c>
      <c r="E42" t="s">
        <v>149</v>
      </c>
      <c r="F42" t="s">
        <v>158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147</v>
      </c>
      <c r="D43" t="s">
        <v>159</v>
      </c>
      <c r="E43" t="s">
        <v>149</v>
      </c>
      <c r="F43" s="7" t="s">
        <v>1073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147</v>
      </c>
      <c r="D44" t="s">
        <v>160</v>
      </c>
      <c r="E44" t="s">
        <v>149</v>
      </c>
      <c r="F44" s="7" t="s">
        <v>1074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147</v>
      </c>
      <c r="D45" t="s">
        <v>161</v>
      </c>
      <c r="E45" t="s">
        <v>149</v>
      </c>
      <c r="F45" t="s">
        <v>162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147</v>
      </c>
      <c r="D46" t="s">
        <v>163</v>
      </c>
      <c r="E46" t="s">
        <v>149</v>
      </c>
      <c r="F46" t="s">
        <v>164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147</v>
      </c>
      <c r="D47" t="s">
        <v>165</v>
      </c>
      <c r="E47" t="s">
        <v>149</v>
      </c>
      <c r="F47" t="s">
        <v>166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147</v>
      </c>
      <c r="D48" t="s">
        <v>167</v>
      </c>
      <c r="E48" t="s">
        <v>149</v>
      </c>
      <c r="F48" t="s">
        <v>168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147</v>
      </c>
      <c r="D49" t="s">
        <v>169</v>
      </c>
      <c r="E49" t="s">
        <v>149</v>
      </c>
      <c r="F49" t="s">
        <v>170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147</v>
      </c>
      <c r="D50" t="s">
        <v>171</v>
      </c>
      <c r="E50" t="s">
        <v>149</v>
      </c>
      <c r="F50" t="s">
        <v>172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147</v>
      </c>
      <c r="D51" t="s">
        <v>173</v>
      </c>
      <c r="E51" t="s">
        <v>149</v>
      </c>
      <c r="F51" t="s">
        <v>174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147</v>
      </c>
      <c r="D52" t="s">
        <v>175</v>
      </c>
      <c r="E52" t="s">
        <v>149</v>
      </c>
      <c r="F52" t="s">
        <v>176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147</v>
      </c>
      <c r="D53" t="s">
        <v>177</v>
      </c>
      <c r="E53" t="s">
        <v>149</v>
      </c>
      <c r="F53" t="s">
        <v>178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147</v>
      </c>
      <c r="D54" t="s">
        <v>179</v>
      </c>
      <c r="E54" t="s">
        <v>149</v>
      </c>
      <c r="F54" t="s">
        <v>180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147</v>
      </c>
      <c r="D55" t="s">
        <v>181</v>
      </c>
      <c r="E55" t="s">
        <v>182</v>
      </c>
      <c r="F55" t="s">
        <v>183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147</v>
      </c>
      <c r="D56" t="s">
        <v>184</v>
      </c>
      <c r="E56" t="s">
        <v>149</v>
      </c>
      <c r="F56" t="s">
        <v>185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147</v>
      </c>
      <c r="D57" t="s">
        <v>186</v>
      </c>
      <c r="E57" t="s">
        <v>149</v>
      </c>
      <c r="F57" t="s">
        <v>187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1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.75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s="6" t="s">
        <v>1016</v>
      </c>
      <c r="F68" s="3" t="s">
        <v>1017</v>
      </c>
      <c r="G68">
        <v>0.86</v>
      </c>
      <c r="H68">
        <v>0.2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135</v>
      </c>
      <c r="E69" t="s">
        <v>136</v>
      </c>
      <c r="F69" t="s">
        <v>137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138</v>
      </c>
      <c r="E70" t="s">
        <v>136</v>
      </c>
      <c r="F70" t="s">
        <v>139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140</v>
      </c>
      <c r="E71" t="s">
        <v>141</v>
      </c>
      <c r="F71" t="s">
        <v>142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143</v>
      </c>
      <c r="E72" t="s">
        <v>1075</v>
      </c>
      <c r="F72" t="s">
        <v>1076</v>
      </c>
      <c r="G72">
        <v>5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144</v>
      </c>
      <c r="E73" t="s">
        <v>145</v>
      </c>
      <c r="F73" t="s">
        <v>146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233</v>
      </c>
      <c r="D74" t="s">
        <v>234</v>
      </c>
      <c r="E74" t="s">
        <v>235</v>
      </c>
      <c r="F74" t="s">
        <v>236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233</v>
      </c>
      <c r="D75" t="s">
        <v>237</v>
      </c>
      <c r="E75" t="s">
        <v>235</v>
      </c>
      <c r="F75" t="s">
        <v>238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233</v>
      </c>
      <c r="D76" t="s">
        <v>239</v>
      </c>
      <c r="E76" t="s">
        <v>235</v>
      </c>
      <c r="F76" t="s">
        <v>240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233</v>
      </c>
      <c r="D77" t="s">
        <v>241</v>
      </c>
      <c r="E77" t="s">
        <v>235</v>
      </c>
      <c r="F77" t="s">
        <v>242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233</v>
      </c>
      <c r="D78" t="s">
        <v>243</v>
      </c>
      <c r="E78" t="s">
        <v>235</v>
      </c>
      <c r="F78" t="s">
        <v>244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188</v>
      </c>
      <c r="D79" t="s">
        <v>189</v>
      </c>
      <c r="E79" t="s">
        <v>190</v>
      </c>
      <c r="F79" t="s">
        <v>191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188</v>
      </c>
      <c r="D80" t="s">
        <v>192</v>
      </c>
      <c r="E80" t="s">
        <v>193</v>
      </c>
      <c r="F80" t="s">
        <v>194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188</v>
      </c>
      <c r="D81" t="s">
        <v>195</v>
      </c>
      <c r="E81" t="s">
        <v>193</v>
      </c>
      <c r="F81" t="s">
        <v>196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188</v>
      </c>
      <c r="D82" t="s">
        <v>197</v>
      </c>
      <c r="E82" t="s">
        <v>193</v>
      </c>
      <c r="F82" t="s">
        <v>196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188</v>
      </c>
      <c r="D83" t="s">
        <v>198</v>
      </c>
      <c r="E83" t="s">
        <v>193</v>
      </c>
      <c r="F83" t="s">
        <v>199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188</v>
      </c>
      <c r="D84" t="s">
        <v>200</v>
      </c>
      <c r="E84" t="s">
        <v>201</v>
      </c>
      <c r="F84" t="s">
        <v>202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188</v>
      </c>
      <c r="D85" t="s">
        <v>203</v>
      </c>
      <c r="E85" t="s">
        <v>204</v>
      </c>
      <c r="F85" t="s">
        <v>205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188</v>
      </c>
      <c r="D86" t="s">
        <v>206</v>
      </c>
      <c r="E86" t="s">
        <v>207</v>
      </c>
      <c r="F86" t="s">
        <v>208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188</v>
      </c>
      <c r="D87" t="s">
        <v>209</v>
      </c>
      <c r="E87" s="7" t="s">
        <v>1082</v>
      </c>
      <c r="F87" s="7" t="s">
        <v>1083</v>
      </c>
      <c r="G87">
        <v>10</v>
      </c>
      <c r="H87">
        <v>10</v>
      </c>
      <c r="I87">
        <v>10</v>
      </c>
      <c r="J87">
        <v>0.5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188</v>
      </c>
      <c r="D88" t="s">
        <v>210</v>
      </c>
      <c r="E88" t="s">
        <v>211</v>
      </c>
      <c r="F88" t="s">
        <v>212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188</v>
      </c>
      <c r="D89" t="s">
        <v>213</v>
      </c>
      <c r="E89" t="s">
        <v>214</v>
      </c>
      <c r="F89" t="s">
        <v>215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188</v>
      </c>
      <c r="D90" t="s">
        <v>216</v>
      </c>
      <c r="E90" t="s">
        <v>217</v>
      </c>
      <c r="F90" t="s">
        <v>218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188</v>
      </c>
      <c r="D91" t="s">
        <v>219</v>
      </c>
      <c r="E91" t="s">
        <v>211</v>
      </c>
      <c r="F91" t="s">
        <v>220</v>
      </c>
      <c r="G91">
        <v>1000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188</v>
      </c>
      <c r="D92" t="s">
        <v>221</v>
      </c>
      <c r="E92" t="s">
        <v>222</v>
      </c>
      <c r="F92" t="s">
        <v>223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188</v>
      </c>
      <c r="D93" t="s">
        <v>224</v>
      </c>
      <c r="E93" t="s">
        <v>225</v>
      </c>
      <c r="F93" t="s">
        <v>226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188</v>
      </c>
      <c r="D94" t="s">
        <v>227</v>
      </c>
      <c r="E94" t="s">
        <v>228</v>
      </c>
      <c r="F94" t="s">
        <v>229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188</v>
      </c>
      <c r="D95" t="s">
        <v>230</v>
      </c>
      <c r="E95" t="s">
        <v>231</v>
      </c>
      <c r="F95" t="s">
        <v>232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188</v>
      </c>
      <c r="D96" s="1" t="s">
        <v>958</v>
      </c>
      <c r="E96" s="2" t="s">
        <v>959</v>
      </c>
      <c r="F96" s="2" t="s">
        <v>960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314</v>
      </c>
      <c r="D97" t="s">
        <v>315</v>
      </c>
      <c r="E97" t="s">
        <v>316</v>
      </c>
      <c r="F97" t="s">
        <v>317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314</v>
      </c>
      <c r="D98" t="s">
        <v>318</v>
      </c>
      <c r="E98" t="s">
        <v>319</v>
      </c>
      <c r="F98" t="s">
        <v>320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314</v>
      </c>
      <c r="D99" t="s">
        <v>135</v>
      </c>
      <c r="E99" t="s">
        <v>321</v>
      </c>
      <c r="F99" t="s">
        <v>322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314</v>
      </c>
      <c r="D100" t="s">
        <v>323</v>
      </c>
      <c r="E100" t="s">
        <v>324</v>
      </c>
      <c r="F100" t="s">
        <v>325</v>
      </c>
      <c r="G100" t="s">
        <v>326</v>
      </c>
      <c r="H100" t="s">
        <v>327</v>
      </c>
      <c r="I100" t="s">
        <v>328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314</v>
      </c>
      <c r="D101" t="s">
        <v>246</v>
      </c>
      <c r="E101" t="s">
        <v>329</v>
      </c>
      <c r="F101" t="s">
        <v>330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314</v>
      </c>
      <c r="D102" t="s">
        <v>249</v>
      </c>
      <c r="E102" t="s">
        <v>331</v>
      </c>
      <c r="F102" t="s">
        <v>332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314</v>
      </c>
      <c r="D103" t="s">
        <v>333</v>
      </c>
      <c r="E103" t="s">
        <v>334</v>
      </c>
      <c r="F103" t="s">
        <v>335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314</v>
      </c>
      <c r="D104" t="s">
        <v>336</v>
      </c>
      <c r="E104" t="s">
        <v>337</v>
      </c>
      <c r="F104" t="s">
        <v>338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314</v>
      </c>
      <c r="D105" t="s">
        <v>138</v>
      </c>
      <c r="E105" t="s">
        <v>339</v>
      </c>
      <c r="F105" t="s">
        <v>340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314</v>
      </c>
      <c r="D106" t="s">
        <v>341</v>
      </c>
      <c r="E106" t="s">
        <v>342</v>
      </c>
      <c r="F106" t="s">
        <v>343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314</v>
      </c>
      <c r="D107" t="s">
        <v>252</v>
      </c>
      <c r="E107" t="s">
        <v>344</v>
      </c>
      <c r="F107" t="s">
        <v>345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314</v>
      </c>
      <c r="D108" t="s">
        <v>346</v>
      </c>
      <c r="E108" t="s">
        <v>347</v>
      </c>
      <c r="F108" t="s">
        <v>348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314</v>
      </c>
      <c r="D109" t="s">
        <v>349</v>
      </c>
      <c r="E109" t="s">
        <v>350</v>
      </c>
      <c r="F109" t="s">
        <v>351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314</v>
      </c>
      <c r="D110" t="s">
        <v>352</v>
      </c>
      <c r="E110" t="s">
        <v>350</v>
      </c>
      <c r="F110" t="s">
        <v>353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314</v>
      </c>
      <c r="D111" t="s">
        <v>354</v>
      </c>
      <c r="E111" t="s">
        <v>355</v>
      </c>
      <c r="F111" t="s">
        <v>356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314</v>
      </c>
      <c r="D112" t="s">
        <v>357</v>
      </c>
      <c r="E112" t="s">
        <v>358</v>
      </c>
      <c r="F112" t="s">
        <v>359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314</v>
      </c>
      <c r="D113" t="s">
        <v>360</v>
      </c>
      <c r="E113" t="s">
        <v>361</v>
      </c>
      <c r="F113" t="s">
        <v>362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314</v>
      </c>
      <c r="D114" t="s">
        <v>363</v>
      </c>
      <c r="E114" t="s">
        <v>364</v>
      </c>
      <c r="F114" t="s">
        <v>353</v>
      </c>
      <c r="G114" t="s">
        <v>365</v>
      </c>
      <c r="H114" t="s">
        <v>366</v>
      </c>
      <c r="I114" t="s">
        <v>367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304</v>
      </c>
      <c r="D115" t="s">
        <v>305</v>
      </c>
      <c r="E115" t="s">
        <v>306</v>
      </c>
      <c r="F115" t="s">
        <v>307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304</v>
      </c>
      <c r="D116" t="s">
        <v>308</v>
      </c>
      <c r="E116" t="s">
        <v>309</v>
      </c>
      <c r="F116" t="s">
        <v>310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304</v>
      </c>
      <c r="D117" t="s">
        <v>311</v>
      </c>
      <c r="E117" t="s">
        <v>272</v>
      </c>
      <c r="F117" t="s">
        <v>312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245</v>
      </c>
      <c r="D118" t="s">
        <v>246</v>
      </c>
      <c r="E118" t="s">
        <v>247</v>
      </c>
      <c r="F118" t="s">
        <v>248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245</v>
      </c>
      <c r="D119" t="s">
        <v>249</v>
      </c>
      <c r="E119" t="s">
        <v>247</v>
      </c>
      <c r="F119" t="s">
        <v>248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245</v>
      </c>
      <c r="D120" t="s">
        <v>119</v>
      </c>
      <c r="E120" t="s">
        <v>247</v>
      </c>
      <c r="F120" t="s">
        <v>250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245</v>
      </c>
      <c r="D121" t="s">
        <v>251</v>
      </c>
      <c r="E121" t="s">
        <v>247</v>
      </c>
      <c r="F121" t="s">
        <v>248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245</v>
      </c>
      <c r="D122" t="s">
        <v>252</v>
      </c>
      <c r="E122" t="s">
        <v>247</v>
      </c>
      <c r="F122" t="s">
        <v>248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245</v>
      </c>
      <c r="D123" t="s">
        <v>134</v>
      </c>
      <c r="E123" t="s">
        <v>253</v>
      </c>
      <c r="F123" t="s">
        <v>254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245</v>
      </c>
      <c r="D124" t="s">
        <v>135</v>
      </c>
      <c r="E124" t="s">
        <v>255</v>
      </c>
      <c r="F124" t="s">
        <v>256</v>
      </c>
      <c r="G124">
        <v>100</v>
      </c>
      <c r="H124" t="s">
        <v>257</v>
      </c>
      <c r="I124" t="s">
        <v>258</v>
      </c>
      <c r="J124" t="s">
        <v>259</v>
      </c>
      <c r="K124" t="s">
        <v>260</v>
      </c>
      <c r="L124" t="s">
        <v>261</v>
      </c>
      <c r="M124" t="s">
        <v>262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245</v>
      </c>
      <c r="D125" t="s">
        <v>138</v>
      </c>
      <c r="E125" t="s">
        <v>255</v>
      </c>
      <c r="F125" t="s">
        <v>263</v>
      </c>
      <c r="G125">
        <v>5</v>
      </c>
      <c r="H125" t="s">
        <v>257</v>
      </c>
      <c r="I125" t="s">
        <v>264</v>
      </c>
      <c r="J125" t="s">
        <v>265</v>
      </c>
      <c r="K125" t="s">
        <v>266</v>
      </c>
      <c r="L125" t="s">
        <v>267</v>
      </c>
      <c r="M125" t="s">
        <v>268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245</v>
      </c>
      <c r="D126" t="s">
        <v>269</v>
      </c>
      <c r="E126" t="s">
        <v>270</v>
      </c>
      <c r="F126" t="s">
        <v>271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245</v>
      </c>
      <c r="D127" s="1" t="s">
        <v>979</v>
      </c>
      <c r="E127" t="s">
        <v>272</v>
      </c>
      <c r="F127" t="s">
        <v>273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274</v>
      </c>
      <c r="D128" s="2" t="s">
        <v>965</v>
      </c>
      <c r="E128" t="s">
        <v>275</v>
      </c>
      <c r="F128" t="s">
        <v>276</v>
      </c>
      <c r="G128" t="s">
        <v>277</v>
      </c>
      <c r="H128" t="s">
        <v>278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274</v>
      </c>
      <c r="D129" t="s">
        <v>961</v>
      </c>
      <c r="E129" t="s">
        <v>275</v>
      </c>
      <c r="F129" t="s">
        <v>276</v>
      </c>
      <c r="G129" t="s">
        <v>279</v>
      </c>
      <c r="H129" t="s">
        <v>280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274</v>
      </c>
      <c r="D130" t="s">
        <v>962</v>
      </c>
      <c r="E130" t="s">
        <v>275</v>
      </c>
      <c r="F130" t="s">
        <v>276</v>
      </c>
      <c r="G130" t="s">
        <v>281</v>
      </c>
      <c r="H130" t="s">
        <v>282</v>
      </c>
      <c r="I130" t="s">
        <v>283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274</v>
      </c>
      <c r="D131" t="s">
        <v>963</v>
      </c>
      <c r="E131" t="s">
        <v>275</v>
      </c>
      <c r="F131" t="s">
        <v>276</v>
      </c>
      <c r="G131" t="s">
        <v>284</v>
      </c>
      <c r="H131" t="s">
        <v>285</v>
      </c>
      <c r="I131" t="s">
        <v>286</v>
      </c>
      <c r="J131" t="s">
        <v>287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274</v>
      </c>
      <c r="D132" t="s">
        <v>964</v>
      </c>
      <c r="E132" t="s">
        <v>275</v>
      </c>
      <c r="F132" t="s">
        <v>276</v>
      </c>
      <c r="G132" s="3" t="s">
        <v>1010</v>
      </c>
      <c r="H132" t="s">
        <v>288</v>
      </c>
      <c r="I132" t="s">
        <v>289</v>
      </c>
      <c r="J132" s="3" t="s">
        <v>1004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274</v>
      </c>
      <c r="D133" s="2" t="s">
        <v>1003</v>
      </c>
      <c r="E133" t="s">
        <v>275</v>
      </c>
      <c r="F133" t="s">
        <v>276</v>
      </c>
      <c r="G133" s="3" t="s">
        <v>1006</v>
      </c>
      <c r="H133" s="3" t="s">
        <v>1007</v>
      </c>
      <c r="I133" s="3" t="s">
        <v>1005</v>
      </c>
      <c r="J133" s="3" t="s">
        <v>1008</v>
      </c>
      <c r="K133" s="3" t="s">
        <v>1009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274</v>
      </c>
      <c r="D134" s="2" t="s">
        <v>1011</v>
      </c>
      <c r="E134" t="s">
        <v>275</v>
      </c>
      <c r="F134" t="s">
        <v>276</v>
      </c>
      <c r="G134" s="3" t="s">
        <v>1002</v>
      </c>
      <c r="H134" s="3" t="s">
        <v>975</v>
      </c>
      <c r="I134" s="3" t="s">
        <v>1012</v>
      </c>
      <c r="J134" s="3" t="s">
        <v>1013</v>
      </c>
      <c r="K134" s="3" t="s">
        <v>1000</v>
      </c>
      <c r="L134" s="3" t="s">
        <v>1001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274</v>
      </c>
      <c r="D135" s="2" t="s">
        <v>966</v>
      </c>
      <c r="E135" t="s">
        <v>275</v>
      </c>
      <c r="F135" t="s">
        <v>290</v>
      </c>
      <c r="G135" t="s">
        <v>277</v>
      </c>
      <c r="H135" t="s">
        <v>278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274</v>
      </c>
      <c r="D136" s="2" t="s">
        <v>967</v>
      </c>
      <c r="E136" t="s">
        <v>275</v>
      </c>
      <c r="F136" t="s">
        <v>290</v>
      </c>
      <c r="G136" s="3" t="s">
        <v>972</v>
      </c>
      <c r="H136" s="3" t="s">
        <v>970</v>
      </c>
      <c r="I136" s="3" t="s">
        <v>971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274</v>
      </c>
      <c r="D137" s="2" t="s">
        <v>968</v>
      </c>
      <c r="E137" t="s">
        <v>275</v>
      </c>
      <c r="F137" t="s">
        <v>290</v>
      </c>
      <c r="G137" s="3" t="s">
        <v>973</v>
      </c>
      <c r="H137" s="3" t="s">
        <v>974</v>
      </c>
      <c r="I137" s="3" t="s">
        <v>975</v>
      </c>
      <c r="J137" s="3" t="s">
        <v>977</v>
      </c>
      <c r="K137" s="3" t="s">
        <v>976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274</v>
      </c>
      <c r="D138" s="2" t="s">
        <v>969</v>
      </c>
      <c r="E138" t="s">
        <v>275</v>
      </c>
      <c r="F138" t="s">
        <v>290</v>
      </c>
      <c r="G138" s="3" t="s">
        <v>988</v>
      </c>
      <c r="H138" s="3" t="s">
        <v>989</v>
      </c>
      <c r="I138" s="3" t="s">
        <v>990</v>
      </c>
      <c r="J138" s="3" t="s">
        <v>991</v>
      </c>
      <c r="K138" s="3" t="s">
        <v>992</v>
      </c>
      <c r="L138" s="3" t="s">
        <v>993</v>
      </c>
      <c r="M138" s="3" t="s">
        <v>994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274</v>
      </c>
      <c r="D139" s="2" t="s">
        <v>978</v>
      </c>
      <c r="E139" t="s">
        <v>275</v>
      </c>
      <c r="F139" t="s">
        <v>290</v>
      </c>
      <c r="G139" s="3" t="s">
        <v>981</v>
      </c>
      <c r="H139" s="3" t="s">
        <v>982</v>
      </c>
      <c r="I139" s="3" t="s">
        <v>980</v>
      </c>
      <c r="J139" s="3" t="s">
        <v>983</v>
      </c>
      <c r="K139" s="3" t="s">
        <v>984</v>
      </c>
      <c r="L139" s="3" t="s">
        <v>985</v>
      </c>
      <c r="M139" s="3" t="s">
        <v>986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274</v>
      </c>
      <c r="D140" t="s">
        <v>291</v>
      </c>
      <c r="E140" t="s">
        <v>275</v>
      </c>
      <c r="F140" t="s">
        <v>292</v>
      </c>
      <c r="G140" t="s">
        <v>293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294</v>
      </c>
      <c r="D141" t="s">
        <v>295</v>
      </c>
      <c r="E141" t="s">
        <v>296</v>
      </c>
      <c r="F141" t="s">
        <v>297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294</v>
      </c>
      <c r="D142" t="s">
        <v>298</v>
      </c>
      <c r="E142" t="s">
        <v>299</v>
      </c>
      <c r="F142" t="s">
        <v>300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294</v>
      </c>
      <c r="D143" t="s">
        <v>301</v>
      </c>
      <c r="E143" t="s">
        <v>302</v>
      </c>
      <c r="F143" t="s">
        <v>303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398</v>
      </c>
      <c r="D144" t="s">
        <v>399</v>
      </c>
      <c r="E144" t="s">
        <v>400</v>
      </c>
      <c r="F144" t="s">
        <v>401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398</v>
      </c>
      <c r="D145" t="s">
        <v>402</v>
      </c>
      <c r="E145" t="s">
        <v>403</v>
      </c>
      <c r="F145" t="s">
        <v>404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398</v>
      </c>
      <c r="D146" t="s">
        <v>405</v>
      </c>
      <c r="E146" t="s">
        <v>406</v>
      </c>
      <c r="F146" t="s">
        <v>407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398</v>
      </c>
      <c r="D147" t="s">
        <v>408</v>
      </c>
      <c r="E147" t="s">
        <v>409</v>
      </c>
      <c r="F147" t="s">
        <v>410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398</v>
      </c>
      <c r="D148" t="s">
        <v>411</v>
      </c>
      <c r="E148" t="s">
        <v>412</v>
      </c>
      <c r="F148" t="s">
        <v>413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398</v>
      </c>
      <c r="D149" t="s">
        <v>414</v>
      </c>
      <c r="E149" t="s">
        <v>415</v>
      </c>
      <c r="F149" t="s">
        <v>416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398</v>
      </c>
      <c r="D150" t="s">
        <v>417</v>
      </c>
      <c r="E150" t="s">
        <v>418</v>
      </c>
      <c r="F150" t="s">
        <v>419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398</v>
      </c>
      <c r="D151" t="s">
        <v>420</v>
      </c>
      <c r="E151" t="s">
        <v>421</v>
      </c>
      <c r="F151" t="s">
        <v>422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398</v>
      </c>
      <c r="D152" t="s">
        <v>423</v>
      </c>
      <c r="E152" t="s">
        <v>424</v>
      </c>
      <c r="F152" t="s">
        <v>425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398</v>
      </c>
      <c r="D153" t="s">
        <v>426</v>
      </c>
      <c r="E153" t="s">
        <v>427</v>
      </c>
      <c r="F153" t="s">
        <v>428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398</v>
      </c>
      <c r="D154" t="s">
        <v>429</v>
      </c>
      <c r="E154" t="s">
        <v>430</v>
      </c>
      <c r="F154" t="s">
        <v>431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398</v>
      </c>
      <c r="D155" t="s">
        <v>432</v>
      </c>
      <c r="E155" t="s">
        <v>433</v>
      </c>
      <c r="F155" t="s">
        <v>434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398</v>
      </c>
      <c r="D156" t="s">
        <v>435</v>
      </c>
      <c r="E156" t="s">
        <v>436</v>
      </c>
      <c r="F156" t="s">
        <v>437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453</v>
      </c>
      <c r="D157" t="s">
        <v>454</v>
      </c>
      <c r="E157" t="s">
        <v>455</v>
      </c>
      <c r="F157" t="s">
        <v>456</v>
      </c>
      <c r="G157" t="s">
        <v>457</v>
      </c>
      <c r="H157" t="s">
        <v>458</v>
      </c>
      <c r="I157" t="s">
        <v>459</v>
      </c>
      <c r="J157" t="s">
        <v>460</v>
      </c>
      <c r="K157" t="s">
        <v>461</v>
      </c>
      <c r="L157" t="s">
        <v>462</v>
      </c>
      <c r="M157" t="s">
        <v>463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453</v>
      </c>
      <c r="D158" t="s">
        <v>464</v>
      </c>
      <c r="E158" t="s">
        <v>455</v>
      </c>
      <c r="F158" t="s">
        <v>456</v>
      </c>
      <c r="G158" t="s">
        <v>457</v>
      </c>
      <c r="H158" t="s">
        <v>458</v>
      </c>
      <c r="I158" t="s">
        <v>459</v>
      </c>
      <c r="J158" t="s">
        <v>460</v>
      </c>
      <c r="K158" t="s">
        <v>461</v>
      </c>
      <c r="L158" t="s">
        <v>462</v>
      </c>
      <c r="M158" t="s">
        <v>463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453</v>
      </c>
      <c r="D159" t="s">
        <v>465</v>
      </c>
      <c r="E159" t="s">
        <v>455</v>
      </c>
      <c r="F159" t="s">
        <v>456</v>
      </c>
      <c r="G159" t="s">
        <v>466</v>
      </c>
      <c r="H159" t="s">
        <v>467</v>
      </c>
      <c r="I159" t="s">
        <v>459</v>
      </c>
      <c r="J159" t="s">
        <v>460</v>
      </c>
      <c r="K159" t="s">
        <v>461</v>
      </c>
      <c r="L159" t="s">
        <v>462</v>
      </c>
      <c r="M159" t="s">
        <v>463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453</v>
      </c>
      <c r="D160" t="s">
        <v>468</v>
      </c>
      <c r="E160" t="s">
        <v>455</v>
      </c>
      <c r="F160" t="s">
        <v>456</v>
      </c>
      <c r="G160" t="s">
        <v>469</v>
      </c>
      <c r="H160" t="s">
        <v>467</v>
      </c>
      <c r="I160" t="s">
        <v>470</v>
      </c>
      <c r="J160" t="s">
        <v>471</v>
      </c>
      <c r="K160" t="s">
        <v>461</v>
      </c>
      <c r="L160" t="s">
        <v>462</v>
      </c>
      <c r="M160" t="s">
        <v>463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453</v>
      </c>
      <c r="D161" t="s">
        <v>472</v>
      </c>
      <c r="E161" t="s">
        <v>455</v>
      </c>
      <c r="F161" t="s">
        <v>456</v>
      </c>
      <c r="G161" t="s">
        <v>473</v>
      </c>
      <c r="H161" t="s">
        <v>474</v>
      </c>
      <c r="I161" t="s">
        <v>470</v>
      </c>
      <c r="J161" t="s">
        <v>471</v>
      </c>
      <c r="K161" t="s">
        <v>475</v>
      </c>
      <c r="L161" t="s">
        <v>476</v>
      </c>
      <c r="M161" t="s">
        <v>477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453</v>
      </c>
      <c r="D162" t="s">
        <v>478</v>
      </c>
      <c r="E162" t="s">
        <v>455</v>
      </c>
      <c r="F162" t="s">
        <v>456</v>
      </c>
      <c r="G162" t="s">
        <v>479</v>
      </c>
      <c r="H162" t="s">
        <v>480</v>
      </c>
      <c r="I162" t="s">
        <v>481</v>
      </c>
      <c r="J162" t="s">
        <v>482</v>
      </c>
      <c r="K162" t="s">
        <v>483</v>
      </c>
      <c r="L162" t="s">
        <v>484</v>
      </c>
      <c r="M162" t="s">
        <v>485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453</v>
      </c>
      <c r="D163" t="s">
        <v>486</v>
      </c>
      <c r="E163" t="s">
        <v>455</v>
      </c>
      <c r="F163" t="s">
        <v>456</v>
      </c>
      <c r="G163" t="s">
        <v>487</v>
      </c>
      <c r="H163" t="s">
        <v>488</v>
      </c>
      <c r="I163" t="s">
        <v>489</v>
      </c>
      <c r="J163" t="s">
        <v>490</v>
      </c>
      <c r="K163" t="s">
        <v>491</v>
      </c>
      <c r="L163" t="s">
        <v>492</v>
      </c>
      <c r="M163" t="s">
        <v>493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453</v>
      </c>
      <c r="D164" t="s">
        <v>494</v>
      </c>
      <c r="E164" t="s">
        <v>455</v>
      </c>
      <c r="F164" t="s">
        <v>456</v>
      </c>
      <c r="G164" t="s">
        <v>487</v>
      </c>
      <c r="H164" t="s">
        <v>458</v>
      </c>
      <c r="I164" t="s">
        <v>459</v>
      </c>
      <c r="J164" t="s">
        <v>460</v>
      </c>
      <c r="K164" t="s">
        <v>495</v>
      </c>
      <c r="L164" t="s">
        <v>496</v>
      </c>
      <c r="M164" t="s">
        <v>497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438</v>
      </c>
      <c r="D165" t="s">
        <v>439</v>
      </c>
      <c r="E165" t="s">
        <v>440</v>
      </c>
      <c r="F165" t="s">
        <v>441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438</v>
      </c>
      <c r="D166" t="s">
        <v>251</v>
      </c>
      <c r="E166" t="s">
        <v>442</v>
      </c>
      <c r="F166" t="s">
        <v>443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438</v>
      </c>
      <c r="D167" t="s">
        <v>444</v>
      </c>
      <c r="E167" t="s">
        <v>445</v>
      </c>
      <c r="F167" t="s">
        <v>446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438</v>
      </c>
      <c r="D168" t="s">
        <v>447</v>
      </c>
      <c r="E168" t="s">
        <v>448</v>
      </c>
      <c r="F168" t="s">
        <v>449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438</v>
      </c>
      <c r="D169" t="s">
        <v>450</v>
      </c>
      <c r="E169" t="s">
        <v>451</v>
      </c>
      <c r="F169" t="s">
        <v>452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368</v>
      </c>
      <c r="D170" t="s">
        <v>369</v>
      </c>
      <c r="E170" t="s">
        <v>370</v>
      </c>
      <c r="F170" t="s">
        <v>371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368</v>
      </c>
      <c r="D171" t="s">
        <v>372</v>
      </c>
      <c r="E171" t="s">
        <v>373</v>
      </c>
      <c r="F171" t="s">
        <v>374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368</v>
      </c>
      <c r="D172" t="s">
        <v>375</v>
      </c>
      <c r="E172" t="s">
        <v>376</v>
      </c>
      <c r="F172" t="s">
        <v>377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378</v>
      </c>
      <c r="D173" t="s">
        <v>379</v>
      </c>
      <c r="E173" t="s">
        <v>380</v>
      </c>
      <c r="F173" t="s">
        <v>381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378</v>
      </c>
      <c r="D174" t="s">
        <v>382</v>
      </c>
      <c r="E174" t="s">
        <v>383</v>
      </c>
      <c r="F174" t="s">
        <v>384</v>
      </c>
      <c r="G174">
        <v>55</v>
      </c>
      <c r="H174" t="s">
        <v>385</v>
      </c>
      <c r="I174" t="s">
        <v>386</v>
      </c>
      <c r="J174" t="s">
        <v>313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378</v>
      </c>
      <c r="D175" t="s">
        <v>387</v>
      </c>
      <c r="E175" t="s">
        <v>383</v>
      </c>
      <c r="F175" t="s">
        <v>384</v>
      </c>
      <c r="G175">
        <v>25</v>
      </c>
      <c r="H175" t="s">
        <v>385</v>
      </c>
      <c r="I175">
        <v>2</v>
      </c>
      <c r="J175" t="s">
        <v>313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378</v>
      </c>
      <c r="D176" t="s">
        <v>388</v>
      </c>
      <c r="E176" t="s">
        <v>383</v>
      </c>
      <c r="F176" t="s">
        <v>384</v>
      </c>
      <c r="G176">
        <v>12</v>
      </c>
      <c r="H176" t="s">
        <v>385</v>
      </c>
      <c r="I176">
        <v>2.5</v>
      </c>
      <c r="J176" t="s">
        <v>313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378</v>
      </c>
      <c r="D177" t="s">
        <v>389</v>
      </c>
      <c r="E177" t="s">
        <v>383</v>
      </c>
      <c r="F177" t="s">
        <v>384</v>
      </c>
      <c r="G177">
        <v>5.5</v>
      </c>
      <c r="H177" t="s">
        <v>385</v>
      </c>
      <c r="I177">
        <v>3</v>
      </c>
      <c r="J177" t="s">
        <v>313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378</v>
      </c>
      <c r="D178" t="s">
        <v>390</v>
      </c>
      <c r="E178" t="s">
        <v>383</v>
      </c>
      <c r="F178" t="s">
        <v>384</v>
      </c>
      <c r="G178">
        <v>1.8</v>
      </c>
      <c r="H178" t="s">
        <v>385</v>
      </c>
      <c r="I178">
        <v>3.5</v>
      </c>
      <c r="J178" t="s">
        <v>391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378</v>
      </c>
      <c r="D179" t="s">
        <v>392</v>
      </c>
      <c r="E179" t="s">
        <v>383</v>
      </c>
      <c r="F179" t="s">
        <v>384</v>
      </c>
      <c r="G179">
        <v>0.35</v>
      </c>
      <c r="H179" t="s">
        <v>385</v>
      </c>
      <c r="I179">
        <v>4</v>
      </c>
      <c r="J179" t="s">
        <v>393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378</v>
      </c>
      <c r="D180" t="s">
        <v>394</v>
      </c>
      <c r="E180" t="s">
        <v>383</v>
      </c>
      <c r="F180" t="s">
        <v>384</v>
      </c>
      <c r="G180">
        <v>0.08</v>
      </c>
      <c r="H180" t="s">
        <v>385</v>
      </c>
      <c r="I180">
        <v>4.5</v>
      </c>
      <c r="J180" t="s">
        <v>395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378</v>
      </c>
      <c r="D181" t="s">
        <v>396</v>
      </c>
      <c r="E181" t="s">
        <v>383</v>
      </c>
      <c r="F181" t="s">
        <v>384</v>
      </c>
      <c r="G181">
        <v>1.4999999999999999E-2</v>
      </c>
      <c r="H181" t="s">
        <v>385</v>
      </c>
      <c r="I181">
        <v>5</v>
      </c>
      <c r="J181" t="s">
        <v>397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532</v>
      </c>
      <c r="D182" t="s">
        <v>533</v>
      </c>
      <c r="E182" t="s">
        <v>534</v>
      </c>
      <c r="F182" t="s">
        <v>535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532</v>
      </c>
      <c r="D183" t="s">
        <v>536</v>
      </c>
      <c r="E183" t="s">
        <v>537</v>
      </c>
      <c r="F183" t="s">
        <v>538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532</v>
      </c>
      <c r="D184" t="s">
        <v>947</v>
      </c>
      <c r="E184" t="s">
        <v>948</v>
      </c>
      <c r="F184" t="s">
        <v>949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539</v>
      </c>
      <c r="D185" t="s">
        <v>540</v>
      </c>
      <c r="E185" t="s">
        <v>541</v>
      </c>
      <c r="F185" t="s">
        <v>542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539</v>
      </c>
      <c r="D186" t="s">
        <v>543</v>
      </c>
      <c r="E186" t="s">
        <v>544</v>
      </c>
      <c r="F186" t="s">
        <v>545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539</v>
      </c>
      <c r="D187" t="s">
        <v>546</v>
      </c>
      <c r="E187" t="s">
        <v>547</v>
      </c>
      <c r="F187" t="s">
        <v>548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539</v>
      </c>
      <c r="D188" t="s">
        <v>549</v>
      </c>
      <c r="E188" t="s">
        <v>547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539</v>
      </c>
      <c r="D189" t="s">
        <v>550</v>
      </c>
      <c r="E189" t="s">
        <v>551</v>
      </c>
      <c r="F189" t="s">
        <v>552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539</v>
      </c>
      <c r="D190" t="s">
        <v>559</v>
      </c>
      <c r="E190" t="s">
        <v>541</v>
      </c>
      <c r="F190" t="s">
        <v>560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539</v>
      </c>
      <c r="D191" t="s">
        <v>561</v>
      </c>
      <c r="E191" t="s">
        <v>562</v>
      </c>
      <c r="F191" t="s">
        <v>563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539</v>
      </c>
      <c r="D192" t="s">
        <v>564</v>
      </c>
      <c r="E192" t="s">
        <v>565</v>
      </c>
      <c r="F192" t="s">
        <v>566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539</v>
      </c>
      <c r="D193" t="s">
        <v>567</v>
      </c>
      <c r="E193" t="s">
        <v>568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539</v>
      </c>
      <c r="D194" t="s">
        <v>569</v>
      </c>
      <c r="E194" t="s">
        <v>570</v>
      </c>
      <c r="F194" t="s">
        <v>571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539</v>
      </c>
      <c r="D195" t="s">
        <v>572</v>
      </c>
      <c r="E195" t="s">
        <v>573</v>
      </c>
      <c r="F195" t="s">
        <v>574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539</v>
      </c>
      <c r="D196" t="s">
        <v>915</v>
      </c>
      <c r="E196" t="s">
        <v>916</v>
      </c>
      <c r="F196" t="s">
        <v>917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539</v>
      </c>
      <c r="D197" t="s">
        <v>918</v>
      </c>
      <c r="E197" t="s">
        <v>919</v>
      </c>
      <c r="F197" t="s">
        <v>920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539</v>
      </c>
      <c r="D198" t="s">
        <v>921</v>
      </c>
      <c r="E198" t="s">
        <v>922</v>
      </c>
      <c r="F198" t="s">
        <v>923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498</v>
      </c>
      <c r="D199" t="s">
        <v>499</v>
      </c>
      <c r="E199" t="s">
        <v>500</v>
      </c>
      <c r="F199" t="s">
        <v>501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498</v>
      </c>
      <c r="D200" t="s">
        <v>502</v>
      </c>
      <c r="E200" t="s">
        <v>503</v>
      </c>
      <c r="F200" t="s">
        <v>504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498</v>
      </c>
      <c r="D201" t="s">
        <v>505</v>
      </c>
      <c r="E201" t="s">
        <v>506</v>
      </c>
      <c r="F201" t="s">
        <v>507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498</v>
      </c>
      <c r="D202" t="s">
        <v>508</v>
      </c>
      <c r="E202" t="s">
        <v>509</v>
      </c>
      <c r="F202" t="s">
        <v>510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498</v>
      </c>
      <c r="D203" t="s">
        <v>511</v>
      </c>
      <c r="E203" t="s">
        <v>512</v>
      </c>
      <c r="F203" t="s">
        <v>513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498</v>
      </c>
      <c r="D204" t="s">
        <v>514</v>
      </c>
      <c r="E204" t="s">
        <v>515</v>
      </c>
      <c r="F204" t="s">
        <v>516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498</v>
      </c>
      <c r="D205" t="s">
        <v>517</v>
      </c>
      <c r="E205" t="s">
        <v>518</v>
      </c>
      <c r="F205" t="s">
        <v>519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498</v>
      </c>
      <c r="D206" t="s">
        <v>520</v>
      </c>
      <c r="E206" t="s">
        <v>521</v>
      </c>
      <c r="F206" t="s">
        <v>522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498</v>
      </c>
      <c r="D207" t="s">
        <v>523</v>
      </c>
      <c r="E207" t="s">
        <v>524</v>
      </c>
      <c r="F207" t="s">
        <v>525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498</v>
      </c>
      <c r="D208" t="s">
        <v>526</v>
      </c>
      <c r="E208" t="s">
        <v>527</v>
      </c>
      <c r="F208" t="s">
        <v>528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498</v>
      </c>
      <c r="D209" t="s">
        <v>529</v>
      </c>
      <c r="E209" t="s">
        <v>530</v>
      </c>
      <c r="F209" t="s">
        <v>531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604</v>
      </c>
      <c r="D210" t="s">
        <v>605</v>
      </c>
      <c r="E210" t="s">
        <v>606</v>
      </c>
      <c r="F210" t="s">
        <v>607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608</v>
      </c>
      <c r="D211" t="s">
        <v>609</v>
      </c>
      <c r="E211" s="3" t="s">
        <v>987</v>
      </c>
      <c r="F211" t="s">
        <v>610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592</v>
      </c>
      <c r="D212" t="s">
        <v>593</v>
      </c>
      <c r="E212" t="s">
        <v>594</v>
      </c>
      <c r="F212" t="s">
        <v>595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592</v>
      </c>
      <c r="D213" t="s">
        <v>596</v>
      </c>
      <c r="E213" t="s">
        <v>597</v>
      </c>
      <c r="F213" t="s">
        <v>598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592</v>
      </c>
      <c r="D214" t="s">
        <v>599</v>
      </c>
      <c r="E214" t="s">
        <v>600</v>
      </c>
      <c r="F214" t="s">
        <v>601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592</v>
      </c>
      <c r="D215" t="s">
        <v>602</v>
      </c>
      <c r="E215" t="s">
        <v>603</v>
      </c>
      <c r="F215" t="s">
        <v>601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553</v>
      </c>
      <c r="D216" t="s">
        <v>554</v>
      </c>
      <c r="E216" t="s">
        <v>555</v>
      </c>
      <c r="F216" t="s">
        <v>556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553</v>
      </c>
      <c r="D217" t="s">
        <v>557</v>
      </c>
      <c r="E217" t="s">
        <v>558</v>
      </c>
      <c r="F217" t="s">
        <v>556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553</v>
      </c>
      <c r="D218" t="s">
        <v>579</v>
      </c>
      <c r="E218" t="s">
        <v>585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553</v>
      </c>
      <c r="D219" t="s">
        <v>586</v>
      </c>
      <c r="E219" t="s">
        <v>587</v>
      </c>
      <c r="F219" t="s">
        <v>588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553</v>
      </c>
      <c r="D220" t="s">
        <v>589</v>
      </c>
      <c r="E220" t="s">
        <v>590</v>
      </c>
      <c r="F220" t="s">
        <v>591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611</v>
      </c>
      <c r="D221" t="s">
        <v>612</v>
      </c>
      <c r="E221" t="s">
        <v>613</v>
      </c>
      <c r="F221" t="s">
        <v>614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611</v>
      </c>
      <c r="D222" t="s">
        <v>615</v>
      </c>
      <c r="E222" t="s">
        <v>616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611</v>
      </c>
      <c r="D223" t="s">
        <v>617</v>
      </c>
      <c r="E223" t="s">
        <v>618</v>
      </c>
      <c r="F223" t="s">
        <v>619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611</v>
      </c>
      <c r="D224" t="s">
        <v>620</v>
      </c>
      <c r="E224" t="s">
        <v>621</v>
      </c>
      <c r="F224" t="s">
        <v>622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611</v>
      </c>
      <c r="D225" t="s">
        <v>623</v>
      </c>
      <c r="E225" t="s">
        <v>624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575</v>
      </c>
      <c r="D226" t="s">
        <v>576</v>
      </c>
      <c r="E226" t="s">
        <v>577</v>
      </c>
      <c r="F226" t="s">
        <v>578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575</v>
      </c>
      <c r="D227" t="s">
        <v>579</v>
      </c>
      <c r="E227" t="s">
        <v>580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575</v>
      </c>
      <c r="D228" t="s">
        <v>581</v>
      </c>
      <c r="E228" t="s">
        <v>580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575</v>
      </c>
      <c r="D229" t="s">
        <v>582</v>
      </c>
      <c r="E229" t="s">
        <v>583</v>
      </c>
      <c r="F229" t="s">
        <v>584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625</v>
      </c>
      <c r="D230" t="s">
        <v>626</v>
      </c>
      <c r="E230" t="s">
        <v>627</v>
      </c>
      <c r="F230" t="s">
        <v>628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625</v>
      </c>
      <c r="D231" t="s">
        <v>629</v>
      </c>
      <c r="E231" t="s">
        <v>630</v>
      </c>
      <c r="F231" t="s">
        <v>631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625</v>
      </c>
      <c r="D232" t="s">
        <v>632</v>
      </c>
      <c r="E232" t="s">
        <v>633</v>
      </c>
      <c r="F232" t="s">
        <v>634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625</v>
      </c>
      <c r="D233" t="s">
        <v>635</v>
      </c>
      <c r="E233" t="s">
        <v>636</v>
      </c>
      <c r="F233" t="s">
        <v>637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625</v>
      </c>
      <c r="D234" t="s">
        <v>638</v>
      </c>
      <c r="E234" t="s">
        <v>639</v>
      </c>
      <c r="F234" t="s">
        <v>640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625</v>
      </c>
      <c r="D235" t="s">
        <v>641</v>
      </c>
      <c r="E235" t="s">
        <v>642</v>
      </c>
      <c r="F235" t="s">
        <v>643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625</v>
      </c>
      <c r="D236" t="s">
        <v>644</v>
      </c>
      <c r="E236" t="s">
        <v>645</v>
      </c>
      <c r="F236" t="s">
        <v>646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625</v>
      </c>
      <c r="D237" t="s">
        <v>647</v>
      </c>
      <c r="E237" t="s">
        <v>648</v>
      </c>
      <c r="F237" t="s">
        <v>649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625</v>
      </c>
      <c r="D238" t="s">
        <v>650</v>
      </c>
      <c r="E238" t="s">
        <v>651</v>
      </c>
      <c r="F238" t="s">
        <v>652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625</v>
      </c>
      <c r="D239" t="s">
        <v>653</v>
      </c>
      <c r="E239" t="s">
        <v>654</v>
      </c>
      <c r="F239" t="s">
        <v>655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656</v>
      </c>
      <c r="D240" t="s">
        <v>657</v>
      </c>
      <c r="E240" t="s">
        <v>658</v>
      </c>
      <c r="F240" t="s">
        <v>659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656</v>
      </c>
      <c r="D241" t="s">
        <v>660</v>
      </c>
      <c r="E241" t="s">
        <v>661</v>
      </c>
      <c r="F241" t="s">
        <v>662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656</v>
      </c>
      <c r="D242" t="s">
        <v>663</v>
      </c>
      <c r="E242" t="s">
        <v>664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656</v>
      </c>
      <c r="D243" t="s">
        <v>665</v>
      </c>
      <c r="E243" t="s">
        <v>666</v>
      </c>
      <c r="F243" t="s">
        <v>667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739</v>
      </c>
      <c r="D244" t="s">
        <v>669</v>
      </c>
      <c r="E244" t="s">
        <v>740</v>
      </c>
      <c r="F244" t="s">
        <v>741</v>
      </c>
      <c r="G244" t="s">
        <v>742</v>
      </c>
      <c r="H244" t="s">
        <v>743</v>
      </c>
      <c r="I244" t="s">
        <v>744</v>
      </c>
      <c r="J244" t="s">
        <v>745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739</v>
      </c>
      <c r="D245" t="s">
        <v>674</v>
      </c>
      <c r="E245" t="s">
        <v>740</v>
      </c>
      <c r="F245" t="s">
        <v>741</v>
      </c>
      <c r="G245" t="s">
        <v>746</v>
      </c>
      <c r="H245" t="s">
        <v>743</v>
      </c>
      <c r="I245" t="s">
        <v>747</v>
      </c>
      <c r="J245" t="s">
        <v>748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739</v>
      </c>
      <c r="D246" t="s">
        <v>677</v>
      </c>
      <c r="E246" t="s">
        <v>740</v>
      </c>
      <c r="F246" t="s">
        <v>741</v>
      </c>
      <c r="G246" t="s">
        <v>749</v>
      </c>
      <c r="H246" t="s">
        <v>743</v>
      </c>
      <c r="I246" t="s">
        <v>750</v>
      </c>
      <c r="J246" t="s">
        <v>751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739</v>
      </c>
      <c r="D247" t="s">
        <v>680</v>
      </c>
      <c r="E247" t="s">
        <v>740</v>
      </c>
      <c r="F247" t="s">
        <v>741</v>
      </c>
      <c r="G247" t="s">
        <v>752</v>
      </c>
      <c r="H247" t="s">
        <v>743</v>
      </c>
      <c r="I247" t="s">
        <v>750</v>
      </c>
      <c r="J247" t="s">
        <v>751</v>
      </c>
      <c r="K247" t="s">
        <v>753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739</v>
      </c>
      <c r="D248" t="s">
        <v>683</v>
      </c>
      <c r="E248" t="s">
        <v>740</v>
      </c>
      <c r="F248" t="s">
        <v>741</v>
      </c>
      <c r="G248" t="s">
        <v>754</v>
      </c>
      <c r="H248" t="s">
        <v>743</v>
      </c>
      <c r="I248" t="s">
        <v>750</v>
      </c>
      <c r="J248" t="s">
        <v>755</v>
      </c>
      <c r="K248" t="s">
        <v>756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739</v>
      </c>
      <c r="D249" t="s">
        <v>686</v>
      </c>
      <c r="E249" t="s">
        <v>740</v>
      </c>
      <c r="F249" t="s">
        <v>741</v>
      </c>
      <c r="G249" t="s">
        <v>757</v>
      </c>
      <c r="H249" t="s">
        <v>743</v>
      </c>
      <c r="I249" t="s">
        <v>750</v>
      </c>
      <c r="J249" t="s">
        <v>758</v>
      </c>
      <c r="K249" t="s">
        <v>759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739</v>
      </c>
      <c r="D250" t="s">
        <v>689</v>
      </c>
      <c r="E250" t="s">
        <v>740</v>
      </c>
      <c r="F250" t="s">
        <v>741</v>
      </c>
      <c r="G250" t="s">
        <v>760</v>
      </c>
      <c r="H250" t="s">
        <v>743</v>
      </c>
      <c r="I250" t="s">
        <v>761</v>
      </c>
      <c r="J250" t="s">
        <v>762</v>
      </c>
      <c r="K250" t="s">
        <v>763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739</v>
      </c>
      <c r="D251" t="s">
        <v>694</v>
      </c>
      <c r="E251" t="s">
        <v>740</v>
      </c>
      <c r="F251" t="s">
        <v>741</v>
      </c>
      <c r="G251" t="s">
        <v>764</v>
      </c>
      <c r="H251" t="s">
        <v>743</v>
      </c>
      <c r="I251" t="s">
        <v>765</v>
      </c>
      <c r="J251" t="s">
        <v>766</v>
      </c>
      <c r="K251" t="s">
        <v>767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739</v>
      </c>
      <c r="D252" t="s">
        <v>696</v>
      </c>
      <c r="E252" t="s">
        <v>740</v>
      </c>
      <c r="F252" t="s">
        <v>741</v>
      </c>
      <c r="G252" t="s">
        <v>768</v>
      </c>
      <c r="H252" t="s">
        <v>743</v>
      </c>
      <c r="I252" t="s">
        <v>769</v>
      </c>
      <c r="J252" t="s">
        <v>770</v>
      </c>
      <c r="K252" t="s">
        <v>771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739</v>
      </c>
      <c r="D253" t="s">
        <v>700</v>
      </c>
      <c r="E253" t="s">
        <v>740</v>
      </c>
      <c r="F253" t="s">
        <v>741</v>
      </c>
      <c r="G253" t="s">
        <v>772</v>
      </c>
      <c r="H253" t="s">
        <v>743</v>
      </c>
      <c r="I253" t="s">
        <v>769</v>
      </c>
      <c r="J253" t="s">
        <v>770</v>
      </c>
      <c r="K253" t="s">
        <v>773</v>
      </c>
      <c r="L253" t="s">
        <v>774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739</v>
      </c>
      <c r="D254" t="s">
        <v>704</v>
      </c>
      <c r="E254" t="s">
        <v>740</v>
      </c>
      <c r="F254" t="s">
        <v>741</v>
      </c>
      <c r="G254" t="s">
        <v>775</v>
      </c>
      <c r="H254" t="s">
        <v>743</v>
      </c>
      <c r="I254" t="s">
        <v>769</v>
      </c>
      <c r="J254" t="s">
        <v>770</v>
      </c>
      <c r="K254" t="s">
        <v>776</v>
      </c>
      <c r="L254" t="s">
        <v>777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739</v>
      </c>
      <c r="D255" t="s">
        <v>708</v>
      </c>
      <c r="E255" t="s">
        <v>740</v>
      </c>
      <c r="F255" t="s">
        <v>741</v>
      </c>
      <c r="G255" t="s">
        <v>778</v>
      </c>
      <c r="H255" t="s">
        <v>743</v>
      </c>
      <c r="I255" t="s">
        <v>779</v>
      </c>
      <c r="J255" t="s">
        <v>780</v>
      </c>
      <c r="K255" t="s">
        <v>781</v>
      </c>
      <c r="L255" t="s">
        <v>782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739</v>
      </c>
      <c r="D256" t="s">
        <v>712</v>
      </c>
      <c r="E256" t="s">
        <v>740</v>
      </c>
      <c r="F256" t="s">
        <v>741</v>
      </c>
      <c r="G256" t="s">
        <v>783</v>
      </c>
      <c r="H256" t="s">
        <v>743</v>
      </c>
      <c r="I256" t="s">
        <v>779</v>
      </c>
      <c r="J256" t="s">
        <v>780</v>
      </c>
      <c r="K256" t="s">
        <v>781</v>
      </c>
      <c r="L256" t="s">
        <v>784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739</v>
      </c>
      <c r="D257" t="s">
        <v>716</v>
      </c>
      <c r="E257" t="s">
        <v>740</v>
      </c>
      <c r="F257" t="s">
        <v>741</v>
      </c>
      <c r="G257" t="s">
        <v>785</v>
      </c>
      <c r="H257" t="s">
        <v>743</v>
      </c>
      <c r="I257" t="s">
        <v>779</v>
      </c>
      <c r="J257" t="s">
        <v>780</v>
      </c>
      <c r="K257" t="s">
        <v>781</v>
      </c>
      <c r="L257" t="s">
        <v>786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739</v>
      </c>
      <c r="D258" t="s">
        <v>720</v>
      </c>
      <c r="E258" t="s">
        <v>740</v>
      </c>
      <c r="F258" t="s">
        <v>741</v>
      </c>
      <c r="G258" t="s">
        <v>787</v>
      </c>
      <c r="H258" t="s">
        <v>743</v>
      </c>
      <c r="I258" t="s">
        <v>779</v>
      </c>
      <c r="J258" t="s">
        <v>788</v>
      </c>
      <c r="K258" t="s">
        <v>789</v>
      </c>
      <c r="L258" t="s">
        <v>782</v>
      </c>
      <c r="M258" t="s">
        <v>790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739</v>
      </c>
      <c r="D259" t="s">
        <v>724</v>
      </c>
      <c r="E259" t="s">
        <v>740</v>
      </c>
      <c r="F259" t="s">
        <v>741</v>
      </c>
      <c r="G259" t="s">
        <v>791</v>
      </c>
      <c r="H259" t="s">
        <v>743</v>
      </c>
      <c r="I259" t="s">
        <v>779</v>
      </c>
      <c r="J259" t="s">
        <v>788</v>
      </c>
      <c r="K259" t="s">
        <v>789</v>
      </c>
      <c r="L259" t="s">
        <v>784</v>
      </c>
      <c r="M259" t="s">
        <v>792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739</v>
      </c>
      <c r="D260" t="s">
        <v>728</v>
      </c>
      <c r="E260" t="s">
        <v>740</v>
      </c>
      <c r="F260" t="s">
        <v>741</v>
      </c>
      <c r="G260" t="s">
        <v>793</v>
      </c>
      <c r="H260" t="s">
        <v>743</v>
      </c>
      <c r="I260" t="s">
        <v>779</v>
      </c>
      <c r="J260" t="s">
        <v>788</v>
      </c>
      <c r="K260" t="s">
        <v>789</v>
      </c>
      <c r="L260" t="s">
        <v>784</v>
      </c>
      <c r="M260" t="s">
        <v>794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739</v>
      </c>
      <c r="D261" t="s">
        <v>732</v>
      </c>
      <c r="E261" t="s">
        <v>740</v>
      </c>
      <c r="F261" t="s">
        <v>741</v>
      </c>
      <c r="G261" t="s">
        <v>795</v>
      </c>
      <c r="H261" t="s">
        <v>743</v>
      </c>
      <c r="I261" t="s">
        <v>779</v>
      </c>
      <c r="J261" t="s">
        <v>788</v>
      </c>
      <c r="K261" t="s">
        <v>789</v>
      </c>
      <c r="L261" t="s">
        <v>784</v>
      </c>
      <c r="M261" t="s">
        <v>794</v>
      </c>
      <c r="N261" t="s">
        <v>796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739</v>
      </c>
      <c r="D262" t="s">
        <v>737</v>
      </c>
      <c r="E262" t="s">
        <v>740</v>
      </c>
      <c r="F262" t="s">
        <v>741</v>
      </c>
      <c r="G262" t="s">
        <v>797</v>
      </c>
      <c r="H262" t="s">
        <v>743</v>
      </c>
      <c r="I262" t="s">
        <v>779</v>
      </c>
      <c r="J262" t="s">
        <v>788</v>
      </c>
      <c r="K262" t="s">
        <v>789</v>
      </c>
      <c r="L262" t="s">
        <v>784</v>
      </c>
      <c r="M262" t="s">
        <v>794</v>
      </c>
      <c r="N262" t="s">
        <v>798</v>
      </c>
      <c r="O262" t="s">
        <v>799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739</v>
      </c>
      <c r="D263" t="s">
        <v>738</v>
      </c>
      <c r="E263" t="s">
        <v>740</v>
      </c>
      <c r="F263" t="s">
        <v>741</v>
      </c>
      <c r="G263" t="s">
        <v>800</v>
      </c>
      <c r="H263" t="s">
        <v>743</v>
      </c>
      <c r="I263" t="s">
        <v>779</v>
      </c>
      <c r="J263" t="s">
        <v>788</v>
      </c>
      <c r="K263" t="s">
        <v>789</v>
      </c>
      <c r="L263" t="s">
        <v>784</v>
      </c>
      <c r="M263" t="s">
        <v>794</v>
      </c>
      <c r="N263" t="s">
        <v>801</v>
      </c>
      <c r="O263" t="s">
        <v>802</v>
      </c>
      <c r="P263" t="s">
        <v>803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668</v>
      </c>
      <c r="D264" t="s">
        <v>669</v>
      </c>
      <c r="E264" t="s">
        <v>670</v>
      </c>
      <c r="F264" t="s">
        <v>671</v>
      </c>
      <c r="G264" t="s">
        <v>672</v>
      </c>
      <c r="H264" t="s">
        <v>673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668</v>
      </c>
      <c r="D265" t="s">
        <v>674</v>
      </c>
      <c r="E265" t="s">
        <v>670</v>
      </c>
      <c r="F265" t="s">
        <v>671</v>
      </c>
      <c r="G265" t="s">
        <v>672</v>
      </c>
      <c r="H265" t="s">
        <v>675</v>
      </c>
      <c r="I265" t="s">
        <v>676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668</v>
      </c>
      <c r="D266" t="s">
        <v>677</v>
      </c>
      <c r="E266" t="s">
        <v>670</v>
      </c>
      <c r="F266" t="s">
        <v>671</v>
      </c>
      <c r="G266" t="s">
        <v>672</v>
      </c>
      <c r="H266" t="s">
        <v>678</v>
      </c>
      <c r="I266" t="s">
        <v>676</v>
      </c>
      <c r="J266" t="s">
        <v>679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668</v>
      </c>
      <c r="D267" t="s">
        <v>680</v>
      </c>
      <c r="E267" t="s">
        <v>670</v>
      </c>
      <c r="F267" t="s">
        <v>671</v>
      </c>
      <c r="G267" t="s">
        <v>681</v>
      </c>
      <c r="H267" t="s">
        <v>678</v>
      </c>
      <c r="I267" t="s">
        <v>682</v>
      </c>
      <c r="J267" t="s">
        <v>679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668</v>
      </c>
      <c r="D268" t="s">
        <v>683</v>
      </c>
      <c r="E268" t="s">
        <v>670</v>
      </c>
      <c r="F268" t="s">
        <v>671</v>
      </c>
      <c r="G268" t="s">
        <v>684</v>
      </c>
      <c r="H268" t="s">
        <v>678</v>
      </c>
      <c r="I268" t="s">
        <v>682</v>
      </c>
      <c r="J268" t="s">
        <v>685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668</v>
      </c>
      <c r="D269" t="s">
        <v>686</v>
      </c>
      <c r="E269" t="s">
        <v>670</v>
      </c>
      <c r="F269" t="s">
        <v>671</v>
      </c>
      <c r="G269" t="s">
        <v>687</v>
      </c>
      <c r="H269" t="s">
        <v>678</v>
      </c>
      <c r="I269" t="s">
        <v>682</v>
      </c>
      <c r="J269" t="s">
        <v>685</v>
      </c>
      <c r="K269" t="s">
        <v>688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668</v>
      </c>
      <c r="D270" t="s">
        <v>689</v>
      </c>
      <c r="E270" t="s">
        <v>670</v>
      </c>
      <c r="F270" t="s">
        <v>671</v>
      </c>
      <c r="G270" t="s">
        <v>690</v>
      </c>
      <c r="H270" t="s">
        <v>691</v>
      </c>
      <c r="I270" t="s">
        <v>685</v>
      </c>
      <c r="J270" t="s">
        <v>692</v>
      </c>
      <c r="K270" t="s">
        <v>693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668</v>
      </c>
      <c r="D271" t="s">
        <v>694</v>
      </c>
      <c r="E271" t="s">
        <v>670</v>
      </c>
      <c r="F271" t="s">
        <v>671</v>
      </c>
      <c r="G271" t="s">
        <v>678</v>
      </c>
      <c r="H271" t="s">
        <v>691</v>
      </c>
      <c r="I271" t="s">
        <v>685</v>
      </c>
      <c r="J271" t="s">
        <v>692</v>
      </c>
      <c r="K271" t="s">
        <v>695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668</v>
      </c>
      <c r="D272" t="s">
        <v>696</v>
      </c>
      <c r="E272" t="s">
        <v>670</v>
      </c>
      <c r="F272" t="s">
        <v>671</v>
      </c>
      <c r="G272" t="s">
        <v>691</v>
      </c>
      <c r="H272" t="s">
        <v>697</v>
      </c>
      <c r="I272" t="s">
        <v>692</v>
      </c>
      <c r="J272" t="s">
        <v>698</v>
      </c>
      <c r="K272" t="s">
        <v>699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668</v>
      </c>
      <c r="D273" t="s">
        <v>700</v>
      </c>
      <c r="E273" t="s">
        <v>670</v>
      </c>
      <c r="F273" t="s">
        <v>671</v>
      </c>
      <c r="G273" t="s">
        <v>697</v>
      </c>
      <c r="H273" t="s">
        <v>701</v>
      </c>
      <c r="I273" t="s">
        <v>698</v>
      </c>
      <c r="J273" t="s">
        <v>702</v>
      </c>
      <c r="K273" t="s">
        <v>703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668</v>
      </c>
      <c r="D274" t="s">
        <v>704</v>
      </c>
      <c r="E274" t="s">
        <v>670</v>
      </c>
      <c r="F274" t="s">
        <v>671</v>
      </c>
      <c r="G274" t="s">
        <v>701</v>
      </c>
      <c r="H274" t="s">
        <v>705</v>
      </c>
      <c r="I274" t="s">
        <v>702</v>
      </c>
      <c r="J274" t="s">
        <v>706</v>
      </c>
      <c r="K274" t="s">
        <v>707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668</v>
      </c>
      <c r="D275" t="s">
        <v>708</v>
      </c>
      <c r="E275" t="s">
        <v>670</v>
      </c>
      <c r="F275" t="s">
        <v>671</v>
      </c>
      <c r="G275" t="s">
        <v>705</v>
      </c>
      <c r="H275" t="s">
        <v>709</v>
      </c>
      <c r="I275" t="s">
        <v>706</v>
      </c>
      <c r="J275" t="s">
        <v>710</v>
      </c>
      <c r="K275" t="s">
        <v>711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668</v>
      </c>
      <c r="D276" t="s">
        <v>712</v>
      </c>
      <c r="E276" t="s">
        <v>670</v>
      </c>
      <c r="F276" t="s">
        <v>671</v>
      </c>
      <c r="G276" t="s">
        <v>709</v>
      </c>
      <c r="H276" t="s">
        <v>713</v>
      </c>
      <c r="I276" t="s">
        <v>710</v>
      </c>
      <c r="J276" t="s">
        <v>714</v>
      </c>
      <c r="K276" t="s">
        <v>715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668</v>
      </c>
      <c r="D277" t="s">
        <v>716</v>
      </c>
      <c r="E277" t="s">
        <v>670</v>
      </c>
      <c r="F277" t="s">
        <v>671</v>
      </c>
      <c r="G277" t="s">
        <v>713</v>
      </c>
      <c r="H277" t="s">
        <v>717</v>
      </c>
      <c r="I277" t="s">
        <v>714</v>
      </c>
      <c r="J277" t="s">
        <v>718</v>
      </c>
      <c r="K277" t="s">
        <v>719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668</v>
      </c>
      <c r="D278" t="s">
        <v>720</v>
      </c>
      <c r="E278" t="s">
        <v>670</v>
      </c>
      <c r="F278" t="s">
        <v>671</v>
      </c>
      <c r="G278" t="s">
        <v>717</v>
      </c>
      <c r="H278" t="s">
        <v>721</v>
      </c>
      <c r="I278" t="s">
        <v>718</v>
      </c>
      <c r="J278" t="s">
        <v>722</v>
      </c>
      <c r="K278" t="s">
        <v>723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668</v>
      </c>
      <c r="D279" t="s">
        <v>724</v>
      </c>
      <c r="E279" t="s">
        <v>670</v>
      </c>
      <c r="F279" t="s">
        <v>671</v>
      </c>
      <c r="G279" t="s">
        <v>721</v>
      </c>
      <c r="H279" t="s">
        <v>725</v>
      </c>
      <c r="I279" t="s">
        <v>722</v>
      </c>
      <c r="J279" t="s">
        <v>726</v>
      </c>
      <c r="K279" t="s">
        <v>727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668</v>
      </c>
      <c r="D280" t="s">
        <v>728</v>
      </c>
      <c r="E280" t="s">
        <v>670</v>
      </c>
      <c r="F280" t="s">
        <v>671</v>
      </c>
      <c r="G280" t="s">
        <v>725</v>
      </c>
      <c r="H280" t="s">
        <v>729</v>
      </c>
      <c r="I280" t="s">
        <v>726</v>
      </c>
      <c r="J280" t="s">
        <v>730</v>
      </c>
      <c r="K280" t="s">
        <v>731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668</v>
      </c>
      <c r="D281" t="s">
        <v>732</v>
      </c>
      <c r="E281" t="s">
        <v>670</v>
      </c>
      <c r="F281" t="s">
        <v>671</v>
      </c>
      <c r="G281" t="s">
        <v>715</v>
      </c>
      <c r="H281" t="s">
        <v>733</v>
      </c>
      <c r="I281" t="s">
        <v>734</v>
      </c>
      <c r="J281" t="s">
        <v>730</v>
      </c>
      <c r="K281" t="s">
        <v>735</v>
      </c>
      <c r="L281" t="s">
        <v>736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668</v>
      </c>
      <c r="D282" t="s">
        <v>737</v>
      </c>
      <c r="E282" t="s">
        <v>670</v>
      </c>
      <c r="F282" t="s">
        <v>671</v>
      </c>
      <c r="G282" t="s">
        <v>715</v>
      </c>
      <c r="H282" t="s">
        <v>733</v>
      </c>
      <c r="I282" t="s">
        <v>734</v>
      </c>
      <c r="J282" t="s">
        <v>730</v>
      </c>
      <c r="K282" t="s">
        <v>735</v>
      </c>
      <c r="L282" t="s">
        <v>736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668</v>
      </c>
      <c r="D283" t="s">
        <v>738</v>
      </c>
      <c r="E283" t="s">
        <v>670</v>
      </c>
      <c r="F283" t="s">
        <v>671</v>
      </c>
      <c r="G283" t="s">
        <v>715</v>
      </c>
      <c r="H283" t="s">
        <v>733</v>
      </c>
      <c r="I283" t="s">
        <v>734</v>
      </c>
      <c r="J283" t="s">
        <v>730</v>
      </c>
      <c r="K283" t="s">
        <v>735</v>
      </c>
      <c r="L283" t="s">
        <v>736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804</v>
      </c>
      <c r="D284" t="s">
        <v>805</v>
      </c>
      <c r="E284" t="s">
        <v>806</v>
      </c>
      <c r="F284" t="s">
        <v>807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804</v>
      </c>
      <c r="D285" t="s">
        <v>808</v>
      </c>
      <c r="E285" t="s">
        <v>809</v>
      </c>
      <c r="F285" t="s">
        <v>810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804</v>
      </c>
      <c r="D286" t="s">
        <v>811</v>
      </c>
      <c r="E286" t="s">
        <v>812</v>
      </c>
      <c r="F286" t="s">
        <v>813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804</v>
      </c>
      <c r="D287" t="s">
        <v>814</v>
      </c>
      <c r="E287" t="s">
        <v>815</v>
      </c>
      <c r="F287" t="s">
        <v>816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804</v>
      </c>
      <c r="D288" t="s">
        <v>817</v>
      </c>
      <c r="E288" t="s">
        <v>818</v>
      </c>
      <c r="F288" t="s">
        <v>819</v>
      </c>
      <c r="G288">
        <v>0.2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804</v>
      </c>
      <c r="D289" s="1" t="s">
        <v>1014</v>
      </c>
      <c r="E289" s="3" t="s">
        <v>1015</v>
      </c>
      <c r="F289" t="s">
        <v>820</v>
      </c>
      <c r="G289">
        <v>0.5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804</v>
      </c>
      <c r="D290" t="s">
        <v>657</v>
      </c>
      <c r="E290" t="s">
        <v>821</v>
      </c>
      <c r="F290" t="s">
        <v>822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804</v>
      </c>
      <c r="D291" t="s">
        <v>823</v>
      </c>
      <c r="E291" t="s">
        <v>824</v>
      </c>
      <c r="F291" t="s">
        <v>825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804</v>
      </c>
      <c r="D292" t="s">
        <v>826</v>
      </c>
      <c r="E292" t="s">
        <v>827</v>
      </c>
      <c r="F292" t="s">
        <v>828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829</v>
      </c>
      <c r="D293" t="s">
        <v>830</v>
      </c>
      <c r="E293" t="s">
        <v>831</v>
      </c>
      <c r="F293" t="s">
        <v>832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829</v>
      </c>
      <c r="D294" t="s">
        <v>833</v>
      </c>
      <c r="E294" t="s">
        <v>834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829</v>
      </c>
      <c r="D295" t="s">
        <v>835</v>
      </c>
      <c r="E295" t="s">
        <v>594</v>
      </c>
      <c r="F295" t="s">
        <v>836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829</v>
      </c>
      <c r="D296" t="s">
        <v>837</v>
      </c>
      <c r="E296" t="s">
        <v>838</v>
      </c>
      <c r="F296" t="s">
        <v>839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829</v>
      </c>
      <c r="D297" t="s">
        <v>840</v>
      </c>
      <c r="E297" t="s">
        <v>841</v>
      </c>
      <c r="F297" t="s">
        <v>842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829</v>
      </c>
      <c r="D298" t="s">
        <v>930</v>
      </c>
      <c r="E298" t="s">
        <v>931</v>
      </c>
      <c r="F298" t="s">
        <v>932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829</v>
      </c>
      <c r="D299" t="s">
        <v>933</v>
      </c>
      <c r="E299" t="s">
        <v>934</v>
      </c>
      <c r="F299" t="s">
        <v>935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829</v>
      </c>
      <c r="D300" t="s">
        <v>936</v>
      </c>
      <c r="E300" t="s">
        <v>937</v>
      </c>
      <c r="F300" t="s">
        <v>938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829</v>
      </c>
      <c r="D301" t="s">
        <v>939</v>
      </c>
      <c r="E301" t="s">
        <v>940</v>
      </c>
      <c r="F301" t="s">
        <v>941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829</v>
      </c>
      <c r="D302" t="s">
        <v>942</v>
      </c>
      <c r="E302" t="s">
        <v>594</v>
      </c>
      <c r="F302" t="s">
        <v>943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829</v>
      </c>
      <c r="D303" t="s">
        <v>944</v>
      </c>
      <c r="E303" t="s">
        <v>945</v>
      </c>
      <c r="F303" t="s">
        <v>946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867</v>
      </c>
      <c r="D304" t="s">
        <v>868</v>
      </c>
      <c r="E304" t="s">
        <v>869</v>
      </c>
      <c r="F304" t="s">
        <v>870</v>
      </c>
      <c r="G304">
        <v>25</v>
      </c>
      <c r="H304">
        <v>25</v>
      </c>
      <c r="I304" t="s">
        <v>871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867</v>
      </c>
      <c r="D305" t="s">
        <v>872</v>
      </c>
      <c r="E305" t="s">
        <v>869</v>
      </c>
      <c r="F305" t="s">
        <v>873</v>
      </c>
      <c r="G305">
        <v>20</v>
      </c>
      <c r="H305">
        <v>20</v>
      </c>
      <c r="I305" t="s">
        <v>871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867</v>
      </c>
      <c r="D306" t="s">
        <v>874</v>
      </c>
      <c r="E306" t="s">
        <v>869</v>
      </c>
      <c r="F306" t="s">
        <v>875</v>
      </c>
      <c r="G306">
        <v>3</v>
      </c>
      <c r="H306">
        <v>1.5</v>
      </c>
      <c r="I306" t="s">
        <v>871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867</v>
      </c>
      <c r="D307" t="s">
        <v>876</v>
      </c>
      <c r="E307" t="s">
        <v>869</v>
      </c>
      <c r="F307" t="s">
        <v>877</v>
      </c>
      <c r="G307">
        <v>20</v>
      </c>
      <c r="H307">
        <v>20</v>
      </c>
      <c r="I307" t="s">
        <v>871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867</v>
      </c>
      <c r="D308" t="s">
        <v>878</v>
      </c>
      <c r="E308" t="s">
        <v>869</v>
      </c>
      <c r="F308" t="s">
        <v>879</v>
      </c>
      <c r="G308">
        <v>3</v>
      </c>
      <c r="H308">
        <v>1.5</v>
      </c>
      <c r="I308" t="s">
        <v>871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867</v>
      </c>
      <c r="D309" t="s">
        <v>880</v>
      </c>
      <c r="E309" t="s">
        <v>869</v>
      </c>
      <c r="F309" t="s">
        <v>881</v>
      </c>
      <c r="G309">
        <v>3</v>
      </c>
      <c r="H309">
        <v>1.5</v>
      </c>
      <c r="I309" t="s">
        <v>871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867</v>
      </c>
      <c r="D310" t="s">
        <v>882</v>
      </c>
      <c r="E310" t="s">
        <v>869</v>
      </c>
      <c r="F310" t="s">
        <v>883</v>
      </c>
      <c r="G310">
        <v>3</v>
      </c>
      <c r="H310">
        <v>1.5</v>
      </c>
      <c r="I310" t="s">
        <v>871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867</v>
      </c>
      <c r="D311" t="s">
        <v>884</v>
      </c>
      <c r="E311" t="s">
        <v>869</v>
      </c>
      <c r="F311" t="s">
        <v>885</v>
      </c>
      <c r="G311">
        <v>25</v>
      </c>
      <c r="H311">
        <v>25</v>
      </c>
      <c r="I311" t="s">
        <v>871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867</v>
      </c>
      <c r="D312" t="s">
        <v>886</v>
      </c>
      <c r="E312" t="s">
        <v>869</v>
      </c>
      <c r="F312" t="s">
        <v>887</v>
      </c>
      <c r="G312">
        <v>5</v>
      </c>
      <c r="H312">
        <v>2.5</v>
      </c>
      <c r="I312" t="s">
        <v>871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888</v>
      </c>
      <c r="D313" t="s">
        <v>889</v>
      </c>
      <c r="E313" s="3" t="s">
        <v>995</v>
      </c>
      <c r="F313" t="s">
        <v>890</v>
      </c>
      <c r="G313" s="3" t="s">
        <v>999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888</v>
      </c>
      <c r="D314" t="s">
        <v>891</v>
      </c>
      <c r="E314" t="s">
        <v>892</v>
      </c>
      <c r="F314" t="s">
        <v>893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888</v>
      </c>
      <c r="D315" t="s">
        <v>894</v>
      </c>
      <c r="E315" t="s">
        <v>895</v>
      </c>
      <c r="F315" t="s">
        <v>896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888</v>
      </c>
      <c r="D316" t="s">
        <v>897</v>
      </c>
      <c r="E316" t="s">
        <v>898</v>
      </c>
      <c r="F316" t="s">
        <v>899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888</v>
      </c>
      <c r="D317" t="s">
        <v>900</v>
      </c>
      <c r="E317" t="s">
        <v>901</v>
      </c>
      <c r="F317" t="s">
        <v>902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888</v>
      </c>
      <c r="D318" t="s">
        <v>903</v>
      </c>
      <c r="E318" t="s">
        <v>904</v>
      </c>
      <c r="F318" t="s">
        <v>905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888</v>
      </c>
      <c r="D319" t="s">
        <v>906</v>
      </c>
      <c r="E319" t="s">
        <v>907</v>
      </c>
      <c r="F319" t="s">
        <v>908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888</v>
      </c>
      <c r="D320" t="s">
        <v>909</v>
      </c>
      <c r="E320" t="s">
        <v>910</v>
      </c>
      <c r="F320" t="s">
        <v>911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888</v>
      </c>
      <c r="D321" t="s">
        <v>996</v>
      </c>
      <c r="E321" t="s">
        <v>997</v>
      </c>
      <c r="F321" s="5" t="s">
        <v>998</v>
      </c>
      <c r="G321">
        <v>0.35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856</v>
      </c>
      <c r="D322" t="s">
        <v>857</v>
      </c>
      <c r="E322" t="s">
        <v>39</v>
      </c>
      <c r="F322" t="s">
        <v>858</v>
      </c>
      <c r="G322">
        <v>1</v>
      </c>
      <c r="H322">
        <v>1</v>
      </c>
      <c r="I322">
        <v>1</v>
      </c>
      <c r="J322">
        <v>1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856</v>
      </c>
      <c r="D323" t="s">
        <v>859</v>
      </c>
      <c r="E323" t="s">
        <v>39</v>
      </c>
      <c r="F323" t="s">
        <v>858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856</v>
      </c>
      <c r="D324" t="s">
        <v>860</v>
      </c>
      <c r="E324" t="s">
        <v>39</v>
      </c>
      <c r="F324" t="s">
        <v>858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3" si="9">A324+1</f>
        <v>324</v>
      </c>
      <c r="B325">
        <v>0</v>
      </c>
      <c r="C325" t="s">
        <v>856</v>
      </c>
      <c r="D325" t="s">
        <v>861</v>
      </c>
      <c r="E325" t="s">
        <v>39</v>
      </c>
      <c r="F325" t="s">
        <v>858</v>
      </c>
      <c r="G325">
        <v>2.2999999999999998</v>
      </c>
      <c r="H325">
        <v>3</v>
      </c>
      <c r="I325">
        <v>3</v>
      </c>
      <c r="J325">
        <v>2</v>
      </c>
      <c r="K325">
        <v>1</v>
      </c>
      <c r="L325">
        <v>4.5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856</v>
      </c>
      <c r="D326" t="s">
        <v>862</v>
      </c>
      <c r="E326" t="s">
        <v>39</v>
      </c>
      <c r="F326" t="s">
        <v>858</v>
      </c>
      <c r="G326">
        <v>3</v>
      </c>
      <c r="H326">
        <v>4</v>
      </c>
      <c r="I326">
        <v>4</v>
      </c>
      <c r="J326">
        <v>3</v>
      </c>
      <c r="K326">
        <v>2</v>
      </c>
      <c r="L326">
        <v>7.5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856</v>
      </c>
      <c r="D327" t="s">
        <v>863</v>
      </c>
      <c r="E327" t="s">
        <v>39</v>
      </c>
      <c r="F327" t="s">
        <v>858</v>
      </c>
      <c r="G327">
        <v>4</v>
      </c>
      <c r="H327">
        <v>5</v>
      </c>
      <c r="I327">
        <v>5</v>
      </c>
      <c r="J327">
        <v>4</v>
      </c>
      <c r="K327">
        <v>2</v>
      </c>
      <c r="L327">
        <v>12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856</v>
      </c>
      <c r="D328" t="s">
        <v>864</v>
      </c>
      <c r="E328" t="s">
        <v>39</v>
      </c>
      <c r="F328" t="s">
        <v>858</v>
      </c>
      <c r="G328">
        <v>5.2</v>
      </c>
      <c r="H328">
        <v>6</v>
      </c>
      <c r="I328">
        <v>6</v>
      </c>
      <c r="J328">
        <v>5</v>
      </c>
      <c r="K328">
        <v>2</v>
      </c>
      <c r="L328">
        <v>19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856</v>
      </c>
      <c r="D329" t="s">
        <v>865</v>
      </c>
      <c r="E329" t="s">
        <v>39</v>
      </c>
      <c r="F329" t="s">
        <v>858</v>
      </c>
      <c r="G329">
        <v>6.8</v>
      </c>
      <c r="H329">
        <v>7</v>
      </c>
      <c r="I329">
        <v>7</v>
      </c>
      <c r="J329">
        <v>6</v>
      </c>
      <c r="K329">
        <v>3</v>
      </c>
      <c r="L329">
        <v>30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856</v>
      </c>
      <c r="D330" t="s">
        <v>866</v>
      </c>
      <c r="E330" t="s">
        <v>39</v>
      </c>
      <c r="F330" t="s">
        <v>858</v>
      </c>
      <c r="G330">
        <v>10.199999999999999</v>
      </c>
      <c r="H330">
        <v>8</v>
      </c>
      <c r="I330">
        <v>8</v>
      </c>
      <c r="J330">
        <v>6</v>
      </c>
      <c r="K330">
        <v>3</v>
      </c>
      <c r="L330">
        <v>45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856</v>
      </c>
      <c r="D331" t="s">
        <v>912</v>
      </c>
      <c r="E331" t="s">
        <v>39</v>
      </c>
      <c r="F331" t="s">
        <v>913</v>
      </c>
      <c r="G331">
        <v>15.3</v>
      </c>
      <c r="H331">
        <v>9</v>
      </c>
      <c r="I331">
        <v>9</v>
      </c>
      <c r="J331">
        <v>6</v>
      </c>
      <c r="K331">
        <v>3</v>
      </c>
      <c r="L331">
        <v>67.5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856</v>
      </c>
      <c r="D332" t="s">
        <v>914</v>
      </c>
      <c r="E332" t="s">
        <v>39</v>
      </c>
      <c r="F332" t="s">
        <v>913</v>
      </c>
      <c r="G332">
        <v>22.95</v>
      </c>
      <c r="H332">
        <v>10</v>
      </c>
      <c r="I332">
        <v>10</v>
      </c>
      <c r="J332">
        <v>7</v>
      </c>
      <c r="K332">
        <v>3</v>
      </c>
      <c r="L332">
        <v>101.25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9"/>
        <v>332</v>
      </c>
      <c r="B333">
        <v>0</v>
      </c>
      <c r="C333" t="s">
        <v>1077</v>
      </c>
      <c r="D333" t="s">
        <v>1078</v>
      </c>
      <c r="E333" t="s">
        <v>1079</v>
      </c>
      <c r="F333" t="s">
        <v>1080</v>
      </c>
      <c r="G333">
        <v>200</v>
      </c>
      <c r="H333" t="s">
        <v>1081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2026-10-06T05:36:32Z</dcterms:modified>
</cp:coreProperties>
</file>
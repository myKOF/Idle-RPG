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user\.gemini\antigravity\scratch\Idle-RPG\config\Excel\"/>
    </mc:Choice>
  </mc:AlternateContent>
  <xr:revisionPtr revIDLastSave="0" documentId="13_ncr:1_{CD59C419-050D-4347-8AB2-74A5E5D801C3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game_parameters" sheetId="1" r:id="rId1"/>
    <sheet name="計算表" sheetId="2" r:id="rId2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8" i="1" l="1"/>
  <c r="B28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A29" i="1"/>
  <c r="B29" i="1"/>
  <c r="C29" i="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A30" i="1"/>
  <c r="B30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A31" i="1"/>
  <c r="B31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A32" i="1"/>
  <c r="B32" i="1"/>
  <c r="C32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A33" i="1"/>
  <c r="B33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A34" i="1"/>
  <c r="B34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A35" i="1"/>
  <c r="B35" i="1"/>
  <c r="C35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A36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A37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A38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A39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A40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A41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A42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A43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A44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A45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A46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A47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A48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A49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A50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A51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A52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A53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A54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A55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A56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A57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A58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A59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A60" i="1"/>
  <c r="B60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A61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A62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A63" i="1"/>
  <c r="B63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A64" i="1"/>
  <c r="B64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A65" i="1"/>
  <c r="B65" i="1"/>
  <c r="C65" i="1"/>
  <c r="D65" i="1"/>
  <c r="E65" i="1"/>
  <c r="F65" i="1"/>
  <c r="G65" i="1"/>
  <c r="H65" i="1"/>
  <c r="I65" i="1"/>
  <c r="J65" i="1"/>
  <c r="K65" i="1"/>
  <c r="L65" i="1"/>
  <c r="M65" i="1"/>
  <c r="N65" i="1"/>
  <c r="O65" i="1"/>
  <c r="P65" i="1"/>
  <c r="Q65" i="1"/>
  <c r="R65" i="1"/>
  <c r="A66" i="1"/>
  <c r="B66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A67" i="1"/>
  <c r="B67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A68" i="1"/>
  <c r="B68" i="1"/>
  <c r="C68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A69" i="1"/>
  <c r="B69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A70" i="1"/>
  <c r="B70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A71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A72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A73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A74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A75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A76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A77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A78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A79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A80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A81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A82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A83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A84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A85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A86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A87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A88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A89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A90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A91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A92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A93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A94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A95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A96" i="1"/>
  <c r="B96" i="1"/>
  <c r="C96" i="1"/>
  <c r="D96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A97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A98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A99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A100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A101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A102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A103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A104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A105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A106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A107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A108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A109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A110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A111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A112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A113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A114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A115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A116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A117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A118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A119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A120" i="1"/>
  <c r="B120" i="1"/>
  <c r="C120" i="1"/>
  <c r="D120" i="1"/>
  <c r="E120" i="1"/>
  <c r="F120" i="1"/>
  <c r="G120" i="1"/>
  <c r="H120" i="1"/>
  <c r="I120" i="1"/>
  <c r="J120" i="1"/>
  <c r="K120" i="1"/>
  <c r="L120" i="1"/>
  <c r="M120" i="1"/>
  <c r="N120" i="1"/>
  <c r="O120" i="1"/>
  <c r="P120" i="1"/>
  <c r="Q120" i="1"/>
  <c r="R120" i="1"/>
  <c r="A121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A122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A123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A124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A125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A126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A127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A128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A129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A130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A131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A132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A133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A134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A135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A136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A137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A138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A139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A140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A141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A142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A143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A144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A145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A146" i="1"/>
  <c r="B146" i="1"/>
  <c r="C146" i="1"/>
  <c r="D146" i="1"/>
  <c r="E146" i="1"/>
  <c r="F146" i="1"/>
  <c r="G146" i="1"/>
  <c r="H146" i="1"/>
  <c r="I146" i="1"/>
  <c r="J146" i="1"/>
  <c r="K146" i="1"/>
  <c r="L146" i="1"/>
  <c r="M146" i="1"/>
  <c r="N146" i="1"/>
  <c r="O146" i="1"/>
  <c r="P146" i="1"/>
  <c r="Q146" i="1"/>
  <c r="R146" i="1"/>
  <c r="A147" i="1"/>
  <c r="B147" i="1"/>
  <c r="C147" i="1"/>
  <c r="D147" i="1"/>
  <c r="E147" i="1"/>
  <c r="F147" i="1"/>
  <c r="G147" i="1"/>
  <c r="H147" i="1"/>
  <c r="I147" i="1"/>
  <c r="J147" i="1"/>
  <c r="K147" i="1"/>
  <c r="L147" i="1"/>
  <c r="M147" i="1"/>
  <c r="N147" i="1"/>
  <c r="O147" i="1"/>
  <c r="P147" i="1"/>
  <c r="Q147" i="1"/>
  <c r="R147" i="1"/>
  <c r="A148" i="1"/>
  <c r="B148" i="1"/>
  <c r="C148" i="1"/>
  <c r="D148" i="1"/>
  <c r="E148" i="1"/>
  <c r="F148" i="1"/>
  <c r="G148" i="1"/>
  <c r="H148" i="1"/>
  <c r="I148" i="1"/>
  <c r="J148" i="1"/>
  <c r="K148" i="1"/>
  <c r="L148" i="1"/>
  <c r="M148" i="1"/>
  <c r="N148" i="1"/>
  <c r="O148" i="1"/>
  <c r="P148" i="1"/>
  <c r="Q148" i="1"/>
  <c r="R148" i="1"/>
  <c r="A149" i="1"/>
  <c r="B149" i="1"/>
  <c r="C149" i="1"/>
  <c r="D149" i="1"/>
  <c r="E149" i="1"/>
  <c r="F149" i="1"/>
  <c r="G149" i="1"/>
  <c r="H149" i="1"/>
  <c r="I149" i="1"/>
  <c r="J149" i="1"/>
  <c r="K149" i="1"/>
  <c r="L149" i="1"/>
  <c r="M149" i="1"/>
  <c r="N149" i="1"/>
  <c r="O149" i="1"/>
  <c r="P149" i="1"/>
  <c r="Q149" i="1"/>
  <c r="R149" i="1"/>
  <c r="A150" i="1"/>
  <c r="B150" i="1"/>
  <c r="C150" i="1"/>
  <c r="D150" i="1"/>
  <c r="E150" i="1"/>
  <c r="F150" i="1"/>
  <c r="G150" i="1"/>
  <c r="H150" i="1"/>
  <c r="I150" i="1"/>
  <c r="J150" i="1"/>
  <c r="K150" i="1"/>
  <c r="L150" i="1"/>
  <c r="M150" i="1"/>
  <c r="N150" i="1"/>
  <c r="O150" i="1"/>
  <c r="P150" i="1"/>
  <c r="Q150" i="1"/>
  <c r="R150" i="1"/>
  <c r="A151" i="1"/>
  <c r="B151" i="1"/>
  <c r="C151" i="1"/>
  <c r="D151" i="1"/>
  <c r="E151" i="1"/>
  <c r="F151" i="1"/>
  <c r="G151" i="1"/>
  <c r="H151" i="1"/>
  <c r="I151" i="1"/>
  <c r="J151" i="1"/>
  <c r="K151" i="1"/>
  <c r="L151" i="1"/>
  <c r="M151" i="1"/>
  <c r="N151" i="1"/>
  <c r="O151" i="1"/>
  <c r="P151" i="1"/>
  <c r="Q151" i="1"/>
  <c r="R151" i="1"/>
  <c r="A152" i="1"/>
  <c r="B152" i="1"/>
  <c r="C152" i="1"/>
  <c r="D152" i="1"/>
  <c r="E152" i="1"/>
  <c r="F152" i="1"/>
  <c r="G152" i="1"/>
  <c r="H152" i="1"/>
  <c r="I152" i="1"/>
  <c r="J152" i="1"/>
  <c r="K152" i="1"/>
  <c r="L152" i="1"/>
  <c r="M152" i="1"/>
  <c r="N152" i="1"/>
  <c r="O152" i="1"/>
  <c r="P152" i="1"/>
  <c r="Q152" i="1"/>
  <c r="R152" i="1"/>
  <c r="A153" i="1"/>
  <c r="B153" i="1"/>
  <c r="C153" i="1"/>
  <c r="D153" i="1"/>
  <c r="E153" i="1"/>
  <c r="F153" i="1"/>
  <c r="G153" i="1"/>
  <c r="H153" i="1"/>
  <c r="I153" i="1"/>
  <c r="J153" i="1"/>
  <c r="K153" i="1"/>
  <c r="L153" i="1"/>
  <c r="M153" i="1"/>
  <c r="N153" i="1"/>
  <c r="O153" i="1"/>
  <c r="P153" i="1"/>
  <c r="Q153" i="1"/>
  <c r="R153" i="1"/>
  <c r="A154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A155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A156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A157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A158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A159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A160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A161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A162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A163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A164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A165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A166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A167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A168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A169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A170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A171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A172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A173" i="1"/>
  <c r="B173" i="1"/>
  <c r="C173" i="1"/>
  <c r="D173" i="1"/>
  <c r="E173" i="1"/>
  <c r="F173" i="1"/>
  <c r="G173" i="1"/>
  <c r="H173" i="1"/>
  <c r="I173" i="1"/>
  <c r="J173" i="1"/>
  <c r="K173" i="1"/>
  <c r="L173" i="1"/>
  <c r="M173" i="1"/>
  <c r="N173" i="1"/>
  <c r="O173" i="1"/>
  <c r="P173" i="1"/>
  <c r="Q173" i="1"/>
  <c r="R173" i="1"/>
  <c r="A174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A175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A176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A177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A178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A179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A180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A181" i="1"/>
  <c r="B181" i="1"/>
  <c r="C181" i="1"/>
  <c r="D181" i="1"/>
  <c r="E181" i="1"/>
  <c r="F181" i="1"/>
  <c r="G181" i="1"/>
  <c r="H181" i="1"/>
  <c r="I181" i="1"/>
  <c r="J181" i="1"/>
  <c r="K181" i="1"/>
  <c r="L181" i="1"/>
  <c r="M181" i="1"/>
  <c r="N181" i="1"/>
  <c r="O181" i="1"/>
  <c r="P181" i="1"/>
  <c r="Q181" i="1"/>
  <c r="R181" i="1"/>
  <c r="A182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A183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A184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A185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A186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A187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A188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A189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A190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A191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A192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A193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A194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A195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A196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A197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A198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A199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A200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A201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A202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A203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A204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A205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A206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A207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A208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A209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A210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A211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A212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A213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A214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A215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A216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A217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A218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A219" i="1"/>
  <c r="B219" i="1"/>
  <c r="C219" i="1"/>
  <c r="D219" i="1"/>
  <c r="E219" i="1"/>
  <c r="F219" i="1"/>
  <c r="G219" i="1"/>
  <c r="H219" i="1"/>
  <c r="I219" i="1"/>
  <c r="J219" i="1"/>
  <c r="K219" i="1"/>
  <c r="L219" i="1"/>
  <c r="M219" i="1"/>
  <c r="N219" i="1"/>
  <c r="O219" i="1"/>
  <c r="P219" i="1"/>
  <c r="Q219" i="1"/>
  <c r="R219" i="1"/>
  <c r="A220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A221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A222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A223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A224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A225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A226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A227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A228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A229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A230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A231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A232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A233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A234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A235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A236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A237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A238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A239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A240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A241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A242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A243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A244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A245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A246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A247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A248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A249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A250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A251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A252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A253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A254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A255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A256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A257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A258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A259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A260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A261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A262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A263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A264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A265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A266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A267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A268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A269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A270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A271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A272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A273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A274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A275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A276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A277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A278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A279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A280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A281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A282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A283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A284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A285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A286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A287" i="1"/>
  <c r="B287" i="1"/>
  <c r="C287" i="1"/>
  <c r="D287" i="1"/>
  <c r="E287" i="1"/>
  <c r="F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A288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A289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A290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A291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A292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A293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A294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A295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A296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A297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A298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A299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A300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A301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A302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A303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A304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A305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A306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A307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A308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A309" i="1"/>
  <c r="B309" i="1"/>
  <c r="C309" i="1"/>
  <c r="D309" i="1"/>
  <c r="E309" i="1"/>
  <c r="F309" i="1"/>
  <c r="G309" i="1"/>
  <c r="H309" i="1"/>
  <c r="I309" i="1"/>
  <c r="J309" i="1"/>
  <c r="K309" i="1"/>
  <c r="L309" i="1"/>
  <c r="M309" i="1"/>
  <c r="N309" i="1"/>
  <c r="O309" i="1"/>
  <c r="P309" i="1"/>
  <c r="Q309" i="1"/>
  <c r="R309" i="1"/>
  <c r="A310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A311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A312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A313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A314" i="1"/>
  <c r="B314" i="1"/>
  <c r="C314" i="1"/>
  <c r="D314" i="1"/>
  <c r="E314" i="1"/>
  <c r="F314" i="1"/>
  <c r="G314" i="1"/>
  <c r="H314" i="1"/>
  <c r="I314" i="1"/>
  <c r="J314" i="1"/>
  <c r="K314" i="1"/>
  <c r="L314" i="1"/>
  <c r="M314" i="1"/>
  <c r="N314" i="1"/>
  <c r="O314" i="1"/>
  <c r="P314" i="1"/>
  <c r="Q314" i="1"/>
  <c r="R314" i="1"/>
  <c r="A315" i="1"/>
  <c r="B315" i="1"/>
  <c r="C315" i="1"/>
  <c r="D315" i="1"/>
  <c r="E315" i="1"/>
  <c r="F315" i="1"/>
  <c r="G315" i="1"/>
  <c r="H315" i="1"/>
  <c r="I315" i="1"/>
  <c r="J315" i="1"/>
  <c r="K315" i="1"/>
  <c r="L315" i="1"/>
  <c r="M315" i="1"/>
  <c r="N315" i="1"/>
  <c r="O315" i="1"/>
  <c r="P315" i="1"/>
  <c r="Q315" i="1"/>
  <c r="R315" i="1"/>
  <c r="A316" i="1"/>
  <c r="B316" i="1"/>
  <c r="C316" i="1"/>
  <c r="D316" i="1"/>
  <c r="E316" i="1"/>
  <c r="F316" i="1"/>
  <c r="G316" i="1"/>
  <c r="H316" i="1"/>
  <c r="I316" i="1"/>
  <c r="J316" i="1"/>
  <c r="K316" i="1"/>
  <c r="L316" i="1"/>
  <c r="M316" i="1"/>
  <c r="N316" i="1"/>
  <c r="O316" i="1"/>
  <c r="P316" i="1"/>
  <c r="Q316" i="1"/>
  <c r="R316" i="1"/>
  <c r="A317" i="1"/>
  <c r="B317" i="1"/>
  <c r="C317" i="1"/>
  <c r="D317" i="1"/>
  <c r="E317" i="1"/>
  <c r="F317" i="1"/>
  <c r="G317" i="1"/>
  <c r="H317" i="1"/>
  <c r="I317" i="1"/>
  <c r="J317" i="1"/>
  <c r="K317" i="1"/>
  <c r="L317" i="1"/>
  <c r="M317" i="1"/>
  <c r="N317" i="1"/>
  <c r="O317" i="1"/>
  <c r="P317" i="1"/>
  <c r="Q317" i="1"/>
  <c r="R317" i="1"/>
  <c r="A318" i="1"/>
  <c r="B318" i="1"/>
  <c r="C318" i="1"/>
  <c r="D318" i="1"/>
  <c r="E318" i="1"/>
  <c r="F318" i="1"/>
  <c r="G318" i="1"/>
  <c r="H318" i="1"/>
  <c r="I318" i="1"/>
  <c r="J318" i="1"/>
  <c r="K318" i="1"/>
  <c r="L318" i="1"/>
  <c r="M318" i="1"/>
  <c r="N318" i="1"/>
  <c r="O318" i="1"/>
  <c r="P318" i="1"/>
  <c r="Q318" i="1"/>
  <c r="R318" i="1"/>
  <c r="A319" i="1"/>
  <c r="B319" i="1"/>
  <c r="C319" i="1"/>
  <c r="D319" i="1"/>
  <c r="E319" i="1"/>
  <c r="F319" i="1"/>
  <c r="G319" i="1"/>
  <c r="H319" i="1"/>
  <c r="I319" i="1"/>
  <c r="J319" i="1"/>
  <c r="K319" i="1"/>
  <c r="L319" i="1"/>
  <c r="M319" i="1"/>
  <c r="N319" i="1"/>
  <c r="O319" i="1"/>
  <c r="P319" i="1"/>
  <c r="Q319" i="1"/>
  <c r="R319" i="1"/>
  <c r="A320" i="1"/>
  <c r="B320" i="1"/>
  <c r="C320" i="1"/>
  <c r="D320" i="1"/>
  <c r="E320" i="1"/>
  <c r="F320" i="1"/>
  <c r="G320" i="1"/>
  <c r="H320" i="1"/>
  <c r="I320" i="1"/>
  <c r="J320" i="1"/>
  <c r="K320" i="1"/>
  <c r="L320" i="1"/>
  <c r="M320" i="1"/>
  <c r="N320" i="1"/>
  <c r="O320" i="1"/>
  <c r="P320" i="1"/>
  <c r="Q320" i="1"/>
  <c r="R320" i="1"/>
  <c r="A321" i="1"/>
  <c r="B321" i="1"/>
  <c r="C321" i="1"/>
  <c r="D321" i="1"/>
  <c r="E321" i="1"/>
  <c r="F321" i="1"/>
  <c r="G321" i="1"/>
  <c r="H321" i="1"/>
  <c r="I321" i="1"/>
  <c r="J321" i="1"/>
  <c r="K321" i="1"/>
  <c r="L321" i="1"/>
  <c r="M321" i="1"/>
  <c r="N321" i="1"/>
  <c r="O321" i="1"/>
  <c r="P321" i="1"/>
  <c r="Q321" i="1"/>
  <c r="R321" i="1"/>
  <c r="A322" i="1"/>
  <c r="B322" i="1"/>
  <c r="C322" i="1"/>
  <c r="D322" i="1"/>
  <c r="E322" i="1"/>
  <c r="F322" i="1"/>
  <c r="G322" i="1"/>
  <c r="H322" i="1"/>
  <c r="I322" i="1"/>
  <c r="J322" i="1"/>
  <c r="K322" i="1"/>
  <c r="L322" i="1"/>
  <c r="M322" i="1"/>
  <c r="N322" i="1"/>
  <c r="O322" i="1"/>
  <c r="P322" i="1"/>
  <c r="Q322" i="1"/>
  <c r="R322" i="1"/>
  <c r="A323" i="1"/>
  <c r="B323" i="1"/>
  <c r="C323" i="1"/>
  <c r="D323" i="1"/>
  <c r="E323" i="1"/>
  <c r="F323" i="1"/>
  <c r="G323" i="1"/>
  <c r="H323" i="1"/>
  <c r="I323" i="1"/>
  <c r="J323" i="1"/>
  <c r="K323" i="1"/>
  <c r="L323" i="1"/>
  <c r="M323" i="1"/>
  <c r="N323" i="1"/>
  <c r="O323" i="1"/>
  <c r="P323" i="1"/>
  <c r="Q323" i="1"/>
  <c r="R323" i="1"/>
  <c r="A324" i="1"/>
  <c r="B324" i="1"/>
  <c r="C324" i="1"/>
  <c r="D324" i="1"/>
  <c r="E324" i="1"/>
  <c r="F324" i="1"/>
  <c r="G324" i="1"/>
  <c r="H324" i="1"/>
  <c r="I324" i="1"/>
  <c r="J324" i="1"/>
  <c r="K324" i="1"/>
  <c r="L324" i="1"/>
  <c r="M324" i="1"/>
  <c r="N324" i="1"/>
  <c r="O324" i="1"/>
  <c r="P324" i="1"/>
  <c r="Q324" i="1"/>
  <c r="R324" i="1"/>
  <c r="A325" i="1"/>
  <c r="B325" i="1"/>
  <c r="C325" i="1"/>
  <c r="D325" i="1"/>
  <c r="E325" i="1"/>
  <c r="F325" i="1"/>
  <c r="G325" i="1"/>
  <c r="H325" i="1"/>
  <c r="I325" i="1"/>
  <c r="J325" i="1"/>
  <c r="K325" i="1"/>
  <c r="L325" i="1"/>
  <c r="M325" i="1"/>
  <c r="N325" i="1"/>
  <c r="O325" i="1"/>
  <c r="P325" i="1"/>
  <c r="Q325" i="1"/>
  <c r="R325" i="1"/>
  <c r="A326" i="1"/>
  <c r="B326" i="1"/>
  <c r="C326" i="1"/>
  <c r="D326" i="1"/>
  <c r="E326" i="1"/>
  <c r="F326" i="1"/>
  <c r="G326" i="1"/>
  <c r="H326" i="1"/>
  <c r="I326" i="1"/>
  <c r="J326" i="1"/>
  <c r="K326" i="1"/>
  <c r="L326" i="1"/>
  <c r="M326" i="1"/>
  <c r="N326" i="1"/>
  <c r="O326" i="1"/>
  <c r="P326" i="1"/>
  <c r="Q326" i="1"/>
  <c r="R326" i="1"/>
  <c r="A327" i="1"/>
  <c r="B327" i="1"/>
  <c r="C327" i="1"/>
  <c r="D327" i="1"/>
  <c r="E327" i="1"/>
  <c r="F327" i="1"/>
  <c r="G327" i="1"/>
  <c r="H327" i="1"/>
  <c r="I327" i="1"/>
  <c r="J327" i="1"/>
  <c r="K327" i="1"/>
  <c r="L327" i="1"/>
  <c r="M327" i="1"/>
  <c r="N327" i="1"/>
  <c r="O327" i="1"/>
  <c r="P327" i="1"/>
  <c r="Q327" i="1"/>
  <c r="R327" i="1"/>
  <c r="A328" i="1"/>
  <c r="B328" i="1"/>
  <c r="C328" i="1"/>
  <c r="D328" i="1"/>
  <c r="E328" i="1"/>
  <c r="F328" i="1"/>
  <c r="G328" i="1"/>
  <c r="H328" i="1"/>
  <c r="I328" i="1"/>
  <c r="J328" i="1"/>
  <c r="K328" i="1"/>
  <c r="L328" i="1"/>
  <c r="M328" i="1"/>
  <c r="N328" i="1"/>
  <c r="O328" i="1"/>
  <c r="P328" i="1"/>
  <c r="Q328" i="1"/>
  <c r="R328" i="1"/>
  <c r="A329" i="1"/>
  <c r="B329" i="1"/>
  <c r="C329" i="1"/>
  <c r="D329" i="1"/>
  <c r="E329" i="1"/>
  <c r="F329" i="1"/>
  <c r="G329" i="1"/>
  <c r="H329" i="1"/>
  <c r="I329" i="1"/>
  <c r="J329" i="1"/>
  <c r="K329" i="1"/>
  <c r="L329" i="1"/>
  <c r="M329" i="1"/>
  <c r="N329" i="1"/>
  <c r="O329" i="1"/>
  <c r="P329" i="1"/>
  <c r="Q329" i="1"/>
  <c r="R329" i="1"/>
  <c r="A330" i="1"/>
  <c r="B330" i="1"/>
  <c r="C330" i="1"/>
  <c r="D330" i="1"/>
  <c r="E330" i="1"/>
  <c r="F330" i="1"/>
  <c r="G330" i="1"/>
  <c r="H330" i="1"/>
  <c r="I330" i="1"/>
  <c r="J330" i="1"/>
  <c r="K330" i="1"/>
  <c r="L330" i="1"/>
  <c r="M330" i="1"/>
  <c r="N330" i="1"/>
  <c r="O330" i="1"/>
  <c r="P330" i="1"/>
  <c r="Q330" i="1"/>
  <c r="R330" i="1"/>
  <c r="A331" i="1"/>
  <c r="B331" i="1"/>
  <c r="C331" i="1"/>
  <c r="D331" i="1"/>
  <c r="E331" i="1"/>
  <c r="F331" i="1"/>
  <c r="G331" i="1"/>
  <c r="H331" i="1"/>
  <c r="I331" i="1"/>
  <c r="J331" i="1"/>
  <c r="K331" i="1"/>
  <c r="L331" i="1"/>
  <c r="M331" i="1"/>
  <c r="N331" i="1"/>
  <c r="O331" i="1"/>
  <c r="P331" i="1"/>
  <c r="Q331" i="1"/>
  <c r="R331" i="1"/>
  <c r="A332" i="1"/>
  <c r="B332" i="1"/>
  <c r="C332" i="1"/>
  <c r="D332" i="1"/>
  <c r="E332" i="1"/>
  <c r="F332" i="1"/>
  <c r="G332" i="1"/>
  <c r="H332" i="1"/>
  <c r="I332" i="1"/>
  <c r="J332" i="1"/>
  <c r="K332" i="1"/>
  <c r="L332" i="1"/>
  <c r="M332" i="1"/>
  <c r="N332" i="1"/>
  <c r="O332" i="1"/>
  <c r="P332" i="1"/>
  <c r="Q332" i="1"/>
  <c r="R332" i="1"/>
  <c r="A333" i="1"/>
  <c r="B333" i="1"/>
  <c r="C333" i="1"/>
  <c r="D333" i="1"/>
  <c r="E333" i="1"/>
  <c r="F333" i="1"/>
  <c r="G333" i="1"/>
  <c r="H333" i="1"/>
  <c r="I333" i="1"/>
  <c r="J333" i="1"/>
  <c r="K333" i="1"/>
  <c r="L333" i="1"/>
  <c r="M333" i="1"/>
  <c r="N333" i="1"/>
  <c r="O333" i="1"/>
  <c r="P333" i="1"/>
  <c r="Q333" i="1"/>
  <c r="R333" i="1"/>
  <c r="A334" i="1"/>
  <c r="B334" i="1"/>
  <c r="C334" i="1"/>
  <c r="D334" i="1"/>
  <c r="E334" i="1"/>
  <c r="F334" i="1"/>
  <c r="G334" i="1"/>
  <c r="H334" i="1"/>
  <c r="I334" i="1"/>
  <c r="J334" i="1"/>
  <c r="K334" i="1"/>
  <c r="L334" i="1"/>
  <c r="M334" i="1"/>
  <c r="N334" i="1"/>
  <c r="O334" i="1"/>
  <c r="P334" i="1"/>
  <c r="Q334" i="1"/>
  <c r="R334" i="1"/>
  <c r="A335" i="1"/>
  <c r="B335" i="1"/>
  <c r="C335" i="1"/>
  <c r="D335" i="1"/>
  <c r="E335" i="1"/>
  <c r="F335" i="1"/>
  <c r="G335" i="1"/>
  <c r="H335" i="1"/>
  <c r="I335" i="1"/>
  <c r="J335" i="1"/>
  <c r="K335" i="1"/>
  <c r="L335" i="1"/>
  <c r="M335" i="1"/>
  <c r="N335" i="1"/>
  <c r="O335" i="1"/>
  <c r="P335" i="1"/>
  <c r="Q335" i="1"/>
  <c r="R335" i="1"/>
  <c r="A336" i="1"/>
  <c r="B336" i="1"/>
  <c r="C336" i="1"/>
  <c r="D336" i="1"/>
  <c r="E336" i="1"/>
  <c r="F336" i="1"/>
  <c r="G336" i="1"/>
  <c r="H336" i="1"/>
  <c r="I336" i="1"/>
  <c r="J336" i="1"/>
  <c r="K336" i="1"/>
  <c r="L336" i="1"/>
  <c r="M336" i="1"/>
  <c r="N336" i="1"/>
  <c r="O336" i="1"/>
  <c r="P336" i="1"/>
  <c r="Q336" i="1"/>
  <c r="R336" i="1"/>
  <c r="A337" i="1"/>
  <c r="B337" i="1"/>
  <c r="C337" i="1"/>
  <c r="D337" i="1"/>
  <c r="E337" i="1"/>
  <c r="F337" i="1"/>
  <c r="G337" i="1"/>
  <c r="H337" i="1"/>
  <c r="I337" i="1"/>
  <c r="J337" i="1"/>
  <c r="K337" i="1"/>
  <c r="L337" i="1"/>
  <c r="M337" i="1"/>
  <c r="N337" i="1"/>
  <c r="O337" i="1"/>
  <c r="P337" i="1"/>
  <c r="Q337" i="1"/>
  <c r="R337" i="1"/>
  <c r="A338" i="1"/>
  <c r="B338" i="1"/>
  <c r="C338" i="1"/>
  <c r="D338" i="1"/>
  <c r="E338" i="1"/>
  <c r="F338" i="1"/>
  <c r="G338" i="1"/>
  <c r="H338" i="1"/>
  <c r="I338" i="1"/>
  <c r="J338" i="1"/>
  <c r="K338" i="1"/>
  <c r="L338" i="1"/>
  <c r="M338" i="1"/>
  <c r="N338" i="1"/>
  <c r="O338" i="1"/>
  <c r="P338" i="1"/>
  <c r="Q338" i="1"/>
  <c r="R338" i="1"/>
  <c r="A339" i="1"/>
  <c r="B339" i="1"/>
  <c r="C339" i="1"/>
  <c r="D339" i="1"/>
  <c r="E339" i="1"/>
  <c r="F339" i="1"/>
  <c r="G339" i="1"/>
  <c r="H339" i="1"/>
  <c r="I339" i="1"/>
  <c r="J339" i="1"/>
  <c r="K339" i="1"/>
  <c r="L339" i="1"/>
  <c r="M339" i="1"/>
  <c r="N339" i="1"/>
  <c r="O339" i="1"/>
  <c r="P339" i="1"/>
  <c r="Q339" i="1"/>
  <c r="R339" i="1"/>
  <c r="A340" i="1"/>
  <c r="B340" i="1"/>
  <c r="C340" i="1"/>
  <c r="D340" i="1"/>
  <c r="E340" i="1"/>
  <c r="F340" i="1"/>
  <c r="G340" i="1"/>
  <c r="H340" i="1"/>
  <c r="I340" i="1"/>
  <c r="J340" i="1"/>
  <c r="K340" i="1"/>
  <c r="L340" i="1"/>
  <c r="M340" i="1"/>
  <c r="N340" i="1"/>
  <c r="O340" i="1"/>
  <c r="P340" i="1"/>
  <c r="Q340" i="1"/>
  <c r="R340" i="1"/>
  <c r="A341" i="1"/>
  <c r="B341" i="1"/>
  <c r="C341" i="1"/>
  <c r="D341" i="1"/>
  <c r="E341" i="1"/>
  <c r="F341" i="1"/>
  <c r="G341" i="1"/>
  <c r="H341" i="1"/>
  <c r="I341" i="1"/>
  <c r="J341" i="1"/>
  <c r="K341" i="1"/>
  <c r="L341" i="1"/>
  <c r="M341" i="1"/>
  <c r="N341" i="1"/>
  <c r="O341" i="1"/>
  <c r="P341" i="1"/>
  <c r="Q341" i="1"/>
  <c r="R341" i="1"/>
  <c r="A342" i="1"/>
  <c r="B342" i="1"/>
  <c r="C342" i="1"/>
  <c r="D342" i="1"/>
  <c r="E342" i="1"/>
  <c r="F342" i="1"/>
  <c r="G342" i="1"/>
  <c r="H342" i="1"/>
  <c r="I342" i="1"/>
  <c r="J342" i="1"/>
  <c r="K342" i="1"/>
  <c r="L342" i="1"/>
  <c r="M342" i="1"/>
  <c r="N342" i="1"/>
  <c r="O342" i="1"/>
  <c r="P342" i="1"/>
  <c r="Q342" i="1"/>
  <c r="R342" i="1"/>
  <c r="A343" i="1"/>
  <c r="B343" i="1"/>
  <c r="C343" i="1"/>
  <c r="D343" i="1"/>
  <c r="E343" i="1"/>
  <c r="F343" i="1"/>
  <c r="G343" i="1"/>
  <c r="H343" i="1"/>
  <c r="I343" i="1"/>
  <c r="J343" i="1"/>
  <c r="K343" i="1"/>
  <c r="L343" i="1"/>
  <c r="M343" i="1"/>
  <c r="N343" i="1"/>
  <c r="O343" i="1"/>
  <c r="P343" i="1"/>
  <c r="Q343" i="1"/>
  <c r="R343" i="1"/>
  <c r="A344" i="1"/>
  <c r="B344" i="1"/>
  <c r="C344" i="1"/>
  <c r="D344" i="1"/>
  <c r="E344" i="1"/>
  <c r="F344" i="1"/>
  <c r="G344" i="1"/>
  <c r="H344" i="1"/>
  <c r="I344" i="1"/>
  <c r="J344" i="1"/>
  <c r="K344" i="1"/>
  <c r="L344" i="1"/>
  <c r="M344" i="1"/>
  <c r="N344" i="1"/>
  <c r="O344" i="1"/>
  <c r="P344" i="1"/>
  <c r="Q344" i="1"/>
  <c r="R344" i="1"/>
  <c r="A345" i="1"/>
  <c r="B345" i="1"/>
  <c r="C345" i="1"/>
  <c r="D345" i="1"/>
  <c r="E345" i="1"/>
  <c r="F345" i="1"/>
  <c r="G345" i="1"/>
  <c r="H345" i="1"/>
  <c r="I345" i="1"/>
  <c r="J345" i="1"/>
  <c r="K345" i="1"/>
  <c r="L345" i="1"/>
  <c r="M345" i="1"/>
  <c r="N345" i="1"/>
  <c r="O345" i="1"/>
  <c r="P345" i="1"/>
  <c r="Q345" i="1"/>
  <c r="R345" i="1"/>
  <c r="A346" i="1"/>
  <c r="B346" i="1"/>
  <c r="C346" i="1"/>
  <c r="D346" i="1"/>
  <c r="E346" i="1"/>
  <c r="F346" i="1"/>
  <c r="G346" i="1"/>
  <c r="H346" i="1"/>
  <c r="I346" i="1"/>
  <c r="J346" i="1"/>
  <c r="K346" i="1"/>
  <c r="L346" i="1"/>
  <c r="M346" i="1"/>
  <c r="N346" i="1"/>
  <c r="O346" i="1"/>
  <c r="P346" i="1"/>
  <c r="Q346" i="1"/>
  <c r="R346" i="1"/>
  <c r="A347" i="1"/>
  <c r="B347" i="1"/>
  <c r="C347" i="1"/>
  <c r="D347" i="1"/>
  <c r="E347" i="1"/>
  <c r="F347" i="1"/>
  <c r="G347" i="1"/>
  <c r="H347" i="1"/>
  <c r="I347" i="1"/>
  <c r="J347" i="1"/>
  <c r="K347" i="1"/>
  <c r="L347" i="1"/>
  <c r="M347" i="1"/>
  <c r="N347" i="1"/>
  <c r="O347" i="1"/>
  <c r="P347" i="1"/>
  <c r="Q347" i="1"/>
  <c r="R347" i="1"/>
  <c r="A348" i="1"/>
  <c r="B348" i="1"/>
  <c r="C348" i="1"/>
  <c r="D348" i="1"/>
  <c r="E348" i="1"/>
  <c r="F348" i="1"/>
  <c r="G348" i="1"/>
  <c r="H348" i="1"/>
  <c r="I348" i="1"/>
  <c r="J348" i="1"/>
  <c r="K348" i="1"/>
  <c r="L348" i="1"/>
  <c r="M348" i="1"/>
  <c r="N348" i="1"/>
  <c r="O348" i="1"/>
  <c r="P348" i="1"/>
  <c r="Q348" i="1"/>
  <c r="R348" i="1"/>
  <c r="A349" i="1"/>
  <c r="B349" i="1"/>
  <c r="C349" i="1"/>
  <c r="D349" i="1"/>
  <c r="E349" i="1"/>
  <c r="F349" i="1"/>
  <c r="G349" i="1"/>
  <c r="H349" i="1"/>
  <c r="I349" i="1"/>
  <c r="J349" i="1"/>
  <c r="K349" i="1"/>
  <c r="L349" i="1"/>
  <c r="M349" i="1"/>
  <c r="N349" i="1"/>
  <c r="O349" i="1"/>
  <c r="P349" i="1"/>
  <c r="Q349" i="1"/>
  <c r="R349" i="1"/>
  <c r="A350" i="1"/>
  <c r="B350" i="1"/>
  <c r="C350" i="1"/>
  <c r="D350" i="1"/>
  <c r="E350" i="1"/>
  <c r="F350" i="1"/>
  <c r="G350" i="1"/>
  <c r="H350" i="1"/>
  <c r="I350" i="1"/>
  <c r="J350" i="1"/>
  <c r="K350" i="1"/>
  <c r="L350" i="1"/>
  <c r="M350" i="1"/>
  <c r="N350" i="1"/>
  <c r="O350" i="1"/>
  <c r="P350" i="1"/>
  <c r="Q350" i="1"/>
  <c r="R350" i="1"/>
  <c r="A351" i="1"/>
  <c r="B351" i="1"/>
  <c r="C351" i="1"/>
  <c r="D351" i="1"/>
  <c r="E351" i="1"/>
  <c r="F351" i="1"/>
  <c r="G351" i="1"/>
  <c r="H351" i="1"/>
  <c r="I351" i="1"/>
  <c r="J351" i="1"/>
  <c r="K351" i="1"/>
  <c r="L351" i="1"/>
  <c r="M351" i="1"/>
  <c r="N351" i="1"/>
  <c r="O351" i="1"/>
  <c r="P351" i="1"/>
  <c r="Q351" i="1"/>
  <c r="R351" i="1"/>
  <c r="A352" i="1"/>
  <c r="B352" i="1"/>
  <c r="C352" i="1"/>
  <c r="D352" i="1"/>
  <c r="E352" i="1"/>
  <c r="F352" i="1"/>
  <c r="G352" i="1"/>
  <c r="H352" i="1"/>
  <c r="I352" i="1"/>
  <c r="J352" i="1"/>
  <c r="K352" i="1"/>
  <c r="L352" i="1"/>
  <c r="M352" i="1"/>
  <c r="N352" i="1"/>
  <c r="O352" i="1"/>
  <c r="P352" i="1"/>
  <c r="Q352" i="1"/>
  <c r="R352" i="1"/>
  <c r="A353" i="1"/>
  <c r="B353" i="1"/>
  <c r="C353" i="1"/>
  <c r="D353" i="1"/>
  <c r="E353" i="1"/>
  <c r="F353" i="1"/>
  <c r="G353" i="1"/>
  <c r="H353" i="1"/>
  <c r="I353" i="1"/>
  <c r="J353" i="1"/>
  <c r="K353" i="1"/>
  <c r="L353" i="1"/>
  <c r="M353" i="1"/>
  <c r="N353" i="1"/>
  <c r="O353" i="1"/>
  <c r="P353" i="1"/>
  <c r="Q353" i="1"/>
  <c r="R353" i="1"/>
  <c r="A354" i="1"/>
  <c r="B354" i="1"/>
  <c r="C354" i="1"/>
  <c r="D354" i="1"/>
  <c r="E354" i="1"/>
  <c r="F354" i="1"/>
  <c r="G354" i="1"/>
  <c r="H354" i="1"/>
  <c r="I354" i="1"/>
  <c r="J354" i="1"/>
  <c r="K354" i="1"/>
  <c r="L354" i="1"/>
  <c r="M354" i="1"/>
  <c r="N354" i="1"/>
  <c r="O354" i="1"/>
  <c r="P354" i="1"/>
  <c r="Q354" i="1"/>
  <c r="R354" i="1"/>
  <c r="A355" i="1"/>
  <c r="B355" i="1"/>
  <c r="C355" i="1"/>
  <c r="D355" i="1"/>
  <c r="E355" i="1"/>
  <c r="F355" i="1"/>
  <c r="G355" i="1"/>
  <c r="H355" i="1"/>
  <c r="I355" i="1"/>
  <c r="J355" i="1"/>
  <c r="K355" i="1"/>
  <c r="L355" i="1"/>
  <c r="M355" i="1"/>
  <c r="N355" i="1"/>
  <c r="O355" i="1"/>
  <c r="P355" i="1"/>
  <c r="Q355" i="1"/>
  <c r="R355" i="1"/>
  <c r="A356" i="1"/>
  <c r="B356" i="1"/>
  <c r="C356" i="1"/>
  <c r="D356" i="1"/>
  <c r="E356" i="1"/>
  <c r="F356" i="1"/>
  <c r="G356" i="1"/>
  <c r="H356" i="1"/>
  <c r="I356" i="1"/>
  <c r="J356" i="1"/>
  <c r="K356" i="1"/>
  <c r="L356" i="1"/>
  <c r="M356" i="1"/>
  <c r="N356" i="1"/>
  <c r="O356" i="1"/>
  <c r="P356" i="1"/>
  <c r="Q356" i="1"/>
  <c r="R356" i="1"/>
  <c r="A357" i="1"/>
  <c r="B357" i="1"/>
  <c r="C357" i="1"/>
  <c r="D357" i="1"/>
  <c r="E357" i="1"/>
  <c r="F357" i="1"/>
  <c r="G357" i="1"/>
  <c r="H357" i="1"/>
  <c r="I357" i="1"/>
  <c r="J357" i="1"/>
  <c r="K357" i="1"/>
  <c r="L357" i="1"/>
  <c r="M357" i="1"/>
  <c r="N357" i="1"/>
  <c r="O357" i="1"/>
  <c r="P357" i="1"/>
  <c r="Q357" i="1"/>
  <c r="R357" i="1"/>
  <c r="A358" i="1"/>
  <c r="B358" i="1"/>
  <c r="C358" i="1"/>
  <c r="D358" i="1"/>
  <c r="E358" i="1"/>
  <c r="F358" i="1"/>
  <c r="G358" i="1"/>
  <c r="H358" i="1"/>
  <c r="I358" i="1"/>
  <c r="J358" i="1"/>
  <c r="K358" i="1"/>
  <c r="L358" i="1"/>
  <c r="M358" i="1"/>
  <c r="N358" i="1"/>
  <c r="O358" i="1"/>
  <c r="P358" i="1"/>
  <c r="Q358" i="1"/>
  <c r="R358" i="1"/>
  <c r="A359" i="1"/>
  <c r="B359" i="1"/>
  <c r="C359" i="1"/>
  <c r="D359" i="1"/>
  <c r="E359" i="1"/>
  <c r="F359" i="1"/>
  <c r="G359" i="1"/>
  <c r="H359" i="1"/>
  <c r="I359" i="1"/>
  <c r="J359" i="1"/>
  <c r="K359" i="1"/>
  <c r="L359" i="1"/>
  <c r="M359" i="1"/>
  <c r="N359" i="1"/>
  <c r="O359" i="1"/>
  <c r="P359" i="1"/>
  <c r="Q359" i="1"/>
  <c r="R359" i="1"/>
  <c r="A360" i="1"/>
  <c r="B360" i="1"/>
  <c r="C360" i="1"/>
  <c r="D360" i="1"/>
  <c r="E360" i="1"/>
  <c r="F360" i="1"/>
  <c r="G360" i="1"/>
  <c r="H360" i="1"/>
  <c r="I360" i="1"/>
  <c r="J360" i="1"/>
  <c r="K360" i="1"/>
  <c r="L360" i="1"/>
  <c r="M360" i="1"/>
  <c r="N360" i="1"/>
  <c r="O360" i="1"/>
  <c r="P360" i="1"/>
  <c r="Q360" i="1"/>
  <c r="R360" i="1"/>
  <c r="A361" i="1"/>
  <c r="B361" i="1"/>
  <c r="C361" i="1"/>
  <c r="D361" i="1"/>
  <c r="E361" i="1"/>
  <c r="F361" i="1"/>
  <c r="G361" i="1"/>
  <c r="H361" i="1"/>
  <c r="I361" i="1"/>
  <c r="J361" i="1"/>
  <c r="K361" i="1"/>
  <c r="L361" i="1"/>
  <c r="M361" i="1"/>
  <c r="N361" i="1"/>
  <c r="O361" i="1"/>
  <c r="P361" i="1"/>
  <c r="Q361" i="1"/>
  <c r="R361" i="1"/>
  <c r="A362" i="1"/>
  <c r="B362" i="1"/>
  <c r="C362" i="1"/>
  <c r="D362" i="1"/>
  <c r="E362" i="1"/>
  <c r="F362" i="1"/>
  <c r="G362" i="1"/>
  <c r="H362" i="1"/>
  <c r="I362" i="1"/>
  <c r="J362" i="1"/>
  <c r="K362" i="1"/>
  <c r="L362" i="1"/>
  <c r="M362" i="1"/>
  <c r="N362" i="1"/>
  <c r="O362" i="1"/>
  <c r="P362" i="1"/>
  <c r="Q362" i="1"/>
  <c r="R362" i="1"/>
  <c r="A363" i="1"/>
  <c r="B363" i="1"/>
  <c r="C363" i="1"/>
  <c r="D363" i="1"/>
  <c r="E363" i="1"/>
  <c r="F363" i="1"/>
  <c r="G363" i="1"/>
  <c r="H363" i="1"/>
  <c r="I363" i="1"/>
  <c r="J363" i="1"/>
  <c r="K363" i="1"/>
  <c r="L363" i="1"/>
  <c r="M363" i="1"/>
  <c r="N363" i="1"/>
  <c r="O363" i="1"/>
  <c r="P363" i="1"/>
  <c r="Q363" i="1"/>
  <c r="R363" i="1"/>
  <c r="A364" i="1"/>
  <c r="B364" i="1"/>
  <c r="C364" i="1"/>
  <c r="D364" i="1"/>
  <c r="E364" i="1"/>
  <c r="F364" i="1"/>
  <c r="G364" i="1"/>
  <c r="H364" i="1"/>
  <c r="I364" i="1"/>
  <c r="J364" i="1"/>
  <c r="K364" i="1"/>
  <c r="L364" i="1"/>
  <c r="M364" i="1"/>
  <c r="N364" i="1"/>
  <c r="O364" i="1"/>
  <c r="P364" i="1"/>
  <c r="Q364" i="1"/>
  <c r="R364" i="1"/>
  <c r="A365" i="1"/>
  <c r="B365" i="1"/>
  <c r="C365" i="1"/>
  <c r="D365" i="1"/>
  <c r="E365" i="1"/>
  <c r="F365" i="1"/>
  <c r="G365" i="1"/>
  <c r="H365" i="1"/>
  <c r="I365" i="1"/>
  <c r="J365" i="1"/>
  <c r="K365" i="1"/>
  <c r="L365" i="1"/>
  <c r="M365" i="1"/>
  <c r="N365" i="1"/>
  <c r="O365" i="1"/>
  <c r="P365" i="1"/>
  <c r="Q365" i="1"/>
  <c r="R365" i="1"/>
  <c r="A366" i="1"/>
  <c r="B366" i="1"/>
  <c r="C366" i="1"/>
  <c r="D366" i="1"/>
  <c r="E366" i="1"/>
  <c r="F366" i="1"/>
  <c r="G366" i="1"/>
  <c r="H366" i="1"/>
  <c r="I366" i="1"/>
  <c r="J366" i="1"/>
  <c r="K366" i="1"/>
  <c r="L366" i="1"/>
  <c r="M366" i="1"/>
  <c r="N366" i="1"/>
  <c r="O366" i="1"/>
  <c r="P366" i="1"/>
  <c r="Q366" i="1"/>
  <c r="R366" i="1"/>
  <c r="A367" i="1"/>
  <c r="B367" i="1"/>
  <c r="C367" i="1"/>
  <c r="D367" i="1"/>
  <c r="E367" i="1"/>
  <c r="F367" i="1"/>
  <c r="G367" i="1"/>
  <c r="H367" i="1"/>
  <c r="I367" i="1"/>
  <c r="J367" i="1"/>
  <c r="K367" i="1"/>
  <c r="L367" i="1"/>
  <c r="M367" i="1"/>
  <c r="N367" i="1"/>
  <c r="O367" i="1"/>
  <c r="P367" i="1"/>
  <c r="Q367" i="1"/>
  <c r="R367" i="1"/>
  <c r="A368" i="1"/>
  <c r="B368" i="1"/>
  <c r="C368" i="1"/>
  <c r="D368" i="1"/>
  <c r="E368" i="1"/>
  <c r="F368" i="1"/>
  <c r="G368" i="1"/>
  <c r="H368" i="1"/>
  <c r="I368" i="1"/>
  <c r="J368" i="1"/>
  <c r="K368" i="1"/>
  <c r="L368" i="1"/>
  <c r="M368" i="1"/>
  <c r="N368" i="1"/>
  <c r="O368" i="1"/>
  <c r="P368" i="1"/>
  <c r="Q368" i="1"/>
  <c r="R368" i="1"/>
  <c r="A369" i="1"/>
  <c r="B369" i="1"/>
  <c r="C369" i="1"/>
  <c r="D369" i="1"/>
  <c r="E369" i="1"/>
  <c r="F369" i="1"/>
  <c r="G369" i="1"/>
  <c r="H369" i="1"/>
  <c r="I369" i="1"/>
  <c r="J369" i="1"/>
  <c r="K369" i="1"/>
  <c r="L369" i="1"/>
  <c r="M369" i="1"/>
  <c r="N369" i="1"/>
  <c r="O369" i="1"/>
  <c r="P369" i="1"/>
  <c r="Q369" i="1"/>
  <c r="R369" i="1"/>
  <c r="A370" i="1"/>
  <c r="B370" i="1"/>
  <c r="C370" i="1"/>
  <c r="D370" i="1"/>
  <c r="E370" i="1"/>
  <c r="F370" i="1"/>
  <c r="G370" i="1"/>
  <c r="H370" i="1"/>
  <c r="I370" i="1"/>
  <c r="J370" i="1"/>
  <c r="K370" i="1"/>
  <c r="L370" i="1"/>
  <c r="M370" i="1"/>
  <c r="N370" i="1"/>
  <c r="O370" i="1"/>
  <c r="P370" i="1"/>
  <c r="Q370" i="1"/>
  <c r="R370" i="1"/>
  <c r="A371" i="1"/>
  <c r="B371" i="1"/>
  <c r="C371" i="1"/>
  <c r="D371" i="1"/>
  <c r="E371" i="1"/>
  <c r="F371" i="1"/>
  <c r="G371" i="1"/>
  <c r="H371" i="1"/>
  <c r="I371" i="1"/>
  <c r="J371" i="1"/>
  <c r="K371" i="1"/>
  <c r="L371" i="1"/>
  <c r="M371" i="1"/>
  <c r="N371" i="1"/>
  <c r="O371" i="1"/>
  <c r="P371" i="1"/>
  <c r="Q371" i="1"/>
  <c r="R371" i="1"/>
  <c r="A372" i="1"/>
  <c r="B372" i="1"/>
  <c r="C372" i="1"/>
  <c r="D372" i="1"/>
  <c r="E372" i="1"/>
  <c r="F372" i="1"/>
  <c r="G372" i="1"/>
  <c r="H372" i="1"/>
  <c r="I372" i="1"/>
  <c r="J372" i="1"/>
  <c r="K372" i="1"/>
  <c r="L372" i="1"/>
  <c r="M372" i="1"/>
  <c r="N372" i="1"/>
  <c r="O372" i="1"/>
  <c r="P372" i="1"/>
  <c r="Q372" i="1"/>
  <c r="R372" i="1"/>
  <c r="A373" i="1"/>
  <c r="B373" i="1"/>
  <c r="C373" i="1"/>
  <c r="D373" i="1"/>
  <c r="E373" i="1"/>
  <c r="F373" i="1"/>
  <c r="G373" i="1"/>
  <c r="H373" i="1"/>
  <c r="I373" i="1"/>
  <c r="J373" i="1"/>
  <c r="K373" i="1"/>
  <c r="L373" i="1"/>
  <c r="M373" i="1"/>
  <c r="N373" i="1"/>
  <c r="O373" i="1"/>
  <c r="P373" i="1"/>
  <c r="Q373" i="1"/>
  <c r="R373" i="1"/>
  <c r="A374" i="1"/>
  <c r="B374" i="1"/>
  <c r="C374" i="1"/>
  <c r="D374" i="1"/>
  <c r="E374" i="1"/>
  <c r="F374" i="1"/>
  <c r="G374" i="1"/>
  <c r="H374" i="1"/>
  <c r="I374" i="1"/>
  <c r="J374" i="1"/>
  <c r="K374" i="1"/>
  <c r="L374" i="1"/>
  <c r="M374" i="1"/>
  <c r="N374" i="1"/>
  <c r="O374" i="1"/>
  <c r="P374" i="1"/>
  <c r="Q374" i="1"/>
  <c r="R374" i="1"/>
  <c r="A375" i="1"/>
  <c r="B375" i="1"/>
  <c r="C375" i="1"/>
  <c r="D375" i="1"/>
  <c r="E375" i="1"/>
  <c r="F375" i="1"/>
  <c r="G375" i="1"/>
  <c r="H375" i="1"/>
  <c r="I375" i="1"/>
  <c r="J375" i="1"/>
  <c r="K375" i="1"/>
  <c r="L375" i="1"/>
  <c r="M375" i="1"/>
  <c r="N375" i="1"/>
  <c r="O375" i="1"/>
  <c r="P375" i="1"/>
  <c r="Q375" i="1"/>
  <c r="R375" i="1"/>
  <c r="A376" i="1"/>
  <c r="B376" i="1"/>
  <c r="C376" i="1"/>
  <c r="D376" i="1"/>
  <c r="E376" i="1"/>
  <c r="F376" i="1"/>
  <c r="G376" i="1"/>
  <c r="H376" i="1"/>
  <c r="I376" i="1"/>
  <c r="J376" i="1"/>
  <c r="K376" i="1"/>
  <c r="L376" i="1"/>
  <c r="M376" i="1"/>
  <c r="N376" i="1"/>
  <c r="O376" i="1"/>
  <c r="P376" i="1"/>
  <c r="Q376" i="1"/>
  <c r="R376" i="1"/>
  <c r="A377" i="1"/>
  <c r="B377" i="1"/>
  <c r="C377" i="1"/>
  <c r="D377" i="1"/>
  <c r="E377" i="1"/>
  <c r="F377" i="1"/>
  <c r="G377" i="1"/>
  <c r="H377" i="1"/>
  <c r="I377" i="1"/>
  <c r="J377" i="1"/>
  <c r="K377" i="1"/>
  <c r="L377" i="1"/>
  <c r="M377" i="1"/>
  <c r="N377" i="1"/>
  <c r="O377" i="1"/>
  <c r="P377" i="1"/>
  <c r="Q377" i="1"/>
  <c r="R377" i="1"/>
  <c r="A378" i="1"/>
  <c r="B378" i="1"/>
  <c r="C378" i="1"/>
  <c r="D378" i="1"/>
  <c r="E378" i="1"/>
  <c r="F378" i="1"/>
  <c r="G378" i="1"/>
  <c r="H378" i="1"/>
  <c r="I378" i="1"/>
  <c r="J378" i="1"/>
  <c r="K378" i="1"/>
  <c r="L378" i="1"/>
  <c r="M378" i="1"/>
  <c r="N378" i="1"/>
  <c r="O378" i="1"/>
  <c r="P378" i="1"/>
  <c r="Q378" i="1"/>
  <c r="R378" i="1"/>
  <c r="A379" i="1"/>
  <c r="B379" i="1"/>
  <c r="C379" i="1"/>
  <c r="D379" i="1"/>
  <c r="E379" i="1"/>
  <c r="F379" i="1"/>
  <c r="G379" i="1"/>
  <c r="H379" i="1"/>
  <c r="I379" i="1"/>
  <c r="J379" i="1"/>
  <c r="K379" i="1"/>
  <c r="L379" i="1"/>
  <c r="M379" i="1"/>
  <c r="N379" i="1"/>
  <c r="O379" i="1"/>
  <c r="P379" i="1"/>
  <c r="Q379" i="1"/>
  <c r="R379" i="1"/>
  <c r="A380" i="1"/>
  <c r="B380" i="1"/>
  <c r="C380" i="1"/>
  <c r="D380" i="1"/>
  <c r="E380" i="1"/>
  <c r="F380" i="1"/>
  <c r="G380" i="1"/>
  <c r="H380" i="1"/>
  <c r="I380" i="1"/>
  <c r="J380" i="1"/>
  <c r="K380" i="1"/>
  <c r="L380" i="1"/>
  <c r="M380" i="1"/>
  <c r="N380" i="1"/>
  <c r="O380" i="1"/>
  <c r="P380" i="1"/>
  <c r="Q380" i="1"/>
  <c r="R380" i="1"/>
  <c r="A381" i="1"/>
  <c r="B381" i="1"/>
  <c r="C381" i="1"/>
  <c r="D381" i="1"/>
  <c r="E381" i="1"/>
  <c r="F381" i="1"/>
  <c r="G381" i="1"/>
  <c r="H381" i="1"/>
  <c r="I381" i="1"/>
  <c r="J381" i="1"/>
  <c r="K381" i="1"/>
  <c r="L381" i="1"/>
  <c r="M381" i="1"/>
  <c r="N381" i="1"/>
  <c r="O381" i="1"/>
  <c r="P381" i="1"/>
  <c r="Q381" i="1"/>
  <c r="R381" i="1"/>
  <c r="A382" i="1"/>
  <c r="B382" i="1"/>
  <c r="C382" i="1"/>
  <c r="D382" i="1"/>
  <c r="E382" i="1"/>
  <c r="F382" i="1"/>
  <c r="G382" i="1"/>
  <c r="H382" i="1"/>
  <c r="I382" i="1"/>
  <c r="J382" i="1"/>
  <c r="K382" i="1"/>
  <c r="L382" i="1"/>
  <c r="M382" i="1"/>
  <c r="N382" i="1"/>
  <c r="O382" i="1"/>
  <c r="P382" i="1"/>
  <c r="Q382" i="1"/>
  <c r="R382" i="1"/>
  <c r="A383" i="1"/>
  <c r="B383" i="1"/>
  <c r="C383" i="1"/>
  <c r="D383" i="1"/>
  <c r="E383" i="1"/>
  <c r="F383" i="1"/>
  <c r="G383" i="1"/>
  <c r="H383" i="1"/>
  <c r="I383" i="1"/>
  <c r="J383" i="1"/>
  <c r="K383" i="1"/>
  <c r="L383" i="1"/>
  <c r="M383" i="1"/>
  <c r="N383" i="1"/>
  <c r="O383" i="1"/>
  <c r="P383" i="1"/>
  <c r="Q383" i="1"/>
  <c r="R383" i="1"/>
  <c r="A384" i="1"/>
  <c r="B384" i="1"/>
  <c r="C384" i="1"/>
  <c r="D384" i="1"/>
  <c r="E384" i="1"/>
  <c r="F384" i="1"/>
  <c r="G384" i="1"/>
  <c r="H384" i="1"/>
  <c r="I384" i="1"/>
  <c r="J384" i="1"/>
  <c r="K384" i="1"/>
  <c r="L384" i="1"/>
  <c r="M384" i="1"/>
  <c r="N384" i="1"/>
  <c r="O384" i="1"/>
  <c r="P384" i="1"/>
  <c r="Q384" i="1"/>
  <c r="R384" i="1"/>
  <c r="A385" i="1"/>
  <c r="B385" i="1"/>
  <c r="C385" i="1"/>
  <c r="D385" i="1"/>
  <c r="E385" i="1"/>
  <c r="F385" i="1"/>
  <c r="G385" i="1"/>
  <c r="H385" i="1"/>
  <c r="I385" i="1"/>
  <c r="J385" i="1"/>
  <c r="K385" i="1"/>
  <c r="L385" i="1"/>
  <c r="M385" i="1"/>
  <c r="N385" i="1"/>
  <c r="O385" i="1"/>
  <c r="P385" i="1"/>
  <c r="Q385" i="1"/>
  <c r="R385" i="1"/>
  <c r="A386" i="1"/>
  <c r="B386" i="1"/>
  <c r="C386" i="1"/>
  <c r="D386" i="1"/>
  <c r="E386" i="1"/>
  <c r="F386" i="1"/>
  <c r="G386" i="1"/>
  <c r="H386" i="1"/>
  <c r="I386" i="1"/>
  <c r="J386" i="1"/>
  <c r="K386" i="1"/>
  <c r="L386" i="1"/>
  <c r="M386" i="1"/>
  <c r="N386" i="1"/>
  <c r="O386" i="1"/>
  <c r="P386" i="1"/>
  <c r="Q386" i="1"/>
  <c r="R386" i="1"/>
  <c r="A387" i="1"/>
  <c r="B387" i="1"/>
  <c r="C387" i="1"/>
  <c r="D387" i="1"/>
  <c r="E387" i="1"/>
  <c r="F387" i="1"/>
  <c r="G387" i="1"/>
  <c r="H387" i="1"/>
  <c r="I387" i="1"/>
  <c r="J387" i="1"/>
  <c r="K387" i="1"/>
  <c r="L387" i="1"/>
  <c r="M387" i="1"/>
  <c r="N387" i="1"/>
  <c r="O387" i="1"/>
  <c r="P387" i="1"/>
  <c r="Q387" i="1"/>
  <c r="R387" i="1"/>
  <c r="A388" i="1"/>
  <c r="B388" i="1"/>
  <c r="C388" i="1"/>
  <c r="D388" i="1"/>
  <c r="E388" i="1"/>
  <c r="F388" i="1"/>
  <c r="G388" i="1"/>
  <c r="H388" i="1"/>
  <c r="I388" i="1"/>
  <c r="J388" i="1"/>
  <c r="K388" i="1"/>
  <c r="L388" i="1"/>
  <c r="M388" i="1"/>
  <c r="N388" i="1"/>
  <c r="O388" i="1"/>
  <c r="P388" i="1"/>
  <c r="Q388" i="1"/>
  <c r="R388" i="1"/>
  <c r="A389" i="1"/>
  <c r="B389" i="1"/>
  <c r="C389" i="1"/>
  <c r="D389" i="1"/>
  <c r="E389" i="1"/>
  <c r="F389" i="1"/>
  <c r="G389" i="1"/>
  <c r="H389" i="1"/>
  <c r="I389" i="1"/>
  <c r="J389" i="1"/>
  <c r="K389" i="1"/>
  <c r="L389" i="1"/>
  <c r="M389" i="1"/>
  <c r="N389" i="1"/>
  <c r="O389" i="1"/>
  <c r="P389" i="1"/>
  <c r="Q389" i="1"/>
  <c r="R389" i="1"/>
  <c r="A390" i="1"/>
  <c r="B390" i="1"/>
  <c r="C390" i="1"/>
  <c r="D390" i="1"/>
  <c r="E390" i="1"/>
  <c r="F390" i="1"/>
  <c r="G390" i="1"/>
  <c r="H390" i="1"/>
  <c r="I390" i="1"/>
  <c r="J390" i="1"/>
  <c r="K390" i="1"/>
  <c r="L390" i="1"/>
  <c r="M390" i="1"/>
  <c r="N390" i="1"/>
  <c r="O390" i="1"/>
  <c r="P390" i="1"/>
  <c r="Q390" i="1"/>
  <c r="R390" i="1"/>
  <c r="A391" i="1"/>
  <c r="B391" i="1"/>
  <c r="C391" i="1"/>
  <c r="D391" i="1"/>
  <c r="E391" i="1"/>
  <c r="F391" i="1"/>
  <c r="G391" i="1"/>
  <c r="H391" i="1"/>
  <c r="I391" i="1"/>
  <c r="J391" i="1"/>
  <c r="K391" i="1"/>
  <c r="L391" i="1"/>
  <c r="M391" i="1"/>
  <c r="N391" i="1"/>
  <c r="O391" i="1"/>
  <c r="P391" i="1"/>
  <c r="Q391" i="1"/>
  <c r="R391" i="1"/>
  <c r="A392" i="1"/>
  <c r="B392" i="1"/>
  <c r="C392" i="1"/>
  <c r="D392" i="1"/>
  <c r="E392" i="1"/>
  <c r="F392" i="1"/>
  <c r="G392" i="1"/>
  <c r="H392" i="1"/>
  <c r="I392" i="1"/>
  <c r="J392" i="1"/>
  <c r="K392" i="1"/>
  <c r="L392" i="1"/>
  <c r="M392" i="1"/>
  <c r="N392" i="1"/>
  <c r="O392" i="1"/>
  <c r="P392" i="1"/>
  <c r="Q392" i="1"/>
  <c r="R392" i="1"/>
  <c r="A393" i="1"/>
  <c r="B393" i="1"/>
  <c r="C393" i="1"/>
  <c r="D393" i="1"/>
  <c r="E393" i="1"/>
  <c r="F393" i="1"/>
  <c r="G393" i="1"/>
  <c r="H393" i="1"/>
  <c r="I393" i="1"/>
  <c r="J393" i="1"/>
  <c r="K393" i="1"/>
  <c r="L393" i="1"/>
  <c r="M393" i="1"/>
  <c r="N393" i="1"/>
  <c r="O393" i="1"/>
  <c r="P393" i="1"/>
  <c r="Q393" i="1"/>
  <c r="R393" i="1"/>
  <c r="A394" i="1"/>
  <c r="B394" i="1"/>
  <c r="C394" i="1"/>
  <c r="D394" i="1"/>
  <c r="E394" i="1"/>
  <c r="F394" i="1"/>
  <c r="G394" i="1"/>
  <c r="H394" i="1"/>
  <c r="I394" i="1"/>
  <c r="J394" i="1"/>
  <c r="K394" i="1"/>
  <c r="L394" i="1"/>
  <c r="M394" i="1"/>
  <c r="N394" i="1"/>
  <c r="O394" i="1"/>
  <c r="P394" i="1"/>
  <c r="Q394" i="1"/>
  <c r="R394" i="1"/>
  <c r="A395" i="1"/>
  <c r="B395" i="1"/>
  <c r="C395" i="1"/>
  <c r="D395" i="1"/>
  <c r="E395" i="1"/>
  <c r="F395" i="1"/>
  <c r="G395" i="1"/>
  <c r="H395" i="1"/>
  <c r="I395" i="1"/>
  <c r="J395" i="1"/>
  <c r="K395" i="1"/>
  <c r="L395" i="1"/>
  <c r="M395" i="1"/>
  <c r="N395" i="1"/>
  <c r="O395" i="1"/>
  <c r="P395" i="1"/>
  <c r="Q395" i="1"/>
  <c r="R395" i="1"/>
  <c r="A396" i="1"/>
  <c r="B396" i="1"/>
  <c r="C396" i="1"/>
  <c r="D396" i="1"/>
  <c r="E396" i="1"/>
  <c r="F396" i="1"/>
  <c r="G396" i="1"/>
  <c r="H396" i="1"/>
  <c r="I396" i="1"/>
  <c r="J396" i="1"/>
  <c r="K396" i="1"/>
  <c r="L396" i="1"/>
  <c r="M396" i="1"/>
  <c r="N396" i="1"/>
  <c r="O396" i="1"/>
  <c r="P396" i="1"/>
  <c r="Q396" i="1"/>
  <c r="R396" i="1"/>
  <c r="A397" i="1"/>
  <c r="B397" i="1"/>
  <c r="C397" i="1"/>
  <c r="D397" i="1"/>
  <c r="E397" i="1"/>
  <c r="F397" i="1"/>
  <c r="G397" i="1"/>
  <c r="H397" i="1"/>
  <c r="I397" i="1"/>
  <c r="J397" i="1"/>
  <c r="K397" i="1"/>
  <c r="L397" i="1"/>
  <c r="M397" i="1"/>
  <c r="N397" i="1"/>
  <c r="O397" i="1"/>
  <c r="P397" i="1"/>
  <c r="Q397" i="1"/>
  <c r="R397" i="1"/>
  <c r="A398" i="1"/>
  <c r="B398" i="1"/>
  <c r="C398" i="1"/>
  <c r="D398" i="1"/>
  <c r="E398" i="1"/>
  <c r="F398" i="1"/>
  <c r="G398" i="1"/>
  <c r="H398" i="1"/>
  <c r="I398" i="1"/>
  <c r="J398" i="1"/>
  <c r="K398" i="1"/>
  <c r="L398" i="1"/>
  <c r="M398" i="1"/>
  <c r="N398" i="1"/>
  <c r="O398" i="1"/>
  <c r="P398" i="1"/>
  <c r="Q398" i="1"/>
  <c r="R398" i="1"/>
  <c r="A399" i="1"/>
  <c r="B399" i="1"/>
  <c r="C399" i="1"/>
  <c r="D399" i="1"/>
  <c r="E399" i="1"/>
  <c r="F399" i="1"/>
  <c r="G399" i="1"/>
  <c r="H399" i="1"/>
  <c r="I399" i="1"/>
  <c r="J399" i="1"/>
  <c r="K399" i="1"/>
  <c r="L399" i="1"/>
  <c r="M399" i="1"/>
  <c r="N399" i="1"/>
  <c r="O399" i="1"/>
  <c r="P399" i="1"/>
  <c r="Q399" i="1"/>
  <c r="R399" i="1"/>
  <c r="A400" i="1"/>
  <c r="B400" i="1"/>
  <c r="C400" i="1"/>
  <c r="D400" i="1"/>
  <c r="E400" i="1"/>
  <c r="F400" i="1"/>
  <c r="G400" i="1"/>
  <c r="H400" i="1"/>
  <c r="I400" i="1"/>
  <c r="J400" i="1"/>
  <c r="K400" i="1"/>
  <c r="L400" i="1"/>
  <c r="M400" i="1"/>
  <c r="N400" i="1"/>
  <c r="O400" i="1"/>
  <c r="P400" i="1"/>
  <c r="Q400" i="1"/>
  <c r="R400" i="1"/>
  <c r="A401" i="1"/>
  <c r="B401" i="1"/>
  <c r="C401" i="1"/>
  <c r="D401" i="1"/>
  <c r="E401" i="1"/>
  <c r="F401" i="1"/>
  <c r="G401" i="1"/>
  <c r="H401" i="1"/>
  <c r="I401" i="1"/>
  <c r="J401" i="1"/>
  <c r="K401" i="1"/>
  <c r="L401" i="1"/>
  <c r="M401" i="1"/>
  <c r="N401" i="1"/>
  <c r="O401" i="1"/>
  <c r="P401" i="1"/>
  <c r="Q401" i="1"/>
  <c r="R401" i="1"/>
  <c r="A402" i="1"/>
  <c r="B402" i="1"/>
  <c r="C402" i="1"/>
  <c r="D402" i="1"/>
  <c r="E402" i="1"/>
  <c r="F402" i="1"/>
  <c r="G402" i="1"/>
  <c r="H402" i="1"/>
  <c r="I402" i="1"/>
  <c r="J402" i="1"/>
  <c r="K402" i="1"/>
  <c r="L402" i="1"/>
  <c r="M402" i="1"/>
  <c r="N402" i="1"/>
  <c r="O402" i="1"/>
  <c r="P402" i="1"/>
  <c r="Q402" i="1"/>
  <c r="R402" i="1"/>
  <c r="A403" i="1"/>
  <c r="B403" i="1"/>
  <c r="C403" i="1"/>
  <c r="D403" i="1"/>
  <c r="E403" i="1"/>
  <c r="F403" i="1"/>
  <c r="G403" i="1"/>
  <c r="H403" i="1"/>
  <c r="I403" i="1"/>
  <c r="J403" i="1"/>
  <c r="K403" i="1"/>
  <c r="L403" i="1"/>
  <c r="M403" i="1"/>
  <c r="N403" i="1"/>
  <c r="O403" i="1"/>
  <c r="P403" i="1"/>
  <c r="Q403" i="1"/>
  <c r="R403" i="1"/>
  <c r="A404" i="1"/>
  <c r="B404" i="1"/>
  <c r="C404" i="1"/>
  <c r="D404" i="1"/>
  <c r="E404" i="1"/>
  <c r="F404" i="1"/>
  <c r="G404" i="1"/>
  <c r="H404" i="1"/>
  <c r="I404" i="1"/>
  <c r="J404" i="1"/>
  <c r="K404" i="1"/>
  <c r="L404" i="1"/>
  <c r="M404" i="1"/>
  <c r="N404" i="1"/>
  <c r="O404" i="1"/>
  <c r="P404" i="1"/>
  <c r="Q404" i="1"/>
  <c r="R404" i="1"/>
  <c r="A405" i="1"/>
  <c r="B405" i="1"/>
  <c r="C405" i="1"/>
  <c r="D405" i="1"/>
  <c r="E405" i="1"/>
  <c r="F405" i="1"/>
  <c r="G405" i="1"/>
  <c r="H405" i="1"/>
  <c r="I405" i="1"/>
  <c r="J405" i="1"/>
  <c r="K405" i="1"/>
  <c r="L405" i="1"/>
  <c r="M405" i="1"/>
  <c r="N405" i="1"/>
  <c r="O405" i="1"/>
  <c r="P405" i="1"/>
  <c r="Q405" i="1"/>
  <c r="R405" i="1"/>
  <c r="A406" i="1"/>
  <c r="B406" i="1"/>
  <c r="C406" i="1"/>
  <c r="D406" i="1"/>
  <c r="E406" i="1"/>
  <c r="F406" i="1"/>
  <c r="G406" i="1"/>
  <c r="H406" i="1"/>
  <c r="I406" i="1"/>
  <c r="J406" i="1"/>
  <c r="K406" i="1"/>
  <c r="L406" i="1"/>
  <c r="M406" i="1"/>
  <c r="N406" i="1"/>
  <c r="O406" i="1"/>
  <c r="P406" i="1"/>
  <c r="Q406" i="1"/>
  <c r="R406" i="1"/>
  <c r="A407" i="1"/>
  <c r="B407" i="1"/>
  <c r="C407" i="1"/>
  <c r="D407" i="1"/>
  <c r="E407" i="1"/>
  <c r="F407" i="1"/>
  <c r="G407" i="1"/>
  <c r="H407" i="1"/>
  <c r="I407" i="1"/>
  <c r="J407" i="1"/>
  <c r="K407" i="1"/>
  <c r="L407" i="1"/>
  <c r="M407" i="1"/>
  <c r="N407" i="1"/>
  <c r="O407" i="1"/>
  <c r="P407" i="1"/>
  <c r="Q407" i="1"/>
  <c r="R407" i="1"/>
  <c r="A408" i="1"/>
  <c r="B408" i="1"/>
  <c r="C408" i="1"/>
  <c r="D408" i="1"/>
  <c r="E408" i="1"/>
  <c r="F408" i="1"/>
  <c r="G408" i="1"/>
  <c r="H408" i="1"/>
  <c r="I408" i="1"/>
  <c r="J408" i="1"/>
  <c r="K408" i="1"/>
  <c r="L408" i="1"/>
  <c r="M408" i="1"/>
  <c r="N408" i="1"/>
  <c r="O408" i="1"/>
  <c r="P408" i="1"/>
  <c r="Q408" i="1"/>
  <c r="R408" i="1"/>
  <c r="A409" i="1"/>
  <c r="B409" i="1"/>
  <c r="C409" i="1"/>
  <c r="D409" i="1"/>
  <c r="E409" i="1"/>
  <c r="F409" i="1"/>
  <c r="G409" i="1"/>
  <c r="H409" i="1"/>
  <c r="I409" i="1"/>
  <c r="J409" i="1"/>
  <c r="K409" i="1"/>
  <c r="L409" i="1"/>
  <c r="M409" i="1"/>
  <c r="N409" i="1"/>
  <c r="O409" i="1"/>
  <c r="P409" i="1"/>
  <c r="Q409" i="1"/>
  <c r="R409" i="1"/>
  <c r="A410" i="1"/>
  <c r="B410" i="1"/>
  <c r="C410" i="1"/>
  <c r="D410" i="1"/>
  <c r="E410" i="1"/>
  <c r="F410" i="1"/>
  <c r="G410" i="1"/>
  <c r="H410" i="1"/>
  <c r="I410" i="1"/>
  <c r="J410" i="1"/>
  <c r="K410" i="1"/>
  <c r="L410" i="1"/>
  <c r="M410" i="1"/>
  <c r="N410" i="1"/>
  <c r="O410" i="1"/>
  <c r="P410" i="1"/>
  <c r="Q410" i="1"/>
  <c r="R410" i="1"/>
  <c r="A411" i="1"/>
  <c r="B411" i="1"/>
  <c r="C411" i="1"/>
  <c r="D411" i="1"/>
  <c r="E411" i="1"/>
  <c r="F411" i="1"/>
  <c r="G411" i="1"/>
  <c r="H411" i="1"/>
  <c r="I411" i="1"/>
  <c r="J411" i="1"/>
  <c r="K411" i="1"/>
  <c r="L411" i="1"/>
  <c r="M411" i="1"/>
  <c r="N411" i="1"/>
  <c r="O411" i="1"/>
  <c r="P411" i="1"/>
  <c r="Q411" i="1"/>
  <c r="R411" i="1"/>
  <c r="A412" i="1"/>
  <c r="B412" i="1"/>
  <c r="C412" i="1"/>
  <c r="D412" i="1"/>
  <c r="E412" i="1"/>
  <c r="F412" i="1"/>
  <c r="G412" i="1"/>
  <c r="H412" i="1"/>
  <c r="I412" i="1"/>
  <c r="J412" i="1"/>
  <c r="K412" i="1"/>
  <c r="L412" i="1"/>
  <c r="M412" i="1"/>
  <c r="N412" i="1"/>
  <c r="O412" i="1"/>
  <c r="P412" i="1"/>
  <c r="Q412" i="1"/>
  <c r="R412" i="1"/>
  <c r="A413" i="1"/>
  <c r="B413" i="1"/>
  <c r="C413" i="1"/>
  <c r="D413" i="1"/>
  <c r="E413" i="1"/>
  <c r="F413" i="1"/>
  <c r="G413" i="1"/>
  <c r="H413" i="1"/>
  <c r="I413" i="1"/>
  <c r="J413" i="1"/>
  <c r="K413" i="1"/>
  <c r="L413" i="1"/>
  <c r="M413" i="1"/>
  <c r="N413" i="1"/>
  <c r="O413" i="1"/>
  <c r="P413" i="1"/>
  <c r="Q413" i="1"/>
  <c r="R413" i="1"/>
  <c r="A414" i="1"/>
  <c r="B414" i="1"/>
  <c r="C414" i="1"/>
  <c r="D414" i="1"/>
  <c r="E414" i="1"/>
  <c r="F414" i="1"/>
  <c r="G414" i="1"/>
  <c r="H414" i="1"/>
  <c r="I414" i="1"/>
  <c r="J414" i="1"/>
  <c r="K414" i="1"/>
  <c r="L414" i="1"/>
  <c r="M414" i="1"/>
  <c r="N414" i="1"/>
  <c r="O414" i="1"/>
  <c r="P414" i="1"/>
  <c r="Q414" i="1"/>
  <c r="R414" i="1"/>
  <c r="A415" i="1"/>
  <c r="B415" i="1"/>
  <c r="C415" i="1"/>
  <c r="D415" i="1"/>
  <c r="E415" i="1"/>
  <c r="F415" i="1"/>
  <c r="G415" i="1"/>
  <c r="H415" i="1"/>
  <c r="I415" i="1"/>
  <c r="J415" i="1"/>
  <c r="K415" i="1"/>
  <c r="L415" i="1"/>
  <c r="M415" i="1"/>
  <c r="N415" i="1"/>
  <c r="O415" i="1"/>
  <c r="P415" i="1"/>
  <c r="Q415" i="1"/>
  <c r="R415" i="1"/>
  <c r="A416" i="1"/>
  <c r="B416" i="1"/>
  <c r="C416" i="1"/>
  <c r="D416" i="1"/>
  <c r="E416" i="1"/>
  <c r="F416" i="1"/>
  <c r="G416" i="1"/>
  <c r="H416" i="1"/>
  <c r="I416" i="1"/>
  <c r="J416" i="1"/>
  <c r="K416" i="1"/>
  <c r="L416" i="1"/>
  <c r="M416" i="1"/>
  <c r="N416" i="1"/>
  <c r="O416" i="1"/>
  <c r="P416" i="1"/>
  <c r="Q416" i="1"/>
  <c r="R416" i="1"/>
  <c r="A417" i="1"/>
  <c r="B417" i="1"/>
  <c r="C417" i="1"/>
  <c r="D417" i="1"/>
  <c r="E417" i="1"/>
  <c r="F417" i="1"/>
  <c r="G417" i="1"/>
  <c r="H417" i="1"/>
  <c r="I417" i="1"/>
  <c r="J417" i="1"/>
  <c r="K417" i="1"/>
  <c r="L417" i="1"/>
  <c r="M417" i="1"/>
  <c r="N417" i="1"/>
  <c r="O417" i="1"/>
  <c r="P417" i="1"/>
  <c r="Q417" i="1"/>
  <c r="R417" i="1"/>
  <c r="A418" i="1"/>
  <c r="B418" i="1"/>
  <c r="C418" i="1"/>
  <c r="D418" i="1"/>
  <c r="E418" i="1"/>
  <c r="F418" i="1"/>
  <c r="G418" i="1"/>
  <c r="H418" i="1"/>
  <c r="I418" i="1"/>
  <c r="J418" i="1"/>
  <c r="K418" i="1"/>
  <c r="L418" i="1"/>
  <c r="M418" i="1"/>
  <c r="N418" i="1"/>
  <c r="O418" i="1"/>
  <c r="P418" i="1"/>
  <c r="Q418" i="1"/>
  <c r="R418" i="1"/>
  <c r="A419" i="1"/>
  <c r="B419" i="1"/>
  <c r="C419" i="1"/>
  <c r="D419" i="1"/>
  <c r="E419" i="1"/>
  <c r="F419" i="1"/>
  <c r="G419" i="1"/>
  <c r="H419" i="1"/>
  <c r="I419" i="1"/>
  <c r="J419" i="1"/>
  <c r="K419" i="1"/>
  <c r="L419" i="1"/>
  <c r="M419" i="1"/>
  <c r="N419" i="1"/>
  <c r="O419" i="1"/>
  <c r="P419" i="1"/>
  <c r="Q419" i="1"/>
  <c r="R419" i="1"/>
  <c r="A420" i="1"/>
  <c r="B420" i="1"/>
  <c r="C420" i="1"/>
  <c r="D420" i="1"/>
  <c r="E420" i="1"/>
  <c r="F420" i="1"/>
  <c r="G420" i="1"/>
  <c r="H420" i="1"/>
  <c r="I420" i="1"/>
  <c r="J420" i="1"/>
  <c r="K420" i="1"/>
  <c r="L420" i="1"/>
  <c r="M420" i="1"/>
  <c r="N420" i="1"/>
  <c r="O420" i="1"/>
  <c r="P420" i="1"/>
  <c r="Q420" i="1"/>
  <c r="R420" i="1"/>
  <c r="A421" i="1"/>
  <c r="B421" i="1"/>
  <c r="C421" i="1"/>
  <c r="D421" i="1"/>
  <c r="E421" i="1"/>
  <c r="F421" i="1"/>
  <c r="G421" i="1"/>
  <c r="H421" i="1"/>
  <c r="I421" i="1"/>
  <c r="J421" i="1"/>
  <c r="K421" i="1"/>
  <c r="L421" i="1"/>
  <c r="M421" i="1"/>
  <c r="N421" i="1"/>
  <c r="O421" i="1"/>
  <c r="P421" i="1"/>
  <c r="Q421" i="1"/>
  <c r="R421" i="1"/>
  <c r="A422" i="1"/>
  <c r="B422" i="1"/>
  <c r="C422" i="1"/>
  <c r="D422" i="1"/>
  <c r="E422" i="1"/>
  <c r="F422" i="1"/>
  <c r="G422" i="1"/>
  <c r="H422" i="1"/>
  <c r="I422" i="1"/>
  <c r="J422" i="1"/>
  <c r="K422" i="1"/>
  <c r="L422" i="1"/>
  <c r="M422" i="1"/>
  <c r="N422" i="1"/>
  <c r="O422" i="1"/>
  <c r="P422" i="1"/>
  <c r="Q422" i="1"/>
  <c r="R422" i="1"/>
  <c r="A423" i="1"/>
  <c r="B423" i="1"/>
  <c r="C423" i="1"/>
  <c r="D423" i="1"/>
  <c r="E423" i="1"/>
  <c r="F423" i="1"/>
  <c r="G423" i="1"/>
  <c r="H423" i="1"/>
  <c r="I423" i="1"/>
  <c r="J423" i="1"/>
  <c r="K423" i="1"/>
  <c r="L423" i="1"/>
  <c r="M423" i="1"/>
  <c r="N423" i="1"/>
  <c r="O423" i="1"/>
  <c r="P423" i="1"/>
  <c r="Q423" i="1"/>
  <c r="R423" i="1"/>
  <c r="A424" i="1"/>
  <c r="B424" i="1"/>
  <c r="C424" i="1"/>
  <c r="D424" i="1"/>
  <c r="E424" i="1"/>
  <c r="F424" i="1"/>
  <c r="G424" i="1"/>
  <c r="H424" i="1"/>
  <c r="I424" i="1"/>
  <c r="J424" i="1"/>
  <c r="K424" i="1"/>
  <c r="L424" i="1"/>
  <c r="M424" i="1"/>
  <c r="N424" i="1"/>
  <c r="O424" i="1"/>
  <c r="P424" i="1"/>
  <c r="Q424" i="1"/>
  <c r="R424" i="1"/>
  <c r="A425" i="1"/>
  <c r="B425" i="1"/>
  <c r="C425" i="1"/>
  <c r="D425" i="1"/>
  <c r="E425" i="1"/>
  <c r="F425" i="1"/>
  <c r="G425" i="1"/>
  <c r="H425" i="1"/>
  <c r="I425" i="1"/>
  <c r="J425" i="1"/>
  <c r="K425" i="1"/>
  <c r="L425" i="1"/>
  <c r="M425" i="1"/>
  <c r="N425" i="1"/>
  <c r="O425" i="1"/>
  <c r="P425" i="1"/>
  <c r="Q425" i="1"/>
  <c r="R425" i="1"/>
  <c r="A426" i="1"/>
  <c r="B426" i="1"/>
  <c r="C426" i="1"/>
  <c r="D426" i="1"/>
  <c r="E426" i="1"/>
  <c r="F426" i="1"/>
  <c r="G426" i="1"/>
  <c r="H426" i="1"/>
  <c r="I426" i="1"/>
  <c r="J426" i="1"/>
  <c r="K426" i="1"/>
  <c r="L426" i="1"/>
  <c r="M426" i="1"/>
  <c r="N426" i="1"/>
  <c r="O426" i="1"/>
  <c r="P426" i="1"/>
  <c r="Q426" i="1"/>
  <c r="R426" i="1"/>
  <c r="A427" i="1"/>
  <c r="B427" i="1"/>
  <c r="C427" i="1"/>
  <c r="D427" i="1"/>
  <c r="E427" i="1"/>
  <c r="F427" i="1"/>
  <c r="G427" i="1"/>
  <c r="H427" i="1"/>
  <c r="I427" i="1"/>
  <c r="J427" i="1"/>
  <c r="K427" i="1"/>
  <c r="L427" i="1"/>
  <c r="M427" i="1"/>
  <c r="N427" i="1"/>
  <c r="O427" i="1"/>
  <c r="P427" i="1"/>
  <c r="Q427" i="1"/>
  <c r="R427" i="1"/>
  <c r="A428" i="1"/>
  <c r="B428" i="1"/>
  <c r="C428" i="1"/>
  <c r="D428" i="1"/>
  <c r="E428" i="1"/>
  <c r="F428" i="1"/>
  <c r="G428" i="1"/>
  <c r="H428" i="1"/>
  <c r="I428" i="1"/>
  <c r="J428" i="1"/>
  <c r="K428" i="1"/>
  <c r="L428" i="1"/>
  <c r="M428" i="1"/>
  <c r="N428" i="1"/>
  <c r="O428" i="1"/>
  <c r="P428" i="1"/>
  <c r="Q428" i="1"/>
  <c r="R428" i="1"/>
  <c r="A429" i="1"/>
  <c r="B429" i="1"/>
  <c r="C429" i="1"/>
  <c r="D429" i="1"/>
  <c r="E429" i="1"/>
  <c r="F429" i="1"/>
  <c r="G429" i="1"/>
  <c r="H429" i="1"/>
  <c r="I429" i="1"/>
  <c r="J429" i="1"/>
  <c r="K429" i="1"/>
  <c r="L429" i="1"/>
  <c r="M429" i="1"/>
  <c r="N429" i="1"/>
  <c r="O429" i="1"/>
  <c r="P429" i="1"/>
  <c r="Q429" i="1"/>
  <c r="R429" i="1"/>
  <c r="A430" i="1"/>
  <c r="B430" i="1"/>
  <c r="C430" i="1"/>
  <c r="D430" i="1"/>
  <c r="E430" i="1"/>
  <c r="F430" i="1"/>
  <c r="G430" i="1"/>
  <c r="H430" i="1"/>
  <c r="I430" i="1"/>
  <c r="J430" i="1"/>
  <c r="K430" i="1"/>
  <c r="L430" i="1"/>
  <c r="M430" i="1"/>
  <c r="N430" i="1"/>
  <c r="O430" i="1"/>
  <c r="P430" i="1"/>
  <c r="Q430" i="1"/>
  <c r="R430" i="1"/>
  <c r="A431" i="1"/>
  <c r="B431" i="1"/>
  <c r="C431" i="1"/>
  <c r="D431" i="1"/>
  <c r="E431" i="1"/>
  <c r="F431" i="1"/>
  <c r="G431" i="1"/>
  <c r="H431" i="1"/>
  <c r="I431" i="1"/>
  <c r="J431" i="1"/>
  <c r="K431" i="1"/>
  <c r="L431" i="1"/>
  <c r="M431" i="1"/>
  <c r="N431" i="1"/>
  <c r="O431" i="1"/>
  <c r="P431" i="1"/>
  <c r="Q431" i="1"/>
  <c r="R431" i="1"/>
  <c r="A432" i="1"/>
  <c r="B432" i="1"/>
  <c r="C432" i="1"/>
  <c r="D432" i="1"/>
  <c r="E432" i="1"/>
  <c r="F432" i="1"/>
  <c r="G432" i="1"/>
  <c r="H432" i="1"/>
  <c r="I432" i="1"/>
  <c r="J432" i="1"/>
  <c r="K432" i="1"/>
  <c r="L432" i="1"/>
  <c r="M432" i="1"/>
  <c r="N432" i="1"/>
  <c r="O432" i="1"/>
  <c r="P432" i="1"/>
  <c r="Q432" i="1"/>
  <c r="R432" i="1"/>
  <c r="A433" i="1"/>
  <c r="B433" i="1"/>
  <c r="C433" i="1"/>
  <c r="D433" i="1"/>
  <c r="E433" i="1"/>
  <c r="F433" i="1"/>
  <c r="G433" i="1"/>
  <c r="H433" i="1"/>
  <c r="I433" i="1"/>
  <c r="J433" i="1"/>
  <c r="K433" i="1"/>
  <c r="L433" i="1"/>
  <c r="M433" i="1"/>
  <c r="N433" i="1"/>
  <c r="O433" i="1"/>
  <c r="P433" i="1"/>
  <c r="Q433" i="1"/>
  <c r="R433" i="1"/>
  <c r="A434" i="1"/>
  <c r="B434" i="1"/>
  <c r="C434" i="1"/>
  <c r="D434" i="1"/>
  <c r="E434" i="1"/>
  <c r="F434" i="1"/>
  <c r="G434" i="1"/>
  <c r="H434" i="1"/>
  <c r="I434" i="1"/>
  <c r="J434" i="1"/>
  <c r="K434" i="1"/>
  <c r="L434" i="1"/>
  <c r="M434" i="1"/>
  <c r="N434" i="1"/>
  <c r="O434" i="1"/>
  <c r="P434" i="1"/>
  <c r="Q434" i="1"/>
  <c r="R434" i="1"/>
  <c r="A435" i="1"/>
  <c r="B435" i="1"/>
  <c r="C435" i="1"/>
  <c r="D435" i="1"/>
  <c r="E435" i="1"/>
  <c r="F435" i="1"/>
  <c r="G435" i="1"/>
  <c r="H435" i="1"/>
  <c r="I435" i="1"/>
  <c r="J435" i="1"/>
  <c r="K435" i="1"/>
  <c r="L435" i="1"/>
  <c r="M435" i="1"/>
  <c r="N435" i="1"/>
  <c r="O435" i="1"/>
  <c r="P435" i="1"/>
  <c r="Q435" i="1"/>
  <c r="R435" i="1"/>
  <c r="A436" i="1"/>
  <c r="B436" i="1"/>
  <c r="C436" i="1"/>
  <c r="D436" i="1"/>
  <c r="E436" i="1"/>
  <c r="F436" i="1"/>
  <c r="G436" i="1"/>
  <c r="H436" i="1"/>
  <c r="I436" i="1"/>
  <c r="J436" i="1"/>
  <c r="K436" i="1"/>
  <c r="L436" i="1"/>
  <c r="M436" i="1"/>
  <c r="N436" i="1"/>
  <c r="O436" i="1"/>
  <c r="P436" i="1"/>
  <c r="Q436" i="1"/>
  <c r="R436" i="1"/>
  <c r="A437" i="1"/>
  <c r="B437" i="1"/>
  <c r="C437" i="1"/>
  <c r="D437" i="1"/>
  <c r="E437" i="1"/>
  <c r="F437" i="1"/>
  <c r="G437" i="1"/>
  <c r="H437" i="1"/>
  <c r="I437" i="1"/>
  <c r="J437" i="1"/>
  <c r="K437" i="1"/>
  <c r="L437" i="1"/>
  <c r="M437" i="1"/>
  <c r="N437" i="1"/>
  <c r="O437" i="1"/>
  <c r="P437" i="1"/>
  <c r="Q437" i="1"/>
  <c r="R437" i="1"/>
  <c r="A438" i="1"/>
  <c r="B438" i="1"/>
  <c r="C438" i="1"/>
  <c r="D438" i="1"/>
  <c r="E438" i="1"/>
  <c r="F438" i="1"/>
  <c r="G438" i="1"/>
  <c r="H438" i="1"/>
  <c r="I438" i="1"/>
  <c r="J438" i="1"/>
  <c r="K438" i="1"/>
  <c r="L438" i="1"/>
  <c r="M438" i="1"/>
  <c r="N438" i="1"/>
  <c r="O438" i="1"/>
  <c r="P438" i="1"/>
  <c r="Q438" i="1"/>
  <c r="R438" i="1"/>
  <c r="A439" i="1"/>
  <c r="B439" i="1"/>
  <c r="C439" i="1"/>
  <c r="D439" i="1"/>
  <c r="E439" i="1"/>
  <c r="F439" i="1"/>
  <c r="G439" i="1"/>
  <c r="H439" i="1"/>
  <c r="I439" i="1"/>
  <c r="J439" i="1"/>
  <c r="K439" i="1"/>
  <c r="L439" i="1"/>
  <c r="M439" i="1"/>
  <c r="N439" i="1"/>
  <c r="O439" i="1"/>
  <c r="P439" i="1"/>
  <c r="Q439" i="1"/>
  <c r="R439" i="1"/>
  <c r="A440" i="1"/>
  <c r="B440" i="1"/>
  <c r="C440" i="1"/>
  <c r="D440" i="1"/>
  <c r="E440" i="1"/>
  <c r="F440" i="1"/>
  <c r="G440" i="1"/>
  <c r="H440" i="1"/>
  <c r="I440" i="1"/>
  <c r="J440" i="1"/>
  <c r="K440" i="1"/>
  <c r="L440" i="1"/>
  <c r="M440" i="1"/>
  <c r="N440" i="1"/>
  <c r="O440" i="1"/>
  <c r="P440" i="1"/>
  <c r="Q440" i="1"/>
  <c r="R440" i="1"/>
  <c r="A441" i="1"/>
  <c r="B441" i="1"/>
  <c r="C441" i="1"/>
  <c r="D441" i="1"/>
  <c r="E441" i="1"/>
  <c r="F441" i="1"/>
  <c r="G441" i="1"/>
  <c r="H441" i="1"/>
  <c r="I441" i="1"/>
  <c r="J441" i="1"/>
  <c r="K441" i="1"/>
  <c r="L441" i="1"/>
  <c r="M441" i="1"/>
  <c r="N441" i="1"/>
  <c r="O441" i="1"/>
  <c r="P441" i="1"/>
  <c r="Q441" i="1"/>
  <c r="R441" i="1"/>
  <c r="A442" i="1"/>
  <c r="B442" i="1"/>
  <c r="C442" i="1"/>
  <c r="D442" i="1"/>
  <c r="E442" i="1"/>
  <c r="F442" i="1"/>
  <c r="G442" i="1"/>
  <c r="H442" i="1"/>
  <c r="I442" i="1"/>
  <c r="J442" i="1"/>
  <c r="K442" i="1"/>
  <c r="L442" i="1"/>
  <c r="M442" i="1"/>
  <c r="N442" i="1"/>
  <c r="O442" i="1"/>
  <c r="P442" i="1"/>
  <c r="Q442" i="1"/>
  <c r="R442" i="1"/>
  <c r="A443" i="1"/>
  <c r="B443" i="1"/>
  <c r="C443" i="1"/>
  <c r="D443" i="1"/>
  <c r="E443" i="1"/>
  <c r="F443" i="1"/>
  <c r="G443" i="1"/>
  <c r="H443" i="1"/>
  <c r="I443" i="1"/>
  <c r="J443" i="1"/>
  <c r="K443" i="1"/>
  <c r="L443" i="1"/>
  <c r="M443" i="1"/>
  <c r="N443" i="1"/>
  <c r="O443" i="1"/>
  <c r="P443" i="1"/>
  <c r="Q443" i="1"/>
  <c r="R443" i="1"/>
  <c r="A444" i="1"/>
  <c r="B444" i="1"/>
  <c r="C444" i="1"/>
  <c r="D444" i="1"/>
  <c r="E444" i="1"/>
  <c r="F444" i="1"/>
  <c r="G444" i="1"/>
  <c r="H444" i="1"/>
  <c r="I444" i="1"/>
  <c r="J444" i="1"/>
  <c r="K444" i="1"/>
  <c r="L444" i="1"/>
  <c r="M444" i="1"/>
  <c r="N444" i="1"/>
  <c r="O444" i="1"/>
  <c r="P444" i="1"/>
  <c r="Q444" i="1"/>
  <c r="R444" i="1"/>
  <c r="A445" i="1"/>
  <c r="B445" i="1"/>
  <c r="C445" i="1"/>
  <c r="D445" i="1"/>
  <c r="E445" i="1"/>
  <c r="F445" i="1"/>
  <c r="G445" i="1"/>
  <c r="H445" i="1"/>
  <c r="I445" i="1"/>
  <c r="J445" i="1"/>
  <c r="K445" i="1"/>
  <c r="L445" i="1"/>
  <c r="M445" i="1"/>
  <c r="N445" i="1"/>
  <c r="O445" i="1"/>
  <c r="P445" i="1"/>
  <c r="Q445" i="1"/>
  <c r="R445" i="1"/>
  <c r="A446" i="1"/>
  <c r="B446" i="1"/>
  <c r="C446" i="1"/>
  <c r="D446" i="1"/>
  <c r="E446" i="1"/>
  <c r="F446" i="1"/>
  <c r="G446" i="1"/>
  <c r="H446" i="1"/>
  <c r="I446" i="1"/>
  <c r="J446" i="1"/>
  <c r="K446" i="1"/>
  <c r="L446" i="1"/>
  <c r="M446" i="1"/>
  <c r="N446" i="1"/>
  <c r="O446" i="1"/>
  <c r="P446" i="1"/>
  <c r="Q446" i="1"/>
  <c r="R446" i="1"/>
  <c r="A447" i="1"/>
  <c r="B447" i="1"/>
  <c r="C447" i="1"/>
  <c r="D447" i="1"/>
  <c r="E447" i="1"/>
  <c r="F447" i="1"/>
  <c r="G447" i="1"/>
  <c r="H447" i="1"/>
  <c r="I447" i="1"/>
  <c r="J447" i="1"/>
  <c r="K447" i="1"/>
  <c r="L447" i="1"/>
  <c r="M447" i="1"/>
  <c r="N447" i="1"/>
  <c r="O447" i="1"/>
  <c r="P447" i="1"/>
  <c r="Q447" i="1"/>
  <c r="R447" i="1"/>
  <c r="A448" i="1"/>
  <c r="B448" i="1"/>
  <c r="C448" i="1"/>
  <c r="D448" i="1"/>
  <c r="E448" i="1"/>
  <c r="F448" i="1"/>
  <c r="G448" i="1"/>
  <c r="H448" i="1"/>
  <c r="I448" i="1"/>
  <c r="J448" i="1"/>
  <c r="K448" i="1"/>
  <c r="L448" i="1"/>
  <c r="M448" i="1"/>
  <c r="N448" i="1"/>
  <c r="O448" i="1"/>
  <c r="P448" i="1"/>
  <c r="Q448" i="1"/>
  <c r="R448" i="1"/>
  <c r="A449" i="1"/>
  <c r="B449" i="1"/>
  <c r="C449" i="1"/>
  <c r="D449" i="1"/>
  <c r="E449" i="1"/>
  <c r="F449" i="1"/>
  <c r="G449" i="1"/>
  <c r="H449" i="1"/>
  <c r="I449" i="1"/>
  <c r="J449" i="1"/>
  <c r="K449" i="1"/>
  <c r="L449" i="1"/>
  <c r="M449" i="1"/>
  <c r="N449" i="1"/>
  <c r="O449" i="1"/>
  <c r="P449" i="1"/>
  <c r="Q449" i="1"/>
  <c r="R449" i="1"/>
  <c r="A450" i="1"/>
  <c r="B450" i="1"/>
  <c r="C450" i="1"/>
  <c r="D450" i="1"/>
  <c r="E450" i="1"/>
  <c r="F450" i="1"/>
  <c r="G450" i="1"/>
  <c r="H450" i="1"/>
  <c r="I450" i="1"/>
  <c r="J450" i="1"/>
  <c r="K450" i="1"/>
  <c r="L450" i="1"/>
  <c r="M450" i="1"/>
  <c r="N450" i="1"/>
  <c r="O450" i="1"/>
  <c r="P450" i="1"/>
  <c r="Q450" i="1"/>
  <c r="R450" i="1"/>
  <c r="A28" i="2"/>
  <c r="A29" i="2" s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B11" i="1"/>
  <c r="C11" i="1"/>
  <c r="D11" i="1"/>
  <c r="E11" i="1"/>
  <c r="F11" i="1"/>
  <c r="G11" i="1"/>
  <c r="H11" i="1"/>
  <c r="J11" i="1"/>
  <c r="K11" i="1"/>
  <c r="L11" i="1"/>
  <c r="M11" i="1"/>
  <c r="N11" i="1"/>
  <c r="O11" i="1"/>
  <c r="P11" i="1"/>
  <c r="Q11" i="1"/>
  <c r="R11" i="1"/>
  <c r="B12" i="1"/>
  <c r="C12" i="1"/>
  <c r="D12" i="1"/>
  <c r="E12" i="1"/>
  <c r="F12" i="1"/>
  <c r="G12" i="1"/>
  <c r="H12" i="1"/>
  <c r="J12" i="1"/>
  <c r="K12" i="1"/>
  <c r="L12" i="1"/>
  <c r="M12" i="1"/>
  <c r="N12" i="1"/>
  <c r="O12" i="1"/>
  <c r="P12" i="1"/>
  <c r="Q12" i="1"/>
  <c r="R12" i="1"/>
  <c r="B13" i="1"/>
  <c r="C13" i="1"/>
  <c r="D13" i="1"/>
  <c r="E13" i="1"/>
  <c r="F13" i="1"/>
  <c r="G13" i="1"/>
  <c r="H13" i="1"/>
  <c r="J13" i="1"/>
  <c r="K13" i="1"/>
  <c r="L13" i="1"/>
  <c r="M13" i="1"/>
  <c r="N13" i="1"/>
  <c r="O13" i="1"/>
  <c r="P13" i="1"/>
  <c r="Q13" i="1"/>
  <c r="R13" i="1"/>
  <c r="B14" i="1"/>
  <c r="C14" i="1"/>
  <c r="D14" i="1"/>
  <c r="E14" i="1"/>
  <c r="F14" i="1"/>
  <c r="G14" i="1"/>
  <c r="H14" i="1"/>
  <c r="J14" i="1"/>
  <c r="K14" i="1"/>
  <c r="L14" i="1"/>
  <c r="M14" i="1"/>
  <c r="N14" i="1"/>
  <c r="O14" i="1"/>
  <c r="P14" i="1"/>
  <c r="Q14" i="1"/>
  <c r="R14" i="1"/>
  <c r="B15" i="1"/>
  <c r="C15" i="1"/>
  <c r="D15" i="1"/>
  <c r="E15" i="1"/>
  <c r="F15" i="1"/>
  <c r="G15" i="1"/>
  <c r="H15" i="1"/>
  <c r="J15" i="1"/>
  <c r="K15" i="1"/>
  <c r="L15" i="1"/>
  <c r="M15" i="1"/>
  <c r="N15" i="1"/>
  <c r="O15" i="1"/>
  <c r="P15" i="1"/>
  <c r="Q15" i="1"/>
  <c r="R15" i="1"/>
  <c r="B16" i="1"/>
  <c r="C16" i="1"/>
  <c r="D16" i="1"/>
  <c r="E16" i="1"/>
  <c r="F16" i="1"/>
  <c r="G16" i="1"/>
  <c r="H16" i="1"/>
  <c r="J16" i="1"/>
  <c r="K16" i="1"/>
  <c r="L16" i="1"/>
  <c r="M16" i="1"/>
  <c r="N16" i="1"/>
  <c r="O16" i="1"/>
  <c r="P16" i="1"/>
  <c r="Q16" i="1"/>
  <c r="R16" i="1"/>
  <c r="B17" i="1"/>
  <c r="C17" i="1"/>
  <c r="D17" i="1"/>
  <c r="E17" i="1"/>
  <c r="F17" i="1"/>
  <c r="G17" i="1"/>
  <c r="H17" i="1"/>
  <c r="J17" i="1"/>
  <c r="K17" i="1"/>
  <c r="L17" i="1"/>
  <c r="M17" i="1"/>
  <c r="N17" i="1"/>
  <c r="O17" i="1"/>
  <c r="P17" i="1"/>
  <c r="Q17" i="1"/>
  <c r="R17" i="1"/>
  <c r="B18" i="1"/>
  <c r="C18" i="1"/>
  <c r="D18" i="1"/>
  <c r="E18" i="1"/>
  <c r="F18" i="1"/>
  <c r="G18" i="1"/>
  <c r="H18" i="1"/>
  <c r="J18" i="1"/>
  <c r="K18" i="1"/>
  <c r="L18" i="1"/>
  <c r="M18" i="1"/>
  <c r="N18" i="1"/>
  <c r="O18" i="1"/>
  <c r="P18" i="1"/>
  <c r="Q18" i="1"/>
  <c r="R18" i="1"/>
  <c r="B19" i="1"/>
  <c r="C19" i="1"/>
  <c r="D19" i="1"/>
  <c r="E19" i="1"/>
  <c r="F19" i="1"/>
  <c r="G19" i="1"/>
  <c r="H19" i="1"/>
  <c r="J19" i="1"/>
  <c r="K19" i="1"/>
  <c r="L19" i="1"/>
  <c r="M19" i="1"/>
  <c r="N19" i="1"/>
  <c r="O19" i="1"/>
  <c r="P19" i="1"/>
  <c r="Q19" i="1"/>
  <c r="R19" i="1"/>
  <c r="B20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B21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B22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B23" i="1"/>
  <c r="C23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B24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B25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B26" i="1"/>
  <c r="C26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B27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I11" i="2"/>
  <c r="I11" i="1" s="1"/>
  <c r="A3" i="2"/>
  <c r="A3" i="1" s="1"/>
  <c r="A4" i="2" l="1"/>
  <c r="A4" i="1" s="1"/>
  <c r="A5" i="2"/>
  <c r="A5" i="1" s="1"/>
  <c r="I12" i="2"/>
  <c r="I12" i="1" s="1"/>
  <c r="A6" i="2" l="1"/>
  <c r="A6" i="1" s="1"/>
  <c r="I13" i="2"/>
  <c r="I13" i="1" s="1"/>
  <c r="A7" i="2" l="1"/>
  <c r="A7" i="1" s="1"/>
  <c r="A8" i="2"/>
  <c r="A8" i="1" s="1"/>
  <c r="I14" i="2"/>
  <c r="I14" i="1" s="1"/>
  <c r="I15" i="2" l="1"/>
  <c r="I15" i="1" s="1"/>
  <c r="A9" i="2"/>
  <c r="A9" i="1" s="1"/>
  <c r="A10" i="2" l="1"/>
  <c r="A10" i="1" s="1"/>
  <c r="I16" i="2"/>
  <c r="I16" i="1" s="1"/>
  <c r="I17" i="2" l="1"/>
  <c r="I17" i="1" s="1"/>
  <c r="A11" i="2"/>
  <c r="A11" i="1" s="1"/>
  <c r="A12" i="2" l="1"/>
  <c r="A12" i="1" s="1"/>
  <c r="I18" i="2"/>
  <c r="I18" i="1" s="1"/>
  <c r="I19" i="2" l="1"/>
  <c r="I19" i="1" s="1"/>
  <c r="A13" i="2"/>
  <c r="A13" i="1" s="1"/>
  <c r="A14" i="2" l="1"/>
  <c r="A14" i="1" s="1"/>
  <c r="A15" i="2" l="1"/>
  <c r="A15" i="1" s="1"/>
  <c r="A16" i="2" l="1"/>
  <c r="A16" i="1" s="1"/>
  <c r="A17" i="2" l="1"/>
  <c r="A17" i="1" s="1"/>
  <c r="A18" i="2" l="1"/>
  <c r="A18" i="1" s="1"/>
  <c r="A19" i="2" l="1"/>
  <c r="A19" i="1" s="1"/>
  <c r="A20" i="2" l="1"/>
  <c r="A20" i="1" s="1"/>
  <c r="A21" i="2" l="1"/>
  <c r="A21" i="1" s="1"/>
  <c r="A22" i="2" l="1"/>
  <c r="A22" i="1" s="1"/>
  <c r="A23" i="2" l="1"/>
  <c r="A23" i="1" s="1"/>
  <c r="A24" i="2" l="1"/>
  <c r="A24" i="1" s="1"/>
  <c r="A25" i="2" l="1"/>
  <c r="A25" i="1" s="1"/>
  <c r="A26" i="2" l="1"/>
  <c r="A26" i="1" s="1"/>
  <c r="A27" i="2" l="1"/>
  <c r="A27" i="1" s="1"/>
  <c r="A30" i="2" l="1"/>
  <c r="A31" i="2" l="1"/>
  <c r="A32" i="2" l="1"/>
  <c r="A33" i="2" l="1"/>
  <c r="A34" i="2" l="1"/>
  <c r="A35" i="2" l="1"/>
  <c r="A36" i="2" l="1"/>
  <c r="A37" i="2" l="1"/>
  <c r="A38" i="2" l="1"/>
  <c r="A39" i="2" l="1"/>
  <c r="A40" i="2" l="1"/>
  <c r="A41" i="2" l="1"/>
  <c r="A42" i="2" l="1"/>
  <c r="A43" i="2" l="1"/>
  <c r="A44" i="2" l="1"/>
  <c r="A45" i="2" l="1"/>
  <c r="A46" i="2" l="1"/>
  <c r="A47" i="2" l="1"/>
  <c r="A48" i="2" l="1"/>
  <c r="A49" i="2" l="1"/>
  <c r="A50" i="2" l="1"/>
  <c r="A51" i="2" l="1"/>
  <c r="A52" i="2" l="1"/>
  <c r="A53" i="2" l="1"/>
  <c r="A54" i="2" l="1"/>
  <c r="A55" i="2" l="1"/>
  <c r="A56" i="2" l="1"/>
  <c r="A57" i="2" l="1"/>
  <c r="A58" i="2" l="1"/>
  <c r="A59" i="2" l="1"/>
  <c r="A60" i="2" l="1"/>
  <c r="A61" i="2" l="1"/>
  <c r="A62" i="2" l="1"/>
  <c r="A63" i="2" l="1"/>
  <c r="A64" i="2" l="1"/>
  <c r="A65" i="2" l="1"/>
  <c r="A66" i="2" l="1"/>
  <c r="A67" i="2" l="1"/>
  <c r="A68" i="2" l="1"/>
  <c r="A69" i="2" l="1"/>
  <c r="A70" i="2" l="1"/>
  <c r="A71" i="2" l="1"/>
  <c r="A72" i="2" l="1"/>
  <c r="A73" i="2" l="1"/>
  <c r="A74" i="2" l="1"/>
  <c r="A75" i="2" l="1"/>
  <c r="A76" i="2" l="1"/>
  <c r="A77" i="2" l="1"/>
  <c r="A78" i="2" l="1"/>
  <c r="A79" i="2" l="1"/>
  <c r="A80" i="2" l="1"/>
  <c r="A81" i="2" l="1"/>
  <c r="A82" i="2" l="1"/>
  <c r="A83" i="2" l="1"/>
  <c r="A84" i="2" l="1"/>
  <c r="A85" i="2" l="1"/>
  <c r="A86" i="2" l="1"/>
  <c r="A87" i="2" l="1"/>
  <c r="A88" i="2" l="1"/>
  <c r="A89" i="2" l="1"/>
  <c r="A90" i="2" l="1"/>
  <c r="A91" i="2" l="1"/>
  <c r="A92" i="2" l="1"/>
  <c r="A93" i="2" l="1"/>
  <c r="A94" i="2" l="1"/>
  <c r="A95" i="2" l="1"/>
  <c r="A96" i="2" l="1"/>
  <c r="A97" i="2" l="1"/>
  <c r="A98" i="2" l="1"/>
  <c r="A99" i="2" l="1"/>
  <c r="A100" i="2" l="1"/>
  <c r="A101" i="2" l="1"/>
  <c r="A102" i="2" l="1"/>
  <c r="A103" i="2" l="1"/>
  <c r="A104" i="2" l="1"/>
  <c r="A105" i="2" l="1"/>
  <c r="A106" i="2" l="1"/>
  <c r="A107" i="2" l="1"/>
  <c r="A108" i="2" l="1"/>
  <c r="A109" i="2" l="1"/>
  <c r="A110" i="2" l="1"/>
  <c r="A111" i="2" l="1"/>
  <c r="A112" i="2" l="1"/>
  <c r="A113" i="2" l="1"/>
  <c r="A114" i="2" l="1"/>
  <c r="A115" i="2" l="1"/>
  <c r="A116" i="2" l="1"/>
  <c r="A117" i="2" l="1"/>
  <c r="A118" i="2" l="1"/>
  <c r="A119" i="2" l="1"/>
  <c r="A120" i="2" l="1"/>
  <c r="A121" i="2" l="1"/>
  <c r="A122" i="2" l="1"/>
  <c r="A123" i="2" l="1"/>
  <c r="A124" i="2" l="1"/>
  <c r="A125" i="2" l="1"/>
  <c r="A126" i="2" l="1"/>
  <c r="A127" i="2" l="1"/>
  <c r="A128" i="2" l="1"/>
  <c r="A129" i="2" l="1"/>
  <c r="A130" i="2" l="1"/>
  <c r="A131" i="2" l="1"/>
  <c r="A132" i="2" l="1"/>
  <c r="A133" i="2" l="1"/>
  <c r="A134" i="2" l="1"/>
  <c r="A135" i="2" l="1"/>
  <c r="A136" i="2" l="1"/>
  <c r="A137" i="2" l="1"/>
  <c r="A138" i="2" l="1"/>
  <c r="A139" i="2" l="1"/>
  <c r="A140" i="2" l="1"/>
  <c r="A141" i="2" l="1"/>
  <c r="A142" i="2" l="1"/>
  <c r="A143" i="2" l="1"/>
  <c r="A144" i="2" l="1"/>
  <c r="A145" i="2" l="1"/>
  <c r="A146" i="2" l="1"/>
  <c r="A147" i="2" l="1"/>
  <c r="A148" i="2" l="1"/>
  <c r="A149" i="2" l="1"/>
  <c r="A150" i="2" l="1"/>
  <c r="A151" i="2" l="1"/>
  <c r="A152" i="2" l="1"/>
  <c r="A153" i="2" l="1"/>
  <c r="A154" i="2" l="1"/>
  <c r="A155" i="2" l="1"/>
  <c r="A156" i="2" l="1"/>
  <c r="A157" i="2" l="1"/>
  <c r="A158" i="2" l="1"/>
  <c r="A159" i="2" l="1"/>
  <c r="A160" i="2" l="1"/>
  <c r="A161" i="2" l="1"/>
  <c r="A162" i="2" l="1"/>
  <c r="A163" i="2" l="1"/>
  <c r="A164" i="2" l="1"/>
  <c r="A165" i="2" l="1"/>
  <c r="A166" i="2" l="1"/>
  <c r="A167" i="2" l="1"/>
  <c r="A168" i="2" l="1"/>
  <c r="A169" i="2" l="1"/>
  <c r="A170" i="2" l="1"/>
  <c r="A171" i="2" l="1"/>
  <c r="A172" i="2" l="1"/>
  <c r="A173" i="2" l="1"/>
  <c r="A174" i="2" l="1"/>
  <c r="A175" i="2" l="1"/>
  <c r="A176" i="2" l="1"/>
  <c r="A177" i="2" l="1"/>
  <c r="A178" i="2" l="1"/>
  <c r="A179" i="2" l="1"/>
  <c r="A180" i="2" l="1"/>
  <c r="A181" i="2" l="1"/>
  <c r="A182" i="2" l="1"/>
  <c r="A183" i="2" l="1"/>
  <c r="A184" i="2" l="1"/>
  <c r="A185" i="2" l="1"/>
  <c r="A186" i="2" l="1"/>
  <c r="A187" i="2" l="1"/>
  <c r="A188" i="2" l="1"/>
  <c r="A189" i="2" l="1"/>
  <c r="A190" i="2" l="1"/>
  <c r="A191" i="2" l="1"/>
  <c r="A192" i="2" l="1"/>
  <c r="A193" i="2" l="1"/>
  <c r="A194" i="2" l="1"/>
  <c r="A195" i="2" l="1"/>
  <c r="A196" i="2" l="1"/>
  <c r="A197" i="2" l="1"/>
  <c r="A198" i="2" l="1"/>
  <c r="A199" i="2" l="1"/>
  <c r="A200" i="2" l="1"/>
  <c r="A201" i="2" l="1"/>
  <c r="A202" i="2" l="1"/>
  <c r="A203" i="2" l="1"/>
  <c r="A204" i="2" l="1"/>
  <c r="A205" i="2" l="1"/>
  <c r="A206" i="2" l="1"/>
  <c r="A207" i="2" l="1"/>
  <c r="A208" i="2" l="1"/>
  <c r="A209" i="2" l="1"/>
  <c r="A210" i="2" l="1"/>
  <c r="A211" i="2" l="1"/>
  <c r="A212" i="2" l="1"/>
  <c r="A213" i="2" l="1"/>
  <c r="A214" i="2" l="1"/>
  <c r="A215" i="2" l="1"/>
  <c r="A216" i="2" l="1"/>
  <c r="A217" i="2" l="1"/>
  <c r="A218" i="2" l="1"/>
  <c r="A219" i="2" l="1"/>
  <c r="A220" i="2" l="1"/>
  <c r="A221" i="2" l="1"/>
  <c r="A222" i="2" l="1"/>
  <c r="A223" i="2" l="1"/>
  <c r="A224" i="2" l="1"/>
  <c r="A225" i="2" l="1"/>
  <c r="A226" i="2" l="1"/>
  <c r="A227" i="2" l="1"/>
  <c r="A228" i="2" l="1"/>
  <c r="A229" i="2" l="1"/>
  <c r="A230" i="2" l="1"/>
  <c r="A231" i="2" l="1"/>
  <c r="A232" i="2" l="1"/>
  <c r="A233" i="2" l="1"/>
  <c r="A234" i="2" l="1"/>
  <c r="A235" i="2" l="1"/>
  <c r="A236" i="2" l="1"/>
  <c r="A237" i="2" l="1"/>
  <c r="A238" i="2" l="1"/>
  <c r="A239" i="2" l="1"/>
  <c r="A240" i="2" l="1"/>
  <c r="A241" i="2" l="1"/>
  <c r="A242" i="2" l="1"/>
  <c r="A243" i="2" l="1"/>
  <c r="A244" i="2" l="1"/>
  <c r="A245" i="2" l="1"/>
  <c r="A246" i="2" l="1"/>
  <c r="A247" i="2" l="1"/>
  <c r="A248" i="2" l="1"/>
  <c r="A249" i="2" l="1"/>
  <c r="A250" i="2" l="1"/>
  <c r="A251" i="2" l="1"/>
  <c r="A252" i="2" l="1"/>
  <c r="A253" i="2" l="1"/>
  <c r="A254" i="2" l="1"/>
  <c r="A255" i="2" l="1"/>
  <c r="A256" i="2" l="1"/>
  <c r="A257" i="2" l="1"/>
  <c r="A258" i="2" l="1"/>
  <c r="A259" i="2" l="1"/>
  <c r="A260" i="2" l="1"/>
  <c r="A261" i="2" l="1"/>
  <c r="A262" i="2" l="1"/>
  <c r="A263" i="2" l="1"/>
  <c r="A264" i="2" l="1"/>
  <c r="A265" i="2" l="1"/>
  <c r="A266" i="2" l="1"/>
  <c r="A267" i="2" l="1"/>
  <c r="A268" i="2" l="1"/>
  <c r="A269" i="2" l="1"/>
  <c r="A270" i="2" l="1"/>
  <c r="A271" i="2" l="1"/>
  <c r="A272" i="2" l="1"/>
  <c r="A273" i="2" l="1"/>
  <c r="A274" i="2" l="1"/>
  <c r="A275" i="2" l="1"/>
  <c r="A276" i="2" l="1"/>
  <c r="A277" i="2" l="1"/>
  <c r="A278" i="2" l="1"/>
  <c r="A279" i="2" l="1"/>
  <c r="A280" i="2" l="1"/>
  <c r="A281" i="2" l="1"/>
  <c r="A282" i="2" l="1"/>
  <c r="A283" i="2" l="1"/>
  <c r="A284" i="2" l="1"/>
  <c r="A285" i="2" l="1"/>
  <c r="A286" i="2" l="1"/>
  <c r="A287" i="2" l="1"/>
  <c r="A288" i="2" l="1"/>
  <c r="A289" i="2" l="1"/>
  <c r="A290" i="2" l="1"/>
  <c r="A291" i="2" l="1"/>
  <c r="A292" i="2" l="1"/>
  <c r="A293" i="2" l="1"/>
  <c r="A294" i="2" l="1"/>
  <c r="A295" i="2" l="1"/>
  <c r="A296" i="2" l="1"/>
  <c r="A297" i="2" l="1"/>
  <c r="A298" i="2" l="1"/>
  <c r="A299" i="2" l="1"/>
  <c r="A300" i="2" l="1"/>
  <c r="A301" i="2" l="1"/>
  <c r="A302" i="2" l="1"/>
  <c r="A303" i="2" l="1"/>
  <c r="A304" i="2" l="1"/>
  <c r="A305" i="2" l="1"/>
  <c r="A306" i="2" l="1"/>
  <c r="A307" i="2" l="1"/>
  <c r="A308" i="2" l="1"/>
  <c r="A309" i="2" l="1"/>
  <c r="A310" i="2" l="1"/>
  <c r="A311" i="2" l="1"/>
  <c r="A312" i="2" l="1"/>
  <c r="A313" i="2" l="1"/>
  <c r="A314" i="2" l="1"/>
  <c r="A315" i="2" l="1"/>
  <c r="A316" i="2" l="1"/>
  <c r="A317" i="2" l="1"/>
  <c r="A318" i="2" l="1"/>
  <c r="A319" i="2" l="1"/>
  <c r="A320" i="2" l="1"/>
  <c r="A321" i="2" l="1"/>
  <c r="A322" i="2" l="1"/>
  <c r="A323" i="2" l="1"/>
  <c r="A324" i="2" l="1"/>
  <c r="A325" i="2" l="1"/>
  <c r="A326" i="2" l="1"/>
  <c r="A327" i="2" l="1"/>
  <c r="A328" i="2" l="1"/>
  <c r="A329" i="2" l="1"/>
  <c r="A330" i="2" l="1"/>
  <c r="A331" i="2" l="1"/>
  <c r="A332" i="2" l="1"/>
  <c r="A333" i="2" l="1"/>
  <c r="A334" i="2" l="1"/>
  <c r="A335" i="2" l="1"/>
  <c r="A336" i="2" l="1"/>
  <c r="A337" i="2" l="1"/>
  <c r="A338" i="2" l="1"/>
  <c r="A339" i="2" l="1"/>
  <c r="A340" i="2" l="1"/>
  <c r="A341" i="2" l="1"/>
  <c r="A342" i="2" l="1"/>
  <c r="A343" i="2" l="1"/>
  <c r="A344" i="2" l="1"/>
  <c r="A345" i="2" l="1"/>
  <c r="A346" i="2" l="1"/>
  <c r="A347" i="2" l="1"/>
  <c r="A348" i="2" l="1"/>
  <c r="A349" i="2" l="1"/>
  <c r="A350" i="2" l="1"/>
  <c r="A351" i="2" l="1"/>
  <c r="A352" i="2" l="1"/>
  <c r="A353" i="2" l="1"/>
  <c r="A354" i="2" l="1"/>
  <c r="A355" i="2" l="1"/>
  <c r="A356" i="2" l="1"/>
  <c r="A357" i="2" l="1"/>
  <c r="A358" i="2" l="1"/>
  <c r="A359" i="2" l="1"/>
  <c r="A360" i="2" l="1"/>
  <c r="A361" i="2" l="1"/>
  <c r="A362" i="2" l="1"/>
  <c r="A363" i="2" l="1"/>
  <c r="A364" i="2" l="1"/>
  <c r="A365" i="2" l="1"/>
  <c r="A366" i="2" l="1"/>
  <c r="A367" i="2" l="1"/>
  <c r="A368" i="2" l="1"/>
  <c r="A369" i="2" l="1"/>
  <c r="A370" i="2" l="1"/>
  <c r="A371" i="2" l="1"/>
  <c r="A372" i="2" l="1"/>
  <c r="A373" i="2" l="1"/>
  <c r="A374" i="2" l="1"/>
  <c r="A375" i="2" l="1"/>
  <c r="A376" i="2" l="1"/>
  <c r="A377" i="2" l="1"/>
  <c r="A378" i="2" l="1"/>
  <c r="A379" i="2" l="1"/>
  <c r="A380" i="2" l="1"/>
  <c r="A381" i="2" l="1"/>
  <c r="A382" i="2" l="1"/>
  <c r="A383" i="2" l="1"/>
  <c r="A384" i="2" l="1"/>
  <c r="A385" i="2" l="1"/>
  <c r="A386" i="2" l="1"/>
  <c r="A387" i="2" l="1"/>
  <c r="A388" i="2" l="1"/>
  <c r="A389" i="2" l="1"/>
  <c r="A390" i="2" l="1"/>
  <c r="A391" i="2" l="1"/>
  <c r="A392" i="2" l="1"/>
  <c r="A393" i="2" l="1"/>
  <c r="A394" i="2" l="1"/>
  <c r="A395" i="2" l="1"/>
  <c r="A396" i="2" l="1"/>
  <c r="A397" i="2" l="1"/>
  <c r="A398" i="2" l="1"/>
  <c r="A399" i="2" l="1"/>
  <c r="A400" i="2" l="1"/>
  <c r="A401" i="2" l="1"/>
  <c r="A402" i="2" l="1"/>
  <c r="A403" i="2" l="1"/>
  <c r="A404" i="2" l="1"/>
  <c r="A405" i="2" l="1"/>
  <c r="A406" i="2" l="1"/>
  <c r="A407" i="2" l="1"/>
  <c r="A408" i="2" l="1"/>
  <c r="A409" i="2" l="1"/>
  <c r="A410" i="2" l="1"/>
  <c r="A411" i="2" l="1"/>
  <c r="A412" i="2" l="1"/>
  <c r="A413" i="2" l="1"/>
  <c r="A414" i="2" l="1"/>
  <c r="A415" i="2" l="1"/>
  <c r="A416" i="2" l="1"/>
  <c r="A417" i="2" l="1"/>
  <c r="A418" i="2" l="1"/>
  <c r="A419" i="2" l="1"/>
  <c r="A420" i="2" l="1"/>
  <c r="A421" i="2" l="1"/>
  <c r="A422" i="2" l="1"/>
  <c r="A423" i="2" l="1"/>
  <c r="A424" i="2" l="1"/>
  <c r="A425" i="2" l="1"/>
  <c r="A426" i="2" l="1"/>
  <c r="A427" i="2" l="1"/>
  <c r="A428" i="2" l="1"/>
  <c r="A429" i="2" l="1"/>
  <c r="A430" i="2" l="1"/>
  <c r="A431" i="2" l="1"/>
  <c r="A432" i="2" l="1"/>
  <c r="A433" i="2" l="1"/>
  <c r="A434" i="2" l="1"/>
  <c r="A435" i="2" l="1"/>
  <c r="A436" i="2" l="1"/>
  <c r="A437" i="2" l="1"/>
  <c r="A438" i="2" l="1"/>
  <c r="A439" i="2" l="1"/>
  <c r="A440" i="2" l="1"/>
  <c r="A441" i="2" l="1"/>
  <c r="A442" i="2" l="1"/>
  <c r="A443" i="2" l="1"/>
  <c r="A444" i="2" l="1"/>
  <c r="A445" i="2" l="1"/>
  <c r="A446" i="2" l="1"/>
  <c r="A447" i="2" l="1"/>
  <c r="A448" i="2" l="1"/>
  <c r="A449" i="2" l="1"/>
  <c r="A450" i="2" l="1"/>
</calcChain>
</file>

<file path=xl/sharedStrings.xml><?xml version="1.0" encoding="utf-8"?>
<sst xmlns="http://schemas.openxmlformats.org/spreadsheetml/2006/main" count="2333" uniqueCount="994">
  <si>
    <t>編號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</si>
  <si>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</si>
  <si>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</si>
  <si>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</si>
  <si>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</si>
  <si>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</si>
  <si>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</si>
  <si>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</si>
  <si>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</si>
  <si>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</si>
  <si>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</si>
  <si>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</si>
  <si>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</si>
  <si>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</si>
  <si>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</si>
  <si>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</si>
  <si>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</si>
  <si>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</si>
  <si>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</si>
  <si>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等級基礎四維</t>
  </si>
  <si>
    <t>a+(等級-1)×b</t>
  </si>
  <si>
    <t>力/敏/智/耐四項相同，每升 1 級各 +b。a=初始值 b=每級成長。</t>
  </si>
  <si>
    <t>技能點總預算</t>
  </si>
  <si>
    <t>初始a；未轉生每級+b；上限c</t>
  </si>
  <si>
    <t>初始兩個 1 級技能也計入；已使用=所有技能等級總和；可用=總預算-已使用。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</si>
  <si>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</si>
  <si>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</si>
  <si>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</si>
  <si>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</si>
  <si>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</si>
  <si>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</si>
  <si>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轉生經驗倍率</t>
  </si>
  <si>
    <t>a^轉生次數</t>
  </si>
  <si>
    <t>每次轉生升級經驗需求為上一次的 a 倍。</t>
  </si>
  <si>
    <t>神鑄系統解鎖等級</t>
  </si>
  <si>
    <t>1-轉生對照表</t>
  </si>
  <si>
    <t>轉生 0 次</t>
  </si>
  <si>
    <t>（查表）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</si>
  <si>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</si>
  <si>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</si>
  <si>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</si>
  <si>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</si>
  <si>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</si>
  <si>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</si>
  <si>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</si>
  <si>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</si>
  <si>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</si>
  <si>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</si>
  <si>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</si>
  <si>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</si>
  <si>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</si>
  <si>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</si>
  <si>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</si>
  <si>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</si>
  <si>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</si>
  <si>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</si>
  <si>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</si>
  <si>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</si>
  <si>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</si>
  <si>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</si>
  <si>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</si>
  <si>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</si>
  <si>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</si>
  <si>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</si>
  <si>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</si>
  <si>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</si>
  <si>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</si>
  <si>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</si>
  <si>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位面創世神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</si>
  <si>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</si>
  <si>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</si>
  <si>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</si>
  <si>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</si>
  <si>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</si>
  <si>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</si>
  <si>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</si>
  <si>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</si>
  <si>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</si>
  <si>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</si>
  <si>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</si>
  <si>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(a+(等級-1)×b+力量×c+物攻定值)×(1+物攻%)</t>
  </si>
  <si>
    <t>a=基礎 b=每級 c=每點力量。</t>
  </si>
  <si>
    <t>魔法攻擊</t>
  </si>
  <si>
    <t>(a+(等級-1)×b+智力×c+魔攻定值)×(1+魔攻%)</t>
  </si>
  <si>
    <t>a=基礎 b=每級 c=每點智力。</t>
  </si>
  <si>
    <t>物理防禦</t>
  </si>
  <si>
    <t>(a+(等級-1)×b+耐力×c+物防定值)×(1+物防%)</t>
  </si>
  <si>
    <t>a=基礎 b=每級 c=每點耐力。</t>
  </si>
  <si>
    <t>魔法防禦</t>
  </si>
  <si>
    <t>a=基礎 b=每級 c=每點智力。共用物防%詞條。</t>
  </si>
  <si>
    <t>暴擊率</t>
  </si>
  <si>
    <t>a+敏捷×b+加成</t>
  </si>
  <si>
    <t>a=基礎% b=每點敏捷。上限 100%。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</si>
  <si>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</si>
  <si>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</si>
  <si>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</si>
  <si>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</si>
  <si>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</si>
  <si>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</si>
  <si>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</si>
  <si>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閃避率</t>
  </si>
  <si>
    <t>負重上限</t>
  </si>
  <si>
    <t>力量×a+詞條</t>
  </si>
  <si>
    <t>a=每點力量。</t>
  </si>
  <si>
    <t>野外基礎生命恢復</t>
  </si>
  <si>
    <t>最大生命×a%/秒</t>
  </si>
  <si>
    <t>a=每秒回復比例（高塔內無此回復）。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</si>
  <si>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</si>
  <si>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</si>
  <si>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</si>
  <si>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</si>
  <si>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</si>
  <si>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</si>
  <si>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物理穿透 上限</t>
  </si>
  <si>
    <t>魔法穿透 上限</t>
  </si>
  <si>
    <t>冷卻縮減 上限</t>
  </si>
  <si>
    <t>施法速度 上限</t>
  </si>
  <si>
    <t>吸血 上限</t>
  </si>
  <si>
    <t>吸魔 上限</t>
  </si>
  <si>
    <t>格擋率 上限</t>
  </si>
  <si>
    <t>格擋減傷(詞條部分) 上限</t>
  </si>
  <si>
    <t>閃避率 上限</t>
  </si>
  <si>
    <t>韌性 上限</t>
  </si>
  <si>
    <t>物理抗性 上限</t>
  </si>
  <si>
    <t>魔法抗性 上限</t>
  </si>
  <si>
    <t>六系元素抗性 上限</t>
  </si>
  <si>
    <t>控制抵抗 上限</t>
  </si>
  <si>
    <t>控制時間縮減 上限</t>
  </si>
  <si>
    <t>移動速度 上限</t>
  </si>
  <si>
    <t>幸運值 上限</t>
  </si>
  <si>
    <t>合成變異率 上限</t>
  </si>
  <si>
    <t>狂暴閾值 上限</t>
  </si>
  <si>
    <t>詞條上限率 上限</t>
  </si>
  <si>
    <t>被動-連擊 上限</t>
  </si>
  <si>
    <t>被動-暈眩 上限</t>
  </si>
  <si>
    <t>全局減傷 上限</t>
  </si>
  <si>
    <t>3-戰鬥核心</t>
  </si>
  <si>
    <t>防禦減傷率</t>
  </si>
  <si>
    <t>a=常數 b=每級係數。有效防禦≤0 時視為 0% 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</si>
  <si>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</si>
  <si>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</si>
  <si>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</si>
  <si>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</si>
  <si>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</si>
  <si>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</si>
  <si>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</si>
  <si>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</si>
  <si>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</si>
  <si>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擊殺回復</t>
  </si>
  <si>
    <t>最大生命×a%</t>
  </si>
  <si>
    <t>野外每擊殺一隻回復（吸魂被動再另加）。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</si>
  <si>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</si>
  <si>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</si>
  <si>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</si>
  <si>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</si>
  <si>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</si>
  <si>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</si>
  <si>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</si>
  <si>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</si>
  <si>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</si>
  <si>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</si>
  <si>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</si>
  <si>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</si>
  <si>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</si>
  <si>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</si>
  <si>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暴擊a% 暴傷b% 命中c% 攻速d</t>
  </si>
  <si>
    <t>怪物固定值；初次出手延遲 = 1/攻速 + 0.4 秒。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</si>
  <si>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</si>
  <si>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</si>
  <si>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</si>
  <si>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</si>
  <si>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</si>
  <si>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</si>
  <si>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</si>
  <si>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</si>
  <si>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</si>
  <si>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</si>
  <si>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</si>
  <si>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</si>
  <si>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</si>
  <si>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</si>
  <si>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</si>
  <si>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</si>
  <si>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</si>
  <si>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</si>
  <si>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</si>
  <si>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</si>
  <si>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</si>
  <si>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菁英倍率</t>
  </si>
  <si>
    <t>生命×a 攻擊×b 金幣經驗×c 閃避d 攻速e</t>
  </si>
  <si>
    <t>野外菁英掉落倍率</t>
  </si>
  <si>
    <t>所有掉落 ×a</t>
  </si>
  <si>
    <t>菁英敵人裝備/材料/寶石/零件掉落率統一乘 a（程式實際值）。</t>
  </si>
  <si>
    <t>4-敵人數量</t>
  </si>
  <si>
    <t>1 隻</t>
  </si>
  <si>
    <t>權重 = a</t>
  </si>
  <si>
    <t>普通與菁英每波獨立擲骰；高塔 BOSS 固定單一。權重總和 100。</t>
  </si>
  <si>
    <t>2 隻</t>
  </si>
  <si>
    <t>3 隻</t>
  </si>
  <si>
    <t>4 隻</t>
  </si>
  <si>
    <t>4-場景倍率</t>
  </si>
  <si>
    <t>草原</t>
  </si>
  <si>
    <t>—</t>
  </si>
  <si>
    <t>荒漠</t>
  </si>
  <si>
    <t>草原最高 100 階</t>
  </si>
  <si>
    <t>沼澤</t>
  </si>
  <si>
    <t>荒漠最高 100 階</t>
  </si>
  <si>
    <t>4-高塔BOSS</t>
  </si>
  <si>
    <t>對應野外階段</t>
  </si>
  <si>
    <t>a+樓層×b</t>
  </si>
  <si>
    <t>以此階段的野外怪為基準。</t>
  </si>
  <si>
    <t>BOSS 等級</t>
  </si>
  <si>
    <t>對應階段+a</t>
  </si>
  <si>
    <t>a=等級加值。</t>
  </si>
  <si>
    <t>挑戰金幣消耗</t>
  </si>
  <si>
    <t>round(a×樓層^b)</t>
  </si>
  <si>
    <t>開始挑戰前扣除，失敗或撤退不退回。</t>
  </si>
  <si>
    <t>基準生命×a（地獄之塔再×b）</t>
  </si>
  <si>
    <t>a=一般倍率 b=地獄之塔倍率。</t>
  </si>
  <si>
    <t>基準攻擊×a（地獄之塔再×b）</t>
  </si>
  <si>
    <t>物/魔防</t>
  </si>
  <si>
    <t>基準物/魔防×a</t>
  </si>
  <si>
    <t>a=防禦倍率。</t>
  </si>
  <si>
    <t>攻速 / 控制抵抗</t>
  </si>
  <si>
    <t>攻速a 次/秒；控制抵抗b%</t>
  </si>
  <si>
    <t>a=攻速 b=控制抵抗。</t>
  </si>
  <si>
    <t>元素附傷(元素 BOSS)</t>
  </si>
  <si>
    <t>a=係數 b=地獄之塔倍率。以魔法攻擊結算。</t>
  </si>
  <si>
    <t>建議野外階段普通怪經驗×a</t>
  </si>
  <si>
    <t>再套用玩家經驗加成。</t>
  </si>
  <si>
    <t>戰鬥規則</t>
  </si>
  <si>
    <t>限時a秒；b秒檢查狂暴（血量&gt;50%+狂暴閾值→傷害×c）；每d秒蓄力重擊×2.2</t>
  </si>
  <si>
    <t>a=限時 b=狂暴檢查 c=狂暴傷害倍率 d=蓄力周期。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</si>
  <si>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</si>
  <si>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</si>
  <si>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</si>
  <si>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</si>
  <si>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</si>
  <si>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</si>
  <si>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</si>
  <si>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</si>
  <si>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高塔 BOSS 魔塵</t>
  </si>
  <si>
    <t>min(a%, b% + 樓層×c%)</t>
  </si>
  <si>
    <t>a=上限 b=基礎 c=每層。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</si>
  <si>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</si>
  <si>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</si>
  <si>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</si>
  <si>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</si>
  <si>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</si>
  <si>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</si>
  <si>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</si>
  <si>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</si>
  <si>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</si>
  <si>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</si>
  <si>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</si>
  <si>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</si>
  <si>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</si>
  <si>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</si>
  <si>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</si>
  <si>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</si>
  <si>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</si>
  <si>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</si>
  <si>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</si>
  <si>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</si>
  <si>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</si>
  <si>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</si>
  <si>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</si>
  <si>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</si>
  <si>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</si>
  <si>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</si>
  <si>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</si>
  <si>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</si>
  <si>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5-野外裝備掉落</t>
  </si>
  <si>
    <t>普通裝備</t>
  </si>
  <si>
    <t>各怪物等級區間掉落率%（{等級下限~上限=機率}）</t>
  </si>
  <si>
    <t>每品質獨立擲骰。實際機率 = 表值×(1+有效掉寶率%)，菁英再×1.5；場景倍率不作用於裝備。</t>
  </si>
  <si>
    <t>{100~149=0}</t>
  </si>
  <si>
    <t>{150+=0}</t>
  </si>
  <si>
    <t>精良裝備</t>
  </si>
  <si>
    <t>{1~49=10}</t>
  </si>
  <si>
    <t>{50~99=10}</t>
  </si>
  <si>
    <t>稀有裝備</t>
  </si>
  <si>
    <t>{1~49=5}</t>
  </si>
  <si>
    <t>{50~99=5}</t>
  </si>
  <si>
    <t>{100~149=8}</t>
  </si>
  <si>
    <t>獨特裝備</t>
  </si>
  <si>
    <t>{1~49=0}</t>
  </si>
  <si>
    <t>史詩裝備</t>
  </si>
  <si>
    <t>{50~99=0}</t>
  </si>
  <si>
    <t>傳說裝備</t>
  </si>
  <si>
    <t>神話裝備</t>
  </si>
  <si>
    <t>創世裝備</t>
  </si>
  <si>
    <t>5-野外寶石掉落</t>
  </si>
  <si>
    <t>怪物等級 1~50</t>
  </si>
  <si>
    <t>各階級獨立判定機率%</t>
  </si>
  <si>
    <t>a=1級 b=2級 c=3級 d=4級 e=5級。實際機率 ×(1+掉寶率%)×場景倍率。</t>
  </si>
  <si>
    <t>怪物等級 51~100</t>
  </si>
  <si>
    <t>怪物等級 101~150</t>
  </si>
  <si>
    <t>怪物等級 151~200</t>
  </si>
  <si>
    <t>怪物等級 201~250</t>
  </si>
  <si>
    <t>怪物等級 251~300</t>
  </si>
  <si>
    <t>怪物等級 301+</t>
  </si>
  <si>
    <t>5-野外材料</t>
  </si>
  <si>
    <t>附魔書</t>
  </si>
  <si>
    <t>a% × (1+掉寶率%) × 場景倍率</t>
  </si>
  <si>
    <t>階段 8+，隨機一種。</t>
  </si>
  <si>
    <t>魔塵</t>
  </si>
  <si>
    <t>min(a%, b% + (敵人等級-c)×d%)</t>
  </si>
  <si>
    <t>敵人等級 150+，每次成功固定 1 顆；不受掉寶率與場景倍率影響。</t>
  </si>
  <si>
    <t>太古精華</t>
  </si>
  <si>
    <t>敵人等級 250+，每隻獨立判定 1 顆；不受掉寶率與場景倍率影響。</t>
  </si>
  <si>
    <t>自動機組零件</t>
  </si>
  <si>
    <t>機率a%（菁英×1.5）</t>
  </si>
  <si>
    <t>階段 5+。階級 = clamp(1+⌊階段/12⌋+(菁英?1:0), 1, 7)。</t>
  </si>
  <si>
    <t>5-太古詞條</t>
  </si>
  <si>
    <t>野外太古詞條機率</t>
  </si>
  <si>
    <t>等級≥200 且史詩以上裝備逐詞條判定；敵人等級&lt;250 時維持基礎 b%。</t>
  </si>
  <si>
    <t>高塔太古詞條機率</t>
  </si>
  <si>
    <t>min(a%, b% + (樓層-c)×d%)</t>
  </si>
  <si>
    <t>以樓層計算；樓層&lt;40 時為 0。裝備等級≥200 且史詩以上逐詞條判定。</t>
  </si>
  <si>
    <t>高塔太古精華機率</t>
  </si>
  <si>
    <t>以樓層計算；每場獨立判定 1 顆。</t>
  </si>
  <si>
    <t>太古詞條數值倍率</t>
  </si>
  <si>
    <t>原詞條上限 × a</t>
  </si>
  <si>
    <t>a=太古詞條強度倍率（上限已含×1.2，再×a）。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</si>
  <si>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</si>
  <si>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</si>
  <si>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</si>
  <si>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</si>
  <si>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</si>
  <si>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</si>
  <si>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</si>
  <si>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</si>
  <si>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</si>
  <si>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</si>
  <si>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</si>
  <si>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</si>
  <si>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</si>
  <si>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依 BOSS 掉落表擲骰。</t>
  </si>
  <si>
    <t>5-高塔裝備掉落</t>
  </si>
  <si>
    <t>各樓層區間掉落率%（{樓層下限~上限=機率}）</t>
  </si>
  <si>
    <t>每品質獨立擲骰，&gt;100% 依必掉+餘數規則；實際機率 ×(1+有效掉寶率%)。</t>
  </si>
  <si>
    <t>{1~5=0}</t>
  </si>
  <si>
    <t>{6~10=0}</t>
  </si>
  <si>
    <t>{11~15=0}</t>
  </si>
  <si>
    <t>{16~20=0}</t>
  </si>
  <si>
    <t>{21~25=0}</t>
  </si>
  <si>
    <t>{26~30=0}</t>
  </si>
  <si>
    <t>{31+=0}</t>
  </si>
  <si>
    <t>{1~5=100}</t>
  </si>
  <si>
    <t>{6~10=100}</t>
  </si>
  <si>
    <t>{1~5=50}</t>
  </si>
  <si>
    <t>{11~15=100}</t>
  </si>
  <si>
    <t>{16~20=150}</t>
  </si>
  <si>
    <t>{21~25=250}</t>
  </si>
  <si>
    <t>{26~30=300}</t>
  </si>
  <si>
    <t>{31+=300}</t>
  </si>
  <si>
    <t>{1~5=10}</t>
  </si>
  <si>
    <t>{6~10=20}</t>
  </si>
  <si>
    <t>{16~20=100}</t>
  </si>
  <si>
    <t>{21~25=150}</t>
  </si>
  <si>
    <t>{26~30=200}</t>
  </si>
  <si>
    <t>{31+=200}</t>
  </si>
  <si>
    <t>{1~5=5}</t>
  </si>
  <si>
    <t>{6~10=10}</t>
  </si>
  <si>
    <t>{11~15=50}</t>
  </si>
  <si>
    <t>{16~20=50}</t>
  </si>
  <si>
    <t>{21~25=100}</t>
  </si>
  <si>
    <t>{26~30=150}</t>
  </si>
  <si>
    <t>{31+=150}</t>
  </si>
  <si>
    <t>{6~10=2}</t>
  </si>
  <si>
    <t>{11~15=5}</t>
  </si>
  <si>
    <t>{16~20=20}</t>
  </si>
  <si>
    <t>{21~25=33}</t>
  </si>
  <si>
    <t>{26~30=40}</t>
  </si>
  <si>
    <t>{31+=50}</t>
  </si>
  <si>
    <t>{11~15=1}</t>
  </si>
  <si>
    <t>{16~20=2.5}</t>
  </si>
  <si>
    <t>{21~25=5}</t>
  </si>
  <si>
    <t>{26~30=10}</t>
  </si>
  <si>
    <t>{31+=15}</t>
  </si>
  <si>
    <t>6-裝備</t>
  </si>
  <si>
    <t>詞條數值</t>
  </si>
  <si>
    <t>(base+base×lv係數×(裝備等級-1))×稀有度倍率×rnd(0.8,1.2)</t>
  </si>
  <si>
    <t>太古詞條數值</t>
  </si>
  <si>
    <t>基準值×1.2×a</t>
  </si>
  <si>
    <t>強化倍率</t>
  </si>
  <si>
    <t>1 + a×強化等級</t>
  </si>
  <si>
    <t>裝備每 +1，全詞條數值 +5%。</t>
  </si>
  <si>
    <t>特殊被動數值</t>
  </si>
  <si>
    <t>base + perR×(稀有度-a)</t>
  </si>
  <si>
    <t>神鑄特效數值</t>
  </si>
  <si>
    <t>base × rnd(0.8, 1.2)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</si>
  <si>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</si>
  <si>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</si>
  <si>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</si>
  <si>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</si>
  <si>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</si>
  <si>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</si>
  <si>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</si>
  <si>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</si>
  <si>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</si>
  <si>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</si>
  <si>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</si>
  <si>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詞條/寶石權重見「戰力權重表」。a=每條神鑄特效加成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</si>
  <si>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</si>
  <si>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</si>
  <si>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</si>
  <si>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</si>
  <si>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(a+裝備等級)×分解係數×b</t>
  </si>
  <si>
    <t>a=常數 b=金幣係數。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</si>
  <si>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</si>
  <si>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</si>
  <si>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</si>
  <si>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</si>
  <si>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</si>
  <si>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</si>
  <si>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</si>
  <si>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</si>
  <si>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</si>
  <si>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</si>
  <si>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基礎：傳說55 神話40 創世25。a=每魔塵加成%。</t>
  </si>
  <si>
    <t>裝備神鑄基礎成功率</t>
  </si>
  <si>
    <t>傳說a 神話b 創世c（%）</t>
  </si>
  <si>
    <t>依素材品質。</t>
  </si>
  <si>
    <t>裝備神鑄金幣</t>
  </si>
  <si>
    <t>傳說a 神話b 創世c</t>
  </si>
  <si>
    <t>單次金幣消耗。</t>
  </si>
  <si>
    <t>裝備神鑄時間(秒)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</si>
  <si>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</si>
  <si>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</si>
  <si>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</si>
  <si>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</si>
  <si>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</si>
  <si>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</si>
  <si>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</si>
  <si>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</si>
  <si>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</si>
  <si>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</si>
  <si>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</si>
  <si>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</si>
  <si>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</si>
  <si>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</si>
  <si>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</si>
  <si>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</si>
  <si>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</si>
  <si>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</si>
  <si>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</si>
  <si>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</si>
  <si>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</si>
  <si>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</si>
  <si>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</si>
  <si>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</si>
  <si>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</si>
  <si>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7-洗煉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</si>
  <si>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</si>
  <si>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</si>
  <si>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</si>
  <si>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</si>
  <si>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太古精華洗煉</t>
  </si>
  <si>
    <t>a=太古機率。</t>
  </si>
  <si>
    <t>7-合成</t>
  </si>
  <si>
    <t>大成功率</t>
  </si>
  <si>
    <t>a% + 幸運核心×每階8% + 幸運值/2</t>
  </si>
  <si>
    <t>a=基礎%。</t>
  </si>
  <si>
    <t>品質合成</t>
  </si>
  <si>
    <t>3 件同稀有度 → 1 件高一階（等級=平均）；大成功再+1 階</t>
  </si>
  <si>
    <t>混合合成</t>
  </si>
  <si>
    <t>1 裝備+1 寶石+1 附魔書 → 附魔（威力吃寶石等級）；大成功稀有度+1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</si>
  <si>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</si>
  <si>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</si>
  <si>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</si>
  <si>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</si>
  <si>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</si>
  <si>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7-分解槽</t>
  </si>
  <si>
    <t>分解槽解鎖費用</t>
  </si>
  <si>
    <t>a × b^(目標格數-1)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</si>
  <si>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</si>
  <si>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</si>
  <si>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</si>
  <si>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</si>
  <si>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</si>
  <si>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</si>
  <si>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</si>
  <si>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</si>
  <si>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背包擴充次數</t>
  </si>
  <si>
    <t>上限 1000 格；滿了自動分解新進裝備。</t>
  </si>
  <si>
    <t>背包擴充費用</t>
  </si>
  <si>
    <t>a × 購買次數²</t>
  </si>
  <si>
    <t>購買次數=本次為第幾次擴充；達 1000 格後不可再擴充。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</si>
  <si>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</si>
  <si>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</si>
  <si>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</si>
  <si>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</si>
  <si>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</si>
  <si>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</si>
  <si>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</si>
  <si>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</si>
  <si>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</si>
  <si>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</si>
  <si>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</si>
  <si>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寶石合成(手動)</t>
  </si>
  <si>
    <t>2 顆同種同級 → 1 顆同種下一階</t>
  </si>
  <si>
    <t>金幣費用依素材等級：100/300/900/2700/8100。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</si>
  <si>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</si>
  <si>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</si>
  <si>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</si>
  <si>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</si>
  <si>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</si>
  <si>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</si>
  <si>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</si>
  <si>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⌊2^(N-1) × a⌋ 顆同種 1 級</t>
  </si>
  <si>
    <t>a=保留比例（損失 30%）。2級→1 3級→2 4級→5 5級→11。</t>
  </si>
  <si>
    <t>寶石拆解(融合)</t>
  </si>
  <si>
    <t>⌊16×leaves × a⌋ 顆 1 級（依屬性均分）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</si>
  <si>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</si>
  <si>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</si>
  <si>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</si>
  <si>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</si>
  <si>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</si>
  <si>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</si>
  <si>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</si>
  <si>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</si>
  <si>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</si>
  <si>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</si>
  <si>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</si>
  <si>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</si>
  <si>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</si>
  <si>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</si>
  <si>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</si>
  <si>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</si>
  <si>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</si>
  <si>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</si>
  <si>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</si>
  <si>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</si>
  <si>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</si>
  <si>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</si>
  <si>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</si>
  <si>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</si>
  <si>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</si>
  <si>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</si>
  <si>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</si>
  <si>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</si>
  <si>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</si>
  <si>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</si>
  <si>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</si>
  <si>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</si>
  <si>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</si>
  <si>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</si>
  <si>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</si>
  <si>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</si>
  <si>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</si>
  <si>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</si>
  <si>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</si>
  <si>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</si>
  <si>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</si>
  <si>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</si>
  <si>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</si>
  <si>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</si>
  <si>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</si>
  <si>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</si>
  <si>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</si>
  <si>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</si>
  <si>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</si>
  <si>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</si>
  <si>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</si>
  <si>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</si>
  <si>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</si>
  <si>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</si>
  <si>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</si>
  <si>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</si>
  <si>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</si>
  <si>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</si>
  <si>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</si>
  <si>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</si>
  <si>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</si>
  <si>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</si>
  <si>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</si>
  <si>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</si>
  <si>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</si>
  <si>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</si>
  <si>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</si>
  <si>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</si>
  <si>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</si>
  <si>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</si>
  <si>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</si>
  <si>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</si>
  <si>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</si>
  <si>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</si>
  <si>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</si>
  <si>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</si>
  <si>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</si>
  <si>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</si>
  <si>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</si>
  <si>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</si>
  <si>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</si>
  <si>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</si>
  <si>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</si>
  <si>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</si>
  <si>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</si>
  <si>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</si>
  <si>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</si>
  <si>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</si>
  <si>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</si>
  <si>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</si>
  <si>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</si>
  <si>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</si>
  <si>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</si>
  <si>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</si>
  <si>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</si>
  <si>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</si>
  <si>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</si>
  <si>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</si>
  <si>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</si>
  <si>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</si>
  <si>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</si>
  <si>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</si>
  <si>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</si>
  <si>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</si>
  <si>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</si>
  <si>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</si>
  <si>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</si>
  <si>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</si>
  <si>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</si>
  <si>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</si>
  <si>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</si>
  <si>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</si>
  <si>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</si>
  <si>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</si>
  <si>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</si>
  <si>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</si>
  <si>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</si>
  <si>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</si>
  <si>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</si>
  <si>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</si>
  <si>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</si>
  <si>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</si>
  <si>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</si>
  <si>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</si>
  <si>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</si>
  <si>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</si>
  <si>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</si>
  <si>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</si>
  <si>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</si>
  <si>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</si>
  <si>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</si>
  <si>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</si>
  <si>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</si>
  <si>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</si>
  <si>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</si>
  <si>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</si>
  <si>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</si>
  <si>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</si>
  <si>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</si>
  <si>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</si>
  <si>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</si>
  <si>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</si>
  <si>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</si>
  <si>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</si>
  <si>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</si>
  <si>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</si>
  <si>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</si>
  <si>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</si>
  <si>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</si>
  <si>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</si>
  <si>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</si>
  <si>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</si>
  <si>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</si>
  <si>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</si>
  <si>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</si>
  <si>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</si>
  <si>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</si>
  <si>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</si>
  <si>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</si>
  <si>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</si>
  <si>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</si>
  <si>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</si>
  <si>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實際冷卻</t>
  </si>
  <si>
    <t>技能冷卻 × (1 - 冷卻縮減%)</t>
  </si>
  <si>
    <t>施放硬直</t>
  </si>
  <si>
    <t>a 秒 × (1 - 施法速度%)</t>
  </si>
  <si>
    <t>延後下一次普攻。</t>
  </si>
  <si>
    <t>技能共用冷卻(GCD)</t>
  </si>
  <si>
    <t>a 秒（固定，不受冷卻縮減影響）</t>
  </si>
  <si>
    <t>⌊a×當前等級 + b^(1 + 當前等級/c)⌋</t>
  </si>
  <si>
    <t>上限 5,000,000；降級全額退還。</t>
  </si>
  <si>
    <t>技能樹門檻</t>
  </si>
  <si>
    <t>第 N 階需在該系投入 N×a 點</t>
  </si>
  <si>
    <t>a=每階門檻點數。</t>
  </si>
  <si>
    <t>等級上限</t>
  </si>
  <si>
    <t>一般 20+轉生×10；被動 30+轉生×10；融合 素材加總+20+轉生×20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</si>
  <si>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</si>
  <si>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</si>
  <si>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</si>
  <si>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</si>
  <si>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</si>
  <si>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</si>
  <si>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a=FUSE_FACTOR。</t>
  </si>
  <si>
    <t>融合冷卻</t>
  </si>
  <si>
    <t>素材最長冷卻 × a</t>
  </si>
  <si>
    <t>變異觸發率</t>
  </si>
  <si>
    <t>a% + 幸運值/b</t>
  </si>
  <si>
    <t>8 種變異，至多 1 種。</t>
  </si>
  <si>
    <t>DoT/控場/增益合併</t>
  </si>
  <si>
    <t>DoT×0.7 同名取高最多2種；控場取最大×0.8；增益 base×0.8 最多2種</t>
  </si>
  <si>
    <t>融合技能法力消耗</t>
  </si>
  <si>
    <t>round(素材原始消耗總和 × (1 + a×(融合技等級-1)))</t>
  </si>
  <si>
    <t>10-離線</t>
  </si>
  <si>
    <t>有效離線時間</t>
  </si>
  <si>
    <t>min(實際離線秒數, a 小時)</t>
  </si>
  <si>
    <t>1 分鐘內不計。</t>
  </si>
  <si>
    <t>期望暴擊倍率</t>
  </si>
  <si>
    <t>1 + 暴擊率% × (暴擊傷害% - 1)</t>
  </si>
  <si>
    <t>估算 DPS</t>
  </si>
  <si>
    <t>物攻 × (1 - 當前階段怪物防禦減傷) × 攻速 × 期望暴擊倍率</t>
  </si>
  <si>
    <t>單殺耗時</t>
  </si>
  <si>
    <t>怪物血量 / DPS + a 秒出怪間隔</t>
  </si>
  <si>
    <t>擊殺數</t>
  </si>
  <si>
    <t>⌊有效時間 / 單殺耗時 × a⌋</t>
  </si>
  <si>
    <t>a=效率係數；上限 b。</t>
  </si>
  <si>
    <t>裝備收益</t>
  </si>
  <si>
    <t>期望件數×(1+掉寶率)，高品質優先最多 a 件實體化，其餘折碎片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</si>
  <si>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</si>
  <si>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</si>
  <si>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</si>
  <si>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</si>
  <si>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</si>
  <si>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</si>
  <si>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</si>
  <si>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</si>
  <si>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</si>
  <si>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</si>
  <si>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</si>
  <si>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表-詞條池</t>
  </si>
  <si>
    <t>基準值 = (a + a×b×(裝備等級-1)) × 稀有度倍率</t>
  </si>
  <si>
    <t>a=一級基準 b=每級成長係數 c=出現權重 d=最低稀有度 e=百分比。</t>
  </si>
  <si>
    <t>否</t>
  </si>
  <si>
    <t>物理攻擊%</t>
  </si>
  <si>
    <t>是</t>
  </si>
  <si>
    <t>魔法攻擊%</t>
  </si>
  <si>
    <t>生命值</t>
  </si>
  <si>
    <t>生命值%</t>
  </si>
  <si>
    <t>生命恢復/秒</t>
  </si>
  <si>
    <t>法力值</t>
  </si>
  <si>
    <t>力量</t>
  </si>
  <si>
    <t>敏捷</t>
  </si>
  <si>
    <t>智力</t>
  </si>
  <si>
    <t>耐力</t>
  </si>
  <si>
    <t>物理防禦%</t>
  </si>
  <si>
    <t>攻擊速度%</t>
  </si>
  <si>
    <t>暴擊率%</t>
  </si>
  <si>
    <t>暴擊傷害%</t>
  </si>
  <si>
    <t>物理穿透%</t>
  </si>
  <si>
    <t>魔法穿透%</t>
  </si>
  <si>
    <t>命中率%</t>
  </si>
  <si>
    <t>冷卻縮減%</t>
  </si>
  <si>
    <t>施法速度%</t>
  </si>
  <si>
    <t>吸血%</t>
  </si>
  <si>
    <t>吸魔%</t>
  </si>
  <si>
    <t>對菁英傷害%</t>
  </si>
  <si>
    <t>對BOSS傷害%</t>
  </si>
  <si>
    <t>範圍傷害%</t>
  </si>
  <si>
    <t>格擋率%</t>
  </si>
  <si>
    <t>格擋減傷%</t>
  </si>
  <si>
    <t>閃避率%</t>
  </si>
  <si>
    <t>韌性%</t>
  </si>
  <si>
    <t>護盾效率%</t>
  </si>
  <si>
    <t>物理抗性%</t>
  </si>
  <si>
    <t>魔法抗性%</t>
  </si>
  <si>
    <t>火焰抗性%</t>
  </si>
  <si>
    <t>冰霜抗性%</t>
  </si>
  <si>
    <t>雷電抗性%</t>
  </si>
  <si>
    <t>劇毒抗性%</t>
  </si>
  <si>
    <t>聖光抗性%</t>
  </si>
  <si>
    <t>暗影抗性%</t>
  </si>
  <si>
    <t>控制時間縮減%</t>
  </si>
  <si>
    <t>移動速度%</t>
  </si>
  <si>
    <t>掉寶率%</t>
  </si>
  <si>
    <t>經驗加成%</t>
  </si>
  <si>
    <t>是（限飾品）</t>
  </si>
  <si>
    <t>金幣加成%</t>
  </si>
  <si>
    <t>幸運值</t>
  </si>
  <si>
    <t>否（限飾品）</t>
  </si>
  <si>
    <t>強化成功率%</t>
  </si>
  <si>
    <t>分解高產率%</t>
  </si>
  <si>
    <t>合成變異率%</t>
  </si>
  <si>
    <t>狂暴閾值+</t>
  </si>
  <si>
    <t>詞條上限率%</t>
  </si>
  <si>
    <t>寶石鑲嵌效率%</t>
  </si>
  <si>
    <t>表-特殊被動</t>
  </si>
  <si>
    <t>破甲</t>
  </si>
  <si>
    <t>數值 = a + b×(稀有度-2)</t>
  </si>
  <si>
    <t>a=稀有級基準 b=每高一階 c=多件疊加後上限。稀有級以上才附帶。</t>
  </si>
  <si>
    <t>反震</t>
  </si>
  <si>
    <t>連擊</t>
  </si>
  <si>
    <t>暈眩</t>
  </si>
  <si>
    <t>減速</t>
  </si>
  <si>
    <t>真傷</t>
  </si>
  <si>
    <t>吸魂</t>
  </si>
  <si>
    <t>表-神鑄特效</t>
  </si>
  <si>
    <t>龍血</t>
  </si>
  <si>
    <t>數值 = a × rnd(0.8, 1.2)</t>
  </si>
  <si>
    <t>生命上限提高 v%（僅神鑄創世裝備，生成必帶 2 條）。</t>
  </si>
  <si>
    <t>神力</t>
  </si>
  <si>
    <t>物理與魔法攻擊額外提高 v%（額外乘區）（僅神鑄創世裝備，生成必帶 2 條）。</t>
  </si>
  <si>
    <t>神速</t>
  </si>
  <si>
    <t>攻擊速度提高 v%（僅神鑄創世裝備，生成必帶 2 條）。</t>
  </si>
  <si>
    <t>屠神</t>
  </si>
  <si>
    <t>對菁英與 BOSS 傷害提高 v%（僅神鑄創世裝備，生成必帶 2 條）。</t>
  </si>
  <si>
    <t>貪婪</t>
  </si>
  <si>
    <t>金幣加成與掉寶率提高 v%（僅神鑄創世裝備，生成必帶 2 條）。</t>
  </si>
  <si>
    <t>神壁</t>
  </si>
  <si>
    <t>物理與魔法防禦提高 v%（僅神鑄創世裝備，生成必帶 2 條）。</t>
  </si>
  <si>
    <t>天罰</t>
  </si>
  <si>
    <t>攻擊時 v% 機率降下神雷（250% 物攻真實傷害）（僅神鑄創世裝備，生成必帶 2 條）。</t>
  </si>
  <si>
    <t>破滅</t>
  </si>
  <si>
    <t>暴擊時 v% 機率傷害翻倍（僅神鑄創世裝備，生成必帶 2 條）。</t>
  </si>
  <si>
    <t>聖佑</t>
  </si>
  <si>
    <t>受到的所有傷害降低 v%（上限 50%）（僅神鑄創世裝備，生成必帶 2 條）。</t>
  </si>
  <si>
    <t>不朽</t>
  </si>
  <si>
    <t>致命時 v% 機率保 1 血並回復 30%（60 秒限一次）（僅神鑄創世裝備，生成必帶 2 條）。</t>
  </si>
  <si>
    <t>萬象汲取</t>
  </si>
  <si>
    <t>攻擊時額外回復造成傷害 v% 的生命與法力（僅神鑄創世裝備，生成必帶 2 條）。</t>
  </si>
  <si>
    <t>神怒</t>
  </si>
  <si>
    <t>生命低於 30% 時傷害提高 v%（僅神鑄創世裝備，生成必帶 2 條）。</t>
  </si>
  <si>
    <t>表-寶石種類</t>
  </si>
  <si>
    <t>紅寶石</t>
  </si>
  <si>
    <t>數值 = a × 等級 × (1+0.2×(等級-1))</t>
  </si>
  <si>
    <t>對應屬性=b。a=一級基準 c=百分比。</t>
  </si>
  <si>
    <t>藍寶石</t>
  </si>
  <si>
    <t>黃玉</t>
  </si>
  <si>
    <t>綠寶石</t>
  </si>
  <si>
    <t>鑽石</t>
  </si>
  <si>
    <t>青金石</t>
  </si>
  <si>
    <t>紫水晶</t>
  </si>
  <si>
    <t>石榴石</t>
  </si>
  <si>
    <t>蛋白石</t>
  </si>
  <si>
    <t>黑曜石</t>
  </si>
  <si>
    <t>月光石</t>
  </si>
  <si>
    <t>太陽石</t>
  </si>
  <si>
    <t>翡翠</t>
  </si>
  <si>
    <t>綠松石</t>
  </si>
  <si>
    <t>瑪瑙</t>
  </si>
  <si>
    <t>珍珠</t>
  </si>
  <si>
    <t>孔雀石</t>
  </si>
  <si>
    <t>螢石</t>
  </si>
  <si>
    <t>表-自動機組零件</t>
  </si>
  <si>
    <t>加速齒輪</t>
  </si>
  <si>
    <t>效果值 = a × 階級(T1~T7)</t>
  </si>
  <si>
    <t>節點=b。分解速度 +v%/階（另固定+50 個百分點）（掉寶類零件效果實際×0.5）。</t>
  </si>
  <si>
    <t>salvage</t>
  </si>
  <si>
    <t>碎片熔煉爐</t>
  </si>
  <si>
    <t>節點=b。分解碎片產量 +v%/階（掉寶類零件效果實際×0.5）。</t>
  </si>
  <si>
    <t>淘金濾網</t>
  </si>
  <si>
    <t>節點=b。分解金幣產量 +v%/階（掉寶類零件效果實際×0.5）。</t>
  </si>
  <si>
    <t>精粹透鏡</t>
  </si>
  <si>
    <t>節點=b。附魔精華拆解產出率 +v%/階（掉寶類零件效果實際×0.5）。</t>
  </si>
  <si>
    <t>拓本回收臂</t>
  </si>
  <si>
    <t>節點=b。分解 v%/階 機率回收 1 本附魔書（掉寶類零件效果實際×0.5）。</t>
  </si>
  <si>
    <t>複製處理艙</t>
  </si>
  <si>
    <t>節點=b。分解 v%/階 機率碎片+金幣翻倍（掉寶類零件效果實際×0.5）。</t>
  </si>
  <si>
    <t>知識回收器</t>
  </si>
  <si>
    <t>節點=b。分解 v%/階 機率獲得經驗(裝備等級×25)（掉寶類零件效果實際×0.5）。</t>
  </si>
  <si>
    <t>探礦核心</t>
  </si>
  <si>
    <t>節點=b。分解 v%/階 機率額外掉一個零件（掉寶類零件效果實際×0.5）。</t>
  </si>
  <si>
    <t>幸運晶片</t>
  </si>
  <si>
    <t>節點=b。分解 v%/階 機率大豐收(碎片/金幣/精華×3)（掉寶類零件效果實際×0.5）。</t>
  </si>
  <si>
    <t>太古精華萃取器</t>
  </si>
  <si>
    <t>節點=b。分解太古精華掉落率 +v%/階（掉寶類零件效果實際×0.5）。</t>
  </si>
  <si>
    <t>幸運核心</t>
  </si>
  <si>
    <t>節點=b。合成大成功率 +v%/階（掉寶類零件效果實際×0.5）。</t>
  </si>
  <si>
    <t>synth</t>
  </si>
  <si>
    <t>重骰模組</t>
  </si>
  <si>
    <t>節點=b。合成詞條重骰機率 +v%/階（掉寶類零件效果實際×0.5）。</t>
  </si>
  <si>
    <t>表-固定參數</t>
  </si>
  <si>
    <t>出怪間隔</t>
  </si>
  <si>
    <t>a 秒 × (1-移動速度%)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</si>
  <si>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</si>
  <si>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</si>
  <si>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</si>
  <si>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</si>
  <si>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</si>
  <si>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</si>
  <si>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</si>
  <si>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</si>
  <si>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</si>
  <si>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</si>
  <si>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</si>
  <si>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</si>
  <si>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</si>
  <si>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</si>
  <si>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</si>
  <si>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</si>
  <si>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</si>
  <si>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創世 7 條 + 詞條上限率突破 1 條。單件裝備可堆疊的最大詞條數。</t>
  </si>
  <si>
    <t>表-戰力權重</t>
  </si>
  <si>
    <t>評分權重 = a</t>
  </si>
  <si>
    <t>「戰力評分」中該詞條/對應寶石屬性的權重；未列出者以 1 計。</t>
  </si>
  <si>
    <t>變動</t>
    <phoneticPr fontId="2" type="noConversion"/>
  </si>
  <si>
    <t>10^12</t>
    <phoneticPr fontId="2" type="noConversion"/>
  </si>
  <si>
    <t>a=生命與四維最終倍率 b=升級經驗倍率  c=升級經驗基礎增加值 d=階級名稱 e=一般主動技能增加上限 f=融合技增加上限。</t>
  </si>
  <si>
    <t>(a×等級^b+c)×轉生經驗倍率+轉生經驗基礎增加值</t>
    <phoneticPr fontId="2" type="noConversion"/>
  </si>
  <si>
    <t>升到下一級所需經驗；a=係數 b=次方 c=常數 d=等級上限。轉生經驗倍率見「轉生對照表」</t>
    <phoneticPr fontId="2" type="noConversion"/>
  </si>
  <si>
    <t>參數化公式</t>
    <phoneticPr fontId="2" type="noConversion"/>
  </si>
  <si>
    <t>中文說明</t>
    <phoneticPr fontId="2" type="noConversion"/>
  </si>
  <si>
    <t>解鎖後永久保留，轉生不關閉。a=解鎖等級 b=解鎖轉生等級，必需兩個條件都滿足才解鎖</t>
    <phoneticPr fontId="2" type="noConversion"/>
  </si>
  <si>
    <t>b 轉達到a級開放</t>
    <phoneticPr fontId="2" type="noConversion"/>
  </si>
  <si>
    <t>a=暴擊率上限（%）。攻擊時造成額外暴擊傷害的機率。</t>
  </si>
  <si>
    <t>a=物理穿透上限（%）。造成物理傷害時無視敵方一定比例的物理防禦。</t>
  </si>
  <si>
    <t>a=魔法穿透上限（%）。造成魔法傷害時無視敵方一定比例的魔法防禦。</t>
  </si>
  <si>
    <t>a=冷卻縮減上限（%）。減少技能所需的冷卻時間。</t>
  </si>
  <si>
    <t>a=施法速度上限（%）。縮短技能的施放延遲或詠唱時間。</t>
  </si>
  <si>
    <t>a=吸血上限（%）。造成傷害時將部分傷害轉化為自身生命值。</t>
  </si>
  <si>
    <t>a=吸魔上限（%）。造成傷害時將部分傷害轉化為自身法力值。</t>
  </si>
  <si>
    <t>a=格擋率上限（%）。受到攻擊時觸發格擋以減輕傷害的機率。</t>
  </si>
  <si>
    <t>a=格擋減傷「詞條部分」上限（%）。實際格擋減傷 = 30%基礎 + 詞條(≤a)，合計上限 80%。</t>
  </si>
  <si>
    <t>a=閃避率上限（%）。完全避開敵人攻擊的機率（受敵方命中率影響）。</t>
  </si>
  <si>
    <t>a=韌性上限（%）。降低自身被暈眩、減速等控制狀態的機率。</t>
  </si>
  <si>
    <t>a=物理抗性上限（%）。結算防禦後再按比例直接減免物理傷害。</t>
  </si>
  <si>
    <t>a=魔法抗性上限（%）。結算防禦後再按比例直接減免魔法傷害。</t>
  </si>
  <si>
    <t>a=六系元素（火/冰/雷/毒/光/暗）抗性各自的上限（%）。按比例降低該屬性傷害。</t>
  </si>
  <si>
    <t>a=控制抵抗上限（%）。全面降低所有負面異常狀態的命中率。</t>
  </si>
  <si>
    <t>a=控制時間縮減上限（%）。減少被暈眩、減速等控制狀態的持續時間。</t>
  </si>
  <si>
    <t>a=移動速度上限（%）。提高探索地圖、遇敵或到達終點的速度。</t>
  </si>
  <si>
    <t>a=幸運值上限（數值，非%）。提升洗煉或合成時出現高階詞條的機率。</t>
  </si>
  <si>
    <t>a=合成變異率上限（%）。合成時發生特殊異變（如詞條升級）的機率。</t>
  </si>
  <si>
    <t>a=狂暴閾值上限（%）。影響怪物進入狂暴狀態的時間點或血量條件。</t>
  </si>
  <si>
    <t>a=詞條上限率上限（%）。影響洗煉或生成時獲得更多詞條的機率。</t>
  </si>
  <si>
    <t>a=連擊被動觸發率上限（%）。</t>
  </si>
  <si>
    <t>a=暈眩被動觸發率上限（%）。</t>
  </si>
  <si>
    <t>菁英出現於階段為 10 的倍數，敵人數量與普通怪一致。</t>
    <phoneticPr fontId="2" type="noConversion"/>
  </si>
  <si>
    <t>a=生命 b=攻擊 c=防禦 d=攻速 e=經驗/金幣/材料倍率 f=解鎖條件。裝備掉落表不受場景倍率影響。</t>
    <phoneticPr fontId="2" type="noConversion"/>
  </si>
  <si>
    <t>a=基礎權重 b=權重加成 c=加成上限 d=出現門檻。普通無加成。神鑄創世不參與此擲骰。(目前裝備合成功能關閉中)</t>
    <phoneticPr fontId="2" type="noConversion"/>
  </si>
  <si>
    <t>{1~49=15}</t>
    <phoneticPr fontId="2" type="noConversion"/>
  </si>
  <si>
    <t>{50~99=10}</t>
    <phoneticPr fontId="2" type="noConversion"/>
  </si>
  <si>
    <t>{100~149=0}</t>
    <phoneticPr fontId="2" type="noConversion"/>
  </si>
  <si>
    <t>{100~149=10}</t>
    <phoneticPr fontId="2" type="noConversion"/>
  </si>
  <si>
    <t>{50~99=5}</t>
    <phoneticPr fontId="2" type="noConversion"/>
  </si>
  <si>
    <t>{100~149=6}</t>
    <phoneticPr fontId="2" type="noConversion"/>
  </si>
  <si>
    <t>{150+=10}</t>
    <phoneticPr fontId="2" type="noConversion"/>
  </si>
  <si>
    <t>{100~149=1.5}</t>
    <phoneticPr fontId="2" type="noConversion"/>
  </si>
  <si>
    <t>{150+=2}</t>
    <phoneticPr fontId="2" type="noConversion"/>
  </si>
  <si>
    <t>{150+=0.2}</t>
    <phoneticPr fontId="2" type="noConversion"/>
  </si>
  <si>
    <t>{100~149=5}</t>
    <phoneticPr fontId="2" type="noConversion"/>
  </si>
  <si>
    <t>{150+=4}</t>
    <phoneticPr fontId="2" type="noConversion"/>
  </si>
  <si>
    <t>a=太古倍率（=原上限的 135%）。　※實際由「5-太古詞條/太古詞條數值倍率」控制，本列不生效。</t>
  </si>
  <si>
    <t>加速齒輪每階+25%，另固定+50 個百分點。　※＝生產線處理間隔，由「7-容量/生產線處理間隔」控制，本列不生效。</t>
  </si>
  <si>
    <t>leaves=素材 5 階總數（融合時雙方相加）。　※與「寶石拆解(一般)」共用保留率，本列不生效。</t>
  </si>
  <si>
    <t>a=每級增幅。　※與「9-技能/一般技能法力消耗」共用公式，本列不生效。</t>
  </si>
  <si>
    <t>汲取元素傷害的 25% 回復生命　※寫死：100%觸發、汲取元素傷害25%回復生命，無獨立可調參數。</t>
  </si>
  <si>
    <t>每品質獨立擲骰；實際機率 = 表值×(1+有效掉寶率%)，野外菁英再×1.5。　※規則寫死：機率整數部分必掉，餘數再擲一次。</t>
  </si>
  <si>
    <t>寫死：失敗消耗半數費用。</t>
  </si>
  <si>
    <t>失敗：較弱一方降解為 50% 機率 4~8 顆 Lv1 / 50% 機率 2~4 顆 Lv2。　※結構寫死：同屬性 rnd(小,大×2)、異屬性 原值×rnd(0.5,1.5)。</t>
  </si>
  <si>
    <t>單一目標不套用範圍傷害、也不除以目標數。　※規則寫死：原始傷害×(1+範圍傷害%)÷目標數。</t>
  </si>
  <si>
    <t>規則寫死：技能CD×(1-冷卻縮減%)。</t>
  </si>
  <si>
    <t>見「轉生對照表」。　※寫死：一般 20+轉生×10、被動 30+轉生×10、融合 素材加總+轉生×20。</t>
  </si>
  <si>
    <t>結構寫死：DoT×0.7、控場×0.8、增益×0.8，增益/減益各最多2種。</t>
  </si>
  <si>
    <t>a=技能護盾上限比例；量本身再×(1+護盾效率%)。　※寫死：技能直接給予的護盾上限＝最大生命 50%(skills.js)。</t>
  </si>
  <si>
    <t>合成功能已停用(SYNTHESIS_ENABLED=false)，本列未生效。</t>
  </si>
  <si>
    <t>合成功能已停用，本列未生效。</t>
  </si>
  <si>
    <t>合成功能已停用，本列未生效。</t>
  </si>
  <si>
    <t>免費、自動（熔爐合成節點開關）。　※合成功能已停用，本列未生效。</t>
  </si>
  <si>
    <t>分解槽為金幣解鎖 10~20 格。　※合成功能已停用，本列未生效。</t>
  </si>
  <si>
    <t>a=生命與四維最終倍率 b=升級經驗倍率  c=升級經驗基礎增加值 d=階級名稱 e=一般主動技能增加上限 f=融合技增加上限。　※基準列：倍率與經驗基礎增加值固定為0；階級名稱/技能上限由程式陣列控制。</t>
  </si>
  <si>
    <t>base/lv係數見「詞條池」；稀有度倍率見「稀有度表」。　※指標列：base/lv 見「表-詞條池」，稀有度倍率見「表-稀有度」。</t>
  </si>
  <si>
    <t>a=稀有級索引（稀有=基準）。base/perR 見「特殊被動表」。　※指標列：base/perR 見「表-特殊被動」。</t>
  </si>
  <si>
    <t>base 見「神鑄特效表」。神力為額外乘區、彼此相乘。　※指標列：base 見「表-神鑄特效」。</t>
  </si>
  <si>
    <t>衍生估算值，非可調參數(離線收益計算用)。</t>
  </si>
  <si>
    <t>衍生估算值，非可調參數(離線收益計算用)。</t>
  </si>
  <si>
    <t>a=出怪間隔。　※衍生估算值，非可調參數(離線收益計算用)。</t>
  </si>
  <si>
    <t>a=實體化上限；折算碎片=每件 3×分解係數。　※衍生：離線最多實體化30件裝備，其餘折算碎片(寫死於 save.js)。</t>
  </si>
  <si>
    <t>防禦/(防禦+a+b×攻擊者等級)</t>
    <phoneticPr fontId="2" type="noConversion"/>
  </si>
  <si>
    <t>a%+敵人等級×b%</t>
  </si>
  <si>
    <t>敵人等級=階段。實際命中率沿用戰鬥核心：clamp(命中-玩家閃避, 5, 100)。</t>
  </si>
  <si>
    <t>a%+BOSS階層×b%</t>
  </si>
  <si>
    <t>BOSS階層=樓層。實際命中率沿用戰鬥核心：clamp(命中-玩家閃避, 5, 100)。</t>
  </si>
  <si>
    <t>a=每點敏捷%。</t>
    <phoneticPr fontId="2" type="noConversion"/>
  </si>
  <si>
    <t>閃避率</t>
    <phoneticPr fontId="2" type="noConversion"/>
  </si>
  <si>
    <t>a%+敵人等級×b%</t>
    <phoneticPr fontId="2" type="noConversion"/>
  </si>
  <si>
    <t>敵人等級=階段。實際命中率沿用戰鬥核心：clamp(閃避-玩家命中, 5, 100)。</t>
    <phoneticPr fontId="2" type="noConversion"/>
  </si>
  <si>
    <t>min(a+樓層*c, b)%</t>
    <phoneticPr fontId="2" type="noConversion"/>
  </si>
  <si>
    <t>a=基礎 b=上限 c=加乘值。</t>
    <phoneticPr fontId="2" type="noConversion"/>
  </si>
  <si>
    <t>敏捷×a+加成</t>
    <phoneticPr fontId="2" type="noConversion"/>
  </si>
  <si>
    <t>a=每點敏捷%（減去敵方閃避後最低 5%）。</t>
    <phoneticPr fontId="2" type="noConversion"/>
  </si>
  <si>
    <t>太古精華洗煉消耗</t>
    <phoneticPr fontId="2" type="noConversion"/>
  </si>
  <si>
    <t>勾選後根據裝備品質消耗，本次每詞條 a% 成為太古</t>
    <phoneticPr fontId="2" type="noConversion"/>
  </si>
  <si>
    <t>根據裝備品質每次使用太古精華的消耗數量，a=普通 b=精良 c=稀有 d=獨特 e=史詩 f=傳說 g=神話 h=創世 i=神鑄創世 的消耗數量</t>
    <phoneticPr fontId="2" type="noConversion"/>
  </si>
  <si>
    <t>a* LN(暴擊率%) + b * 暴擊率% + c</t>
    <phoneticPr fontId="2" type="noConversion"/>
  </si>
  <si>
    <t>a=自然對數乘數 b=爆擊乘數 c=常數 。</t>
    <phoneticPr fontId="2" type="noConversion"/>
  </si>
  <si>
    <t>連擊數</t>
    <phoneticPr fontId="2" type="noConversion"/>
  </si>
  <si>
    <t>(a+(等級-1)×b+智力×c+魔防定值)×(1+物防%)</t>
    <phoneticPr fontId="2" type="noConversion"/>
  </si>
  <si>
    <t>魔法防禦</t>
    <phoneticPr fontId="2" type="noConversion"/>
  </si>
  <si>
    <t>刪除</t>
    <phoneticPr fontId="2" type="noConversion"/>
  </si>
  <si>
    <t>a=全局減傷上限（%）已經不設上限。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</si>
</sst>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6" formatCode="_-* #,##0_-;\-* #,##0_-;_-* &quot;-&quot;??_-;_-@_-"/>
  </numFmts>
  <fonts count="6" x14ac:knownFonts="1">
    <font>
      <sz val="11"/>
      <color theme="1"/>
      <name val="新細明體"/>
      <family val="2"/>
      <scheme val="minor"/>
    </font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0"/>
      <color theme="1"/>
      <name val="新細明體"/>
      <family val="2"/>
      <scheme val="minor"/>
    </font>
    <font>
      <sz val="10"/>
      <color theme="1"/>
      <name val="新細明體"/>
      <family val="1"/>
      <charset val="136"/>
      <scheme val="minor"/>
    </font>
    <font>
      <sz val="10"/>
      <color rgb="FFFF0000"/>
      <name val="新細明體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>
      <alignment vertical="center"/>
    </xf>
  </cellStyleXfs>
  <cellXfs count="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3" fillId="0" borderId="0" xfId="0" applyFont="1"/>
    <xf numFmtId="176" fontId="4" fillId="0" borderId="0" xfId="1" applyNumberFormat="1" applyFont="1" applyAlignment="1"/>
    <xf numFmtId="0" fontId="5" fillId="0" borderId="0" xfId="0" applyFont="1"/>
  </cellXfs>
  <cellStyles count="2">
    <cellStyle name="一般" xfId="0" builtinId="0"/>
    <cellStyle name="千分位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55"/>
  <sheetViews>
    <sheetView topLeftCell="A38" workbookViewId="0">
      <selection activeCell="F59" sqref="F59"/>
    </sheetView>
  </sheetViews>
  <sheetFormatPr defaultRowHeight="15.75" x14ac:dyDescent="0.25"/>
  <cols>
    <col min="2" max="2" width="9.140625" style="1"/>
    <col min="3" max="3" width="18.28515625" bestFit="1" customWidth="1"/>
    <col min="4" max="4" width="31.28515625" customWidth="1"/>
    <col min="5" max="5" width="45.42578125" customWidth="1"/>
    <col min="6" max="6" width="91.85546875" customWidth="1"/>
  </cols>
  <sheetData>
    <row r="1" spans="1:18" x14ac:dyDescent="0.25">
      <c r="A1" t="s">
        <v>0</v>
      </c>
      <c r="B1" s="1" t="s">
        <v>898</v>
      </c>
      <c r="C1" t="s">
        <v>1</v>
      </c>
      <c r="D1" t="s">
        <v>2</v>
      </c>
      <c r="E1" s="1" t="s">
        <v>903</v>
      </c>
      <c r="F1" s="1" t="s">
        <v>904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</row>
    <row r="2" spans="1:18" x14ac:dyDescent="0.25">
      <c r="A2">
        <f>計算表!A2</f>
        <v>1</v>
      </c>
      <c r="B2" s="2">
        <f>計算表!B2</f>
        <v>0</v>
      </c>
      <c r="C2" t="str">
        <f>計算表!C2</f>
        <v>1-成長經驗</v>
      </c>
      <c r="D2" t="str">
        <f>計算表!D2</f>
        <v>升級所需經驗</v>
      </c>
      <c r="E2" t="str">
        <f>計算表!E2</f>
        <v>(a×等級^b+c)×轉生經驗倍率+轉生經驗基礎增加值</v>
      </c>
      <c r="F2" t="str">
        <f>計算表!F2</f>
        <v>升到下一級所需經驗；a=係數 b=次方 c=常數 d=等級上限。轉生經驗倍率見「轉生對照表」</v>
      </c>
      <c r="G2">
        <f>計算表!G2</f>
        <v>30</v>
      </c>
      <c r="H2">
        <f>計算表!H2</f>
        <v>2.2000000000000002</v>
      </c>
      <c r="I2">
        <f>計算表!I2</f>
        <v>40</v>
      </c>
      <c r="J2">
        <f>計算表!J2</f>
        <v>9999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 s="2">
        <f>計算表!B3</f>
        <v>0</v>
      </c>
      <c r="C3" t="str">
        <f>計算表!C3</f>
        <v>1-成長經驗</v>
      </c>
      <c r="D3" t="str">
        <f>計算表!D3</f>
        <v>等級基礎四維</v>
      </c>
      <c r="E3" t="str">
        <f>計算表!E3</f>
        <v>a+(等級-1)×b</v>
      </c>
      <c r="F3" t="str">
        <f>計算表!F3</f>
        <v>力/敏/智/耐四項相同，每升 1 級各 +b。a=初始值 b=每級成長。</v>
      </c>
      <c r="G3">
        <f>計算表!G3</f>
        <v>5</v>
      </c>
      <c r="H3">
        <f>計算表!H3</f>
        <v>2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 s="2">
        <f>計算表!B4</f>
        <v>0</v>
      </c>
      <c r="C4" t="str">
        <f>計算表!C4</f>
        <v>1-成長經驗</v>
      </c>
      <c r="D4" t="str">
        <f>計算表!D4</f>
        <v>技能點總預算</v>
      </c>
      <c r="E4" t="str">
        <f>計算表!E4</f>
        <v>初始a；未轉生每級+b；上限c</v>
      </c>
      <c r="F4" t="str">
        <f>計算表!F4</f>
        <v>初始兩個 1 級技能也計入；已使用=所有技能等級總和；可用=總預算-已使用。</v>
      </c>
      <c r="G4">
        <f>計算表!G4</f>
        <v>2</v>
      </c>
      <c r="H4">
        <f>計算表!H4</f>
        <v>1</v>
      </c>
      <c r="I4">
        <f>計算表!I4</f>
        <v>10000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 s="2">
        <f>計算表!B5</f>
        <v>0</v>
      </c>
      <c r="C5" t="str">
        <f>計算表!C5</f>
        <v>1-成長經驗</v>
      </c>
      <c r="D5" t="str">
        <f>計算表!D5</f>
        <v>技能裝載欄</v>
      </c>
      <c r="E5" t="str">
        <f>計算表!E5</f>
        <v>clamp(⌊等級/a⌋, b, c)</v>
      </c>
      <c r="F5" t="str">
        <f>計算表!F5</f>
        <v>每 a 級 +1 格，最少 b、最多 c。</v>
      </c>
      <c r="G5">
        <f>計算表!G5</f>
        <v>20</v>
      </c>
      <c r="H5">
        <f>計算表!H5</f>
        <v>2</v>
      </c>
      <c r="I5">
        <f>計算表!I5</f>
        <v>20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 s="2">
        <f>計算表!B6</f>
        <v>0</v>
      </c>
      <c r="C6" t="str">
        <f>計算表!C6</f>
        <v>1-成長經驗</v>
      </c>
      <c r="D6" t="str">
        <f>計算表!D6</f>
        <v>可轉生等級 / 最高轉生</v>
      </c>
      <c r="E6" t="str">
        <f>計算表!E6</f>
        <v>達到a級可轉生；最高b轉</v>
      </c>
      <c r="F6" t="str">
        <f>計算表!F6</f>
        <v>a=可轉生等級 b=最高轉生次數。</v>
      </c>
      <c r="G6">
        <f>計算表!G6</f>
        <v>9999</v>
      </c>
      <c r="H6">
        <f>計算表!H6</f>
        <v>10</v>
      </c>
      <c r="I6">
        <f>計算表!I6</f>
        <v>0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 s="2">
        <f>計算表!B7</f>
        <v>0</v>
      </c>
      <c r="C7" t="str">
        <f>計算表!C7</f>
        <v>1-成長經驗</v>
      </c>
      <c r="D7" t="str">
        <f>計算表!D7</f>
        <v>轉生經驗倍率</v>
      </c>
      <c r="E7" t="str">
        <f>計算表!E7</f>
        <v>a^轉生次數</v>
      </c>
      <c r="F7" t="str">
        <f>計算表!F7</f>
        <v>每次轉生升級經驗需求為上一次的 a 倍。</v>
      </c>
      <c r="G7">
        <f>計算表!G7</f>
        <v>10</v>
      </c>
      <c r="H7">
        <f>計算表!H7</f>
        <v>0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 s="2">
        <f>計算表!B8</f>
        <v>0</v>
      </c>
      <c r="C8" t="str">
        <f>計算表!C8</f>
        <v>1-成長經驗</v>
      </c>
      <c r="D8" t="str">
        <f>計算表!D8</f>
        <v>神鑄系統解鎖等級</v>
      </c>
      <c r="E8" t="str">
        <f>計算表!E8</f>
        <v>b 轉達到a級開放</v>
      </c>
      <c r="F8" t="str">
        <f>計算表!F8</f>
        <v>解鎖後永久保留，轉生不關閉。a=解鎖等級 b=解鎖轉生等級，必需兩個條件都滿足才解鎖</v>
      </c>
      <c r="G8">
        <f>計算表!G8</f>
        <v>1</v>
      </c>
      <c r="H8">
        <f>計算表!H8</f>
        <v>1</v>
      </c>
      <c r="I8">
        <f>計算表!I8</f>
        <v>0</v>
      </c>
      <c r="J8">
        <f>計算表!J8</f>
        <v>0</v>
      </c>
      <c r="K8">
        <f>計算表!K8</f>
        <v>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 s="2">
        <f>計算表!B9</f>
        <v>0</v>
      </c>
      <c r="C9" t="str">
        <f>計算表!C9</f>
        <v>1-轉生對照表</v>
      </c>
      <c r="D9" t="str">
        <f>計算表!D9</f>
        <v>轉生 0 次</v>
      </c>
      <c r="E9" t="str">
        <f>計算表!E9</f>
        <v>（查表）</v>
      </c>
      <c r="F9" t="str">
        <f>計算表!F9</f>
        <v>a=生命與四維最終倍率 b=升級經驗倍率  c=升級經驗基礎增加值 d=階級名稱 e=一般主動技能增加上限 f=融合技增加上限。　※基準列：倍率與經驗基礎增加值固定為0；階級名稱/技能上限由程式陣列控制。</v>
      </c>
      <c r="G9">
        <f>計算表!G9</f>
        <v>1</v>
      </c>
      <c r="H9" t="str">
        <f>計算表!H9</f>
        <v>10^0</v>
      </c>
      <c r="I9">
        <f>計算表!I9</f>
        <v>0</v>
      </c>
      <c r="J9" t="str">
        <f>計算表!J9</f>
        <v>冒險者</v>
      </c>
      <c r="K9">
        <f>計算表!K9</f>
        <v>20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 s="2">
        <f>計算表!B10</f>
        <v>0</v>
      </c>
      <c r="C10" t="str">
        <f>計算表!C10</f>
        <v>1-轉生對照表</v>
      </c>
      <c r="D10" t="str">
        <f>計算表!D10</f>
        <v>轉生 1 次</v>
      </c>
      <c r="E10" t="str">
        <f>計算表!E10</f>
        <v>（查表）</v>
      </c>
      <c r="F10" t="str">
        <f>計算表!F10</f>
        <v>a=生命與四維最終倍率 b=升級經驗倍率  c=升級經驗基礎增加值 d=階級名稱 e=一般主動技能增加上限 f=融合技增加上限。</v>
      </c>
      <c r="G10">
        <f>計算表!G10</f>
        <v>10</v>
      </c>
      <c r="H10" t="str">
        <f>計算表!H10</f>
        <v>10^1</v>
      </c>
      <c r="I10">
        <f>計算表!I10</f>
        <v>100000</v>
      </c>
      <c r="J10" t="str">
        <f>計算表!J10</f>
        <v>勇者</v>
      </c>
      <c r="K10">
        <f>計算表!K10</f>
        <v>30</v>
      </c>
      <c r="L10">
        <f>計算表!L10</f>
        <v>20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 s="2">
        <f>計算表!B11</f>
        <v>0</v>
      </c>
      <c r="C11" t="str">
        <f>計算表!C11</f>
        <v>1-轉生對照表</v>
      </c>
      <c r="D11" t="str">
        <f>計算表!D11</f>
        <v>轉生 2 次</v>
      </c>
      <c r="E11" t="str">
        <f>計算表!E11</f>
        <v>（查表）</v>
      </c>
      <c r="F11" t="str">
        <f>計算表!F11</f>
        <v>a=生命與四維最終倍率 b=升級經驗倍率  c=升級經驗基礎增加值 d=階級名稱 e=一般主動技能增加上限 f=融合技增加上限。</v>
      </c>
      <c r="G11">
        <f>計算表!G11</f>
        <v>20</v>
      </c>
      <c r="H11" t="str">
        <f>計算表!H11</f>
        <v>10^2</v>
      </c>
      <c r="I11">
        <f>計算表!I11</f>
        <v>300000</v>
      </c>
      <c r="J11" t="str">
        <f>計算表!J11</f>
        <v>大劍師</v>
      </c>
      <c r="K11">
        <f>計算表!K11</f>
        <v>40</v>
      </c>
      <c r="L11">
        <f>計算表!L11</f>
        <v>40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 s="2">
        <f>計算表!B12</f>
        <v>0</v>
      </c>
      <c r="C12" t="str">
        <f>計算表!C12</f>
        <v>1-轉生對照表</v>
      </c>
      <c r="D12" t="str">
        <f>計算表!D12</f>
        <v>轉生 3 次</v>
      </c>
      <c r="E12" t="str">
        <f>計算表!E12</f>
        <v>（查表）</v>
      </c>
      <c r="F12" t="str">
        <f>計算表!F12</f>
        <v>a=生命與四維最終倍率 b=升級經驗倍率  c=升級經驗基礎增加值 d=階級名稱 e=一般主動技能增加上限 f=融合技增加上限。</v>
      </c>
      <c r="G12">
        <f>計算表!G12</f>
        <v>40</v>
      </c>
      <c r="H12" t="str">
        <f>計算表!H12</f>
        <v>10^3</v>
      </c>
      <c r="I12">
        <f>計算表!I12</f>
        <v>900000</v>
      </c>
      <c r="J12" t="str">
        <f>計算表!J12</f>
        <v>破世者</v>
      </c>
      <c r="K12">
        <f>計算表!K12</f>
        <v>50</v>
      </c>
      <c r="L12">
        <f>計算表!L12</f>
        <v>60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 s="2">
        <f>計算表!B13</f>
        <v>0</v>
      </c>
      <c r="C13" t="str">
        <f>計算表!C13</f>
        <v>1-轉生對照表</v>
      </c>
      <c r="D13" t="str">
        <f>計算表!D13</f>
        <v>轉生 4 次</v>
      </c>
      <c r="E13" t="str">
        <f>計算表!E13</f>
        <v>（查表）</v>
      </c>
      <c r="F13" t="str">
        <f>計算表!F13</f>
        <v>a=生命與四維最終倍率 b=升級經驗倍率  c=升級經驗基礎增加值 d=階級名稱 e=一般主動技能增加上限 f=融合技增加上限。</v>
      </c>
      <c r="G13">
        <f>計算表!G13</f>
        <v>80</v>
      </c>
      <c r="H13" t="str">
        <f>計算表!H13</f>
        <v>10^4</v>
      </c>
      <c r="I13">
        <f>計算表!I13</f>
        <v>2700000</v>
      </c>
      <c r="J13" t="str">
        <f>計算表!J13</f>
        <v>不朽者</v>
      </c>
      <c r="K13">
        <f>計算表!K13</f>
        <v>60</v>
      </c>
      <c r="L13">
        <f>計算表!L13</f>
        <v>80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 s="2">
        <f>計算表!B14</f>
        <v>0</v>
      </c>
      <c r="C14" t="str">
        <f>計算表!C14</f>
        <v>1-轉生對照表</v>
      </c>
      <c r="D14" t="str">
        <f>計算表!D14</f>
        <v>轉生 5 次</v>
      </c>
      <c r="E14" t="str">
        <f>計算表!E14</f>
        <v>（查表）</v>
      </c>
      <c r="F14" t="str">
        <f>計算表!F14</f>
        <v>a=生命與四維最終倍率 b=升級經驗倍率  c=升級經驗基礎增加值 d=階級名稱 e=一般主動技能增加上限 f=融合技增加上限。</v>
      </c>
      <c r="G14">
        <f>計算表!G14</f>
        <v>160</v>
      </c>
      <c r="H14" t="str">
        <f>計算表!H14</f>
        <v>10^5</v>
      </c>
      <c r="I14">
        <f>計算表!I14</f>
        <v>8100000</v>
      </c>
      <c r="J14" t="str">
        <f>計算表!J14</f>
        <v>王者</v>
      </c>
      <c r="K14">
        <f>計算表!K14</f>
        <v>70</v>
      </c>
      <c r="L14">
        <f>計算表!L14</f>
        <v>100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 s="2">
        <f>計算表!B15</f>
        <v>0</v>
      </c>
      <c r="C15" t="str">
        <f>計算表!C15</f>
        <v>1-轉生對照表</v>
      </c>
      <c r="D15" t="str">
        <f>計算表!D15</f>
        <v>轉生 6 次</v>
      </c>
      <c r="E15" t="str">
        <f>計算表!E15</f>
        <v>（查表）</v>
      </c>
      <c r="F15" t="str">
        <f>計算表!F15</f>
        <v>a=生命與四維最終倍率 b=升級經驗倍率  c=升級經驗基礎增加值 d=階級名稱 e=一般主動技能增加上限 f=融合技增加上限。</v>
      </c>
      <c r="G15">
        <f>計算表!G15</f>
        <v>320</v>
      </c>
      <c r="H15" t="str">
        <f>計算表!H15</f>
        <v>10^6</v>
      </c>
      <c r="I15">
        <f>計算表!I15</f>
        <v>24300000</v>
      </c>
      <c r="J15" t="str">
        <f>計算表!J15</f>
        <v>大主宰</v>
      </c>
      <c r="K15">
        <f>計算表!K15</f>
        <v>80</v>
      </c>
      <c r="L15">
        <f>計算表!L15</f>
        <v>120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 s="2">
        <f>計算表!B16</f>
        <v>0</v>
      </c>
      <c r="C16" t="str">
        <f>計算表!C16</f>
        <v>1-轉生對照表</v>
      </c>
      <c r="D16" t="str">
        <f>計算表!D16</f>
        <v>轉生 7 次</v>
      </c>
      <c r="E16" t="str">
        <f>計算表!E16</f>
        <v>（查表）</v>
      </c>
      <c r="F16" t="str">
        <f>計算表!F16</f>
        <v>a=生命與四維最終倍率 b=升級經驗倍率  c=升級經驗基礎增加值 d=階級名稱 e=一般主動技能增加上限 f=融合技增加上限。</v>
      </c>
      <c r="G16">
        <f>計算表!G16</f>
        <v>640</v>
      </c>
      <c r="H16" t="str">
        <f>計算表!H16</f>
        <v>10^7</v>
      </c>
      <c r="I16">
        <f>計算表!I16</f>
        <v>72900000</v>
      </c>
      <c r="J16" t="str">
        <f>計算表!J16</f>
        <v>神聖尊者</v>
      </c>
      <c r="K16">
        <f>計算表!K16</f>
        <v>90</v>
      </c>
      <c r="L16">
        <f>計算表!L16</f>
        <v>140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 s="2">
        <f>計算表!B17</f>
        <v>0</v>
      </c>
      <c r="C17" t="str">
        <f>計算表!C17</f>
        <v>1-轉生對照表</v>
      </c>
      <c r="D17" t="str">
        <f>計算表!D17</f>
        <v>轉生 8 次</v>
      </c>
      <c r="E17" t="str">
        <f>計算表!E17</f>
        <v>（查表）</v>
      </c>
      <c r="F17" t="str">
        <f>計算表!F17</f>
        <v>a=生命與四維最終倍率 b=升級經驗倍率  c=升級經驗基礎增加值 d=階級名稱 e=一般主動技能增加上限 f=融合技增加上限。</v>
      </c>
      <c r="G17">
        <f>計算表!G17</f>
        <v>1280</v>
      </c>
      <c r="H17" t="str">
        <f>計算表!H17</f>
        <v>10^8</v>
      </c>
      <c r="I17">
        <f>計算表!I17</f>
        <v>218700000</v>
      </c>
      <c r="J17" t="str">
        <f>計算表!J17</f>
        <v>大聖王</v>
      </c>
      <c r="K17">
        <f>計算表!K17</f>
        <v>100</v>
      </c>
      <c r="L17">
        <f>計算表!L17</f>
        <v>160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 s="2">
        <f>計算表!B18</f>
        <v>0</v>
      </c>
      <c r="C18" t="str">
        <f>計算表!C18</f>
        <v>1-轉生對照表</v>
      </c>
      <c r="D18" t="str">
        <f>計算表!D18</f>
        <v>轉生 9 次</v>
      </c>
      <c r="E18" t="str">
        <f>計算表!E18</f>
        <v>（查表）</v>
      </c>
      <c r="F18" t="str">
        <f>計算表!F18</f>
        <v>a=生命與四維最終倍率 b=升級經驗倍率  c=升級經驗基礎增加值 d=階級名稱 e=一般主動技能增加上限 f=融合技增加上限。</v>
      </c>
      <c r="G18">
        <f>計算表!G18</f>
        <v>2560</v>
      </c>
      <c r="H18" t="str">
        <f>計算表!H18</f>
        <v>10^9</v>
      </c>
      <c r="I18">
        <f>計算表!I18</f>
        <v>656100000</v>
      </c>
      <c r="J18" t="str">
        <f>計算表!J18</f>
        <v>至高主宰</v>
      </c>
      <c r="K18">
        <f>計算表!K18</f>
        <v>110</v>
      </c>
      <c r="L18">
        <f>計算表!L18</f>
        <v>180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 s="2">
        <f>計算表!B19</f>
        <v>0</v>
      </c>
      <c r="C19" t="str">
        <f>計算表!C19</f>
        <v>1-轉生對照表</v>
      </c>
      <c r="D19" t="str">
        <f>計算表!D19</f>
        <v>轉生 10 次</v>
      </c>
      <c r="E19" t="str">
        <f>計算表!E19</f>
        <v>（查表）</v>
      </c>
      <c r="F19" t="str">
        <f>計算表!F19</f>
        <v>a=生命與四維最終倍率 b=升級經驗倍率  c=升級經驗基礎增加值 d=階級名稱 e=一般主動技能增加上限 f=融合技增加上限。</v>
      </c>
      <c r="G19">
        <f>計算表!G19</f>
        <v>5120</v>
      </c>
      <c r="H19" t="str">
        <f>計算表!H19</f>
        <v>10^12</v>
      </c>
      <c r="I19">
        <f>計算表!I19</f>
        <v>1968300000</v>
      </c>
      <c r="J19" t="str">
        <f>計算表!J19</f>
        <v>位面創世神</v>
      </c>
      <c r="K19">
        <f>計算表!K19</f>
        <v>120</v>
      </c>
      <c r="L19">
        <f>計算表!L19</f>
        <v>200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 s="2">
        <f>計算表!B20</f>
        <v>0</v>
      </c>
      <c r="C20" t="str">
        <f>計算表!C20</f>
        <v>2-屬性派生</v>
      </c>
      <c r="D20" t="str">
        <f>計算表!D20</f>
        <v>生命上限</v>
      </c>
      <c r="E20" t="str">
        <f>計算表!E20</f>
        <v>(a+(等級-1)×b+耐力×c+生命定值)×(1+生命%)</v>
      </c>
      <c r="F20" t="str">
        <f>計算表!F20</f>
        <v>a=基礎 b=每級 c=每點耐力。再乘轉生倍率。</v>
      </c>
      <c r="G20">
        <f>計算表!G20</f>
        <v>120</v>
      </c>
      <c r="H20">
        <f>計算表!H20</f>
        <v>22</v>
      </c>
      <c r="I20">
        <f>計算表!I20</f>
        <v>10</v>
      </c>
      <c r="J20">
        <f>計算表!J20</f>
        <v>0</v>
      </c>
      <c r="K20">
        <f>計算表!K20</f>
        <v>0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 s="2">
        <f>計算表!B21</f>
        <v>0</v>
      </c>
      <c r="C21" t="str">
        <f>計算表!C21</f>
        <v>2-屬性派生</v>
      </c>
      <c r="D21" t="str">
        <f>計算表!D21</f>
        <v>法力上限</v>
      </c>
      <c r="E21" t="str">
        <f>計算表!E21</f>
        <v>(a+智力×b+法力定值)</v>
      </c>
      <c r="F21" t="str">
        <f>計算表!F21</f>
        <v>a=基礎 b=每點智力。再乘轉生倍率。</v>
      </c>
      <c r="G21">
        <f>計算表!G21</f>
        <v>40</v>
      </c>
      <c r="H21">
        <f>計算表!H21</f>
        <v>2</v>
      </c>
      <c r="I21">
        <f>計算表!I21</f>
        <v>0</v>
      </c>
      <c r="J21">
        <f>計算表!J21</f>
        <v>0</v>
      </c>
      <c r="K21">
        <f>計算表!K21</f>
        <v>0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 s="2">
        <f>計算表!B22</f>
        <v>0</v>
      </c>
      <c r="C22" t="str">
        <f>計算表!C22</f>
        <v>2-屬性派生</v>
      </c>
      <c r="D22" t="str">
        <f>計算表!D22</f>
        <v>法力恢復/秒</v>
      </c>
      <c r="E22" t="str">
        <f>計算表!E22</f>
        <v>a+智力×b+加成</v>
      </c>
      <c r="F22" t="str">
        <f>計算表!F22</f>
        <v>a=基礎 b=每點智力。</v>
      </c>
      <c r="G22">
        <f>計算表!G22</f>
        <v>2</v>
      </c>
      <c r="H22">
        <f>計算表!H22</f>
        <v>2E-3</v>
      </c>
      <c r="I22">
        <f>計算表!I22</f>
        <v>0</v>
      </c>
      <c r="J22">
        <f>計算表!J22</f>
        <v>0</v>
      </c>
      <c r="K22">
        <f>計算表!K22</f>
        <v>0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 s="2">
        <f>計算表!B23</f>
        <v>0</v>
      </c>
      <c r="C23" t="str">
        <f>計算表!C23</f>
        <v>2-屬性派生</v>
      </c>
      <c r="D23" t="str">
        <f>計算表!D23</f>
        <v>物理攻擊</v>
      </c>
      <c r="E23" t="str">
        <f>計算表!E23</f>
        <v>(a+(等級-1)×b+力量×c+物攻定值)×(1+物攻%)</v>
      </c>
      <c r="F23" t="str">
        <f>計算表!F23</f>
        <v>a=基礎 b=每級 c=每點力量。</v>
      </c>
      <c r="G23">
        <f>計算表!G23</f>
        <v>8</v>
      </c>
      <c r="H23">
        <f>計算表!H23</f>
        <v>1.6</v>
      </c>
      <c r="I23">
        <f>計算表!I23</f>
        <v>2</v>
      </c>
      <c r="J23">
        <f>計算表!J23</f>
        <v>0</v>
      </c>
      <c r="K23">
        <f>計算表!K23</f>
        <v>0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 s="2">
        <f>計算表!B24</f>
        <v>0</v>
      </c>
      <c r="C24" t="str">
        <f>計算表!C24</f>
        <v>2-屬性派生</v>
      </c>
      <c r="D24" t="str">
        <f>計算表!D24</f>
        <v>魔法攻擊</v>
      </c>
      <c r="E24" t="str">
        <f>計算表!E24</f>
        <v>(a+(等級-1)×b+智力×c+魔攻定值)×(1+魔攻%)</v>
      </c>
      <c r="F24" t="str">
        <f>計算表!F24</f>
        <v>a=基礎 b=每級 c=每點智力。</v>
      </c>
      <c r="G24">
        <f>計算表!G24</f>
        <v>6</v>
      </c>
      <c r="H24">
        <f>計算表!H24</f>
        <v>1.2</v>
      </c>
      <c r="I24">
        <f>計算表!I24</f>
        <v>2</v>
      </c>
      <c r="J24">
        <f>計算表!J24</f>
        <v>0</v>
      </c>
      <c r="K24">
        <f>計算表!K24</f>
        <v>0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 s="2">
        <f>計算表!B25</f>
        <v>0</v>
      </c>
      <c r="C25" t="str">
        <f>計算表!C25</f>
        <v>2-屬性派生</v>
      </c>
      <c r="D25" t="str">
        <f>計算表!D25</f>
        <v>物理防禦</v>
      </c>
      <c r="E25" t="str">
        <f>計算表!E25</f>
        <v>(a+(等級-1)×b+耐力×c+物防定值)×(1+物防%)</v>
      </c>
      <c r="F25" t="str">
        <f>計算表!F25</f>
        <v>a=基礎 b=每級 c=每點耐力。</v>
      </c>
      <c r="G25">
        <f>計算表!G25</f>
        <v>4</v>
      </c>
      <c r="H25">
        <f>計算表!H25</f>
        <v>1</v>
      </c>
      <c r="I25">
        <f>計算表!I25</f>
        <v>0.9</v>
      </c>
      <c r="J25">
        <f>計算表!J25</f>
        <v>0</v>
      </c>
      <c r="K25">
        <f>計算表!K25</f>
        <v>0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 s="2">
        <f>計算表!B26</f>
        <v>0</v>
      </c>
      <c r="C26" t="str">
        <f>計算表!C26</f>
        <v>2-屬性派生</v>
      </c>
      <c r="D26" t="str">
        <f>計算表!D26</f>
        <v>魔法防禦</v>
      </c>
      <c r="E26" t="str">
        <f>計算表!E26</f>
        <v>(a+(等級-1)×b+智力×c+魔防定值)×(1+物防%)</v>
      </c>
      <c r="F26" t="str">
        <f>計算表!F26</f>
        <v>a=基礎 b=每級 c=每點智力。共用物防%詞條。</v>
      </c>
      <c r="G26">
        <f>計算表!G26</f>
        <v>3</v>
      </c>
      <c r="H26">
        <f>計算表!H26</f>
        <v>0.8</v>
      </c>
      <c r="I26">
        <f>計算表!I26</f>
        <v>0.7</v>
      </c>
      <c r="J26">
        <f>計算表!J26</f>
        <v>0</v>
      </c>
      <c r="K26">
        <f>計算表!K26</f>
        <v>0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 s="2">
        <f>計算表!B27</f>
        <v>0</v>
      </c>
      <c r="C27" t="str">
        <f>計算表!C27</f>
        <v>2-屬性派生</v>
      </c>
      <c r="D27" t="str">
        <f>計算表!D27</f>
        <v>暴擊率</v>
      </c>
      <c r="E27" t="str">
        <f>計算表!E27</f>
        <v>a+敏捷×b+加成</v>
      </c>
      <c r="F27" t="str">
        <f>計算表!F27</f>
        <v>a=基礎% b=每點敏捷。上限 100%。</v>
      </c>
      <c r="G27">
        <f>計算表!G27</f>
        <v>5</v>
      </c>
      <c r="H27">
        <f>計算表!H27</f>
        <v>1E-4</v>
      </c>
      <c r="I27">
        <f>計算表!I27</f>
        <v>0</v>
      </c>
      <c r="J27">
        <f>計算表!J27</f>
        <v>0</v>
      </c>
      <c r="K27">
        <f>計算表!K27</f>
        <v>0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 s="2">
        <f>計算表!B28</f>
        <v>0</v>
      </c>
      <c r="C28" t="str">
        <f>計算表!C28</f>
        <v>2-屬性派生</v>
      </c>
      <c r="D28" t="str">
        <f>計算表!D28</f>
        <v>連擊數</v>
      </c>
      <c r="E28" t="str">
        <f>計算表!E28</f>
        <v>a* LN(暴擊率%) + b * 暴擊率% + c</v>
      </c>
      <c r="F28" t="str">
        <f>計算表!F28</f>
        <v>a=自然對數乘數 b=爆擊乘數 c=常數 。</v>
      </c>
      <c r="G28">
        <f>計算表!G28</f>
        <v>0.875</v>
      </c>
      <c r="H28">
        <f>計算表!H28</f>
        <v>1.387E-2</v>
      </c>
      <c r="I28">
        <f>計算表!I28</f>
        <v>8.6099999999999996E-2</v>
      </c>
      <c r="J28">
        <f>計算表!J28</f>
        <v>0</v>
      </c>
      <c r="K28">
        <f>計算表!K28</f>
        <v>0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 s="2">
        <f>計算表!B29</f>
        <v>0</v>
      </c>
      <c r="C29" t="str">
        <f>計算表!C29</f>
        <v>2-屬性派生</v>
      </c>
      <c r="D29" t="str">
        <f>計算表!D29</f>
        <v>暴擊傷害</v>
      </c>
      <c r="E29" t="str">
        <f>計算表!E29</f>
        <v>a+加成</v>
      </c>
      <c r="F29" t="str">
        <f>計算表!F29</f>
        <v>a=基礎%（無上限）。</v>
      </c>
      <c r="G29">
        <f>計算表!G29</f>
        <v>150</v>
      </c>
      <c r="H29">
        <f>計算表!H29</f>
        <v>0</v>
      </c>
      <c r="I29">
        <f>計算表!I29</f>
        <v>0</v>
      </c>
      <c r="J29">
        <f>計算表!J29</f>
        <v>0</v>
      </c>
      <c r="K29">
        <f>計算表!K29</f>
        <v>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 s="2">
        <f>計算表!B30</f>
        <v>0</v>
      </c>
      <c r="C30" t="str">
        <f>計算表!C30</f>
        <v>2-屬性派生</v>
      </c>
      <c r="D30" t="str">
        <f>計算表!D30</f>
        <v>攻擊速度</v>
      </c>
      <c r="E30" t="str">
        <f>計算表!E30</f>
        <v>a×(1+(攻速%+敏捷×b)/100)</v>
      </c>
      <c r="F30" t="str">
        <f>計算表!F30</f>
        <v>a=基礎次/秒 b=每點敏捷%。下限 0.2、上限 5。</v>
      </c>
      <c r="G30">
        <f>計算表!G30</f>
        <v>1</v>
      </c>
      <c r="H30">
        <f>計算表!H30</f>
        <v>0</v>
      </c>
      <c r="I30">
        <f>計算表!I30</f>
        <v>0</v>
      </c>
      <c r="J30">
        <f>計算表!J30</f>
        <v>0</v>
      </c>
      <c r="K30">
        <f>計算表!K30</f>
        <v>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 s="2">
        <f>計算表!B31</f>
        <v>0</v>
      </c>
      <c r="C31" t="str">
        <f>計算表!C31</f>
        <v>2-屬性派生</v>
      </c>
      <c r="D31" t="str">
        <f>計算表!D31</f>
        <v>命中率</v>
      </c>
      <c r="E31" t="str">
        <f>計算表!E31</f>
        <v>敏捷×a+加成</v>
      </c>
      <c r="F31" t="str">
        <f>計算表!F31</f>
        <v>a=每點敏捷%（減去敵方閃避後最低 5%）。</v>
      </c>
      <c r="G31">
        <f>計算表!G31</f>
        <v>1E-4</v>
      </c>
      <c r="H31">
        <f>計算表!H31</f>
        <v>0</v>
      </c>
      <c r="I31">
        <f>計算表!I31</f>
        <v>0</v>
      </c>
      <c r="J31">
        <f>計算表!J31</f>
        <v>0</v>
      </c>
      <c r="K31">
        <f>計算表!K31</f>
        <v>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 s="2">
        <f>計算表!B32</f>
        <v>0</v>
      </c>
      <c r="C32" t="str">
        <f>計算表!C32</f>
        <v>2-屬性派生</v>
      </c>
      <c r="D32" t="str">
        <f>計算表!D32</f>
        <v>閃避率</v>
      </c>
      <c r="E32" t="str">
        <f>計算表!E32</f>
        <v>敏捷×a+加成</v>
      </c>
      <c r="F32" t="str">
        <f>計算表!F32</f>
        <v>a=每點敏捷%。</v>
      </c>
      <c r="G32">
        <f>計算表!G32</f>
        <v>1E-4</v>
      </c>
      <c r="H32">
        <f>計算表!H32</f>
        <v>0</v>
      </c>
      <c r="I32">
        <f>計算表!I32</f>
        <v>0</v>
      </c>
      <c r="J32">
        <f>計算表!J32</f>
        <v>0</v>
      </c>
      <c r="K32">
        <f>計算表!K32</f>
        <v>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 s="2">
        <f>計算表!B33</f>
        <v>0</v>
      </c>
      <c r="C33" t="str">
        <f>計算表!C33</f>
        <v>2-屬性派生</v>
      </c>
      <c r="D33" t="str">
        <f>計算表!D33</f>
        <v>負重上限</v>
      </c>
      <c r="E33" t="str">
        <f>計算表!E33</f>
        <v>力量×a+詞條</v>
      </c>
      <c r="F33" t="str">
        <f>計算表!F33</f>
        <v>a=每點力量。</v>
      </c>
      <c r="G33">
        <f>計算表!G33</f>
        <v>0.5</v>
      </c>
      <c r="H33">
        <f>計算表!H33</f>
        <v>0</v>
      </c>
      <c r="I33">
        <f>計算表!I33</f>
        <v>0</v>
      </c>
      <c r="J33">
        <f>計算表!J33</f>
        <v>0</v>
      </c>
      <c r="K33">
        <f>計算表!K33</f>
        <v>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 s="2">
        <f>計算表!B34</f>
        <v>0</v>
      </c>
      <c r="C34" t="str">
        <f>計算表!C34</f>
        <v>2-屬性派生</v>
      </c>
      <c r="D34" t="str">
        <f>計算表!D34</f>
        <v>野外基礎生命恢復</v>
      </c>
      <c r="E34" t="str">
        <f>計算表!E34</f>
        <v>最大生命×a%/秒</v>
      </c>
      <c r="F34" t="str">
        <f>計算表!F34</f>
        <v>a=每秒回復比例（高塔內無此回復）。</v>
      </c>
      <c r="G34">
        <f>計算表!G34</f>
        <v>1.5</v>
      </c>
      <c r="H34">
        <f>計算表!H34</f>
        <v>0</v>
      </c>
      <c r="I34">
        <f>計算表!I34</f>
        <v>0</v>
      </c>
      <c r="J34">
        <f>計算表!J34</f>
        <v>0</v>
      </c>
      <c r="K34">
        <f>計算表!K34</f>
        <v>0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 s="2">
        <f>計算表!B35</f>
        <v>0</v>
      </c>
      <c r="C35" t="str">
        <f>計算表!C35</f>
        <v>2-屬性派生</v>
      </c>
      <c r="D35" t="str">
        <f>計算表!D35</f>
        <v>全局減傷</v>
      </c>
      <c r="E35" t="str">
        <f>計算表!E35</f>
        <v>min(a%, 總合/(總合+b))</v>
      </c>
      <c r="F35" t="str">
        <f>計算表!F35</f>
        <v>a=減傷上限% b=分母常數。無此詞綴時倍率為 1。</v>
      </c>
      <c r="G35">
        <f>計算表!G35</f>
        <v>100</v>
      </c>
      <c r="H35">
        <f>計算表!H35</f>
        <v>10000</v>
      </c>
      <c r="I35">
        <f>計算表!I35</f>
        <v>0</v>
      </c>
      <c r="J35">
        <f>計算表!J35</f>
        <v>0</v>
      </c>
      <c r="K35">
        <f>計算表!K35</f>
        <v>0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 s="2">
        <f>計算表!B36</f>
        <v>0</v>
      </c>
      <c r="C36" t="str">
        <f>計算表!C36</f>
        <v>2-屬性上限</v>
      </c>
      <c r="D36" t="str">
        <f>計算表!D36</f>
        <v>暴擊率 上限</v>
      </c>
      <c r="E36" t="str">
        <f>計算表!E36</f>
        <v>上限 = a</v>
      </c>
      <c r="F36" t="str">
        <f>計算表!F36</f>
        <v>a=暴擊率上限（%）。攻擊時造成額外暴擊傷害的機率。</v>
      </c>
      <c r="G36">
        <f>計算表!G36</f>
        <v>0</v>
      </c>
      <c r="H36">
        <f>計算表!H36</f>
        <v>0</v>
      </c>
      <c r="I36">
        <f>計算表!I36</f>
        <v>0</v>
      </c>
      <c r="J36">
        <f>計算表!J36</f>
        <v>0</v>
      </c>
      <c r="K36">
        <f>計算表!K36</f>
        <v>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 s="2">
        <f>計算表!B37</f>
        <v>0</v>
      </c>
      <c r="C37" t="str">
        <f>計算表!C37</f>
        <v>2-屬性上限</v>
      </c>
      <c r="D37" t="str">
        <f>計算表!D37</f>
        <v>物理穿透 上限</v>
      </c>
      <c r="E37" t="str">
        <f>計算表!E37</f>
        <v>上限 = a</v>
      </c>
      <c r="F37" t="str">
        <f>計算表!F37</f>
        <v>a=物理穿透上限（%）。造成物理傷害時無視敵方一定比例的物理防禦。</v>
      </c>
      <c r="G37">
        <f>計算表!G37</f>
        <v>80</v>
      </c>
      <c r="H37">
        <f>計算表!H37</f>
        <v>0</v>
      </c>
      <c r="I37">
        <f>計算表!I37</f>
        <v>0</v>
      </c>
      <c r="J37">
        <f>計算表!J37</f>
        <v>0</v>
      </c>
      <c r="K37">
        <f>計算表!K37</f>
        <v>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 s="2">
        <f>計算表!B38</f>
        <v>0</v>
      </c>
      <c r="C38" t="str">
        <f>計算表!C38</f>
        <v>2-屬性上限</v>
      </c>
      <c r="D38" t="str">
        <f>計算表!D38</f>
        <v>魔法穿透 上限</v>
      </c>
      <c r="E38" t="str">
        <f>計算表!E38</f>
        <v>上限 = a</v>
      </c>
      <c r="F38" t="str">
        <f>計算表!F38</f>
        <v>a=魔法穿透上限（%）。造成魔法傷害時無視敵方一定比例的魔法防禦。</v>
      </c>
      <c r="G38">
        <f>計算表!G38</f>
        <v>80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 s="2">
        <f>計算表!B39</f>
        <v>0</v>
      </c>
      <c r="C39" t="str">
        <f>計算表!C39</f>
        <v>2-屬性上限</v>
      </c>
      <c r="D39" t="str">
        <f>計算表!D39</f>
        <v>冷卻縮減 上限</v>
      </c>
      <c r="E39" t="str">
        <f>計算表!E39</f>
        <v>上限 = a</v>
      </c>
      <c r="F39" t="str">
        <f>計算表!F39</f>
        <v>a=冷卻縮減上限（%）。減少技能所需的冷卻時間。</v>
      </c>
      <c r="G39">
        <f>計算表!G39</f>
        <v>60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 s="2">
        <f>計算表!B40</f>
        <v>0</v>
      </c>
      <c r="C40" t="str">
        <f>計算表!C40</f>
        <v>2-屬性上限</v>
      </c>
      <c r="D40" t="str">
        <f>計算表!D40</f>
        <v>施法速度 上限</v>
      </c>
      <c r="E40" t="str">
        <f>計算表!E40</f>
        <v>上限 = a</v>
      </c>
      <c r="F40" t="str">
        <f>計算表!F40</f>
        <v>a=施法速度上限（%）。縮短技能的施放延遲或詠唱時間。</v>
      </c>
      <c r="G40">
        <f>計算表!G40</f>
        <v>50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 s="2">
        <f>計算表!B41</f>
        <v>0</v>
      </c>
      <c r="C41" t="str">
        <f>計算表!C41</f>
        <v>2-屬性上限</v>
      </c>
      <c r="D41" t="str">
        <f>計算表!D41</f>
        <v>吸血 上限</v>
      </c>
      <c r="E41" t="str">
        <f>計算表!E41</f>
        <v>上限 = a</v>
      </c>
      <c r="F41" t="str">
        <f>計算表!F41</f>
        <v>a=吸血上限（%）。造成傷害時將部分傷害轉化為自身生命值。</v>
      </c>
      <c r="G41">
        <f>計算表!G41</f>
        <v>60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 s="2">
        <f>計算表!B42</f>
        <v>0</v>
      </c>
      <c r="C42" t="str">
        <f>計算表!C42</f>
        <v>2-屬性上限</v>
      </c>
      <c r="D42" t="str">
        <f>計算表!D42</f>
        <v>吸魔 上限</v>
      </c>
      <c r="E42" t="str">
        <f>計算表!E42</f>
        <v>上限 = a</v>
      </c>
      <c r="F42" t="str">
        <f>計算表!F42</f>
        <v>a=吸魔上限（%）。造成傷害時將部分傷害轉化為自身法力值。</v>
      </c>
      <c r="G42">
        <f>計算表!G42</f>
        <v>30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 s="2">
        <f>計算表!B43</f>
        <v>0</v>
      </c>
      <c r="C43" t="str">
        <f>計算表!C43</f>
        <v>2-屬性上限</v>
      </c>
      <c r="D43" t="str">
        <f>計算表!D43</f>
        <v>格擋率 上限</v>
      </c>
      <c r="E43" t="str">
        <f>計算表!E43</f>
        <v>上限 = a</v>
      </c>
      <c r="F43" t="str">
        <f>計算表!F43</f>
        <v>a=格擋率上限（%）。受到攻擊時觸發格擋以減輕傷害的機率。</v>
      </c>
      <c r="G43">
        <f>計算表!G43</f>
        <v>50</v>
      </c>
      <c r="H43">
        <f>計算表!H43</f>
        <v>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 s="2">
        <f>計算表!B44</f>
        <v>0</v>
      </c>
      <c r="C44" t="str">
        <f>計算表!C44</f>
        <v>2-屬性上限</v>
      </c>
      <c r="D44" t="str">
        <f>計算表!D44</f>
        <v>格擋減傷(詞條部分) 上限</v>
      </c>
      <c r="E44" t="str">
        <f>計算表!E44</f>
        <v>上限 = a</v>
      </c>
      <c r="F44" t="str">
        <f>計算表!F44</f>
        <v>a=格擋減傷「詞條部分」上限（%）。實際格擋減傷 = 30%基礎 + 詞條(≤a)，合計上限 80%。</v>
      </c>
      <c r="G44">
        <f>計算表!G44</f>
        <v>50</v>
      </c>
      <c r="H44">
        <f>計算表!H44</f>
        <v>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 s="2">
        <f>計算表!B45</f>
        <v>0</v>
      </c>
      <c r="C45" t="str">
        <f>計算表!C45</f>
        <v>2-屬性上限</v>
      </c>
      <c r="D45" t="str">
        <f>計算表!D45</f>
        <v>閃避率 上限</v>
      </c>
      <c r="E45" t="str">
        <f>計算表!E45</f>
        <v>上限 = a</v>
      </c>
      <c r="F45" t="str">
        <f>計算表!F45</f>
        <v>a=閃避率上限（%）。完全避開敵人攻擊的機率（受敵方命中率影響）。</v>
      </c>
      <c r="G45">
        <f>計算表!G45</f>
        <v>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 s="2">
        <f>計算表!B46</f>
        <v>0</v>
      </c>
      <c r="C46" t="str">
        <f>計算表!C46</f>
        <v>2-屬性上限</v>
      </c>
      <c r="D46" t="str">
        <f>計算表!D46</f>
        <v>韌性 上限</v>
      </c>
      <c r="E46" t="str">
        <f>計算表!E46</f>
        <v>上限 = a</v>
      </c>
      <c r="F46" t="str">
        <f>計算表!F46</f>
        <v>a=韌性上限（%）。降低自身被暈眩、減速等控制狀態的機率。</v>
      </c>
      <c r="G46">
        <f>計算表!G46</f>
        <v>60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 s="2">
        <f>計算表!B47</f>
        <v>0</v>
      </c>
      <c r="C47" t="str">
        <f>計算表!C47</f>
        <v>2-屬性上限</v>
      </c>
      <c r="D47" t="str">
        <f>計算表!D47</f>
        <v>物理抗性 上限</v>
      </c>
      <c r="E47" t="str">
        <f>計算表!E47</f>
        <v>上限 = a</v>
      </c>
      <c r="F47" t="str">
        <f>計算表!F47</f>
        <v>a=物理抗性上限（%）。結算防禦後再按比例直接減免物理傷害。</v>
      </c>
      <c r="G47">
        <f>計算表!G47</f>
        <v>95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 s="2">
        <f>計算表!B48</f>
        <v>0</v>
      </c>
      <c r="C48" t="str">
        <f>計算表!C48</f>
        <v>2-屬性上限</v>
      </c>
      <c r="D48" t="str">
        <f>計算表!D48</f>
        <v>魔法抗性 上限</v>
      </c>
      <c r="E48" t="str">
        <f>計算表!E48</f>
        <v>上限 = a</v>
      </c>
      <c r="F48" t="str">
        <f>計算表!F48</f>
        <v>a=魔法抗性上限（%）。結算防禦後再按比例直接減免魔法傷害。</v>
      </c>
      <c r="G48">
        <f>計算表!G48</f>
        <v>95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 s="2">
        <f>計算表!B49</f>
        <v>0</v>
      </c>
      <c r="C49" t="str">
        <f>計算表!C49</f>
        <v>2-屬性上限</v>
      </c>
      <c r="D49" t="str">
        <f>計算表!D49</f>
        <v>六系元素抗性 上限</v>
      </c>
      <c r="E49" t="str">
        <f>計算表!E49</f>
        <v>上限 = a</v>
      </c>
      <c r="F49" t="str">
        <f>計算表!F49</f>
        <v>a=六系元素（火/冰/雷/毒/光/暗）抗性各自的上限（%）。按比例降低該屬性傷害。</v>
      </c>
      <c r="G49">
        <f>計算表!G49</f>
        <v>95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 s="2">
        <f>計算表!B50</f>
        <v>0</v>
      </c>
      <c r="C50" t="str">
        <f>計算表!C50</f>
        <v>2-屬性上限</v>
      </c>
      <c r="D50" t="str">
        <f>計算表!D50</f>
        <v>控制抵抗 上限</v>
      </c>
      <c r="E50" t="str">
        <f>計算表!E50</f>
        <v>上限 = a</v>
      </c>
      <c r="F50" t="str">
        <f>計算表!F50</f>
        <v>a=控制抵抗上限（%）。全面降低所有負面異常狀態的命中率。</v>
      </c>
      <c r="G50">
        <f>計算表!G50</f>
        <v>80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 s="2">
        <f>計算表!B51</f>
        <v>0</v>
      </c>
      <c r="C51" t="str">
        <f>計算表!C51</f>
        <v>2-屬性上限</v>
      </c>
      <c r="D51" t="str">
        <f>計算表!D51</f>
        <v>控制時間縮減 上限</v>
      </c>
      <c r="E51" t="str">
        <f>計算表!E51</f>
        <v>上限 = a</v>
      </c>
      <c r="F51" t="str">
        <f>計算表!F51</f>
        <v>a=控制時間縮減上限（%）。減少被暈眩、減速等控制狀態的持續時間。</v>
      </c>
      <c r="G51">
        <f>計算表!G51</f>
        <v>60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 s="2">
        <f>計算表!B52</f>
        <v>0</v>
      </c>
      <c r="C52" t="str">
        <f>計算表!C52</f>
        <v>2-屬性上限</v>
      </c>
      <c r="D52" t="str">
        <f>計算表!D52</f>
        <v>移動速度 上限</v>
      </c>
      <c r="E52" t="str">
        <f>計算表!E52</f>
        <v>上限 = a</v>
      </c>
      <c r="F52" t="str">
        <f>計算表!F52</f>
        <v>a=移動速度上限（%）。提高探索地圖、遇敵或到達終點的速度。</v>
      </c>
      <c r="G52">
        <f>計算表!G52</f>
        <v>50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 s="2">
        <f>計算表!B53</f>
        <v>0</v>
      </c>
      <c r="C53" t="str">
        <f>計算表!C53</f>
        <v>2-屬性上限</v>
      </c>
      <c r="D53" t="str">
        <f>計算表!D53</f>
        <v>幸運值 上限</v>
      </c>
      <c r="E53" t="str">
        <f>計算表!E53</f>
        <v>上限 = a</v>
      </c>
      <c r="F53" t="str">
        <f>計算表!F53</f>
        <v>a=幸運值上限（數值，非%）。提升洗煉或合成時出現高階詞條的機率。</v>
      </c>
      <c r="G53">
        <f>計算表!G53</f>
        <v>100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 s="2">
        <f>計算表!B54</f>
        <v>0</v>
      </c>
      <c r="C54" t="str">
        <f>計算表!C54</f>
        <v>2-屬性上限</v>
      </c>
      <c r="D54" t="str">
        <f>計算表!D54</f>
        <v>合成變異率 上限</v>
      </c>
      <c r="E54" t="str">
        <f>計算表!E54</f>
        <v>上限 = a</v>
      </c>
      <c r="F54" t="str">
        <f>計算表!F54</f>
        <v>a=合成變異率上限（%）。合成時發生特殊異變（如詞條升級）的機率。</v>
      </c>
      <c r="G54">
        <f>計算表!G54</f>
        <v>60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 s="2">
        <f>計算表!B55</f>
        <v>0</v>
      </c>
      <c r="C55" t="str">
        <f>計算表!C55</f>
        <v>2-屬性上限</v>
      </c>
      <c r="D55" t="str">
        <f>計算表!D55</f>
        <v>狂暴閾值 上限</v>
      </c>
      <c r="E55" t="str">
        <f>計算表!E55</f>
        <v>上限 = a</v>
      </c>
      <c r="F55" t="str">
        <f>計算表!F55</f>
        <v>a=狂暴閾值上限（%）。影響怪物進入狂暴狀態的時間點或血量條件。</v>
      </c>
      <c r="G55">
        <f>計算表!G55</f>
        <v>30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 s="2">
        <f>計算表!B56</f>
        <v>0</v>
      </c>
      <c r="C56" t="str">
        <f>計算表!C56</f>
        <v>2-屬性上限</v>
      </c>
      <c r="D56" t="str">
        <f>計算表!D56</f>
        <v>詞條上限率 上限</v>
      </c>
      <c r="E56" t="str">
        <f>計算表!E56</f>
        <v>上限 = a</v>
      </c>
      <c r="F56" t="str">
        <f>計算表!F56</f>
        <v>a=詞條上限率上限（%）。影響洗煉或生成時獲得更多詞條的機率。</v>
      </c>
      <c r="G56">
        <f>計算表!G56</f>
        <v>100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 s="2">
        <f>計算表!B57</f>
        <v>0</v>
      </c>
      <c r="C57" t="str">
        <f>計算表!C57</f>
        <v>2-屬性上限</v>
      </c>
      <c r="D57" t="str">
        <f>計算表!D57</f>
        <v>被動-連擊 上限</v>
      </c>
      <c r="E57" t="str">
        <f>計算表!E57</f>
        <v>上限 = a</v>
      </c>
      <c r="F57" t="str">
        <f>計算表!F57</f>
        <v>a=連擊被動觸發率上限（%）。</v>
      </c>
      <c r="G57">
        <f>計算表!G57</f>
        <v>45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 s="2">
        <f>計算表!B58</f>
        <v>0</v>
      </c>
      <c r="C58" t="str">
        <f>計算表!C58</f>
        <v>2-屬性上限</v>
      </c>
      <c r="D58" t="str">
        <f>計算表!D58</f>
        <v>被動-暈眩 上限</v>
      </c>
      <c r="E58" t="str">
        <f>計算表!E58</f>
        <v>上限 = a</v>
      </c>
      <c r="F58" t="str">
        <f>計算表!F58</f>
        <v>a=暈眩被動觸發率上限（%）。</v>
      </c>
      <c r="G58">
        <f>計算表!G58</f>
        <v>30</v>
      </c>
      <c r="H58">
        <f>計算表!H58</f>
        <v>0</v>
      </c>
      <c r="I58">
        <f>計算表!I58</f>
        <v>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 s="2" t="str">
        <f>計算表!B59</f>
        <v>刪除</v>
      </c>
      <c r="C59" t="str">
        <f>計算表!C59</f>
        <v>2-屬性上限</v>
      </c>
      <c r="D59" t="str">
        <f>計算表!D59</f>
        <v>全局減傷 上限</v>
      </c>
      <c r="E59" t="str">
        <f>計算表!E59</f>
        <v>上限 = a</v>
      </c>
      <c r="F59" t="str">
        <f>計算表!F59</f>
        <v>a=全局減傷上限（%）已經不設上限。</v>
      </c>
      <c r="G59">
        <f>計算表!G59</f>
        <v>85</v>
      </c>
      <c r="H59">
        <f>計算表!H59</f>
        <v>0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 s="2">
        <f>計算表!B60</f>
        <v>0</v>
      </c>
      <c r="C60" t="str">
        <f>計算表!C60</f>
        <v>3-戰鬥核心</v>
      </c>
      <c r="D60" t="str">
        <f>計算表!D60</f>
        <v>防禦減傷率</v>
      </c>
      <c r="E60" t="str">
        <f>計算表!E60</f>
        <v>防禦/(防禦+a+b×攻擊者等級)</v>
      </c>
      <c r="F60" t="str">
        <f>計算表!F60</f>
        <v>a=常數 b=每級係數。有效防禦≤0 時視為 0% 減傷。</v>
      </c>
      <c r="G60">
        <f>計算表!G60</f>
        <v>60</v>
      </c>
      <c r="H60">
        <f>計算表!H60</f>
        <v>8</v>
      </c>
      <c r="I60">
        <f>計算表!I60</f>
        <v>0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 s="2">
        <f>計算表!B61</f>
        <v>0</v>
      </c>
      <c r="C61" t="str">
        <f>計算表!C61</f>
        <v>3-戰鬥核心</v>
      </c>
      <c r="D61" t="str">
        <f>計算表!D61</f>
        <v>傷害浮動</v>
      </c>
      <c r="E61" t="str">
        <f>計算表!E61</f>
        <v>×rnd(a, b)</v>
      </c>
      <c r="F61" t="str">
        <f>計算表!F61</f>
        <v>每次傷害的隨機浮動區間。</v>
      </c>
      <c r="G61">
        <f>計算表!G61</f>
        <v>0.9</v>
      </c>
      <c r="H61">
        <f>計算表!H61</f>
        <v>1.1000000000000001</v>
      </c>
      <c r="I61">
        <f>計算表!I61</f>
        <v>0</v>
      </c>
      <c r="J61">
        <f>計算表!J61</f>
        <v>0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 s="2">
        <f>計算表!B62</f>
        <v>0</v>
      </c>
      <c r="C62" t="str">
        <f>計算表!C62</f>
        <v>3-戰鬥核心</v>
      </c>
      <c r="D62" t="str">
        <f>計算表!D62</f>
        <v>最低傷害下限</v>
      </c>
      <c r="E62" t="str">
        <f>計算表!E62</f>
        <v>max(a, 傷害)</v>
      </c>
      <c r="F62" t="str">
        <f>計算表!F62</f>
        <v>所有減傷/抗性/格擋結算後、護盾吸收前，每次命中至少造成 a 點傷害。</v>
      </c>
      <c r="G62">
        <f>計算表!G62</f>
        <v>1</v>
      </c>
      <c r="H62">
        <f>計算表!H62</f>
        <v>0</v>
      </c>
      <c r="I62">
        <f>計算表!I62</f>
        <v>0</v>
      </c>
      <c r="J62">
        <f>計算表!J62</f>
        <v>0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 s="2">
        <f>計算表!B63</f>
        <v>0</v>
      </c>
      <c r="C63" t="str">
        <f>計算表!C63</f>
        <v>3-戰鬥核心</v>
      </c>
      <c r="D63" t="str">
        <f>計算表!D63</f>
        <v>減速狀態攻速</v>
      </c>
      <c r="E63" t="str">
        <f>計算表!E63</f>
        <v>攻速×a</v>
      </c>
      <c r="F63" t="str">
        <f>計算表!F63</f>
        <v>a=減速時攻擊冷卻累積倍率（-30%）。</v>
      </c>
      <c r="G63">
        <f>計算表!G63</f>
        <v>0.7</v>
      </c>
      <c r="H63">
        <f>計算表!H63</f>
        <v>0</v>
      </c>
      <c r="I63">
        <f>計算表!I63</f>
        <v>0</v>
      </c>
      <c r="J63">
        <f>計算表!J63</f>
        <v>0</v>
      </c>
      <c r="K63">
        <f>計算表!K63</f>
        <v>0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 s="2">
        <f>計算表!B64</f>
        <v>0</v>
      </c>
      <c r="C64" t="str">
        <f>計算表!C64</f>
        <v>3-戰鬥核心</v>
      </c>
      <c r="D64" t="str">
        <f>計算表!D64</f>
        <v>擊殺回復</v>
      </c>
      <c r="E64" t="str">
        <f>計算表!E64</f>
        <v>最大生命×a%</v>
      </c>
      <c r="F64" t="str">
        <f>計算表!F64</f>
        <v>野外每擊殺一隻回復（吸魂被動再另加）。</v>
      </c>
      <c r="G64">
        <f>計算表!G64</f>
        <v>12</v>
      </c>
      <c r="H64">
        <f>計算表!H64</f>
        <v>0</v>
      </c>
      <c r="I64">
        <f>計算表!I64</f>
        <v>0</v>
      </c>
      <c r="J64">
        <f>計算表!J64</f>
        <v>0</v>
      </c>
      <c r="K64">
        <f>計算表!K64</f>
        <v>0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 s="2">
        <f>計算表!B65</f>
        <v>0</v>
      </c>
      <c r="C65" t="str">
        <f>計算表!C65</f>
        <v>3-戰鬥核心</v>
      </c>
      <c r="D65" t="str">
        <f>計算表!D65</f>
        <v>溢出治療轉護盾</v>
      </c>
      <c r="E65" t="str">
        <f>計算表!E65</f>
        <v>溢出×a%</v>
      </c>
      <c r="F65" t="str">
        <f>計算表!F65</f>
        <v>a=溢出治療轉為護盾的比例。</v>
      </c>
      <c r="G65">
        <f>計算表!G65</f>
        <v>1</v>
      </c>
      <c r="H65">
        <f>計算表!H65</f>
        <v>0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 s="2">
        <f>計算表!B66</f>
        <v>0</v>
      </c>
      <c r="C66" t="str">
        <f>計算表!C66</f>
        <v>3-戰鬥核心</v>
      </c>
      <c r="D66" t="str">
        <f>計算表!D66</f>
        <v>護盾上限(治療轉化)</v>
      </c>
      <c r="E66" t="str">
        <f>計算表!E66</f>
        <v>最大生命×a%×(1+護盾效率%)</v>
      </c>
      <c r="F66" t="str">
        <f>計算表!F66</f>
        <v>a=治療轉護盾的上限比例。</v>
      </c>
      <c r="G66">
        <f>計算表!G66</f>
        <v>10</v>
      </c>
      <c r="H66">
        <f>計算表!H66</f>
        <v>0</v>
      </c>
      <c r="I66">
        <f>計算表!I66</f>
        <v>0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 s="2">
        <f>計算表!B67</f>
        <v>0</v>
      </c>
      <c r="C67" t="str">
        <f>計算表!C67</f>
        <v>3-戰鬥核心</v>
      </c>
      <c r="D67" t="str">
        <f>計算表!D67</f>
        <v>護盾上限(技能給予)</v>
      </c>
      <c r="E67" t="str">
        <f>計算表!E67</f>
        <v>最大生命×a%</v>
      </c>
      <c r="F67" t="str">
        <f>計算表!F67</f>
        <v>a=技能護盾上限比例；量本身再×(1+護盾效率%)。　※寫死：技能直接給予的護盾上限＝最大生命 50%(skills.js)。</v>
      </c>
      <c r="G67">
        <f>計算表!G67</f>
        <v>10000</v>
      </c>
      <c r="H67">
        <f>計算表!H67</f>
        <v>0</v>
      </c>
      <c r="I67">
        <f>計算表!I67</f>
        <v>0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 s="2">
        <f>計算表!B68</f>
        <v>0</v>
      </c>
      <c r="C68" t="str">
        <f>計算表!C68</f>
        <v>3-戰鬥核心</v>
      </c>
      <c r="D68" t="str">
        <f>計算表!D68</f>
        <v>聖佑(神鑄)減傷上限</v>
      </c>
      <c r="E68" t="str">
        <f>計算表!E68</f>
        <v>受傷×(1-min(值,a%))</v>
      </c>
      <c r="F68" t="str">
        <f>計算表!F68</f>
        <v>a=聖佑特效減傷上限。</v>
      </c>
      <c r="G68">
        <f>計算表!G68</f>
        <v>50</v>
      </c>
      <c r="H68">
        <f>計算表!H68</f>
        <v>0</v>
      </c>
      <c r="I68">
        <f>計算表!I68</f>
        <v>0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 s="2">
        <f>計算表!B69</f>
        <v>0</v>
      </c>
      <c r="C69" t="str">
        <f>計算表!C69</f>
        <v>3-戰鬥核心</v>
      </c>
      <c r="D69" t="str">
        <f>計算表!D69</f>
        <v>不朽(神鑄)回復</v>
      </c>
      <c r="E69" t="str">
        <f>計算表!E69</f>
        <v>致命時保 1 血並回復 a%，b 秒限一次</v>
      </c>
      <c r="F69" t="str">
        <f>計算表!F69</f>
        <v>a=回復最大生命% b=冷卻秒數。</v>
      </c>
      <c r="G69">
        <f>計算表!G69</f>
        <v>30</v>
      </c>
      <c r="H69">
        <f>計算表!H69</f>
        <v>60</v>
      </c>
      <c r="I69">
        <f>計算表!I69</f>
        <v>0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 s="2">
        <f>計算表!B70</f>
        <v>0</v>
      </c>
      <c r="C70" t="str">
        <f>計算表!C70</f>
        <v>3-戰鬥核心</v>
      </c>
      <c r="D70" t="str">
        <f>計算表!D70</f>
        <v>怪物固定戰鬥值</v>
      </c>
      <c r="E70" t="str">
        <f>計算表!E70</f>
        <v>暴擊a% 暴傷b% 命中c% 攻速d</v>
      </c>
      <c r="F70" t="str">
        <f>計算表!F70</f>
        <v>怪物固定值；初次出手延遲 = 1/攻速 + 0.4 秒。</v>
      </c>
      <c r="G70">
        <f>計算表!G70</f>
        <v>5</v>
      </c>
      <c r="H70">
        <f>計算表!H70</f>
        <v>150</v>
      </c>
      <c r="I70">
        <f>計算表!I70</f>
        <v>100</v>
      </c>
      <c r="J70">
        <f>計算表!J70</f>
        <v>0.75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 s="2">
        <f>計算表!B71</f>
        <v>0</v>
      </c>
      <c r="C71" t="str">
        <f>計算表!C71</f>
        <v>3-元素特效</v>
      </c>
      <c r="D71" t="str">
        <f>計算表!D71</f>
        <v>冰霜 特效</v>
      </c>
      <c r="E71" t="str">
        <f>計算表!E71</f>
        <v>每次命中 a% 機率觸發</v>
      </c>
      <c r="F71" t="str">
        <f>計算表!F71</f>
        <v>敵人減速 2 秒（受控制時間縮減影響、可被控制抵抗擋下）</v>
      </c>
      <c r="G71">
        <f>計算表!G71</f>
        <v>15</v>
      </c>
      <c r="H71">
        <f>計算表!H71</f>
        <v>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 s="2">
        <f>計算表!B72</f>
        <v>0</v>
      </c>
      <c r="C72" t="str">
        <f>計算表!C72</f>
        <v>3-元素特效</v>
      </c>
      <c r="D72" t="str">
        <f>計算表!D72</f>
        <v>雷電 特效</v>
      </c>
      <c r="E72" t="str">
        <f>計算表!E72</f>
        <v>每次命中 a% 機率觸發</v>
      </c>
      <c r="F72" t="str">
        <f>計算表!F72</f>
        <v>追加該次元素傷害 80% 的連鎖電擊</v>
      </c>
      <c r="G72">
        <f>計算表!G72</f>
        <v>10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 s="2">
        <f>計算表!B73</f>
        <v>0</v>
      </c>
      <c r="C73" t="str">
        <f>計算表!C73</f>
        <v>3-元素特效</v>
      </c>
      <c r="D73" t="str">
        <f>計算表!D73</f>
        <v>劇毒 特效</v>
      </c>
      <c r="E73" t="str">
        <f>計算表!E73</f>
        <v>每次命中 a% 機率觸發</v>
      </c>
      <c r="F73" t="str">
        <f>計算表!F73</f>
        <v>中毒：每秒受元素傷害 50% 的跳傷，持續 4 秒（無視防禦）</v>
      </c>
      <c r="G73">
        <f>計算表!G73</f>
        <v>25</v>
      </c>
      <c r="H73">
        <f>計算表!H73</f>
        <v>0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 s="2">
        <f>計算表!B74</f>
        <v>0</v>
      </c>
      <c r="C74" t="str">
        <f>計算表!C74</f>
        <v>3-元素特效</v>
      </c>
      <c r="D74" t="str">
        <f>計算表!D74</f>
        <v>聖光 特效</v>
      </c>
      <c r="E74" t="str">
        <f>計算表!E74</f>
        <v>每次命中 a% 機率觸發</v>
      </c>
      <c r="F74" t="str">
        <f>計算表!F74</f>
        <v>淨化攻擊者自身全部負面狀態</v>
      </c>
      <c r="G74">
        <f>計算表!G74</f>
        <v>20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 s="2">
        <f>計算表!B75</f>
        <v>0</v>
      </c>
      <c r="C75" t="str">
        <f>計算表!C75</f>
        <v>3-元素特效</v>
      </c>
      <c r="D75" t="str">
        <f>計算表!D75</f>
        <v>暗影 特效</v>
      </c>
      <c r="E75" t="str">
        <f>計算表!E75</f>
        <v>每次命中 a% 機率觸發</v>
      </c>
      <c r="F75" t="str">
        <f>計算表!F75</f>
        <v>汲取元素傷害的 25% 回復生命　※寫死：100%觸發、汲取元素傷害25%回復生命，無獨立可調參數。</v>
      </c>
      <c r="G75">
        <f>計算表!G75</f>
        <v>100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 s="2">
        <f>計算表!B76</f>
        <v>0</v>
      </c>
      <c r="C76" t="str">
        <f>計算表!C76</f>
        <v>4-野外怪物</v>
      </c>
      <c r="D76" t="str">
        <f>計算表!D76</f>
        <v>生命</v>
      </c>
      <c r="E76" t="str">
        <f>計算表!E76</f>
        <v>(a+階段×b)×c^(階段-1)</v>
      </c>
      <c r="F76" t="str">
        <f>計算表!F76</f>
        <v>a=常數 b=每階 c=指數底。</v>
      </c>
      <c r="G76">
        <f>計算表!G76</f>
        <v>30</v>
      </c>
      <c r="H76">
        <f>計算表!H76</f>
        <v>8</v>
      </c>
      <c r="I76">
        <f>計算表!I76</f>
        <v>1.095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 s="2">
        <f>計算表!B77</f>
        <v>0</v>
      </c>
      <c r="C77" t="str">
        <f>計算表!C77</f>
        <v>4-野外怪物</v>
      </c>
      <c r="D77" t="str">
        <f>計算表!D77</f>
        <v>攻擊</v>
      </c>
      <c r="E77" t="str">
        <f>計算表!E77</f>
        <v>(a+階段×b)×c^(階段-1)</v>
      </c>
      <c r="F77" t="str">
        <f>計算表!F77</f>
        <v>a=常數 b=每階 c=指數底。</v>
      </c>
      <c r="G77">
        <f>計算表!G77</f>
        <v>6</v>
      </c>
      <c r="H77">
        <f>計算表!H77</f>
        <v>1.2</v>
      </c>
      <c r="I77">
        <f>計算表!I77</f>
        <v>1.1100000000000001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 s="2">
        <f>計算表!B78</f>
        <v>0</v>
      </c>
      <c r="C78" t="str">
        <f>計算表!C78</f>
        <v>4-野外怪物</v>
      </c>
      <c r="D78" t="str">
        <f>計算表!D78</f>
        <v>物理防禦</v>
      </c>
      <c r="E78" t="str">
        <f>計算表!E78</f>
        <v>(a+階段×b)×c^(階段-1)</v>
      </c>
      <c r="F78" t="str">
        <f>計算表!F78</f>
        <v>魔法防禦 = 物理防禦×0.75。</v>
      </c>
      <c r="G78">
        <f>計算表!G78</f>
        <v>2</v>
      </c>
      <c r="H78">
        <f>計算表!H78</f>
        <v>0.5</v>
      </c>
      <c r="I78">
        <f>計算表!I78</f>
        <v>1.08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 s="2">
        <f>計算表!B79</f>
        <v>0</v>
      </c>
      <c r="C79" t="str">
        <f>計算表!C79</f>
        <v>4-野外怪物</v>
      </c>
      <c r="D79" t="str">
        <f>計算表!D79</f>
        <v>金幣</v>
      </c>
      <c r="E79" t="str">
        <f>計算表!E79</f>
        <v>(a+階段×b)×c^(階段-1)</v>
      </c>
      <c r="F79" t="str">
        <f>計算表!F79</f>
        <v>a=常數 b=每階 c=指數底。</v>
      </c>
      <c r="G79">
        <f>計算表!G79</f>
        <v>20</v>
      </c>
      <c r="H79">
        <f>計算表!H79</f>
        <v>1</v>
      </c>
      <c r="I79">
        <f>計算表!I79</f>
        <v>1.02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 s="2">
        <f>計算表!B80</f>
        <v>0</v>
      </c>
      <c r="C80" t="str">
        <f>計算表!C80</f>
        <v>4-野外怪物</v>
      </c>
      <c r="D80" t="str">
        <f>計算表!D80</f>
        <v>經驗</v>
      </c>
      <c r="E80" t="str">
        <f>計算表!E80</f>
        <v>(a+階段×b)×c^(階段-1)</v>
      </c>
      <c r="F80" t="str">
        <f>計算表!F80</f>
        <v>a=常數 b=每階 c=指數底。</v>
      </c>
      <c r="G80">
        <f>計算表!G80</f>
        <v>8</v>
      </c>
      <c r="H80">
        <f>計算表!H80</f>
        <v>1</v>
      </c>
      <c r="I80">
        <f>計算表!I80</f>
        <v>1.06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 s="2">
        <f>計算表!B81</f>
        <v>0</v>
      </c>
      <c r="C81" t="str">
        <f>計算表!C81</f>
        <v>4-野外怪物</v>
      </c>
      <c r="D81" t="str">
        <f>計算表!D81</f>
        <v>攻擊速度</v>
      </c>
      <c r="E81" t="str">
        <f>計算表!E81</f>
        <v>a 次/秒</v>
      </c>
      <c r="F81" t="str">
        <f>計算表!F81</f>
        <v>a=普通怪攻速。</v>
      </c>
      <c r="G81">
        <f>計算表!G81</f>
        <v>2</v>
      </c>
      <c r="H81">
        <f>計算表!H81</f>
        <v>0</v>
      </c>
      <c r="I81">
        <f>計算表!I81</f>
        <v>0</v>
      </c>
      <c r="J81">
        <f>計算表!J81</f>
        <v>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 s="2">
        <f>計算表!B82</f>
        <v>0</v>
      </c>
      <c r="C82" t="str">
        <f>計算表!C82</f>
        <v>4-野外怪物</v>
      </c>
      <c r="D82" t="str">
        <f>計算表!D82</f>
        <v>命中率</v>
      </c>
      <c r="E82" t="str">
        <f>計算表!E82</f>
        <v>a%+敵人等級×b%</v>
      </c>
      <c r="F82" t="str">
        <f>計算表!F82</f>
        <v>敵人等級=階段。實際命中率沿用戰鬥核心：clamp(命中-玩家閃避, 5, 100)。</v>
      </c>
      <c r="G82">
        <f>計算表!G82</f>
        <v>100</v>
      </c>
      <c r="H82">
        <f>計算表!H82</f>
        <v>4</v>
      </c>
      <c r="I82">
        <f>計算表!I82</f>
        <v>0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 s="2">
        <f>計算表!B83</f>
        <v>0</v>
      </c>
      <c r="C83" t="str">
        <f>計算表!C83</f>
        <v>4-野外怪物</v>
      </c>
      <c r="D83" t="str">
        <f>計算表!D83</f>
        <v>閃避率</v>
      </c>
      <c r="E83" t="str">
        <f>計算表!E83</f>
        <v>a%+敵人等級×b%</v>
      </c>
      <c r="F83" t="str">
        <f>計算表!F83</f>
        <v>敵人等級=階段。實際命中率沿用戰鬥核心：clamp(閃避-玩家命中, 5, 100)。</v>
      </c>
      <c r="G83">
        <f>計算表!G83</f>
        <v>10</v>
      </c>
      <c r="H83">
        <f>計算表!H83</f>
        <v>4</v>
      </c>
      <c r="I83">
        <f>計算表!I83</f>
        <v>0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 s="2">
        <f>計算表!B84</f>
        <v>0</v>
      </c>
      <c r="C84" t="str">
        <f>計算表!C84</f>
        <v>4-野外怪物</v>
      </c>
      <c r="D84" t="str">
        <f>計算表!D84</f>
        <v>菁英倍率</v>
      </c>
      <c r="E84" t="str">
        <f>計算表!E84</f>
        <v>生命×a 攻擊×b 金幣經驗×c 閃避d 攻速e</v>
      </c>
      <c r="F84" t="str">
        <f>計算表!F84</f>
        <v>菁英出現於階段為 10 的倍數，敵人數量與普通怪一致。</v>
      </c>
      <c r="G84">
        <f>計算表!G84</f>
        <v>3</v>
      </c>
      <c r="H84">
        <f>計算表!H84</f>
        <v>2</v>
      </c>
      <c r="I84">
        <f>計算表!I84</f>
        <v>2</v>
      </c>
      <c r="J84">
        <f>計算表!J84</f>
        <v>5</v>
      </c>
      <c r="K84">
        <f>計算表!K84</f>
        <v>3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 s="2">
        <f>計算表!B85</f>
        <v>0</v>
      </c>
      <c r="C85" t="str">
        <f>計算表!C85</f>
        <v>4-野外怪物</v>
      </c>
      <c r="D85" t="str">
        <f>計算表!D85</f>
        <v>野外菁英掉落倍率</v>
      </c>
      <c r="E85" t="str">
        <f>計算表!E85</f>
        <v>所有掉落 ×a</v>
      </c>
      <c r="F85" t="str">
        <f>計算表!F85</f>
        <v>菁英敵人裝備/材料/寶石/零件掉落率統一乘 a（程式實際值）。</v>
      </c>
      <c r="G85">
        <f>計算表!G85</f>
        <v>1.3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 s="2">
        <f>計算表!B86</f>
        <v>0</v>
      </c>
      <c r="C86" t="str">
        <f>計算表!C86</f>
        <v>4-敵人數量</v>
      </c>
      <c r="D86" t="str">
        <f>計算表!D86</f>
        <v>1 隻</v>
      </c>
      <c r="E86" t="str">
        <f>計算表!E86</f>
        <v>權重 = a</v>
      </c>
      <c r="F86" t="str">
        <f>計算表!F86</f>
        <v>普通與菁英每波獨立擲骰；高塔 BOSS 固定單一。權重總和 100。</v>
      </c>
      <c r="G86">
        <f>計算表!G86</f>
        <v>60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 s="2">
        <f>計算表!B87</f>
        <v>0</v>
      </c>
      <c r="C87" t="str">
        <f>計算表!C87</f>
        <v>4-敵人數量</v>
      </c>
      <c r="D87" t="str">
        <f>計算表!D87</f>
        <v>2 隻</v>
      </c>
      <c r="E87" t="str">
        <f>計算表!E87</f>
        <v>權重 = a</v>
      </c>
      <c r="F87" t="str">
        <f>計算表!F87</f>
        <v>普通與菁英每波獨立擲骰；高塔 BOSS 固定單一。權重總和 100。</v>
      </c>
      <c r="G87">
        <f>計算表!G87</f>
        <v>25</v>
      </c>
      <c r="H87">
        <f>計算表!H87</f>
        <v>0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 s="2">
        <f>計算表!B88</f>
        <v>0</v>
      </c>
      <c r="C88" t="str">
        <f>計算表!C88</f>
        <v>4-敵人數量</v>
      </c>
      <c r="D88" t="str">
        <f>計算表!D88</f>
        <v>3 隻</v>
      </c>
      <c r="E88" t="str">
        <f>計算表!E88</f>
        <v>權重 = a</v>
      </c>
      <c r="F88" t="str">
        <f>計算表!F88</f>
        <v>普通與菁英每波獨立擲骰；高塔 BOSS 固定單一。權重總和 100。</v>
      </c>
      <c r="G88">
        <f>計算表!G88</f>
        <v>10</v>
      </c>
      <c r="H88">
        <f>計算表!H88</f>
        <v>0</v>
      </c>
      <c r="I88">
        <f>計算表!I88</f>
        <v>0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 s="2">
        <f>計算表!B89</f>
        <v>0</v>
      </c>
      <c r="C89" t="str">
        <f>計算表!C89</f>
        <v>4-敵人數量</v>
      </c>
      <c r="D89" t="str">
        <f>計算表!D89</f>
        <v>4 隻</v>
      </c>
      <c r="E89" t="str">
        <f>計算表!E89</f>
        <v>權重 = a</v>
      </c>
      <c r="F89" t="str">
        <f>計算表!F89</f>
        <v>普通與菁英每波獨立擲骰；高塔 BOSS 固定單一。權重總和 100。</v>
      </c>
      <c r="G89">
        <f>計算表!G89</f>
        <v>5</v>
      </c>
      <c r="H89">
        <f>計算表!H89</f>
        <v>0</v>
      </c>
      <c r="I89">
        <f>計算表!I89</f>
        <v>0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 s="2">
        <f>計算表!B90</f>
        <v>0</v>
      </c>
      <c r="C90" t="str">
        <f>計算表!C90</f>
        <v>4-場景倍率</v>
      </c>
      <c r="D90" t="str">
        <f>計算表!D90</f>
        <v>草原</v>
      </c>
      <c r="E90" t="str">
        <f>計算表!E90</f>
        <v>（查表）</v>
      </c>
      <c r="F90" t="str">
        <f>計算表!F90</f>
        <v>a=生命 b=攻擊 c=防禦 d=攻速 e=經驗/金幣/材料倍率 f=解鎖條件。裝備掉落表不受場景倍率影響。</v>
      </c>
      <c r="G90">
        <f>計算表!G90</f>
        <v>1</v>
      </c>
      <c r="H90">
        <f>計算表!H90</f>
        <v>1</v>
      </c>
      <c r="I90">
        <f>計算表!I90</f>
        <v>1</v>
      </c>
      <c r="J90">
        <f>計算表!J90</f>
        <v>1</v>
      </c>
      <c r="K90">
        <f>計算表!K90</f>
        <v>1</v>
      </c>
      <c r="L90" t="str">
        <f>計算表!L90</f>
        <v>—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 s="2">
        <f>計算表!B91</f>
        <v>0</v>
      </c>
      <c r="C91" t="str">
        <f>計算表!C91</f>
        <v>4-場景倍率</v>
      </c>
      <c r="D91" t="str">
        <f>計算表!D91</f>
        <v>荒漠</v>
      </c>
      <c r="E91" t="str">
        <f>計算表!E91</f>
        <v>（查表）</v>
      </c>
      <c r="F91" t="str">
        <f>計算表!F91</f>
        <v>a=生命 b=攻擊 c=防禦 d=攻速 e=經驗/金幣/材料倍率 f=解鎖條件。裝備掉落表不受場景倍率影響。</v>
      </c>
      <c r="G91">
        <f>計算表!G91</f>
        <v>2.2000000000000002</v>
      </c>
      <c r="H91">
        <f>計算表!H91</f>
        <v>1.8</v>
      </c>
      <c r="I91">
        <f>計算表!I91</f>
        <v>1.6</v>
      </c>
      <c r="J91">
        <f>計算表!J91</f>
        <v>1.5</v>
      </c>
      <c r="K91">
        <f>計算表!K91</f>
        <v>1.25</v>
      </c>
      <c r="L91" t="str">
        <f>計算表!L91</f>
        <v>草原最高 100 階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 s="2">
        <f>計算表!B92</f>
        <v>0</v>
      </c>
      <c r="C92" t="str">
        <f>計算表!C92</f>
        <v>4-場景倍率</v>
      </c>
      <c r="D92" t="str">
        <f>計算表!D92</f>
        <v>沼澤</v>
      </c>
      <c r="E92" t="str">
        <f>計算表!E92</f>
        <v>（查表）</v>
      </c>
      <c r="F92" t="str">
        <f>計算表!F92</f>
        <v>a=生命 b=攻擊 c=防禦 d=攻速 e=經驗/金幣/材料倍率 f=解鎖條件。裝備掉落表不受場景倍率影響。</v>
      </c>
      <c r="G92">
        <f>計算表!G92</f>
        <v>4</v>
      </c>
      <c r="H92">
        <f>計算表!H92</f>
        <v>2.8</v>
      </c>
      <c r="I92">
        <f>計算表!I92</f>
        <v>2.4</v>
      </c>
      <c r="J92">
        <f>計算表!J92</f>
        <v>2</v>
      </c>
      <c r="K92">
        <f>計算表!K92</f>
        <v>1.5</v>
      </c>
      <c r="L92" t="str">
        <f>計算表!L92</f>
        <v>荒漠最高 100 階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 s="2">
        <f>計算表!B93</f>
        <v>0</v>
      </c>
      <c r="C93" t="str">
        <f>計算表!C93</f>
        <v>4-高塔BOSS</v>
      </c>
      <c r="D93" t="str">
        <f>計算表!D93</f>
        <v>對應野外階段</v>
      </c>
      <c r="E93" t="str">
        <f>計算表!E93</f>
        <v>a+樓層×b</v>
      </c>
      <c r="F93" t="str">
        <f>計算表!F93</f>
        <v>以此階段的野外怪為基準。</v>
      </c>
      <c r="G93">
        <f>計算表!G93</f>
        <v>4</v>
      </c>
      <c r="H93">
        <f>計算表!H93</f>
        <v>5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 s="2">
        <f>計算表!B94</f>
        <v>0</v>
      </c>
      <c r="C94" t="str">
        <f>計算表!C94</f>
        <v>4-高塔BOSS</v>
      </c>
      <c r="D94" t="str">
        <f>計算表!D94</f>
        <v>BOSS 等級</v>
      </c>
      <c r="E94" t="str">
        <f>計算表!E94</f>
        <v>對應階段+a</v>
      </c>
      <c r="F94" t="str">
        <f>計算表!F94</f>
        <v>a=等級加值。</v>
      </c>
      <c r="G94">
        <f>計算表!G94</f>
        <v>3</v>
      </c>
      <c r="H94">
        <f>計算表!H94</f>
        <v>0</v>
      </c>
      <c r="I94">
        <f>計算表!I94</f>
        <v>0</v>
      </c>
      <c r="J94">
        <f>計算表!J94</f>
        <v>0</v>
      </c>
      <c r="K94">
        <f>計算表!K94</f>
        <v>0</v>
      </c>
      <c r="L94">
        <f>計算表!L94</f>
        <v>0</v>
      </c>
      <c r="M94">
        <f>計算表!M94</f>
        <v>0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 s="2">
        <f>計算表!B95</f>
        <v>0</v>
      </c>
      <c r="C95" t="str">
        <f>計算表!C95</f>
        <v>4-高塔BOSS</v>
      </c>
      <c r="D95" t="str">
        <f>計算表!D95</f>
        <v>命中率</v>
      </c>
      <c r="E95" t="str">
        <f>計算表!E95</f>
        <v>a%+BOSS階層×b%</v>
      </c>
      <c r="F95" t="str">
        <f>計算表!F95</f>
        <v>BOSS階層=樓層。實際命中率沿用戰鬥核心：clamp(命中-玩家閃避, 5, 100)。</v>
      </c>
      <c r="G95">
        <f>計算表!G95</f>
        <v>200</v>
      </c>
      <c r="H95">
        <f>計算表!H95</f>
        <v>20</v>
      </c>
      <c r="I95">
        <f>計算表!I95</f>
        <v>0</v>
      </c>
      <c r="J95">
        <f>計算表!J95</f>
        <v>0</v>
      </c>
      <c r="K95">
        <f>計算表!K95</f>
        <v>0</v>
      </c>
      <c r="L95">
        <f>計算表!L95</f>
        <v>0</v>
      </c>
      <c r="M95">
        <f>計算表!M95</f>
        <v>0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 s="2">
        <f>計算表!B96</f>
        <v>0</v>
      </c>
      <c r="C96" t="str">
        <f>計算表!C96</f>
        <v>4-高塔BOSS</v>
      </c>
      <c r="D96" t="str">
        <f>計算表!D96</f>
        <v>挑戰金幣消耗</v>
      </c>
      <c r="E96" t="str">
        <f>計算表!E96</f>
        <v>round(a×樓層^b)</v>
      </c>
      <c r="F96" t="str">
        <f>計算表!F96</f>
        <v>開始挑戰前扣除，失敗或撤退不退回。</v>
      </c>
      <c r="G96">
        <f>計算表!G96</f>
        <v>100000</v>
      </c>
      <c r="H96">
        <f>計算表!H96</f>
        <v>2.6</v>
      </c>
      <c r="I96">
        <f>計算表!I96</f>
        <v>0</v>
      </c>
      <c r="J96">
        <f>計算表!J96</f>
        <v>0</v>
      </c>
      <c r="K96">
        <f>計算表!K96</f>
        <v>0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 s="2">
        <f>計算表!B97</f>
        <v>0</v>
      </c>
      <c r="C97" t="str">
        <f>計算表!C97</f>
        <v>4-高塔BOSS</v>
      </c>
      <c r="D97" t="str">
        <f>計算表!D97</f>
        <v>生命</v>
      </c>
      <c r="E97" t="str">
        <f>計算表!E97</f>
        <v>基準生命×a（地獄之塔再×b）</v>
      </c>
      <c r="F97" t="str">
        <f>計算表!F97</f>
        <v>a=一般倍率 b=地獄之塔倍率。</v>
      </c>
      <c r="G97">
        <f>計算表!G97</f>
        <v>20</v>
      </c>
      <c r="H97">
        <f>計算表!H97</f>
        <v>20</v>
      </c>
      <c r="I97">
        <f>計算表!I97</f>
        <v>0</v>
      </c>
      <c r="J97">
        <f>計算表!J97</f>
        <v>0</v>
      </c>
      <c r="K97">
        <f>計算表!K97</f>
        <v>0</v>
      </c>
      <c r="L97">
        <f>計算表!L97</f>
        <v>0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 s="2">
        <f>計算表!B98</f>
        <v>0</v>
      </c>
      <c r="C98" t="str">
        <f>計算表!C98</f>
        <v>4-高塔BOSS</v>
      </c>
      <c r="D98" t="str">
        <f>計算表!D98</f>
        <v>攻擊</v>
      </c>
      <c r="E98" t="str">
        <f>計算表!E98</f>
        <v>基準攻擊×a（地獄之塔再×b）</v>
      </c>
      <c r="F98" t="str">
        <f>計算表!F98</f>
        <v>a=一般倍率 b=地獄之塔倍率。</v>
      </c>
      <c r="G98">
        <f>計算表!G98</f>
        <v>3</v>
      </c>
      <c r="H98">
        <f>計算表!H98</f>
        <v>5</v>
      </c>
      <c r="I98">
        <f>計算表!I98</f>
        <v>0</v>
      </c>
      <c r="J98">
        <f>計算表!J98</f>
        <v>0</v>
      </c>
      <c r="K98">
        <f>計算表!K98</f>
        <v>0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 s="2">
        <f>計算表!B99</f>
        <v>0</v>
      </c>
      <c r="C99" t="str">
        <f>計算表!C99</f>
        <v>4-高塔BOSS</v>
      </c>
      <c r="D99" t="str">
        <f>計算表!D99</f>
        <v>物/魔防</v>
      </c>
      <c r="E99" t="str">
        <f>計算表!E99</f>
        <v>基準物/魔防×a</v>
      </c>
      <c r="F99" t="str">
        <f>計算表!F99</f>
        <v>a=防禦倍率。</v>
      </c>
      <c r="G99">
        <f>計算表!G99</f>
        <v>10</v>
      </c>
      <c r="H99">
        <f>計算表!H99</f>
        <v>0</v>
      </c>
      <c r="I99">
        <f>計算表!I99</f>
        <v>0</v>
      </c>
      <c r="J99">
        <f>計算表!J99</f>
        <v>0</v>
      </c>
      <c r="K99">
        <f>計算表!K99</f>
        <v>0</v>
      </c>
      <c r="L99">
        <f>計算表!L99</f>
        <v>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 s="2">
        <f>計算表!B100</f>
        <v>0</v>
      </c>
      <c r="C100" t="str">
        <f>計算表!C100</f>
        <v>4-高塔BOSS</v>
      </c>
      <c r="D100" t="str">
        <f>計算表!D100</f>
        <v>攻速 / 控制抵抗</v>
      </c>
      <c r="E100" t="str">
        <f>計算表!E100</f>
        <v>攻速a 次/秒；控制抵抗b%</v>
      </c>
      <c r="F100" t="str">
        <f>計算表!F100</f>
        <v>a=攻速 b=控制抵抗。</v>
      </c>
      <c r="G100">
        <f>計算表!G100</f>
        <v>5</v>
      </c>
      <c r="H100">
        <f>計算表!H100</f>
        <v>70</v>
      </c>
      <c r="I100">
        <f>計算表!I100</f>
        <v>0</v>
      </c>
      <c r="J100">
        <f>計算表!J100</f>
        <v>0</v>
      </c>
      <c r="K100">
        <f>計算表!K100</f>
        <v>0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 s="2">
        <f>計算表!B101</f>
        <v>0</v>
      </c>
      <c r="C101" t="str">
        <f>計算表!C101</f>
        <v>4-高塔BOSS</v>
      </c>
      <c r="D101" t="str">
        <f>計算表!D101</f>
        <v>閃避率</v>
      </c>
      <c r="E101" t="str">
        <f>計算表!E101</f>
        <v>min(a+樓層*c, b)%</v>
      </c>
      <c r="F101" t="str">
        <f>計算表!F101</f>
        <v>a=基礎 b=上限 c=加乘值。</v>
      </c>
      <c r="G101">
        <f>計算表!G101</f>
        <v>20</v>
      </c>
      <c r="H101">
        <f>計算表!H101</f>
        <v>10000000</v>
      </c>
      <c r="I101">
        <f>計算表!I101</f>
        <v>40</v>
      </c>
      <c r="J101">
        <f>計算表!J101</f>
        <v>0</v>
      </c>
      <c r="K101">
        <f>計算表!K101</f>
        <v>0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 s="2">
        <f>計算表!B102</f>
        <v>0</v>
      </c>
      <c r="C102" t="str">
        <f>計算表!C102</f>
        <v>4-高塔BOSS</v>
      </c>
      <c r="D102" t="str">
        <f>計算表!D102</f>
        <v>元素附傷(元素 BOSS)</v>
      </c>
      <c r="E102" t="str">
        <f>計算表!E102</f>
        <v>基準攻擊×a（地獄之塔再×b）</v>
      </c>
      <c r="F102" t="str">
        <f>計算表!F102</f>
        <v>a=係數 b=地獄之塔倍率。以魔法攻擊結算。</v>
      </c>
      <c r="G102">
        <f>計算表!G102</f>
        <v>3</v>
      </c>
      <c r="H102">
        <f>計算表!H102</f>
        <v>20</v>
      </c>
      <c r="I102">
        <f>計算表!I102</f>
        <v>0</v>
      </c>
      <c r="J102">
        <f>計算表!J102</f>
        <v>0</v>
      </c>
      <c r="K102">
        <f>計算表!K102</f>
        <v>0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 s="2">
        <f>計算表!B103</f>
        <v>0</v>
      </c>
      <c r="C103" t="str">
        <f>計算表!C103</f>
        <v>4-高塔BOSS</v>
      </c>
      <c r="D103" t="str">
        <f>計算表!D103</f>
        <v>經驗</v>
      </c>
      <c r="E103" t="str">
        <f>計算表!E103</f>
        <v>建議野外階段普通怪經驗×a</v>
      </c>
      <c r="F103" t="str">
        <f>計算表!F103</f>
        <v>再套用玩家經驗加成。</v>
      </c>
      <c r="G103">
        <f>計算表!G103</f>
        <v>2</v>
      </c>
      <c r="H103">
        <f>計算表!H103</f>
        <v>0</v>
      </c>
      <c r="I103">
        <f>計算表!I103</f>
        <v>0</v>
      </c>
      <c r="J103">
        <f>計算表!J103</f>
        <v>0</v>
      </c>
      <c r="K103">
        <f>計算表!K103</f>
        <v>0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 s="2">
        <f>計算表!B104</f>
        <v>0</v>
      </c>
      <c r="C104" t="str">
        <f>計算表!C104</f>
        <v>4-高塔BOSS</v>
      </c>
      <c r="D104" t="str">
        <f>計算表!D104</f>
        <v>戰鬥規則</v>
      </c>
      <c r="E104" t="str">
        <f>計算表!E104</f>
        <v>限時a秒；b秒檢查狂暴（血量&gt;50%+狂暴閾值→傷害×c）；每d秒蓄力重擊×2.2</v>
      </c>
      <c r="F104" t="str">
        <f>計算表!F104</f>
        <v>a=限時 b=狂暴檢查 c=狂暴傷害倍率 d=蓄力周期。</v>
      </c>
      <c r="G104">
        <f>計算表!G104</f>
        <v>60</v>
      </c>
      <c r="H104">
        <f>計算表!H104</f>
        <v>40</v>
      </c>
      <c r="I104">
        <f>計算表!I104</f>
        <v>3</v>
      </c>
      <c r="J104">
        <f>計算表!J104</f>
        <v>8</v>
      </c>
      <c r="K104">
        <f>計算表!K104</f>
        <v>0</v>
      </c>
      <c r="L104">
        <f>計算表!L104</f>
        <v>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 s="2">
        <f>計算表!B105</f>
        <v>0</v>
      </c>
      <c r="C105" t="str">
        <f>計算表!C105</f>
        <v>4-高塔BOSS</v>
      </c>
      <c r="D105" t="str">
        <f>計算表!D105</f>
        <v>地獄之塔範圍</v>
      </c>
      <c r="E105" t="str">
        <f>計算表!E105</f>
        <v>第a~b層</v>
      </c>
      <c r="F105" t="str">
        <f>計算表!F105</f>
        <v>a=起始層 b=結束層（100 層後未開放）。生命×5、攻擊×2。</v>
      </c>
      <c r="G105">
        <f>計算表!G105</f>
        <v>51</v>
      </c>
      <c r="H105">
        <f>計算表!H105</f>
        <v>100</v>
      </c>
      <c r="I105">
        <f>計算表!I105</f>
        <v>0</v>
      </c>
      <c r="J105">
        <f>計算表!J105</f>
        <v>0</v>
      </c>
      <c r="K105">
        <f>計算表!K105</f>
        <v>0</v>
      </c>
      <c r="L105">
        <f>計算表!L105</f>
        <v>0</v>
      </c>
      <c r="M105">
        <f>計算表!M105</f>
        <v>0</v>
      </c>
      <c r="N105">
        <f>計算表!N105</f>
        <v>0</v>
      </c>
      <c r="O105">
        <f>計算表!O105</f>
        <v>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 s="2">
        <f>計算表!B106</f>
        <v>0</v>
      </c>
      <c r="C106" t="str">
        <f>計算表!C106</f>
        <v>4-高塔BOSS</v>
      </c>
      <c r="D106" t="str">
        <f>計算表!D106</f>
        <v>試煉之塔範圍</v>
      </c>
      <c r="E106" t="str">
        <f>計算表!E106</f>
        <v>第a~b層</v>
      </c>
      <c r="F106" t="str">
        <f>計算表!F106</f>
        <v>a=起始層 b=結束層。</v>
      </c>
      <c r="G106">
        <f>計算表!G106</f>
        <v>1</v>
      </c>
      <c r="H106">
        <f>計算表!H106</f>
        <v>50</v>
      </c>
      <c r="I106">
        <f>計算表!I106</f>
        <v>0</v>
      </c>
      <c r="J106">
        <f>計算表!J106</f>
        <v>0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 s="2">
        <f>計算表!B107</f>
        <v>0</v>
      </c>
      <c r="C107" t="str">
        <f>計算表!C107</f>
        <v>4-高塔BOSS</v>
      </c>
      <c r="D107" t="str">
        <f>計算表!D107</f>
        <v>魔魂本源(地獄之塔)</v>
      </c>
      <c r="E107" t="str">
        <f>計算表!E107</f>
        <v>min(100, a% + (樓層-51)×b%)</v>
      </c>
      <c r="F107" t="str">
        <f>計算表!F107</f>
        <v>僅地獄之塔；獨立判定 1 顆。</v>
      </c>
      <c r="G107">
        <f>計算表!G107</f>
        <v>5</v>
      </c>
      <c r="H107">
        <f>計算表!H107</f>
        <v>1</v>
      </c>
      <c r="I107">
        <f>計算表!I107</f>
        <v>0</v>
      </c>
      <c r="J107">
        <f>計算表!J107</f>
        <v>0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 s="2">
        <f>計算表!B108</f>
        <v>0</v>
      </c>
      <c r="C108" t="str">
        <f>計算表!C108</f>
        <v>4-高塔BOSS</v>
      </c>
      <c r="D108" t="str">
        <f>計算表!D108</f>
        <v>高塔 BOSS 魔塵</v>
      </c>
      <c r="E108" t="str">
        <f>計算表!E108</f>
        <v>min(a%, b% + 樓層×c%)</v>
      </c>
      <c r="F108" t="str">
        <f>計算表!F108</f>
        <v>a=上限 b=基礎 c=每層。</v>
      </c>
      <c r="G108">
        <f>計算表!G108</f>
        <v>30</v>
      </c>
      <c r="H108">
        <f>計算表!H108</f>
        <v>2</v>
      </c>
      <c r="I108">
        <f>計算表!I108</f>
        <v>0.2</v>
      </c>
      <c r="J108">
        <f>計算表!J108</f>
        <v>0</v>
      </c>
      <c r="K108">
        <f>計算表!K108</f>
        <v>0</v>
      </c>
      <c r="L108">
        <f>計算表!L108</f>
        <v>0</v>
      </c>
      <c r="M108">
        <f>計算表!M108</f>
        <v>0</v>
      </c>
      <c r="N108">
        <f>計算表!N108</f>
        <v>0</v>
      </c>
      <c r="O108">
        <f>計算表!O108</f>
        <v>0</v>
      </c>
      <c r="P108">
        <f>計算表!P108</f>
        <v>0</v>
      </c>
      <c r="Q108">
        <f>計算表!Q108</f>
        <v>0</v>
      </c>
      <c r="R108">
        <f>計算表!R108</f>
        <v>0</v>
      </c>
    </row>
    <row r="109" spans="1:18" x14ac:dyDescent="0.25">
      <c r="A109">
        <f>計算表!A109</f>
        <v>108</v>
      </c>
      <c r="B109" s="2">
        <f>計算表!B109</f>
        <v>0</v>
      </c>
      <c r="C109" t="str">
        <f>計算表!C109</f>
        <v>5-掉落通則</v>
      </c>
      <c r="D109" t="str">
        <f>計算表!D109</f>
        <v>掉寶率效果折半</v>
      </c>
      <c r="E109" t="str">
        <f>計算表!E109</f>
        <v>有效掉寶率 = 來源合計×a</v>
      </c>
      <c r="F109" t="str">
        <f>計算表!F109</f>
        <v>裝備詞條/附魔/神鑄貪婪/技能尋寶/相關分解零件的掉寶率效果統一×a。</v>
      </c>
      <c r="G109">
        <f>計算表!G109</f>
        <v>0.5</v>
      </c>
      <c r="H109">
        <f>計算表!H109</f>
        <v>0</v>
      </c>
      <c r="I109">
        <f>計算表!I109</f>
        <v>0</v>
      </c>
      <c r="J109">
        <f>計算表!J109</f>
        <v>0</v>
      </c>
      <c r="K109">
        <f>計算表!K109</f>
        <v>0</v>
      </c>
      <c r="L109">
        <f>計算表!L109</f>
        <v>0</v>
      </c>
      <c r="M109">
        <f>計算表!M109</f>
        <v>0</v>
      </c>
      <c r="N109">
        <f>計算表!N109</f>
        <v>0</v>
      </c>
      <c r="O109">
        <f>計算表!O109</f>
        <v>0</v>
      </c>
      <c r="P109">
        <f>計算表!P109</f>
        <v>0</v>
      </c>
      <c r="Q109">
        <f>計算表!Q109</f>
        <v>0</v>
      </c>
      <c r="R109">
        <f>計算表!R109</f>
        <v>0</v>
      </c>
    </row>
    <row r="110" spans="1:18" x14ac:dyDescent="0.25">
      <c r="A110">
        <f>計算表!A110</f>
        <v>109</v>
      </c>
      <c r="B110" s="2">
        <f>計算表!B110</f>
        <v>0</v>
      </c>
      <c r="C110" t="str">
        <f>計算表!C110</f>
        <v>5-掉落通則</v>
      </c>
      <c r="D110" t="str">
        <f>計算表!D110</f>
        <v>加速齒輪固定加成</v>
      </c>
      <c r="E110" t="str">
        <f>計算表!E110</f>
        <v>實際加成 = 每階×階級 + a</v>
      </c>
      <c r="F110" t="str">
        <f>計算表!F110</f>
        <v>a=分解速度固定加成（個百分點）。</v>
      </c>
      <c r="G110">
        <f>計算表!G110</f>
        <v>50</v>
      </c>
      <c r="H110">
        <f>計算表!H110</f>
        <v>0</v>
      </c>
      <c r="I110">
        <f>計算表!I110</f>
        <v>0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 s="2">
        <f>計算表!B111</f>
        <v>0</v>
      </c>
      <c r="C111" t="str">
        <f>計算表!C111</f>
        <v>5-掉落通則</v>
      </c>
      <c r="D111" t="str">
        <f>計算表!D111</f>
        <v>掉落件數規則(&gt;100%)</v>
      </c>
      <c r="E111" t="str">
        <f>計算表!E111</f>
        <v>⌊機率/100⌋ + (餘數% 再 1 件)</v>
      </c>
      <c r="F111" t="str">
        <f>計算表!F111</f>
        <v>每品質獨立擲骰；實際機率 = 表值×(1+有效掉寶率%)，野外菁英再×1.5。　※規則寫死：機率整數部分必掉，餘數再擲一次。</v>
      </c>
      <c r="G111">
        <f>計算表!G111</f>
        <v>0</v>
      </c>
      <c r="H111">
        <f>計算表!H111</f>
        <v>0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 s="2">
        <f>計算表!B112</f>
        <v>0</v>
      </c>
      <c r="C112" t="str">
        <f>計算表!C112</f>
        <v>5-稀有度擲骰</v>
      </c>
      <c r="D112" t="str">
        <f>計算表!D112</f>
        <v>權重加成 b</v>
      </c>
      <c r="E112" t="str">
        <f>計算表!E112</f>
        <v>b = 1 + 有效掉寶加成/a + 階段×c</v>
      </c>
      <c r="F112" t="str">
        <f>計算表!F112</f>
        <v>a=掉寶除數 c=每階加成。</v>
      </c>
      <c r="G112">
        <f>計算表!G112</f>
        <v>200</v>
      </c>
      <c r="H112">
        <f>計算表!H112</f>
        <v>6.0000000000000001E-3</v>
      </c>
      <c r="I112">
        <f>計算表!I112</f>
        <v>0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 s="2">
        <f>計算表!B113</f>
        <v>0</v>
      </c>
      <c r="C113" t="str">
        <f>計算表!C113</f>
        <v>5-稀有度擲骰</v>
      </c>
      <c r="D113" t="str">
        <f>計算表!D113</f>
        <v>普通 權重</v>
      </c>
      <c r="E113" t="str">
        <f>計算表!E113</f>
        <v>權重 = a×min(b, c)</v>
      </c>
      <c r="F113" t="str">
        <f>計算表!F113</f>
        <v>a=基礎權重 b=權重加成 c=加成上限 d=出現門檻。普通無加成。神鑄創世不參與此擲骰。(目前裝備合成功能關閉中)</v>
      </c>
      <c r="G113">
        <f>計算表!G113</f>
        <v>55</v>
      </c>
      <c r="H113" t="str">
        <f>計算表!H113</f>
        <v>b</v>
      </c>
      <c r="I113" t="str">
        <f>計算表!I113</f>
        <v>-</v>
      </c>
      <c r="J113" t="str">
        <f>計算表!J113</f>
        <v>—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 s="2">
        <f>計算表!B114</f>
        <v>0</v>
      </c>
      <c r="C114" t="str">
        <f>計算表!C114</f>
        <v>5-稀有度擲骰</v>
      </c>
      <c r="D114" t="str">
        <f>計算表!D114</f>
        <v>精良 權重</v>
      </c>
      <c r="E114" t="str">
        <f>計算表!E114</f>
        <v>權重 = a×min(b, c)</v>
      </c>
      <c r="F114" t="str">
        <f>計算表!F114</f>
        <v>a=基礎權重 b=權重加成 c=加成上限 d=出現門檻。普通無加成。神鑄創世不參與此擲骰。(目前裝備合成功能關閉中)</v>
      </c>
      <c r="G114">
        <f>計算表!G114</f>
        <v>25</v>
      </c>
      <c r="H114" t="str">
        <f>計算表!H114</f>
        <v>b</v>
      </c>
      <c r="I114">
        <f>計算表!I114</f>
        <v>2</v>
      </c>
      <c r="J114" t="str">
        <f>計算表!J114</f>
        <v>—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 s="2">
        <f>計算表!B115</f>
        <v>0</v>
      </c>
      <c r="C115" t="str">
        <f>計算表!C115</f>
        <v>5-稀有度擲骰</v>
      </c>
      <c r="D115" t="str">
        <f>計算表!D115</f>
        <v>稀有 權重</v>
      </c>
      <c r="E115" t="str">
        <f>計算表!E115</f>
        <v>權重 = a×min(b, c)</v>
      </c>
      <c r="F115" t="str">
        <f>計算表!F115</f>
        <v>a=基礎權重 b=權重加成 c=加成上限 d=出現門檻。普通無加成。神鑄創世不參與此擲骰。(目前裝備合成功能關閉中)</v>
      </c>
      <c r="G115">
        <f>計算表!G115</f>
        <v>12</v>
      </c>
      <c r="H115" t="str">
        <f>計算表!H115</f>
        <v>b</v>
      </c>
      <c r="I115">
        <f>計算表!I115</f>
        <v>2.5</v>
      </c>
      <c r="J115" t="str">
        <f>計算表!J115</f>
        <v>—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 s="2">
        <f>計算表!B116</f>
        <v>0</v>
      </c>
      <c r="C116" t="str">
        <f>計算表!C116</f>
        <v>5-稀有度擲骰</v>
      </c>
      <c r="D116" t="str">
        <f>計算表!D116</f>
        <v>獨特 權重</v>
      </c>
      <c r="E116" t="str">
        <f>計算表!E116</f>
        <v>權重 = a×min(b, c)</v>
      </c>
      <c r="F116" t="str">
        <f>計算表!F116</f>
        <v>a=基礎權重 b=權重加成 c=加成上限 d=出現門檻。普通無加成。神鑄創世不參與此擲骰。(目前裝備合成功能關閉中)</v>
      </c>
      <c r="G116">
        <f>計算表!G116</f>
        <v>5.5</v>
      </c>
      <c r="H116" t="str">
        <f>計算表!H116</f>
        <v>b</v>
      </c>
      <c r="I116">
        <f>計算表!I116</f>
        <v>3</v>
      </c>
      <c r="J116" t="str">
        <f>計算表!J116</f>
        <v>—</v>
      </c>
      <c r="K116">
        <f>計算表!K116</f>
        <v>0</v>
      </c>
      <c r="L116">
        <f>計算表!L116</f>
        <v>0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 s="2">
        <f>計算表!B117</f>
        <v>0</v>
      </c>
      <c r="C117" t="str">
        <f>計算表!C117</f>
        <v>5-稀有度擲骰</v>
      </c>
      <c r="D117" t="str">
        <f>計算表!D117</f>
        <v>史詩 權重</v>
      </c>
      <c r="E117" t="str">
        <f>計算表!E117</f>
        <v>權重 = a×min(b, c)</v>
      </c>
      <c r="F117" t="str">
        <f>計算表!F117</f>
        <v>a=基礎權重 b=權重加成 c=加成上限 d=出現門檻。普通無加成。神鑄創世不參與此擲骰。(目前裝備合成功能關閉中)</v>
      </c>
      <c r="G117">
        <f>計算表!G117</f>
        <v>1.8</v>
      </c>
      <c r="H117" t="str">
        <f>計算表!H117</f>
        <v>b</v>
      </c>
      <c r="I117">
        <f>計算表!I117</f>
        <v>3.5</v>
      </c>
      <c r="J117" t="str">
        <f>計算表!J117</f>
        <v>階段 8+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 s="2">
        <f>計算表!B118</f>
        <v>0</v>
      </c>
      <c r="C118" t="str">
        <f>計算表!C118</f>
        <v>5-稀有度擲骰</v>
      </c>
      <c r="D118" t="str">
        <f>計算表!D118</f>
        <v>傳說 權重</v>
      </c>
      <c r="E118" t="str">
        <f>計算表!E118</f>
        <v>權重 = a×min(b, c)</v>
      </c>
      <c r="F118" t="str">
        <f>計算表!F118</f>
        <v>a=基礎權重 b=權重加成 c=加成上限 d=出現門檻。普通無加成。神鑄創世不參與此擲骰。(目前裝備合成功能關閉中)</v>
      </c>
      <c r="G118">
        <f>計算表!G118</f>
        <v>0.35</v>
      </c>
      <c r="H118" t="str">
        <f>計算表!H118</f>
        <v>b</v>
      </c>
      <c r="I118">
        <f>計算表!I118</f>
        <v>4</v>
      </c>
      <c r="J118" t="str">
        <f>計算表!J118</f>
        <v>階段 15+</v>
      </c>
      <c r="K118">
        <f>計算表!K118</f>
        <v>0</v>
      </c>
      <c r="L118">
        <f>計算表!L118</f>
        <v>0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 s="2">
        <f>計算表!B119</f>
        <v>0</v>
      </c>
      <c r="C119" t="str">
        <f>計算表!C119</f>
        <v>5-稀有度擲骰</v>
      </c>
      <c r="D119" t="str">
        <f>計算表!D119</f>
        <v>神話 權重</v>
      </c>
      <c r="E119" t="str">
        <f>計算表!E119</f>
        <v>權重 = a×min(b, c)</v>
      </c>
      <c r="F119" t="str">
        <f>計算表!F119</f>
        <v>a=基礎權重 b=權重加成 c=加成上限 d=出現門檻。普通無加成。神鑄創世不參與此擲骰。(目前裝備合成功能關閉中)</v>
      </c>
      <c r="G119">
        <f>計算表!G119</f>
        <v>0.08</v>
      </c>
      <c r="H119" t="str">
        <f>計算表!H119</f>
        <v>b</v>
      </c>
      <c r="I119">
        <f>計算表!I119</f>
        <v>4.5</v>
      </c>
      <c r="J119" t="str">
        <f>計算表!J119</f>
        <v>階段 25+</v>
      </c>
      <c r="K119">
        <f>計算表!K119</f>
        <v>0</v>
      </c>
      <c r="L119">
        <f>計算表!L119</f>
        <v>0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 s="2">
        <f>計算表!B120</f>
        <v>0</v>
      </c>
      <c r="C120" t="str">
        <f>計算表!C120</f>
        <v>5-稀有度擲骰</v>
      </c>
      <c r="D120" t="str">
        <f>計算表!D120</f>
        <v>創世 權重</v>
      </c>
      <c r="E120" t="str">
        <f>計算表!E120</f>
        <v>權重 = a×min(b, c)</v>
      </c>
      <c r="F120" t="str">
        <f>計算表!F120</f>
        <v>a=基礎權重 b=權重加成 c=加成上限 d=出現門檻。普通無加成。神鑄創世不參與此擲骰。(目前裝備合成功能關閉中)</v>
      </c>
      <c r="G120">
        <f>計算表!G120</f>
        <v>1.4999999999999999E-2</v>
      </c>
      <c r="H120" t="str">
        <f>計算表!H120</f>
        <v>b</v>
      </c>
      <c r="I120">
        <f>計算表!I120</f>
        <v>5</v>
      </c>
      <c r="J120" t="str">
        <f>計算表!J120</f>
        <v>階段 40+</v>
      </c>
      <c r="K120">
        <f>計算表!K120</f>
        <v>0</v>
      </c>
      <c r="L120">
        <f>計算表!L120</f>
        <v>0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 s="2">
        <f>計算表!B121</f>
        <v>0</v>
      </c>
      <c r="C121" t="str">
        <f>計算表!C121</f>
        <v>5-野外裝備掉落</v>
      </c>
      <c r="D121" t="str">
        <f>計算表!D121</f>
        <v>普通裝備</v>
      </c>
      <c r="E121" t="str">
        <f>計算表!E121</f>
        <v>各怪物等級區間掉落率%（{等級下限~上限=機率}）</v>
      </c>
      <c r="F121" t="str">
        <f>計算表!F121</f>
        <v>每品質獨立擲骰。實際機率 = 表值×(1+有效掉寶率%)，菁英再×1.5；場景倍率不作用於裝備。</v>
      </c>
      <c r="G121" t="str">
        <f>計算表!G121</f>
        <v>{1~49=15}</v>
      </c>
      <c r="H121" t="str">
        <f>計算表!H121</f>
        <v>{50~99=10}</v>
      </c>
      <c r="I121" t="str">
        <f>計算表!I121</f>
        <v>{100~149=0}</v>
      </c>
      <c r="J121" t="str">
        <f>計算表!J121</f>
        <v>{150+=0}</v>
      </c>
      <c r="K121">
        <f>計算表!K121</f>
        <v>0</v>
      </c>
      <c r="L121">
        <f>計算表!L121</f>
        <v>0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 s="2">
        <f>計算表!B122</f>
        <v>0</v>
      </c>
      <c r="C122" t="str">
        <f>計算表!C122</f>
        <v>5-野外裝備掉落</v>
      </c>
      <c r="D122" t="str">
        <f>計算表!D122</f>
        <v>精良裝備</v>
      </c>
      <c r="E122" t="str">
        <f>計算表!E122</f>
        <v>各怪物等級區間掉落率%（{等級下限~上限=機率}）</v>
      </c>
      <c r="F122" t="str">
        <f>計算表!F122</f>
        <v>每品質獨立擲骰。實際機率 = 表值×(1+有效掉寶率%)，菁英再×1.5；場景倍率不作用於裝備。</v>
      </c>
      <c r="G122" t="str">
        <f>計算表!G122</f>
        <v>{1~49=10}</v>
      </c>
      <c r="H122" t="str">
        <f>計算表!H122</f>
        <v>{50~99=10}</v>
      </c>
      <c r="I122" t="str">
        <f>計算表!I122</f>
        <v>{100~149=10}</v>
      </c>
      <c r="J122" t="str">
        <f>計算表!J122</f>
        <v>{150+=0}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 s="2">
        <f>計算表!B123</f>
        <v>0</v>
      </c>
      <c r="C123" t="str">
        <f>計算表!C123</f>
        <v>5-野外裝備掉落</v>
      </c>
      <c r="D123" t="str">
        <f>計算表!D123</f>
        <v>稀有裝備</v>
      </c>
      <c r="E123" t="str">
        <f>計算表!E123</f>
        <v>各怪物等級區間掉落率%（{等級下限~上限=機率}）</v>
      </c>
      <c r="F123" t="str">
        <f>計算表!F123</f>
        <v>每品質獨立擲骰。實際機率 = 表值×(1+有效掉寶率%)，菁英再×1.5；場景倍率不作用於裝備。</v>
      </c>
      <c r="G123" t="str">
        <f>計算表!G123</f>
        <v>{1~49=5}</v>
      </c>
      <c r="H123" t="str">
        <f>計算表!H123</f>
        <v>{50~99=5}</v>
      </c>
      <c r="I123" t="str">
        <f>計算表!I123</f>
        <v>{100~149=8}</v>
      </c>
      <c r="J123" t="str">
        <f>計算表!J123</f>
        <v>{150+=0}</v>
      </c>
      <c r="K123">
        <f>計算表!K123</f>
        <v>0</v>
      </c>
      <c r="L123">
        <f>計算表!L123</f>
        <v>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 s="2">
        <f>計算表!B124</f>
        <v>0</v>
      </c>
      <c r="C124" t="str">
        <f>計算表!C124</f>
        <v>5-野外裝備掉落</v>
      </c>
      <c r="D124" t="str">
        <f>計算表!D124</f>
        <v>獨特裝備</v>
      </c>
      <c r="E124" t="str">
        <f>計算表!E124</f>
        <v>各怪物等級區間掉落率%（{等級下限~上限=機率}）</v>
      </c>
      <c r="F124" t="str">
        <f>計算表!F124</f>
        <v>每品質獨立擲骰。實際機率 = 表值×(1+有效掉寶率%)，菁英再×1.5；場景倍率不作用於裝備。</v>
      </c>
      <c r="G124" t="str">
        <f>計算表!G124</f>
        <v>{1~49=0}</v>
      </c>
      <c r="H124" t="str">
        <f>計算表!H124</f>
        <v>{50~99=5}</v>
      </c>
      <c r="I124" t="str">
        <f>計算表!I124</f>
        <v>{100~149=6}</v>
      </c>
      <c r="J124" t="str">
        <f>計算表!J124</f>
        <v>{150+=10}</v>
      </c>
      <c r="K124">
        <f>計算表!K124</f>
        <v>0</v>
      </c>
      <c r="L124">
        <f>計算表!L124</f>
        <v>0</v>
      </c>
      <c r="M124">
        <f>計算表!M124</f>
        <v>0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 s="2">
        <f>計算表!B125</f>
        <v>0</v>
      </c>
      <c r="C125" t="str">
        <f>計算表!C125</f>
        <v>5-野外裝備掉落</v>
      </c>
      <c r="D125" t="str">
        <f>計算表!D125</f>
        <v>史詩裝備</v>
      </c>
      <c r="E125" t="str">
        <f>計算表!E125</f>
        <v>各怪物等級區間掉落率%（{等級下限~上限=機率}）</v>
      </c>
      <c r="F125" t="str">
        <f>計算表!F125</f>
        <v>每品質獨立擲骰。實際機率 = 表值×(1+有效掉寶率%)，菁英再×1.5；場景倍率不作用於裝備。</v>
      </c>
      <c r="G125" t="str">
        <f>計算表!G125</f>
        <v>{1~49=0}</v>
      </c>
      <c r="H125" t="str">
        <f>計算表!H125</f>
        <v>{50~99=0}</v>
      </c>
      <c r="I125" t="str">
        <f>計算表!I125</f>
        <v>{100~149=5}</v>
      </c>
      <c r="J125" t="str">
        <f>計算表!J125</f>
        <v>{150+=4}</v>
      </c>
      <c r="K125">
        <f>計算表!K125</f>
        <v>0</v>
      </c>
      <c r="L125">
        <f>計算表!L125</f>
        <v>0</v>
      </c>
      <c r="M125">
        <f>計算表!M125</f>
        <v>0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 s="2">
        <f>計算表!B126</f>
        <v>0</v>
      </c>
      <c r="C126" t="str">
        <f>計算表!C126</f>
        <v>5-野外裝備掉落</v>
      </c>
      <c r="D126" t="str">
        <f>計算表!D126</f>
        <v>傳說裝備</v>
      </c>
      <c r="E126" t="str">
        <f>計算表!E126</f>
        <v>各怪物等級區間掉落率%（{等級下限~上限=機率}）</v>
      </c>
      <c r="F126" t="str">
        <f>計算表!F126</f>
        <v>每品質獨立擲骰。實際機率 = 表值×(1+有效掉寶率%)，菁英再×1.5；場景倍率不作用於裝備。</v>
      </c>
      <c r="G126" t="str">
        <f>計算表!G126</f>
        <v>{1~49=0}</v>
      </c>
      <c r="H126" t="str">
        <f>計算表!H126</f>
        <v>{50~99=0}</v>
      </c>
      <c r="I126" t="str">
        <f>計算表!I126</f>
        <v>{100~149=1.5}</v>
      </c>
      <c r="J126" t="str">
        <f>計算表!J126</f>
        <v>{150+=2}</v>
      </c>
      <c r="K126">
        <f>計算表!K126</f>
        <v>0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 s="2">
        <f>計算表!B127</f>
        <v>0</v>
      </c>
      <c r="C127" t="str">
        <f>計算表!C127</f>
        <v>5-野外裝備掉落</v>
      </c>
      <c r="D127" t="str">
        <f>計算表!D127</f>
        <v>神話裝備</v>
      </c>
      <c r="E127" t="str">
        <f>計算表!E127</f>
        <v>各怪物等級區間掉落率%（{等級下限~上限=機率}）</v>
      </c>
      <c r="F127" t="str">
        <f>計算表!F127</f>
        <v>每品質獨立擲骰。實際機率 = 表值×(1+有效掉寶率%)，菁英再×1.5；場景倍率不作用於裝備。</v>
      </c>
      <c r="G127" t="str">
        <f>計算表!G127</f>
        <v>{1~49=0}</v>
      </c>
      <c r="H127" t="str">
        <f>計算表!H127</f>
        <v>{50~99=0}</v>
      </c>
      <c r="I127" t="str">
        <f>計算表!I127</f>
        <v>{100~149=0}</v>
      </c>
      <c r="J127" t="str">
        <f>計算表!J127</f>
        <v>{150+=0.2}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 s="2">
        <f>計算表!B128</f>
        <v>0</v>
      </c>
      <c r="C128" t="str">
        <f>計算表!C128</f>
        <v>5-野外裝備掉落</v>
      </c>
      <c r="D128" t="str">
        <f>計算表!D128</f>
        <v>創世裝備</v>
      </c>
      <c r="E128" t="str">
        <f>計算表!E128</f>
        <v>各怪物等級區間掉落率%（{等級下限~上限=機率}）</v>
      </c>
      <c r="F128" t="str">
        <f>計算表!F128</f>
        <v>每品質獨立擲骰。實際機率 = 表值×(1+有效掉寶率%)，菁英再×1.5；場景倍率不作用於裝備。</v>
      </c>
      <c r="G128" t="str">
        <f>計算表!G128</f>
        <v>{1~49=0}</v>
      </c>
      <c r="H128" t="str">
        <f>計算表!H128</f>
        <v>{50~99=0}</v>
      </c>
      <c r="I128" t="str">
        <f>計算表!I128</f>
        <v>{100~149=0}</v>
      </c>
      <c r="J128" t="str">
        <f>計算表!J128</f>
        <v>{150+=0}</v>
      </c>
      <c r="K128">
        <f>計算表!K128</f>
        <v>0</v>
      </c>
      <c r="L128">
        <f>計算表!L128</f>
        <v>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 s="2">
        <f>計算表!B129</f>
        <v>0</v>
      </c>
      <c r="C129" t="str">
        <f>計算表!C129</f>
        <v>5-野外寶石掉落</v>
      </c>
      <c r="D129" t="str">
        <f>計算表!D129</f>
        <v>怪物等級 1~50</v>
      </c>
      <c r="E129" t="str">
        <f>計算表!E129</f>
        <v>各階級獨立判定機率%</v>
      </c>
      <c r="F129" t="str">
        <f>計算表!F129</f>
        <v>a=1級 b=2級 c=3級 d=4級 e=5級。實際機率 ×(1+掉寶率%)×場景倍率。</v>
      </c>
      <c r="G129">
        <f>計算表!G129</f>
        <v>2</v>
      </c>
      <c r="H129">
        <f>計算表!H129</f>
        <v>0.5</v>
      </c>
      <c r="I129">
        <f>計算表!I129</f>
        <v>0.2</v>
      </c>
      <c r="J129">
        <f>計算表!J129</f>
        <v>0</v>
      </c>
      <c r="K129">
        <f>計算表!K129</f>
        <v>0</v>
      </c>
      <c r="L129">
        <f>計算表!L129</f>
        <v>0</v>
      </c>
      <c r="M129">
        <f>計算表!M129</f>
        <v>0</v>
      </c>
      <c r="N129">
        <f>計算表!N129</f>
        <v>0</v>
      </c>
      <c r="O129">
        <f>計算表!O129</f>
        <v>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 s="2">
        <f>計算表!B130</f>
        <v>0</v>
      </c>
      <c r="C130" t="str">
        <f>計算表!C130</f>
        <v>5-野外寶石掉落</v>
      </c>
      <c r="D130" t="str">
        <f>計算表!D130</f>
        <v>怪物等級 51~100</v>
      </c>
      <c r="E130" t="str">
        <f>計算表!E130</f>
        <v>各階級獨立判定機率%</v>
      </c>
      <c r="F130" t="str">
        <f>計算表!F130</f>
        <v>a=1級 b=2級 c=3級 d=4級 e=5級。實際機率 ×(1+掉寶率%)×場景倍率。</v>
      </c>
      <c r="G130">
        <f>計算表!G130</f>
        <v>4</v>
      </c>
      <c r="H130">
        <f>計算表!H130</f>
        <v>0.8</v>
      </c>
      <c r="I130">
        <f>計算表!I130</f>
        <v>0.3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 s="2">
        <f>計算表!B131</f>
        <v>0</v>
      </c>
      <c r="C131" t="str">
        <f>計算表!C131</f>
        <v>5-野外寶石掉落</v>
      </c>
      <c r="D131" t="str">
        <f>計算表!D131</f>
        <v>怪物等級 101~150</v>
      </c>
      <c r="E131" t="str">
        <f>計算表!E131</f>
        <v>各階級獨立判定機率%</v>
      </c>
      <c r="F131" t="str">
        <f>計算表!F131</f>
        <v>a=1級 b=2級 c=3級 d=4級 e=5級。實際機率 ×(1+掉寶率%)×場景倍率。</v>
      </c>
      <c r="G131">
        <f>計算表!G131</f>
        <v>6</v>
      </c>
      <c r="H131">
        <f>計算表!H131</f>
        <v>1.1000000000000001</v>
      </c>
      <c r="I131">
        <f>計算表!I131</f>
        <v>0.4</v>
      </c>
      <c r="J131">
        <f>計算表!J131</f>
        <v>0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 s="2">
        <f>計算表!B132</f>
        <v>0</v>
      </c>
      <c r="C132" t="str">
        <f>計算表!C132</f>
        <v>5-野外寶石掉落</v>
      </c>
      <c r="D132" t="str">
        <f>計算表!D132</f>
        <v>怪物等級 151~200</v>
      </c>
      <c r="E132" t="str">
        <f>計算表!E132</f>
        <v>各階級獨立判定機率%</v>
      </c>
      <c r="F132" t="str">
        <f>計算表!F132</f>
        <v>a=1級 b=2級 c=3級 d=4級 e=5級。實際機率 ×(1+掉寶率%)×場景倍率。</v>
      </c>
      <c r="G132">
        <f>計算表!G132</f>
        <v>8</v>
      </c>
      <c r="H132">
        <f>計算表!H132</f>
        <v>1.4</v>
      </c>
      <c r="I132">
        <f>計算表!I132</f>
        <v>0.5</v>
      </c>
      <c r="J132">
        <f>計算表!J132</f>
        <v>0.1</v>
      </c>
      <c r="K132">
        <f>計算表!K132</f>
        <v>0</v>
      </c>
      <c r="L132">
        <f>計算表!L132</f>
        <v>0</v>
      </c>
      <c r="M132">
        <f>計算表!M132</f>
        <v>0</v>
      </c>
      <c r="N132">
        <f>計算表!N132</f>
        <v>0</v>
      </c>
      <c r="O132">
        <f>計算表!O132</f>
        <v>0</v>
      </c>
      <c r="P132">
        <f>計算表!P132</f>
        <v>0</v>
      </c>
      <c r="Q132">
        <f>計算表!Q132</f>
        <v>0</v>
      </c>
      <c r="R132">
        <f>計算表!R132</f>
        <v>0</v>
      </c>
    </row>
    <row r="133" spans="1:18" x14ac:dyDescent="0.25">
      <c r="A133">
        <f>計算表!A133</f>
        <v>132</v>
      </c>
      <c r="B133" s="2">
        <f>計算表!B133</f>
        <v>0</v>
      </c>
      <c r="C133" t="str">
        <f>計算表!C133</f>
        <v>5-野外寶石掉落</v>
      </c>
      <c r="D133" t="str">
        <f>計算表!D133</f>
        <v>怪物等級 201~250</v>
      </c>
      <c r="E133" t="str">
        <f>計算表!E133</f>
        <v>各階級獨立判定機率%</v>
      </c>
      <c r="F133" t="str">
        <f>計算表!F133</f>
        <v>a=1級 b=2級 c=3級 d=4級 e=5級。實際機率 ×(1+掉寶率%)×場景倍率。</v>
      </c>
      <c r="G133">
        <f>計算表!G133</f>
        <v>10</v>
      </c>
      <c r="H133">
        <f>計算表!H133</f>
        <v>1.7</v>
      </c>
      <c r="I133">
        <f>計算表!I133</f>
        <v>0.6</v>
      </c>
      <c r="J133">
        <f>計算表!J133</f>
        <v>0.2</v>
      </c>
      <c r="K133">
        <f>計算表!K133</f>
        <v>0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 s="2">
        <f>計算表!B134</f>
        <v>0</v>
      </c>
      <c r="C134" t="str">
        <f>計算表!C134</f>
        <v>5-野外寶石掉落</v>
      </c>
      <c r="D134" t="str">
        <f>計算表!D134</f>
        <v>怪物等級 251~300</v>
      </c>
      <c r="E134" t="str">
        <f>計算表!E134</f>
        <v>各階級獨立判定機率%</v>
      </c>
      <c r="F134" t="str">
        <f>計算表!F134</f>
        <v>a=1級 b=2級 c=3級 d=4級 e=5級。實際機率 ×(1+掉寶率%)×場景倍率。</v>
      </c>
      <c r="G134">
        <f>計算表!G134</f>
        <v>12</v>
      </c>
      <c r="H134">
        <f>計算表!H134</f>
        <v>2</v>
      </c>
      <c r="I134">
        <f>計算表!I134</f>
        <v>0.7</v>
      </c>
      <c r="J134">
        <f>計算表!J134</f>
        <v>0.3</v>
      </c>
      <c r="K134">
        <f>計算表!K134</f>
        <v>0.2</v>
      </c>
      <c r="L134">
        <f>計算表!L134</f>
        <v>0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 s="2">
        <f>計算表!B135</f>
        <v>0</v>
      </c>
      <c r="C135" t="str">
        <f>計算表!C135</f>
        <v>5-野外寶石掉落</v>
      </c>
      <c r="D135" t="str">
        <f>計算表!D135</f>
        <v>怪物等級 301+</v>
      </c>
      <c r="E135" t="str">
        <f>計算表!E135</f>
        <v>各階級獨立判定機率%</v>
      </c>
      <c r="F135" t="str">
        <f>計算表!F135</f>
        <v>a=1級 b=2級 c=3級 d=4級 e=5級。實際機率 ×(1+掉寶率%)×場景倍率。</v>
      </c>
      <c r="G135">
        <f>計算表!G135</f>
        <v>14</v>
      </c>
      <c r="H135">
        <f>計算表!H135</f>
        <v>2.2999999999999998</v>
      </c>
      <c r="I135">
        <f>計算表!I135</f>
        <v>0.8</v>
      </c>
      <c r="J135">
        <f>計算表!J135</f>
        <v>0.4</v>
      </c>
      <c r="K135">
        <f>計算表!K135</f>
        <v>0.3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 s="2">
        <f>計算表!B136</f>
        <v>0</v>
      </c>
      <c r="C136" t="str">
        <f>計算表!C136</f>
        <v>5-野外材料</v>
      </c>
      <c r="D136" t="str">
        <f>計算表!D136</f>
        <v>附魔書</v>
      </c>
      <c r="E136" t="str">
        <f>計算表!E136</f>
        <v>a% × (1+掉寶率%) × 場景倍率</v>
      </c>
      <c r="F136" t="str">
        <f>計算表!F136</f>
        <v>階段 8+，隨機一種。</v>
      </c>
      <c r="G136">
        <f>計算表!G136</f>
        <v>4</v>
      </c>
      <c r="H136">
        <f>計算表!H136</f>
        <v>0</v>
      </c>
      <c r="I136">
        <f>計算表!I136</f>
        <v>0</v>
      </c>
      <c r="J136">
        <f>計算表!J136</f>
        <v>0</v>
      </c>
      <c r="K136">
        <f>計算表!K136</f>
        <v>0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 s="2">
        <f>計算表!B137</f>
        <v>0</v>
      </c>
      <c r="C137" t="str">
        <f>計算表!C137</f>
        <v>5-野外材料</v>
      </c>
      <c r="D137" t="str">
        <f>計算表!D137</f>
        <v>魔塵</v>
      </c>
      <c r="E137" t="str">
        <f>計算表!E137</f>
        <v>min(a%, b% + (敵人等級-c)×d%)</v>
      </c>
      <c r="F137" t="str">
        <f>計算表!F137</f>
        <v>敵人等級 150+，每次成功固定 1 顆；不受掉寶率與場景倍率影響。</v>
      </c>
      <c r="G137">
        <f>計算表!G137</f>
        <v>5</v>
      </c>
      <c r="H137">
        <f>計算表!H137</f>
        <v>0.1</v>
      </c>
      <c r="I137">
        <f>計算表!I137</f>
        <v>150</v>
      </c>
      <c r="J137">
        <f>計算表!J137</f>
        <v>0.1</v>
      </c>
      <c r="K137">
        <f>計算表!K137</f>
        <v>0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 s="2">
        <f>計算表!B138</f>
        <v>0</v>
      </c>
      <c r="C138" t="str">
        <f>計算表!C138</f>
        <v>5-野外材料</v>
      </c>
      <c r="D138" t="str">
        <f>計算表!D138</f>
        <v>太古精華</v>
      </c>
      <c r="E138" t="str">
        <f>計算表!E138</f>
        <v>min(a%, b% + (敵人等級-c)×d%)</v>
      </c>
      <c r="F138" t="str">
        <f>計算表!F138</f>
        <v>敵人等級 250+，每隻獨立判定 1 顆；不受掉寶率與場景倍率影響。</v>
      </c>
      <c r="G138">
        <f>計算表!G138</f>
        <v>20</v>
      </c>
      <c r="H138">
        <f>計算表!H138</f>
        <v>2</v>
      </c>
      <c r="I138">
        <f>計算表!I138</f>
        <v>250</v>
      </c>
      <c r="J138">
        <f>計算表!J138</f>
        <v>0.2</v>
      </c>
      <c r="K138">
        <f>計算表!K138</f>
        <v>0</v>
      </c>
      <c r="L138">
        <f>計算表!L138</f>
        <v>0</v>
      </c>
      <c r="M138">
        <f>計算表!M138</f>
        <v>0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 s="2">
        <f>計算表!B139</f>
        <v>0</v>
      </c>
      <c r="C139" t="str">
        <f>計算表!C139</f>
        <v>5-野外材料</v>
      </c>
      <c r="D139" t="str">
        <f>計算表!D139</f>
        <v>自動機組零件</v>
      </c>
      <c r="E139" t="str">
        <f>計算表!E139</f>
        <v>機率a%（菁英×1.5）</v>
      </c>
      <c r="F139" t="str">
        <f>計算表!F139</f>
        <v>階段 5+。階級 = clamp(1+⌊階段/12⌋+(菁英?1:0), 1, 7)。</v>
      </c>
      <c r="G139">
        <f>計算表!G139</f>
        <v>0.5</v>
      </c>
      <c r="H139">
        <f>計算表!H139</f>
        <v>0</v>
      </c>
      <c r="I139">
        <f>計算表!I139</f>
        <v>0</v>
      </c>
      <c r="J139">
        <f>計算表!J139</f>
        <v>0</v>
      </c>
      <c r="K139">
        <f>計算表!K139</f>
        <v>0</v>
      </c>
      <c r="L139">
        <f>計算表!L139</f>
        <v>0</v>
      </c>
      <c r="M139">
        <f>計算表!M139</f>
        <v>0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 s="2">
        <f>計算表!B140</f>
        <v>0</v>
      </c>
      <c r="C140" t="str">
        <f>計算表!C140</f>
        <v>5-太古詞條</v>
      </c>
      <c r="D140" t="str">
        <f>計算表!D140</f>
        <v>野外太古詞條機率</v>
      </c>
      <c r="E140" t="str">
        <f>計算表!E140</f>
        <v>min(a%, b% + (敵人等級-c)×d%)</v>
      </c>
      <c r="F140" t="str">
        <f>計算表!F140</f>
        <v>等級≥200 且史詩以上裝備逐詞條判定；敵人等級&lt;250 時維持基礎 b%。</v>
      </c>
      <c r="G140">
        <f>計算表!G140</f>
        <v>3</v>
      </c>
      <c r="H140">
        <f>計算表!H140</f>
        <v>1</v>
      </c>
      <c r="I140">
        <f>計算表!I140</f>
        <v>250</v>
      </c>
      <c r="J140">
        <f>計算表!J140</f>
        <v>0.1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 s="2">
        <f>計算表!B141</f>
        <v>0</v>
      </c>
      <c r="C141" t="str">
        <f>計算表!C141</f>
        <v>5-太古詞條</v>
      </c>
      <c r="D141" t="str">
        <f>計算表!D141</f>
        <v>高塔太古詞條機率</v>
      </c>
      <c r="E141" t="str">
        <f>計算表!E141</f>
        <v>min(a%, b% + (樓層-c)×d%)</v>
      </c>
      <c r="F141" t="str">
        <f>計算表!F141</f>
        <v>以樓層計算；樓層&lt;40 時為 0。裝備等級≥200 且史詩以上逐詞條判定。</v>
      </c>
      <c r="G141">
        <f>計算表!G141</f>
        <v>100</v>
      </c>
      <c r="H141">
        <f>計算表!H141</f>
        <v>5</v>
      </c>
      <c r="I141">
        <f>計算表!I141</f>
        <v>40</v>
      </c>
      <c r="J141">
        <f>計算表!J141</f>
        <v>0.5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 s="2">
        <f>計算表!B142</f>
        <v>0</v>
      </c>
      <c r="C142" t="str">
        <f>計算表!C142</f>
        <v>5-太古詞條</v>
      </c>
      <c r="D142" t="str">
        <f>計算表!D142</f>
        <v>高塔太古精華機率</v>
      </c>
      <c r="E142" t="str">
        <f>計算表!E142</f>
        <v>min(a%, b% + (樓層-c)×d%)</v>
      </c>
      <c r="F142" t="str">
        <f>計算表!F142</f>
        <v>以樓層計算；每場獨立判定 1 顆。</v>
      </c>
      <c r="G142">
        <f>計算表!G142</f>
        <v>100</v>
      </c>
      <c r="H142">
        <f>計算表!H142</f>
        <v>10</v>
      </c>
      <c r="I142">
        <f>計算表!I142</f>
        <v>40</v>
      </c>
      <c r="J142">
        <f>計算表!J142</f>
        <v>2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 s="2">
        <f>計算表!B143</f>
        <v>0</v>
      </c>
      <c r="C143" t="str">
        <f>計算表!C143</f>
        <v>5-太古詞條</v>
      </c>
      <c r="D143" t="str">
        <f>計算表!D143</f>
        <v>太古詞條數值倍率</v>
      </c>
      <c r="E143" t="str">
        <f>計算表!E143</f>
        <v>原詞條上限 × a</v>
      </c>
      <c r="F143" t="str">
        <f>計算表!F143</f>
        <v>a=太古詞條強度倍率（上限已含×1.2，再×a）。</v>
      </c>
      <c r="G143">
        <f>計算表!G143</f>
        <v>1.35</v>
      </c>
      <c r="H143">
        <f>計算表!H143</f>
        <v>0</v>
      </c>
      <c r="I143">
        <f>計算表!I143</f>
        <v>0</v>
      </c>
      <c r="J143">
        <f>計算表!J143</f>
        <v>0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 s="2">
        <f>計算表!B144</f>
        <v>0</v>
      </c>
      <c r="C144" t="str">
        <f>計算表!C144</f>
        <v>5-高塔獎勵</v>
      </c>
      <c r="D144" t="str">
        <f>計算表!D144</f>
        <v>零件階級</v>
      </c>
      <c r="E144" t="str">
        <f>計算表!E144</f>
        <v>clamp(1+⌊(樓層-1)/a⌋, 1, 7)</v>
      </c>
      <c r="F144" t="str">
        <f>計算表!F144</f>
        <v>首通必得、重複通關 30%。</v>
      </c>
      <c r="G144">
        <f>計算表!G144</f>
        <v>4</v>
      </c>
      <c r="H144">
        <f>計算表!H144</f>
        <v>0</v>
      </c>
      <c r="I144">
        <f>計算表!I144</f>
        <v>0</v>
      </c>
      <c r="J144">
        <f>計算表!J144</f>
        <v>0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 s="2">
        <f>計算表!B145</f>
        <v>0</v>
      </c>
      <c r="C145" t="str">
        <f>計算表!C145</f>
        <v>5-高塔獎勵</v>
      </c>
      <c r="D145" t="str">
        <f>計算表!D145</f>
        <v>金幣</v>
      </c>
      <c r="E145" t="str">
        <f>計算表!E145</f>
        <v>a×樓層（首通×2）</v>
      </c>
      <c r="F145" t="str">
        <f>計算表!F145</f>
        <v>a=每層金幣。</v>
      </c>
      <c r="G145">
        <f>計算表!G145</f>
        <v>200</v>
      </c>
      <c r="H145">
        <f>計算表!H145</f>
        <v>0</v>
      </c>
      <c r="I145">
        <f>計算表!I145</f>
        <v>0</v>
      </c>
      <c r="J145">
        <f>計算表!J145</f>
        <v>0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 s="2">
        <f>計算表!B146</f>
        <v>0</v>
      </c>
      <c r="C146" t="str">
        <f>計算表!C146</f>
        <v>5-高塔獎勵</v>
      </c>
      <c r="D146" t="str">
        <f>計算表!D146</f>
        <v>寶石</v>
      </c>
      <c r="E146" t="str">
        <f>計算表!E146</f>
        <v>clamp(1+⌊樓層/a⌋, 1, 5)，隨機種類×2 顆</v>
      </c>
      <c r="F146" t="str">
        <f>計算表!F146</f>
        <v>a=樓層除數。</v>
      </c>
      <c r="G146">
        <f>計算表!G146</f>
        <v>4</v>
      </c>
      <c r="H146">
        <f>計算表!H146</f>
        <v>0</v>
      </c>
      <c r="I146">
        <f>計算表!I146</f>
        <v>0</v>
      </c>
      <c r="J146">
        <f>計算表!J146</f>
        <v>0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 s="2">
        <f>計算表!B147</f>
        <v>0</v>
      </c>
      <c r="C147" t="str">
        <f>計算表!C147</f>
        <v>5-高塔獎勵</v>
      </c>
      <c r="D147" t="str">
        <f>計算表!D147</f>
        <v>附魔精華</v>
      </c>
      <c r="E147" t="str">
        <f>計算表!E147</f>
        <v>a+樓層</v>
      </c>
      <c r="F147" t="str">
        <f>計算表!F147</f>
        <v>a=常數（另附魔書×2）。</v>
      </c>
      <c r="G147">
        <f>計算表!G147</f>
        <v>3</v>
      </c>
      <c r="H147">
        <f>計算表!H147</f>
        <v>0</v>
      </c>
      <c r="I147">
        <f>計算表!I147</f>
        <v>0</v>
      </c>
      <c r="J147">
        <f>計算表!J147</f>
        <v>0</v>
      </c>
      <c r="K147">
        <f>計算表!K147</f>
        <v>0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 s="2">
        <f>計算表!B148</f>
        <v>0</v>
      </c>
      <c r="C148" t="str">
        <f>計算表!C148</f>
        <v>5-高塔獎勵</v>
      </c>
      <c r="D148" t="str">
        <f>計算表!D148</f>
        <v>裝備戰利品等級</v>
      </c>
      <c r="E148" t="str">
        <f>計算表!E148</f>
        <v>a+樓層×b</v>
      </c>
      <c r="F148" t="str">
        <f>計算表!F148</f>
        <v>依 BOSS 掉落表擲骰。</v>
      </c>
      <c r="G148">
        <f>計算表!G148</f>
        <v>4</v>
      </c>
      <c r="H148">
        <f>計算表!H148</f>
        <v>5</v>
      </c>
      <c r="I148">
        <f>計算表!I148</f>
        <v>0</v>
      </c>
      <c r="J148">
        <f>計算表!J148</f>
        <v>0</v>
      </c>
      <c r="K148">
        <f>計算表!K148</f>
        <v>0</v>
      </c>
      <c r="L148">
        <f>計算表!L148</f>
        <v>0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 s="2">
        <f>計算表!B149</f>
        <v>0</v>
      </c>
      <c r="C149" t="str">
        <f>計算表!C149</f>
        <v>5-高塔裝備掉落</v>
      </c>
      <c r="D149" t="str">
        <f>計算表!D149</f>
        <v>普通裝備</v>
      </c>
      <c r="E149" t="str">
        <f>計算表!E149</f>
        <v>各樓層區間掉落率%（{樓層下限~上限=機率}）</v>
      </c>
      <c r="F149" t="str">
        <f>計算表!F149</f>
        <v>每品質獨立擲骰，&gt;100% 依必掉+餘數規則；實際機率 ×(1+有效掉寶率%)。</v>
      </c>
      <c r="G149" t="str">
        <f>計算表!G149</f>
        <v>{1~5=0}</v>
      </c>
      <c r="H149" t="str">
        <f>計算表!H149</f>
        <v>{6~10=0}</v>
      </c>
      <c r="I149" t="str">
        <f>計算表!I149</f>
        <v>{11~15=0}</v>
      </c>
      <c r="J149" t="str">
        <f>計算表!J149</f>
        <v>{16~20=0}</v>
      </c>
      <c r="K149" t="str">
        <f>計算表!K149</f>
        <v>{21~25=0}</v>
      </c>
      <c r="L149" t="str">
        <f>計算表!L149</f>
        <v>{26~30=0}</v>
      </c>
      <c r="M149" t="str">
        <f>計算表!M149</f>
        <v>{31+=0}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 s="2">
        <f>計算表!B150</f>
        <v>0</v>
      </c>
      <c r="C150" t="str">
        <f>計算表!C150</f>
        <v>5-高塔裝備掉落</v>
      </c>
      <c r="D150" t="str">
        <f>計算表!D150</f>
        <v>精良裝備</v>
      </c>
      <c r="E150" t="str">
        <f>計算表!E150</f>
        <v>各樓層區間掉落率%（{樓層下限~上限=機率}）</v>
      </c>
      <c r="F150" t="str">
        <f>計算表!F150</f>
        <v>每品質獨立擲骰，&gt;100% 依必掉+餘數規則；實際機率 ×(1+有效掉寶率%)。</v>
      </c>
      <c r="G150" t="str">
        <f>計算表!G150</f>
        <v>{1~5=0}</v>
      </c>
      <c r="H150" t="str">
        <f>計算表!H150</f>
        <v>{6~10=0}</v>
      </c>
      <c r="I150" t="str">
        <f>計算表!I150</f>
        <v>{11~15=0}</v>
      </c>
      <c r="J150" t="str">
        <f>計算表!J150</f>
        <v>{16~20=0}</v>
      </c>
      <c r="K150" t="str">
        <f>計算表!K150</f>
        <v>{21~25=0}</v>
      </c>
      <c r="L150" t="str">
        <f>計算表!L150</f>
        <v>{26~30=0}</v>
      </c>
      <c r="M150" t="str">
        <f>計算表!M150</f>
        <v>{31+=0}</v>
      </c>
      <c r="N150">
        <f>計算表!N150</f>
        <v>0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 s="2">
        <f>計算表!B151</f>
        <v>0</v>
      </c>
      <c r="C151" t="str">
        <f>計算表!C151</f>
        <v>5-高塔裝備掉落</v>
      </c>
      <c r="D151" t="str">
        <f>計算表!D151</f>
        <v>稀有裝備</v>
      </c>
      <c r="E151" t="str">
        <f>計算表!E151</f>
        <v>各樓層區間掉落率%（{樓層下限~上限=機率}）</v>
      </c>
      <c r="F151" t="str">
        <f>計算表!F151</f>
        <v>每品質獨立擲骰，&gt;100% 依必掉+餘數規則；實際機率 ×(1+有效掉寶率%)。</v>
      </c>
      <c r="G151" t="str">
        <f>計算表!G151</f>
        <v>{1~5=100}</v>
      </c>
      <c r="H151" t="str">
        <f>計算表!H151</f>
        <v>{6~10=100}</v>
      </c>
      <c r="I151" t="str">
        <f>計算表!I151</f>
        <v>{11~15=0}</v>
      </c>
      <c r="J151" t="str">
        <f>計算表!J151</f>
        <v>{16~20=0}</v>
      </c>
      <c r="K151" t="str">
        <f>計算表!K151</f>
        <v>{21~25=0}</v>
      </c>
      <c r="L151" t="str">
        <f>計算表!L151</f>
        <v>{26~30=0}</v>
      </c>
      <c r="M151" t="str">
        <f>計算表!M151</f>
        <v>{31+=0}</v>
      </c>
      <c r="N151">
        <f>計算表!N151</f>
        <v>0</v>
      </c>
      <c r="O151">
        <f>計算表!O151</f>
        <v>0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 s="2">
        <f>計算表!B152</f>
        <v>0</v>
      </c>
      <c r="C152" t="str">
        <f>計算表!C152</f>
        <v>5-高塔裝備掉落</v>
      </c>
      <c r="D152" t="str">
        <f>計算表!D152</f>
        <v>獨特裝備</v>
      </c>
      <c r="E152" t="str">
        <f>計算表!E152</f>
        <v>各樓層區間掉落率%（{樓層下限~上限=機率}）</v>
      </c>
      <c r="F152" t="str">
        <f>計算表!F152</f>
        <v>每品質獨立擲骰，&gt;100% 依必掉+餘數規則；實際機率 ×(1+有效掉寶率%)。</v>
      </c>
      <c r="G152" t="str">
        <f>計算表!G152</f>
        <v>{1~5=50}</v>
      </c>
      <c r="H152" t="str">
        <f>計算表!H152</f>
        <v>{6~10=100}</v>
      </c>
      <c r="I152" t="str">
        <f>計算表!I152</f>
        <v>{11~15=100}</v>
      </c>
      <c r="J152" t="str">
        <f>計算表!J152</f>
        <v>{16~20=150}</v>
      </c>
      <c r="K152" t="str">
        <f>計算表!K152</f>
        <v>{21~25=250}</v>
      </c>
      <c r="L152" t="str">
        <f>計算表!L152</f>
        <v>{26~30=300}</v>
      </c>
      <c r="M152" t="str">
        <f>計算表!M152</f>
        <v>{31+=300}</v>
      </c>
      <c r="N152">
        <f>計算表!N152</f>
        <v>0</v>
      </c>
      <c r="O152">
        <f>計算表!O152</f>
        <v>0</v>
      </c>
      <c r="P152">
        <f>計算表!P152</f>
        <v>0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152</v>
      </c>
      <c r="B153" s="2">
        <f>計算表!B153</f>
        <v>0</v>
      </c>
      <c r="C153" t="str">
        <f>計算表!C153</f>
        <v>5-高塔裝備掉落</v>
      </c>
      <c r="D153" t="str">
        <f>計算表!D153</f>
        <v>史詩裝備</v>
      </c>
      <c r="E153" t="str">
        <f>計算表!E153</f>
        <v>各樓層區間掉落率%（{樓層下限~上限=機率}）</v>
      </c>
      <c r="F153" t="str">
        <f>計算表!F153</f>
        <v>每品質獨立擲骰，&gt;100% 依必掉+餘數規則；實際機率 ×(1+有效掉寶率%)。</v>
      </c>
      <c r="G153" t="str">
        <f>計算表!G153</f>
        <v>{1~5=10}</v>
      </c>
      <c r="H153" t="str">
        <f>計算表!H153</f>
        <v>{6~10=20}</v>
      </c>
      <c r="I153" t="str">
        <f>計算表!I153</f>
        <v>{11~15=100}</v>
      </c>
      <c r="J153" t="str">
        <f>計算表!J153</f>
        <v>{16~20=100}</v>
      </c>
      <c r="K153" t="str">
        <f>計算表!K153</f>
        <v>{21~25=150}</v>
      </c>
      <c r="L153" t="str">
        <f>計算表!L153</f>
        <v>{26~30=200}</v>
      </c>
      <c r="M153" t="str">
        <f>計算表!M153</f>
        <v>{31+=200}</v>
      </c>
      <c r="N153">
        <f>計算表!N153</f>
        <v>0</v>
      </c>
      <c r="O153">
        <f>計算表!O153</f>
        <v>0</v>
      </c>
      <c r="P153">
        <f>計算表!P153</f>
        <v>0</v>
      </c>
      <c r="Q153">
        <f>計算表!Q153</f>
        <v>0</v>
      </c>
      <c r="R153">
        <f>計算表!R153</f>
        <v>0</v>
      </c>
    </row>
    <row r="154" spans="1:18" x14ac:dyDescent="0.25">
      <c r="A154">
        <f>計算表!A154</f>
        <v>153</v>
      </c>
      <c r="B154" s="2">
        <f>計算表!B154</f>
        <v>0</v>
      </c>
      <c r="C154" t="str">
        <f>計算表!C154</f>
        <v>5-高塔裝備掉落</v>
      </c>
      <c r="D154" t="str">
        <f>計算表!D154</f>
        <v>傳說裝備</v>
      </c>
      <c r="E154" t="str">
        <f>計算表!E154</f>
        <v>各樓層區間掉落率%（{樓層下限~上限=機率}）</v>
      </c>
      <c r="F154" t="str">
        <f>計算表!F154</f>
        <v>每品質獨立擲骰，&gt;100% 依必掉+餘數規則；實際機率 ×(1+有效掉寶率%)。</v>
      </c>
      <c r="G154" t="str">
        <f>計算表!G154</f>
        <v>{1~5=5}</v>
      </c>
      <c r="H154" t="str">
        <f>計算表!H154</f>
        <v>{6~10=10}</v>
      </c>
      <c r="I154" t="str">
        <f>計算表!I154</f>
        <v>{11~15=50}</v>
      </c>
      <c r="J154" t="str">
        <f>計算表!J154</f>
        <v>{16~20=50}</v>
      </c>
      <c r="K154" t="str">
        <f>計算表!K154</f>
        <v>{21~25=100}</v>
      </c>
      <c r="L154" t="str">
        <f>計算表!L154</f>
        <v>{26~30=150}</v>
      </c>
      <c r="M154" t="str">
        <f>計算表!M154</f>
        <v>{31+=150}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 s="2">
        <f>計算表!B155</f>
        <v>0</v>
      </c>
      <c r="C155" t="str">
        <f>計算表!C155</f>
        <v>5-高塔裝備掉落</v>
      </c>
      <c r="D155" t="str">
        <f>計算表!D155</f>
        <v>神話裝備</v>
      </c>
      <c r="E155" t="str">
        <f>計算表!E155</f>
        <v>各樓層區間掉落率%（{樓層下限~上限=機率}）</v>
      </c>
      <c r="F155" t="str">
        <f>計算表!F155</f>
        <v>每品質獨立擲骰，&gt;100% 依必掉+餘數規則；實際機率 ×(1+有效掉寶率%)。</v>
      </c>
      <c r="G155" t="str">
        <f>計算表!G155</f>
        <v>{1~5=0}</v>
      </c>
      <c r="H155" t="str">
        <f>計算表!H155</f>
        <v>{6~10=2}</v>
      </c>
      <c r="I155" t="str">
        <f>計算表!I155</f>
        <v>{11~15=5}</v>
      </c>
      <c r="J155" t="str">
        <f>計算表!J155</f>
        <v>{16~20=20}</v>
      </c>
      <c r="K155" t="str">
        <f>計算表!K155</f>
        <v>{21~25=33}</v>
      </c>
      <c r="L155" t="str">
        <f>計算表!L155</f>
        <v>{26~30=40}</v>
      </c>
      <c r="M155" t="str">
        <f>計算表!M155</f>
        <v>{31+=50}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 s="2">
        <f>計算表!B156</f>
        <v>0</v>
      </c>
      <c r="C156" t="str">
        <f>計算表!C156</f>
        <v>5-高塔裝備掉落</v>
      </c>
      <c r="D156" t="str">
        <f>計算表!D156</f>
        <v>創世裝備</v>
      </c>
      <c r="E156" t="str">
        <f>計算表!E156</f>
        <v>各樓層區間掉落率%（{樓層下限~上限=機率}）</v>
      </c>
      <c r="F156" t="str">
        <f>計算表!F156</f>
        <v>每品質獨立擲骰，&gt;100% 依必掉+餘數規則；實際機率 ×(1+有效掉寶率%)。</v>
      </c>
      <c r="G156" t="str">
        <f>計算表!G156</f>
        <v>{1~5=0}</v>
      </c>
      <c r="H156" t="str">
        <f>計算表!H156</f>
        <v>{6~10=0}</v>
      </c>
      <c r="I156" t="str">
        <f>計算表!I156</f>
        <v>{11~15=1}</v>
      </c>
      <c r="J156" t="str">
        <f>計算表!J156</f>
        <v>{16~20=2.5}</v>
      </c>
      <c r="K156" t="str">
        <f>計算表!K156</f>
        <v>{21~25=5}</v>
      </c>
      <c r="L156" t="str">
        <f>計算表!L156</f>
        <v>{26~30=10}</v>
      </c>
      <c r="M156" t="str">
        <f>計算表!M156</f>
        <v>{31+=15}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 s="2">
        <f>計算表!B157</f>
        <v>0</v>
      </c>
      <c r="C157" t="str">
        <f>計算表!C157</f>
        <v>6-裝備</v>
      </c>
      <c r="D157" t="str">
        <f>計算表!D157</f>
        <v>詞條數值</v>
      </c>
      <c r="E157" t="str">
        <f>計算表!E157</f>
        <v>(base+base×lv係數×(裝備等級-1))×稀有度倍率×rnd(0.8,1.2)</v>
      </c>
      <c r="F157" t="str">
        <f>計算表!F157</f>
        <v>base/lv係數見「詞條池」；稀有度倍率見「稀有度表」。　※指標列：base/lv 見「表-詞條池」，稀有度倍率見「表-稀有度」。</v>
      </c>
      <c r="G157">
        <f>計算表!G157</f>
        <v>0</v>
      </c>
      <c r="H157">
        <f>計算表!H157</f>
        <v>0</v>
      </c>
      <c r="I157">
        <f>計算表!I157</f>
        <v>0</v>
      </c>
      <c r="J157">
        <f>計算表!J157</f>
        <v>0</v>
      </c>
      <c r="K157">
        <f>計算表!K157</f>
        <v>0</v>
      </c>
      <c r="L157">
        <f>計算表!L157</f>
        <v>0</v>
      </c>
      <c r="M157">
        <f>計算表!M157</f>
        <v>0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 s="2">
        <f>計算表!B158</f>
        <v>0</v>
      </c>
      <c r="C158" t="str">
        <f>計算表!C158</f>
        <v>6-裝備</v>
      </c>
      <c r="D158" t="str">
        <f>計算表!D158</f>
        <v>太古詞條數值</v>
      </c>
      <c r="E158" t="str">
        <f>計算表!E158</f>
        <v>基準值×1.2×a</v>
      </c>
      <c r="F158" t="str">
        <f>計算表!F158</f>
        <v>a=太古倍率（=原上限的 135%）。　※實際由「5-太古詞條/太古詞條數值倍率」控制，本列不生效。</v>
      </c>
      <c r="G158">
        <f>計算表!G158</f>
        <v>1.35</v>
      </c>
      <c r="H158">
        <f>計算表!H158</f>
        <v>0</v>
      </c>
      <c r="I158">
        <f>計算表!I158</f>
        <v>0</v>
      </c>
      <c r="J158">
        <f>計算表!J158</f>
        <v>0</v>
      </c>
      <c r="K158">
        <f>計算表!K158</f>
        <v>0</v>
      </c>
      <c r="L158">
        <f>計算表!L158</f>
        <v>0</v>
      </c>
      <c r="M158">
        <f>計算表!M158</f>
        <v>0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 s="2">
        <f>計算表!B159</f>
        <v>0</v>
      </c>
      <c r="C159" t="str">
        <f>計算表!C159</f>
        <v>6-裝備</v>
      </c>
      <c r="D159" t="str">
        <f>計算表!D159</f>
        <v>強化倍率</v>
      </c>
      <c r="E159" t="str">
        <f>計算表!E159</f>
        <v>1 + a×強化等級</v>
      </c>
      <c r="F159" t="str">
        <f>計算表!F159</f>
        <v>裝備每 +1，全詞條數值 +5%。</v>
      </c>
      <c r="G159">
        <f>計算表!G159</f>
        <v>0.05</v>
      </c>
      <c r="H159">
        <f>計算表!H159</f>
        <v>0</v>
      </c>
      <c r="I159">
        <f>計算表!I159</f>
        <v>0</v>
      </c>
      <c r="J159">
        <f>計算表!J159</f>
        <v>0</v>
      </c>
      <c r="K159">
        <f>計算表!K159</f>
        <v>0</v>
      </c>
      <c r="L159">
        <f>計算表!L159</f>
        <v>0</v>
      </c>
      <c r="M159">
        <f>計算表!M159</f>
        <v>0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 s="2">
        <f>計算表!B160</f>
        <v>0</v>
      </c>
      <c r="C160" t="str">
        <f>計算表!C160</f>
        <v>6-裝備</v>
      </c>
      <c r="D160" t="str">
        <f>計算表!D160</f>
        <v>特殊被動數值</v>
      </c>
      <c r="E160" t="str">
        <f>計算表!E160</f>
        <v>base + perR×(稀有度-a)</v>
      </c>
      <c r="F160" t="str">
        <f>計算表!F160</f>
        <v>a=稀有級索引（稀有=基準）。base/perR 見「特殊被動表」。　※指標列：base/perR 見「表-特殊被動」。</v>
      </c>
      <c r="G160">
        <f>計算表!G160</f>
        <v>2</v>
      </c>
      <c r="H160">
        <f>計算表!H160</f>
        <v>0</v>
      </c>
      <c r="I160">
        <f>計算表!I160</f>
        <v>0</v>
      </c>
      <c r="J160">
        <f>計算表!J160</f>
        <v>0</v>
      </c>
      <c r="K160">
        <f>計算表!K160</f>
        <v>0</v>
      </c>
      <c r="L160">
        <f>計算表!L160</f>
        <v>0</v>
      </c>
      <c r="M160">
        <f>計算表!M160</f>
        <v>0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 s="2">
        <f>計算表!B161</f>
        <v>0</v>
      </c>
      <c r="C161" t="str">
        <f>計算表!C161</f>
        <v>6-裝備</v>
      </c>
      <c r="D161" t="str">
        <f>計算表!D161</f>
        <v>神鑄特效數值</v>
      </c>
      <c r="E161" t="str">
        <f>計算表!E161</f>
        <v>base × rnd(0.8, 1.2)</v>
      </c>
      <c r="F161" t="str">
        <f>計算表!F161</f>
        <v>base 見「神鑄特效表」。神力為額外乘區、彼此相乘。　※指標列：base 見「表-神鑄特效」。</v>
      </c>
      <c r="G161">
        <f>計算表!G161</f>
        <v>0</v>
      </c>
      <c r="H161">
        <f>計算表!H161</f>
        <v>0</v>
      </c>
      <c r="I161">
        <f>計算表!I161</f>
        <v>0</v>
      </c>
      <c r="J161">
        <f>計算表!J161</f>
        <v>0</v>
      </c>
      <c r="K161">
        <f>計算表!K161</f>
        <v>0</v>
      </c>
      <c r="L161">
        <f>計算表!L161</f>
        <v>0</v>
      </c>
      <c r="M161">
        <f>計算表!M161</f>
        <v>0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 s="2">
        <f>計算表!B162</f>
        <v>0</v>
      </c>
      <c r="C162" t="str">
        <f>計算表!C162</f>
        <v>6-裝備</v>
      </c>
      <c r="D162" t="str">
        <f>計算表!D162</f>
        <v>附魔-攻擊類</v>
      </c>
      <c r="E162" t="str">
        <f>計算表!E162</f>
        <v>(a+裝備等級×b)×稀有度倍率×(1+c×寶石等級)</v>
      </c>
      <c r="F162" t="str">
        <f>計算表!F162</f>
        <v>火焰附魔再×1.25。寶石等級只在混合合成帶入。</v>
      </c>
      <c r="G162">
        <f>計算表!G162</f>
        <v>5</v>
      </c>
      <c r="H162">
        <f>計算表!H162</f>
        <v>1.2</v>
      </c>
      <c r="I162">
        <f>計算表!I162</f>
        <v>0.15</v>
      </c>
      <c r="J162">
        <f>計算表!J162</f>
        <v>0</v>
      </c>
      <c r="K162">
        <f>計算表!K162</f>
        <v>0</v>
      </c>
      <c r="L162">
        <f>計算表!L162</f>
        <v>0</v>
      </c>
      <c r="M162">
        <f>計算表!M162</f>
        <v>0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 s="2">
        <f>計算表!B163</f>
        <v>0</v>
      </c>
      <c r="C163" t="str">
        <f>計算表!C163</f>
        <v>6-裝備</v>
      </c>
      <c r="D163" t="str">
        <f>計算表!D163</f>
        <v>附魔-防禦/功能類</v>
      </c>
      <c r="E163" t="str">
        <f>計算表!E163</f>
        <v>min(a + 稀有度×b + 寶石等級×c, d)</v>
      </c>
      <c r="F163" t="str">
        <f>計算表!F163</f>
        <v>a=基礎 b=每階 c=每寶石等級 d=上限%。</v>
      </c>
      <c r="G163">
        <f>計算表!G163</f>
        <v>8</v>
      </c>
      <c r="H163">
        <f>計算表!H163</f>
        <v>4</v>
      </c>
      <c r="I163">
        <f>計算表!I163</f>
        <v>3</v>
      </c>
      <c r="J163">
        <f>計算表!J163</f>
        <v>60</v>
      </c>
      <c r="K163">
        <f>計算表!K163</f>
        <v>0</v>
      </c>
      <c r="L163">
        <f>計算表!L163</f>
        <v>0</v>
      </c>
      <c r="M163">
        <f>計算表!M163</f>
        <v>0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 s="2">
        <f>計算表!B164</f>
        <v>0</v>
      </c>
      <c r="C164" t="str">
        <f>計算表!C164</f>
        <v>6-裝備</v>
      </c>
      <c r="D164" t="str">
        <f>計算表!D164</f>
        <v>手動附魔費用</v>
      </c>
      <c r="E164" t="str">
        <f>計算表!E164</f>
        <v>a 本附魔書 + b 附魔精華</v>
      </c>
      <c r="F164" t="str">
        <f>計算表!F164</f>
        <v>取下返還書、不退精華。</v>
      </c>
      <c r="G164">
        <f>計算表!G164</f>
        <v>1</v>
      </c>
      <c r="H164">
        <f>計算表!H164</f>
        <v>5</v>
      </c>
      <c r="I164">
        <f>計算表!I164</f>
        <v>0</v>
      </c>
      <c r="J164">
        <f>計算表!J164</f>
        <v>0</v>
      </c>
      <c r="K164">
        <f>計算表!K164</f>
        <v>0</v>
      </c>
      <c r="L164">
        <f>計算表!L164</f>
        <v>0</v>
      </c>
      <c r="M164">
        <f>計算表!M164</f>
        <v>0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 s="2">
        <f>計算表!B165</f>
        <v>0</v>
      </c>
      <c r="C165" t="str">
        <f>計算表!C165</f>
        <v>6-裝備</v>
      </c>
      <c r="D165" t="str">
        <f>計算表!D165</f>
        <v>戰力評分</v>
      </c>
      <c r="E165" t="str">
        <f>計算表!E165</f>
        <v>Σ(詞條×權重×強化)+Σ(寶石×權重) →被動×1.15 →神鑄特效×(1+a×件數) →+Σ(附魔×1.2攻/×2防) →×(1+稀有度×b)</v>
      </c>
      <c r="F165" t="str">
        <f>計算表!F165</f>
        <v>詞條/寶石權重見「戰力權重表」。a=每條神鑄特效加成 b=稀有度加成。自動換裝門檻：新評分&gt;舊×1.02。</v>
      </c>
      <c r="G165">
        <f>計算表!G165</f>
        <v>0.15</v>
      </c>
      <c r="H165">
        <f>計算表!H165</f>
        <v>0.06</v>
      </c>
      <c r="I165">
        <f>計算表!I165</f>
        <v>0</v>
      </c>
      <c r="J165">
        <f>計算表!J165</f>
        <v>0</v>
      </c>
      <c r="K165">
        <f>計算表!K165</f>
        <v>0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 s="2">
        <f>計算表!B166</f>
        <v>0</v>
      </c>
      <c r="C166" t="str">
        <f>計算表!C166</f>
        <v>6-裝備</v>
      </c>
      <c r="D166" t="str">
        <f>計算表!D166</f>
        <v>分解-碎片</v>
      </c>
      <c r="E166" t="str">
        <f>計算表!E166</f>
        <v>max(1, (a+裝備等級×b)×分解係數×rnd(0.85,1.15))</v>
      </c>
      <c r="F166" t="str">
        <f>計算表!F166</f>
        <v>分解係數見「稀有度表」salv 欄。</v>
      </c>
      <c r="G166">
        <f>計算表!G166</f>
        <v>2</v>
      </c>
      <c r="H166">
        <f>計算表!H166</f>
        <v>0.6</v>
      </c>
      <c r="I166">
        <f>計算表!I166</f>
        <v>0</v>
      </c>
      <c r="J166">
        <f>計算表!J166</f>
        <v>0</v>
      </c>
      <c r="K166">
        <f>計算表!K166</f>
        <v>0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 s="2">
        <f>計算表!B167</f>
        <v>0</v>
      </c>
      <c r="C167" t="str">
        <f>計算表!C167</f>
        <v>6-裝備</v>
      </c>
      <c r="D167" t="str">
        <f>計算表!D167</f>
        <v>分解-金幣</v>
      </c>
      <c r="E167" t="str">
        <f>計算表!E167</f>
        <v>(a+裝備等級)×分解係數×b</v>
      </c>
      <c r="F167" t="str">
        <f>計算表!F167</f>
        <v>a=常數 b=金幣係數。</v>
      </c>
      <c r="G167">
        <f>計算表!G167</f>
        <v>3</v>
      </c>
      <c r="H167">
        <f>計算表!H167</f>
        <v>0.5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 s="2">
        <f>計算表!B168</f>
        <v>0</v>
      </c>
      <c r="C168" t="str">
        <f>計算表!C168</f>
        <v>6-分解精華機率</v>
      </c>
      <c r="D168" t="str">
        <f>計算表!D168</f>
        <v>附魔精華拆解機率</v>
      </c>
      <c r="E168" t="str">
        <f>計算表!E168</f>
        <v>稀有度基礎機率 × (1+精粹透鏡加成/100)</v>
      </c>
      <c r="F168" t="str">
        <f>計算表!F168</f>
        <v>一列列出各稀有度基礎機率%。&gt;100% 採必得+餘數。</v>
      </c>
      <c r="G168">
        <f>計算表!G168</f>
        <v>0.1</v>
      </c>
      <c r="H168">
        <f>計算表!H168</f>
        <v>0.5</v>
      </c>
      <c r="I168">
        <f>計算表!I168</f>
        <v>1</v>
      </c>
      <c r="J168">
        <f>計算表!J168</f>
        <v>2</v>
      </c>
      <c r="K168">
        <f>計算表!K168</f>
        <v>4</v>
      </c>
      <c r="L168">
        <f>計算表!L168</f>
        <v>8</v>
      </c>
      <c r="M168">
        <f>計算表!M168</f>
        <v>20</v>
      </c>
      <c r="N168">
        <f>計算表!N168</f>
        <v>100</v>
      </c>
      <c r="O168">
        <f>計算表!O168</f>
        <v>100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 s="2">
        <f>計算表!B169</f>
        <v>0</v>
      </c>
      <c r="C169" t="str">
        <f>計算表!C169</f>
        <v>6-分解精華機率</v>
      </c>
      <c r="D169" t="str">
        <f>計算表!D169</f>
        <v>太古精華拆解機率(依稀有度)</v>
      </c>
      <c r="E169" t="str">
        <f>計算表!E169</f>
        <v>基礎機率×太古萃取器倍率；另每條太古詞條 50% 判定</v>
      </c>
      <c r="F169" t="str">
        <f>計算表!F169</f>
        <v>史詩0.5 傳說1 神話10 創世100 神鑄100（普通~獨特不掉）。</v>
      </c>
      <c r="G169">
        <f>計算表!G169</f>
        <v>0</v>
      </c>
      <c r="H169">
        <f>計算表!H169</f>
        <v>0</v>
      </c>
      <c r="I169">
        <f>計算表!I169</f>
        <v>0</v>
      </c>
      <c r="J169">
        <f>計算表!J169</f>
        <v>0</v>
      </c>
      <c r="K169">
        <f>計算表!K169</f>
        <v>0.5</v>
      </c>
      <c r="L169">
        <f>計算表!L169</f>
        <v>1</v>
      </c>
      <c r="M169">
        <f>計算表!M169</f>
        <v>10</v>
      </c>
      <c r="N169">
        <f>計算表!N169</f>
        <v>100</v>
      </c>
      <c r="O169">
        <f>計算表!O169</f>
        <v>100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 s="2">
        <f>計算表!B170</f>
        <v>0</v>
      </c>
      <c r="C170" t="str">
        <f>計算表!C170</f>
        <v>6-神鑄</v>
      </c>
      <c r="D170" t="str">
        <f>計算表!D170</f>
        <v>裝備神鑄成功率</v>
      </c>
      <c r="E170" t="str">
        <f>計算表!E170</f>
        <v>clamp(基礎 + 魔塵數×a, 0, 100)</v>
      </c>
      <c r="F170" t="str">
        <f>計算表!F170</f>
        <v>基礎：傳說55 神話40 創世25。a=每魔塵加成%。</v>
      </c>
      <c r="G170">
        <f>計算表!G170</f>
        <v>5</v>
      </c>
      <c r="H170">
        <f>計算表!H170</f>
        <v>0</v>
      </c>
      <c r="I170">
        <f>計算表!I170</f>
        <v>0</v>
      </c>
      <c r="J170">
        <f>計算表!J170</f>
        <v>0</v>
      </c>
      <c r="K170">
        <f>計算表!K170</f>
        <v>0</v>
      </c>
      <c r="L170">
        <f>計算表!L170</f>
        <v>0</v>
      </c>
      <c r="M170">
        <f>計算表!M170</f>
        <v>0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 s="2">
        <f>計算表!B171</f>
        <v>0</v>
      </c>
      <c r="C171" t="str">
        <f>計算表!C171</f>
        <v>6-神鑄</v>
      </c>
      <c r="D171" t="str">
        <f>計算表!D171</f>
        <v>裝備神鑄基礎成功率</v>
      </c>
      <c r="E171" t="str">
        <f>計算表!E171</f>
        <v>傳說a 神話b 創世c（%）</v>
      </c>
      <c r="F171" t="str">
        <f>計算表!F171</f>
        <v>依素材品質。</v>
      </c>
      <c r="G171">
        <f>計算表!G171</f>
        <v>55</v>
      </c>
      <c r="H171">
        <f>計算表!H171</f>
        <v>40</v>
      </c>
      <c r="I171">
        <f>計算表!I171</f>
        <v>25</v>
      </c>
      <c r="J171">
        <f>計算表!J171</f>
        <v>0</v>
      </c>
      <c r="K171">
        <f>計算表!K171</f>
        <v>0</v>
      </c>
      <c r="L171">
        <f>計算表!L171</f>
        <v>0</v>
      </c>
      <c r="M171">
        <f>計算表!M171</f>
        <v>0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 s="2">
        <f>計算表!B172</f>
        <v>0</v>
      </c>
      <c r="C172" t="str">
        <f>計算表!C172</f>
        <v>6-神鑄</v>
      </c>
      <c r="D172" t="str">
        <f>計算表!D172</f>
        <v>裝備神鑄金幣</v>
      </c>
      <c r="E172" t="str">
        <f>計算表!E172</f>
        <v>傳說a 神話b 創世c</v>
      </c>
      <c r="F172" t="str">
        <f>計算表!F172</f>
        <v>單次金幣消耗。</v>
      </c>
      <c r="G172">
        <f>計算表!G172</f>
        <v>5000000</v>
      </c>
      <c r="H172">
        <f>計算表!H172</f>
        <v>20000000</v>
      </c>
      <c r="I172">
        <f>計算表!I172</f>
        <v>100000000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 s="2">
        <f>計算表!B173</f>
        <v>0</v>
      </c>
      <c r="C173" t="str">
        <f>計算表!C173</f>
        <v>6-神鑄</v>
      </c>
      <c r="D173" t="str">
        <f>計算表!D173</f>
        <v>裝備神鑄時間(秒)</v>
      </c>
      <c r="E173" t="str">
        <f>計算表!E173</f>
        <v>傳說a 神話b 創世c</v>
      </c>
      <c r="F173">
        <f>計算表!F173</f>
        <v>0</v>
      </c>
      <c r="G173">
        <f>計算表!G173</f>
        <v>3</v>
      </c>
      <c r="H173">
        <f>計算表!H173</f>
        <v>5</v>
      </c>
      <c r="I173">
        <f>計算表!I173</f>
        <v>8</v>
      </c>
      <c r="J173">
        <f>計算表!J173</f>
        <v>0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 s="2">
        <f>計算表!B174</f>
        <v>0</v>
      </c>
      <c r="C174" t="str">
        <f>計算表!C174</f>
        <v>6-神鑄</v>
      </c>
      <c r="D174" t="str">
        <f>計算表!D174</f>
        <v>寶石神鑄成功率</v>
      </c>
      <c r="E174" t="str">
        <f>計算表!E174</f>
        <v>clamp(基礎 + 魔塵數×a, 0, 100)</v>
      </c>
      <c r="F174" t="str">
        <f>計算表!F174</f>
        <v>基礎：5階45 6階35 7階25 8階15 9階5。a=每魔塵加成%。</v>
      </c>
      <c r="G174">
        <f>計算表!G174</f>
        <v>3</v>
      </c>
      <c r="H174">
        <f>計算表!H174</f>
        <v>0</v>
      </c>
      <c r="I174">
        <f>計算表!I174</f>
        <v>0</v>
      </c>
      <c r="J174">
        <f>計算表!J174</f>
        <v>0</v>
      </c>
      <c r="K174">
        <f>計算表!K174</f>
        <v>0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 s="2">
        <f>計算表!B175</f>
        <v>0</v>
      </c>
      <c r="C175" t="str">
        <f>計算表!C175</f>
        <v>6-神鑄</v>
      </c>
      <c r="D175" t="str">
        <f>計算表!D175</f>
        <v>寶石神鑄基礎成功率</v>
      </c>
      <c r="E175" t="str">
        <f>計算表!E175</f>
        <v>5階a 6階b 7階c 8階d 9階e（%）</v>
      </c>
      <c r="F175" t="str">
        <f>計算表!F175</f>
        <v>依素材階級。</v>
      </c>
      <c r="G175">
        <f>計算表!G175</f>
        <v>50</v>
      </c>
      <c r="H175">
        <f>計算表!H175</f>
        <v>40</v>
      </c>
      <c r="I175">
        <f>計算表!I175</f>
        <v>35</v>
      </c>
      <c r="J175">
        <f>計算表!J175</f>
        <v>25</v>
      </c>
      <c r="K175">
        <f>計算表!K175</f>
        <v>15</v>
      </c>
      <c r="L175">
        <f>計算表!L175</f>
        <v>0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 s="2">
        <f>計算表!B176</f>
        <v>0</v>
      </c>
      <c r="C176" t="str">
        <f>計算表!C176</f>
        <v>6-神鑄</v>
      </c>
      <c r="D176" t="str">
        <f>計算表!D176</f>
        <v>寶石神鑄金幣</v>
      </c>
      <c r="E176" t="str">
        <f>計算表!E176</f>
        <v>a + (素材階級-b)×a</v>
      </c>
      <c r="F176" t="str">
        <f>計算表!F176</f>
        <v>a=基礎 b=起始階級。</v>
      </c>
      <c r="G176">
        <f>計算表!G176</f>
        <v>1000000</v>
      </c>
      <c r="H176">
        <f>計算表!H176</f>
        <v>5</v>
      </c>
      <c r="I176">
        <f>計算表!I176</f>
        <v>0</v>
      </c>
      <c r="J176">
        <f>計算表!J176</f>
        <v>0</v>
      </c>
      <c r="K176">
        <f>計算表!K176</f>
        <v>0</v>
      </c>
      <c r="L176">
        <f>計算表!L176</f>
        <v>0</v>
      </c>
      <c r="M176">
        <f>計算表!M176</f>
        <v>0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 s="2">
        <f>計算表!B177</f>
        <v>0</v>
      </c>
      <c r="C177" t="str">
        <f>計算表!C177</f>
        <v>6-神鑄</v>
      </c>
      <c r="D177" t="str">
        <f>計算表!D177</f>
        <v>寶石神鑄時間(秒)</v>
      </c>
      <c r="E177" t="str">
        <f>計算表!E177</f>
        <v>5階a 6階b 7階c 8階d 9階e</v>
      </c>
      <c r="F177">
        <f>計算表!F177</f>
        <v>0</v>
      </c>
      <c r="G177">
        <f>計算表!G177</f>
        <v>2</v>
      </c>
      <c r="H177">
        <f>計算表!H177</f>
        <v>3</v>
      </c>
      <c r="I177">
        <f>計算表!I177</f>
        <v>4</v>
      </c>
      <c r="J177">
        <f>計算表!J177</f>
        <v>5</v>
      </c>
      <c r="K177">
        <f>計算表!K177</f>
        <v>6</v>
      </c>
      <c r="L177">
        <f>計算表!L177</f>
        <v>0</v>
      </c>
      <c r="M177">
        <f>計算表!M177</f>
        <v>0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 s="2">
        <f>計算表!B178</f>
        <v>0</v>
      </c>
      <c r="C178" t="str">
        <f>計算表!C178</f>
        <v>6-神鑄</v>
      </c>
      <c r="D178" t="str">
        <f>計算表!D178</f>
        <v>神鑄失敗</v>
      </c>
      <c r="E178" t="str">
        <f>計算表!E178</f>
        <v>裝備消耗a件退b件；寶石消耗a顆退b顆；每次失敗得魔塵1</v>
      </c>
      <c r="F178" t="str">
        <f>計算表!F178</f>
        <v>a=消耗 b=退回。</v>
      </c>
      <c r="G178">
        <f>計算表!G178</f>
        <v>3</v>
      </c>
      <c r="H178">
        <f>計算表!H178</f>
        <v>3</v>
      </c>
      <c r="I178">
        <f>計算表!I178</f>
        <v>0</v>
      </c>
      <c r="J178">
        <f>計算表!J178</f>
        <v>0</v>
      </c>
      <c r="K178">
        <f>計算表!K178</f>
        <v>0</v>
      </c>
      <c r="L178">
        <f>計算表!L178</f>
        <v>0</v>
      </c>
      <c r="M178">
        <f>計算表!M178</f>
        <v>0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 s="2">
        <f>計算表!B179</f>
        <v>0</v>
      </c>
      <c r="C179" t="str">
        <f>計算表!C179</f>
        <v>6-神鑄</v>
      </c>
      <c r="D179" t="str">
        <f>計算表!D179</f>
        <v>神鑄槽位 / 魔塵上限</v>
      </c>
      <c r="E179" t="str">
        <f>計算表!E179</f>
        <v>法陣a格；魔塵最多b個</v>
      </c>
      <c r="F179" t="str">
        <f>計算表!F179</f>
        <v>a=槽位 b=魔塵上限。</v>
      </c>
      <c r="G179">
        <f>計算表!G179</f>
        <v>6</v>
      </c>
      <c r="H179">
        <f>計算表!H179</f>
        <v>6</v>
      </c>
      <c r="I179">
        <f>計算表!I179</f>
        <v>0</v>
      </c>
      <c r="J179">
        <f>計算表!J179</f>
        <v>0</v>
      </c>
      <c r="K179">
        <f>計算表!K179</f>
        <v>0</v>
      </c>
      <c r="L179">
        <f>計算表!L179</f>
        <v>0</v>
      </c>
      <c r="M179">
        <f>計算表!M179</f>
        <v>0</v>
      </c>
      <c r="N179">
        <f>計算表!N179</f>
        <v>0</v>
      </c>
      <c r="O179">
        <f>計算表!O179</f>
        <v>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 s="2">
        <f>計算表!B180</f>
        <v>0</v>
      </c>
      <c r="C180" t="str">
        <f>計算表!C180</f>
        <v>7-強化</v>
      </c>
      <c r="D180" t="str">
        <f>計算表!D180</f>
        <v>基礎成功率</v>
      </c>
      <c r="E180" t="str">
        <f>計算表!E180</f>
        <v>+5 以內 100%；之後 max(a%, 100% - (目標等級-5)×b%)</v>
      </c>
      <c r="F180" t="str">
        <f>計算表!F180</f>
        <v>a=下限 b=每級遞減。實際=基礎+強化成功率屬性。</v>
      </c>
      <c r="G180">
        <f>計算表!G180</f>
        <v>30</v>
      </c>
      <c r="H180">
        <f>計算表!H180</f>
        <v>6</v>
      </c>
      <c r="I180">
        <f>計算表!I180</f>
        <v>0</v>
      </c>
      <c r="J180">
        <f>計算表!J180</f>
        <v>0</v>
      </c>
      <c r="K180">
        <f>計算表!K180</f>
        <v>0</v>
      </c>
      <c r="L180">
        <f>計算表!L180</f>
        <v>0</v>
      </c>
      <c r="M180">
        <f>計算表!M180</f>
        <v>0</v>
      </c>
      <c r="N180">
        <f>計算表!N180</f>
        <v>0</v>
      </c>
      <c r="O180">
        <f>計算表!O180</f>
        <v>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x14ac:dyDescent="0.25">
      <c r="A181">
        <f>計算表!A181</f>
        <v>180</v>
      </c>
      <c r="B181" s="2">
        <f>計算表!B181</f>
        <v>0</v>
      </c>
      <c r="C181" t="str">
        <f>計算表!C181</f>
        <v>7-強化</v>
      </c>
      <c r="D181" t="str">
        <f>計算表!D181</f>
        <v>金幣費用</v>
      </c>
      <c r="E181" t="str">
        <f>計算表!E181</f>
        <v>a × b^目前強化等級 × (1+裝備等級×c)</v>
      </c>
      <c r="F181">
        <f>計算表!F181</f>
        <v>0</v>
      </c>
      <c r="G181">
        <f>計算表!G181</f>
        <v>25</v>
      </c>
      <c r="H181">
        <f>計算表!H181</f>
        <v>1.45</v>
      </c>
      <c r="I181">
        <f>計算表!I181</f>
        <v>0.08</v>
      </c>
      <c r="J181">
        <f>計算表!J181</f>
        <v>0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 s="2">
        <f>計算表!B182</f>
        <v>0</v>
      </c>
      <c r="C182" t="str">
        <f>計算表!C182</f>
        <v>7-強化</v>
      </c>
      <c r="D182" t="str">
        <f>計算表!D182</f>
        <v>碎片費用</v>
      </c>
      <c r="E182" t="str">
        <f>計算表!E182</f>
        <v>a × b^目前強化等級 × (1+裝備等級×c)</v>
      </c>
      <c r="F182">
        <f>計算表!F182</f>
        <v>0</v>
      </c>
      <c r="G182">
        <f>計算表!G182</f>
        <v>8</v>
      </c>
      <c r="H182">
        <f>計算表!H182</f>
        <v>1.35</v>
      </c>
      <c r="I182">
        <f>計算表!I182</f>
        <v>0.04</v>
      </c>
      <c r="J182">
        <f>計算表!J182</f>
        <v>0</v>
      </c>
      <c r="K182">
        <f>計算表!K182</f>
        <v>0</v>
      </c>
      <c r="L182">
        <f>計算表!L182</f>
        <v>0</v>
      </c>
      <c r="M182">
        <f>計算表!M182</f>
        <v>0</v>
      </c>
      <c r="N182">
        <f>計算表!N182</f>
        <v>0</v>
      </c>
      <c r="O182">
        <f>計算表!O182</f>
        <v>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 s="2">
        <f>計算表!B183</f>
        <v>0</v>
      </c>
      <c r="C183" t="str">
        <f>計算表!C183</f>
        <v>7-強化</v>
      </c>
      <c r="D183" t="str">
        <f>計算表!D183</f>
        <v>失敗懲罰</v>
      </c>
      <c r="E183" t="str">
        <f>計算表!E183</f>
        <v>消耗半數費用，強化等級不變</v>
      </c>
      <c r="F183" t="str">
        <f>計算表!F183</f>
        <v>寫死：失敗消耗半數費用。</v>
      </c>
      <c r="G183">
        <f>計算表!G183</f>
        <v>0</v>
      </c>
      <c r="H183">
        <f>計算表!H183</f>
        <v>0</v>
      </c>
      <c r="I183">
        <f>計算表!I183</f>
        <v>0</v>
      </c>
      <c r="J183">
        <f>計算表!J183</f>
        <v>0</v>
      </c>
      <c r="K183">
        <f>計算表!K183</f>
        <v>0</v>
      </c>
      <c r="L183">
        <f>計算表!L183</f>
        <v>0</v>
      </c>
      <c r="M183">
        <f>計算表!M183</f>
        <v>0</v>
      </c>
      <c r="N183">
        <f>計算表!N183</f>
        <v>0</v>
      </c>
      <c r="O183">
        <f>計算表!O183</f>
        <v>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計算表!A184</f>
        <v>183</v>
      </c>
      <c r="B184" s="2">
        <f>計算表!B184</f>
        <v>0</v>
      </c>
      <c r="C184" t="str">
        <f>計算表!C184</f>
        <v>7-洗煉</v>
      </c>
      <c r="D184" t="str">
        <f>計算表!D184</f>
        <v>金幣費用</v>
      </c>
      <c r="E184" t="str">
        <f>計算表!E184</f>
        <v>a × b^稀有度 × (1+裝備等級×c)</v>
      </c>
      <c r="F184">
        <f>計算表!F184</f>
        <v>0</v>
      </c>
      <c r="G184">
        <f>計算表!G184</f>
        <v>40</v>
      </c>
      <c r="H184">
        <f>計算表!H184</f>
        <v>1.7</v>
      </c>
      <c r="I184">
        <f>計算表!I184</f>
        <v>0.15</v>
      </c>
      <c r="J184">
        <f>計算表!J184</f>
        <v>0</v>
      </c>
      <c r="K184">
        <f>計算表!K184</f>
        <v>0</v>
      </c>
      <c r="L184">
        <f>計算表!L184</f>
        <v>0</v>
      </c>
      <c r="M184">
        <f>計算表!M184</f>
        <v>0</v>
      </c>
      <c r="N184">
        <f>計算表!N184</f>
        <v>0</v>
      </c>
      <c r="O184">
        <f>計算表!O184</f>
        <v>0</v>
      </c>
      <c r="P184">
        <f>計算表!P184</f>
        <v>0</v>
      </c>
      <c r="Q184">
        <f>計算表!Q184</f>
        <v>0</v>
      </c>
      <c r="R184">
        <f>計算表!R184</f>
        <v>0</v>
      </c>
    </row>
    <row r="185" spans="1:18" x14ac:dyDescent="0.25">
      <c r="A185">
        <f>計算表!A185</f>
        <v>184</v>
      </c>
      <c r="B185" s="2">
        <f>計算表!B185</f>
        <v>0</v>
      </c>
      <c r="C185" t="str">
        <f>計算表!C185</f>
        <v>7-洗煉</v>
      </c>
      <c r="D185" t="str">
        <f>計算表!D185</f>
        <v>精華費用</v>
      </c>
      <c r="E185" t="str">
        <f>計算表!E185</f>
        <v>普通~傳說 1+稀有度；神話a 創世b 神鑄c</v>
      </c>
      <c r="F185" t="str">
        <f>計算表!F185</f>
        <v>a/b/c=神話/創世/神鑄創世固定值。</v>
      </c>
      <c r="G185">
        <f>計算表!G185</f>
        <v>9</v>
      </c>
      <c r="H185">
        <f>計算表!H185</f>
        <v>14</v>
      </c>
      <c r="I185">
        <f>計算表!I185</f>
        <v>20</v>
      </c>
      <c r="J185">
        <f>計算表!J185</f>
        <v>0</v>
      </c>
      <c r="K185">
        <f>計算表!K185</f>
        <v>0</v>
      </c>
      <c r="L185">
        <f>計算表!L185</f>
        <v>0</v>
      </c>
      <c r="M185">
        <f>計算表!M185</f>
        <v>0</v>
      </c>
      <c r="N185">
        <f>計算表!N185</f>
        <v>0</v>
      </c>
      <c r="O185">
        <f>計算表!O185</f>
        <v>0</v>
      </c>
      <c r="P185">
        <f>計算表!P185</f>
        <v>0</v>
      </c>
      <c r="Q185">
        <f>計算表!Q185</f>
        <v>0</v>
      </c>
      <c r="R185">
        <f>計算表!R185</f>
        <v>0</v>
      </c>
    </row>
    <row r="186" spans="1:18" x14ac:dyDescent="0.25">
      <c r="A186">
        <f>計算表!A186</f>
        <v>185</v>
      </c>
      <c r="B186" s="2">
        <f>計算表!B186</f>
        <v>0</v>
      </c>
      <c r="C186" t="str">
        <f>計算表!C186</f>
        <v>7-洗煉</v>
      </c>
      <c r="D186" t="str">
        <f>計算表!D186</f>
        <v>太古精華洗煉</v>
      </c>
      <c r="E186" t="str">
        <f>計算表!E186</f>
        <v>勾選後根據裝備品質消耗，本次每詞條 a% 成為太古</v>
      </c>
      <c r="F186" t="str">
        <f>計算表!F186</f>
        <v>a=太古機率。</v>
      </c>
      <c r="G186">
        <f>計算表!G186</f>
        <v>30</v>
      </c>
      <c r="H186">
        <f>計算表!H186</f>
        <v>0</v>
      </c>
      <c r="I186">
        <f>計算表!I186</f>
        <v>0</v>
      </c>
      <c r="J186">
        <f>計算表!J186</f>
        <v>0</v>
      </c>
      <c r="K186">
        <f>計算表!K186</f>
        <v>0</v>
      </c>
      <c r="L186">
        <f>計算表!L186</f>
        <v>0</v>
      </c>
      <c r="M186">
        <f>計算表!M186</f>
        <v>0</v>
      </c>
      <c r="N186">
        <f>計算表!N186</f>
        <v>0</v>
      </c>
      <c r="O186">
        <f>計算表!O186</f>
        <v>0</v>
      </c>
      <c r="P186">
        <f>計算表!P186</f>
        <v>0</v>
      </c>
      <c r="Q186">
        <f>計算表!Q186</f>
        <v>0</v>
      </c>
      <c r="R186">
        <f>計算表!R186</f>
        <v>0</v>
      </c>
    </row>
    <row r="187" spans="1:18" x14ac:dyDescent="0.25">
      <c r="A187">
        <f>計算表!A187</f>
        <v>186</v>
      </c>
      <c r="B187" s="2">
        <f>計算表!B187</f>
        <v>0</v>
      </c>
      <c r="C187" t="str">
        <f>計算表!C187</f>
        <v>7-洗煉</v>
      </c>
      <c r="D187" t="str">
        <f>計算表!D187</f>
        <v>太古精華洗煉消耗</v>
      </c>
      <c r="E187" t="str">
        <f>計算表!E187</f>
        <v>勾選後根據裝備品質消耗，本次每詞條 a% 成為太古</v>
      </c>
      <c r="F187" t="str">
        <f>計算表!F187</f>
        <v>根據裝備品質每次使用太古精華的消耗數量，a=普通 b=精良 c=稀有 d=獨特 e=史詩 f=傳說 g=神話 h=創世 i=神鑄創世 的消耗數量</v>
      </c>
      <c r="G187">
        <f>計算表!G187</f>
        <v>1</v>
      </c>
      <c r="H187">
        <f>計算表!H187</f>
        <v>1</v>
      </c>
      <c r="I187">
        <f>計算表!I187</f>
        <v>1</v>
      </c>
      <c r="J187">
        <f>計算表!J187</f>
        <v>1</v>
      </c>
      <c r="K187">
        <f>計算表!K187</f>
        <v>1</v>
      </c>
      <c r="L187">
        <f>計算表!L187</f>
        <v>1</v>
      </c>
      <c r="M187">
        <f>計算表!M187</f>
        <v>2</v>
      </c>
      <c r="N187">
        <f>計算表!N187</f>
        <v>3</v>
      </c>
      <c r="O187">
        <f>計算表!O187</f>
        <v>4</v>
      </c>
      <c r="P187">
        <f>計算表!P187</f>
        <v>0</v>
      </c>
      <c r="Q187">
        <f>計算表!Q187</f>
        <v>0</v>
      </c>
      <c r="R187">
        <f>計算表!R187</f>
        <v>0</v>
      </c>
    </row>
    <row r="188" spans="1:18" x14ac:dyDescent="0.25">
      <c r="A188">
        <f>計算表!A188</f>
        <v>187</v>
      </c>
      <c r="B188" s="2">
        <f>計算表!B188</f>
        <v>0</v>
      </c>
      <c r="C188" t="str">
        <f>計算表!C188</f>
        <v>7-合成</v>
      </c>
      <c r="D188" t="str">
        <f>計算表!D188</f>
        <v>大成功率</v>
      </c>
      <c r="E188" t="str">
        <f>計算表!E188</f>
        <v>a% + 幸運核心×每階8% + 幸運值/2</v>
      </c>
      <c r="F188" t="str">
        <f>計算表!F188</f>
        <v>a=基礎%。</v>
      </c>
      <c r="G188">
        <f>計算表!G188</f>
        <v>5</v>
      </c>
      <c r="H188">
        <f>計算表!H188</f>
        <v>0</v>
      </c>
      <c r="I188">
        <f>計算表!I188</f>
        <v>0</v>
      </c>
      <c r="J188">
        <f>計算表!J188</f>
        <v>0</v>
      </c>
      <c r="K188">
        <f>計算表!K188</f>
        <v>0</v>
      </c>
      <c r="L188">
        <f>計算表!L188</f>
        <v>0</v>
      </c>
      <c r="M188">
        <f>計算表!M188</f>
        <v>0</v>
      </c>
      <c r="N188">
        <f>計算表!N188</f>
        <v>0</v>
      </c>
      <c r="O188">
        <f>計算表!O188</f>
        <v>0</v>
      </c>
      <c r="P188">
        <f>計算表!P188</f>
        <v>0</v>
      </c>
      <c r="Q188">
        <f>計算表!Q188</f>
        <v>0</v>
      </c>
      <c r="R188">
        <f>計算表!R188</f>
        <v>0</v>
      </c>
    </row>
    <row r="189" spans="1:18" x14ac:dyDescent="0.25">
      <c r="A189">
        <f>計算表!A189</f>
        <v>188</v>
      </c>
      <c r="B189" s="2">
        <f>計算表!B189</f>
        <v>0</v>
      </c>
      <c r="C189" t="str">
        <f>計算表!C189</f>
        <v>7-合成</v>
      </c>
      <c r="D189" t="str">
        <f>計算表!D189</f>
        <v>品質合成</v>
      </c>
      <c r="E189" t="str">
        <f>計算表!E189</f>
        <v>3 件同稀有度 → 1 件高一階（等級=平均）；大成功再+1 階</v>
      </c>
      <c r="F189" t="str">
        <f>計算表!F189</f>
        <v>合成功能已停用(SYNTHESIS_ENABLED=false)，本列未生效。</v>
      </c>
      <c r="G189">
        <f>計算表!G189</f>
        <v>0</v>
      </c>
      <c r="H189">
        <f>計算表!H189</f>
        <v>0</v>
      </c>
      <c r="I189">
        <f>計算表!I189</f>
        <v>0</v>
      </c>
      <c r="J189">
        <f>計算表!J189</f>
        <v>0</v>
      </c>
      <c r="K189">
        <f>計算表!K189</f>
        <v>0</v>
      </c>
      <c r="L189">
        <f>計算表!L189</f>
        <v>0</v>
      </c>
      <c r="M189">
        <f>計算表!M189</f>
        <v>0</v>
      </c>
      <c r="N189">
        <f>計算表!N189</f>
        <v>0</v>
      </c>
      <c r="O189">
        <f>計算表!O189</f>
        <v>0</v>
      </c>
      <c r="P189">
        <f>計算表!P189</f>
        <v>0</v>
      </c>
      <c r="Q189">
        <f>計算表!Q189</f>
        <v>0</v>
      </c>
      <c r="R189">
        <f>計算表!R189</f>
        <v>0</v>
      </c>
    </row>
    <row r="190" spans="1:18" x14ac:dyDescent="0.25">
      <c r="A190">
        <f>計算表!A190</f>
        <v>189</v>
      </c>
      <c r="B190" s="2">
        <f>計算表!B190</f>
        <v>0</v>
      </c>
      <c r="C190" t="str">
        <f>計算表!C190</f>
        <v>7-合成</v>
      </c>
      <c r="D190" t="str">
        <f>計算表!D190</f>
        <v>混合合成</v>
      </c>
      <c r="E190" t="str">
        <f>計算表!E190</f>
        <v>1 裝備+1 寶石+1 附魔書 → 附魔（威力吃寶石等級）；大成功稀有度+1</v>
      </c>
      <c r="F190" t="str">
        <f>計算表!F190</f>
        <v>合成功能已停用，本列未生效。</v>
      </c>
      <c r="G190">
        <f>計算表!G190</f>
        <v>0</v>
      </c>
      <c r="H190">
        <f>計算表!H190</f>
        <v>0</v>
      </c>
      <c r="I190">
        <f>計算表!I190</f>
        <v>0</v>
      </c>
      <c r="J190">
        <f>計算表!J190</f>
        <v>0</v>
      </c>
      <c r="K190">
        <f>計算表!K190</f>
        <v>0</v>
      </c>
      <c r="L190">
        <f>計算表!L190</f>
        <v>0</v>
      </c>
      <c r="M190">
        <f>計算表!M190</f>
        <v>0</v>
      </c>
      <c r="N190">
        <f>計算表!N190</f>
        <v>0</v>
      </c>
      <c r="O190">
        <f>計算表!O190</f>
        <v>0</v>
      </c>
      <c r="P190">
        <f>計算表!P190</f>
        <v>0</v>
      </c>
      <c r="Q190">
        <f>計算表!Q190</f>
        <v>0</v>
      </c>
      <c r="R190">
        <f>計算表!R190</f>
        <v>0</v>
      </c>
    </row>
    <row r="191" spans="1:18" x14ac:dyDescent="0.25">
      <c r="A191">
        <f>計算表!A191</f>
        <v>190</v>
      </c>
      <c r="B191" s="2">
        <f>計算表!B191</f>
        <v>0</v>
      </c>
      <c r="C191" t="str">
        <f>計算表!C191</f>
        <v>7-合成</v>
      </c>
      <c r="D191" t="str">
        <f>計算表!D191</f>
        <v>合成變異</v>
      </c>
      <c r="E191" t="str">
        <f>計算表!E191</f>
        <v>機率=合成變異率屬性（上限60%）；附魔威力×1.5 並追加 1 條詞條</v>
      </c>
      <c r="F191" t="str">
        <f>計算表!F191</f>
        <v>合成功能已停用，本列未生效。</v>
      </c>
      <c r="G191">
        <f>計算表!G191</f>
        <v>0</v>
      </c>
      <c r="H191">
        <f>計算表!H191</f>
        <v>0</v>
      </c>
      <c r="I191">
        <f>計算表!I191</f>
        <v>0</v>
      </c>
      <c r="J191">
        <f>計算表!J191</f>
        <v>0</v>
      </c>
      <c r="K191">
        <f>計算表!K191</f>
        <v>0</v>
      </c>
      <c r="L191">
        <f>計算表!L191</f>
        <v>0</v>
      </c>
      <c r="M191">
        <f>計算表!M191</f>
        <v>0</v>
      </c>
      <c r="N191">
        <f>計算表!N191</f>
        <v>0</v>
      </c>
      <c r="O191">
        <f>計算表!O191</f>
        <v>0</v>
      </c>
      <c r="P191">
        <f>計算表!P191</f>
        <v>0</v>
      </c>
      <c r="Q191">
        <f>計算表!Q191</f>
        <v>0</v>
      </c>
      <c r="R191">
        <f>計算表!R191</f>
        <v>0</v>
      </c>
    </row>
    <row r="192" spans="1:18" x14ac:dyDescent="0.25">
      <c r="A192">
        <f>計算表!A192</f>
        <v>191</v>
      </c>
      <c r="B192" s="2">
        <f>計算表!B192</f>
        <v>0</v>
      </c>
      <c r="C192" t="str">
        <f>計算表!C192</f>
        <v>7-分解速度</v>
      </c>
      <c r="D192" t="str">
        <f>計算表!D192</f>
        <v>分解處理速度</v>
      </c>
      <c r="E192" t="str">
        <f>計算表!E192</f>
        <v>間隔 = a 秒 ÷ (1+加速加成)</v>
      </c>
      <c r="F192" t="str">
        <f>計算表!F192</f>
        <v>加速齒輪每階+25%，另固定+50 個百分點。　※＝生產線處理間隔，由「7-容量/生產線處理間隔」控制，本列不生效。</v>
      </c>
      <c r="G192">
        <f>計算表!G192</f>
        <v>2</v>
      </c>
      <c r="H192">
        <f>計算表!H192</f>
        <v>0</v>
      </c>
      <c r="I192">
        <f>計算表!I192</f>
        <v>0</v>
      </c>
      <c r="J192">
        <f>計算表!J192</f>
        <v>0</v>
      </c>
      <c r="K192">
        <f>計算表!K192</f>
        <v>0</v>
      </c>
      <c r="L192">
        <f>計算表!L192</f>
        <v>0</v>
      </c>
      <c r="M192">
        <f>計算表!M192</f>
        <v>0</v>
      </c>
      <c r="N192">
        <f>計算表!N192</f>
        <v>0</v>
      </c>
      <c r="O192">
        <f>計算表!O192</f>
        <v>0</v>
      </c>
      <c r="P192">
        <f>計算表!P192</f>
        <v>0</v>
      </c>
      <c r="Q192">
        <f>計算表!Q192</f>
        <v>0</v>
      </c>
      <c r="R192">
        <f>計算表!R192</f>
        <v>0</v>
      </c>
    </row>
    <row r="193" spans="1:18" x14ac:dyDescent="0.25">
      <c r="A193">
        <f>計算表!A193</f>
        <v>192</v>
      </c>
      <c r="B193" s="2">
        <f>計算表!B193</f>
        <v>0</v>
      </c>
      <c r="C193" t="str">
        <f>計算表!C193</f>
        <v>7-分解槽</v>
      </c>
      <c r="D193" t="str">
        <f>計算表!D193</f>
        <v>分解槽解鎖費用</v>
      </c>
      <c r="E193" t="str">
        <f>計算表!E193</f>
        <v>a × b^(目標格數-1)</v>
      </c>
      <c r="F193" t="str">
        <f>計算表!F193</f>
        <v>初始 10 格、上限 20 格。</v>
      </c>
      <c r="G193">
        <f>計算表!G193</f>
        <v>10000</v>
      </c>
      <c r="H193">
        <f>計算表!H193</f>
        <v>3</v>
      </c>
      <c r="I193">
        <f>計算表!I193</f>
        <v>0</v>
      </c>
      <c r="J193">
        <f>計算表!J193</f>
        <v>0</v>
      </c>
      <c r="K193">
        <f>計算表!K193</f>
        <v>0</v>
      </c>
      <c r="L193">
        <f>計算表!L193</f>
        <v>0</v>
      </c>
      <c r="M193">
        <f>計算表!M193</f>
        <v>0</v>
      </c>
      <c r="N193">
        <f>計算表!N193</f>
        <v>0</v>
      </c>
      <c r="O193">
        <f>計算表!O193</f>
        <v>0</v>
      </c>
      <c r="P193">
        <f>計算表!P193</f>
        <v>0</v>
      </c>
      <c r="Q193">
        <f>計算表!Q193</f>
        <v>0</v>
      </c>
      <c r="R193">
        <f>計算表!R193</f>
        <v>0</v>
      </c>
    </row>
    <row r="194" spans="1:18" x14ac:dyDescent="0.25">
      <c r="A194">
        <f>計算表!A194</f>
        <v>193</v>
      </c>
      <c r="B194" s="2">
        <f>計算表!B194</f>
        <v>0</v>
      </c>
      <c r="C194" t="str">
        <f>計算表!C194</f>
        <v>7-容量</v>
      </c>
      <c r="D194" t="str">
        <f>計算表!D194</f>
        <v>輸送帶容量</v>
      </c>
      <c r="E194" t="str">
        <f>計算表!E194</f>
        <v>a（固定上限）</v>
      </c>
      <c r="F194" t="str">
        <f>計算表!F194</f>
        <v>程式實際為固定 20000；超出的新裝備直接丟棄。</v>
      </c>
      <c r="G194">
        <f>計算表!G194</f>
        <v>20000</v>
      </c>
      <c r="H194">
        <f>計算表!H194</f>
        <v>0</v>
      </c>
      <c r="I194">
        <f>計算表!I194</f>
        <v>0</v>
      </c>
      <c r="J194">
        <f>計算表!J194</f>
        <v>0</v>
      </c>
      <c r="K194">
        <f>計算表!K194</f>
        <v>0</v>
      </c>
      <c r="L194">
        <f>計算表!L194</f>
        <v>0</v>
      </c>
      <c r="M194">
        <f>計算表!M194</f>
        <v>0</v>
      </c>
      <c r="N194">
        <f>計算表!N194</f>
        <v>0</v>
      </c>
      <c r="O194">
        <f>計算表!O194</f>
        <v>0</v>
      </c>
      <c r="P194">
        <f>計算表!P194</f>
        <v>0</v>
      </c>
      <c r="Q194">
        <f>計算表!Q194</f>
        <v>0</v>
      </c>
      <c r="R194">
        <f>計算表!R194</f>
        <v>0</v>
      </c>
    </row>
    <row r="195" spans="1:18" x14ac:dyDescent="0.25">
      <c r="A195">
        <f>計算表!A195</f>
        <v>194</v>
      </c>
      <c r="B195" s="2">
        <f>計算表!B195</f>
        <v>0</v>
      </c>
      <c r="C195" t="str">
        <f>計算表!C195</f>
        <v>7-容量</v>
      </c>
      <c r="D195" t="str">
        <f>計算表!D195</f>
        <v>合成暫存區</v>
      </c>
      <c r="E195" t="str">
        <f>計算表!E195</f>
        <v>a + ⌊負重上限/b⌋</v>
      </c>
      <c r="F195">
        <f>計算表!F195</f>
        <v>0</v>
      </c>
      <c r="G195">
        <f>計算表!G195</f>
        <v>30</v>
      </c>
      <c r="H195">
        <f>計算表!H195</f>
        <v>2</v>
      </c>
      <c r="I195">
        <f>計算表!I195</f>
        <v>0</v>
      </c>
      <c r="J195">
        <f>計算表!J195</f>
        <v>0</v>
      </c>
      <c r="K195">
        <f>計算表!K195</f>
        <v>0</v>
      </c>
      <c r="L195">
        <f>計算表!L195</f>
        <v>0</v>
      </c>
      <c r="M195">
        <f>計算表!M195</f>
        <v>0</v>
      </c>
      <c r="N195">
        <f>計算表!N195</f>
        <v>0</v>
      </c>
      <c r="O195">
        <f>計算表!O195</f>
        <v>0</v>
      </c>
      <c r="P195">
        <f>計算表!P195</f>
        <v>0</v>
      </c>
      <c r="Q195">
        <f>計算表!Q195</f>
        <v>0</v>
      </c>
      <c r="R195">
        <f>計算表!R195</f>
        <v>0</v>
      </c>
    </row>
    <row r="196" spans="1:18" x14ac:dyDescent="0.25">
      <c r="A196">
        <f>計算表!A196</f>
        <v>195</v>
      </c>
      <c r="B196" s="2">
        <f>計算表!B196</f>
        <v>0</v>
      </c>
      <c r="C196" t="str">
        <f>計算表!C196</f>
        <v>7-容量</v>
      </c>
      <c r="D196" t="str">
        <f>計算表!D196</f>
        <v>背包容量</v>
      </c>
      <c r="E196" t="str">
        <f>計算表!E196</f>
        <v>a + 背包擴充次數</v>
      </c>
      <c r="F196" t="str">
        <f>計算表!F196</f>
        <v>上限 1000 格；滿了自動分解新進裝備。</v>
      </c>
      <c r="G196">
        <f>計算表!G196</f>
        <v>60</v>
      </c>
      <c r="H196">
        <f>計算表!H196</f>
        <v>0</v>
      </c>
      <c r="I196">
        <f>計算表!I196</f>
        <v>0</v>
      </c>
      <c r="J196">
        <f>計算表!J196</f>
        <v>0</v>
      </c>
      <c r="K196">
        <f>計算表!K196</f>
        <v>0</v>
      </c>
      <c r="L196">
        <f>計算表!L196</f>
        <v>0</v>
      </c>
      <c r="M196">
        <f>計算表!M196</f>
        <v>0</v>
      </c>
      <c r="N196">
        <f>計算表!N196</f>
        <v>0</v>
      </c>
      <c r="O196">
        <f>計算表!O196</f>
        <v>0</v>
      </c>
      <c r="P196">
        <f>計算表!P196</f>
        <v>0</v>
      </c>
      <c r="Q196">
        <f>計算表!Q196</f>
        <v>0</v>
      </c>
      <c r="R196">
        <f>計算表!R196</f>
        <v>0</v>
      </c>
    </row>
    <row r="197" spans="1:18" x14ac:dyDescent="0.25">
      <c r="A197">
        <f>計算表!A197</f>
        <v>196</v>
      </c>
      <c r="B197" s="2">
        <f>計算表!B197</f>
        <v>0</v>
      </c>
      <c r="C197" t="str">
        <f>計算表!C197</f>
        <v>7-容量</v>
      </c>
      <c r="D197" t="str">
        <f>計算表!D197</f>
        <v>背包擴充費用</v>
      </c>
      <c r="E197" t="str">
        <f>計算表!E197</f>
        <v>a × 購買次數²</v>
      </c>
      <c r="F197" t="str">
        <f>計算表!F197</f>
        <v>購買次數=本次為第幾次擴充；達 1000 格後不可再擴充。</v>
      </c>
      <c r="G197">
        <f>計算表!G197</f>
        <v>10000</v>
      </c>
      <c r="H197">
        <f>計算表!H197</f>
        <v>0</v>
      </c>
      <c r="I197">
        <f>計算表!I197</f>
        <v>0</v>
      </c>
      <c r="J197">
        <f>計算表!J197</f>
        <v>0</v>
      </c>
      <c r="K197">
        <f>計算表!K197</f>
        <v>0</v>
      </c>
      <c r="L197">
        <f>計算表!L197</f>
        <v>0</v>
      </c>
      <c r="M197">
        <f>計算表!M197</f>
        <v>0</v>
      </c>
      <c r="N197">
        <f>計算表!N197</f>
        <v>0</v>
      </c>
      <c r="O197">
        <f>計算表!O197</f>
        <v>0</v>
      </c>
      <c r="P197">
        <f>計算表!P197</f>
        <v>0</v>
      </c>
      <c r="Q197">
        <f>計算表!Q197</f>
        <v>0</v>
      </c>
      <c r="R197">
        <f>計算表!R197</f>
        <v>0</v>
      </c>
    </row>
    <row r="198" spans="1:18" x14ac:dyDescent="0.25">
      <c r="A198">
        <f>計算表!A198</f>
        <v>197</v>
      </c>
      <c r="B198" s="2">
        <f>計算表!B198</f>
        <v>0</v>
      </c>
      <c r="C198" t="str">
        <f>計算表!C198</f>
        <v>7-容量</v>
      </c>
      <c r="D198" t="str">
        <f>計算表!D198</f>
        <v>生產線處理間隔</v>
      </c>
      <c r="E198" t="str">
        <f>計算表!E198</f>
        <v>a 秒/件</v>
      </c>
      <c r="F198">
        <f>計算表!F198</f>
        <v>0</v>
      </c>
      <c r="G198">
        <f>計算表!G198</f>
        <v>2</v>
      </c>
      <c r="H198">
        <f>計算表!H198</f>
        <v>0</v>
      </c>
      <c r="I198">
        <f>計算表!I198</f>
        <v>0</v>
      </c>
      <c r="J198">
        <f>計算表!J198</f>
        <v>0</v>
      </c>
      <c r="K198">
        <f>計算表!K198</f>
        <v>0</v>
      </c>
      <c r="L198">
        <f>計算表!L198</f>
        <v>0</v>
      </c>
      <c r="M198">
        <f>計算表!M198</f>
        <v>0</v>
      </c>
      <c r="N198">
        <f>計算表!N198</f>
        <v>0</v>
      </c>
      <c r="O198">
        <f>計算表!O198</f>
        <v>0</v>
      </c>
      <c r="P198">
        <f>計算表!P198</f>
        <v>0</v>
      </c>
      <c r="Q198">
        <f>計算表!Q198</f>
        <v>0</v>
      </c>
      <c r="R198">
        <f>計算表!R198</f>
        <v>0</v>
      </c>
    </row>
    <row r="199" spans="1:18" x14ac:dyDescent="0.25">
      <c r="A199">
        <f>計算表!A199</f>
        <v>198</v>
      </c>
      <c r="B199" s="2">
        <f>計算表!B199</f>
        <v>0</v>
      </c>
      <c r="C199" t="str">
        <f>計算表!C199</f>
        <v>8-寶石</v>
      </c>
      <c r="D199" t="str">
        <f>計算表!D199</f>
        <v>能力數值(1~5階)</v>
      </c>
      <c r="E199" t="str">
        <f>計算表!E199</f>
        <v>base × 等級 × (1 + a×(等級-1))</v>
      </c>
      <c r="F199" t="str">
        <f>計算表!F199</f>
        <v>base 見「寶石種類表」。Lv1×1 Lv2×2.4 Lv3×4.2 Lv4×6.4 Lv5×9。</v>
      </c>
      <c r="G199">
        <f>計算表!G199</f>
        <v>0.2</v>
      </c>
      <c r="H199">
        <f>計算表!H199</f>
        <v>0</v>
      </c>
      <c r="I199">
        <f>計算表!I199</f>
        <v>0</v>
      </c>
      <c r="J199">
        <f>計算表!J199</f>
        <v>0</v>
      </c>
      <c r="K199">
        <f>計算表!K199</f>
        <v>0</v>
      </c>
      <c r="L199">
        <f>計算表!L199</f>
        <v>0</v>
      </c>
      <c r="M199">
        <f>計算表!M199</f>
        <v>0</v>
      </c>
      <c r="N199">
        <f>計算表!N199</f>
        <v>0</v>
      </c>
      <c r="O199">
        <f>計算表!O199</f>
        <v>0</v>
      </c>
      <c r="P199">
        <f>計算表!P199</f>
        <v>0</v>
      </c>
      <c r="Q199">
        <f>計算表!Q199</f>
        <v>0</v>
      </c>
      <c r="R199">
        <f>計算表!R199</f>
        <v>0</v>
      </c>
    </row>
    <row r="200" spans="1:18" x14ac:dyDescent="0.25">
      <c r="A200">
        <f>計算表!A200</f>
        <v>199</v>
      </c>
      <c r="B200" s="2">
        <f>計算表!B200</f>
        <v>0</v>
      </c>
      <c r="C200" t="str">
        <f>計算表!C200</f>
        <v>8-寶石</v>
      </c>
      <c r="D200" t="str">
        <f>計算表!D200</f>
        <v>能力數值(6~10階神鑄)</v>
      </c>
      <c r="E200" t="str">
        <f>計算表!E200</f>
        <v>五階數值 × a^(階級-5)</v>
      </c>
      <c r="F200" t="str">
        <f>計算表!F200</f>
        <v>每高 1 階能力×a。</v>
      </c>
      <c r="G200">
        <f>計算表!G200</f>
        <v>2</v>
      </c>
      <c r="H200">
        <f>計算表!H200</f>
        <v>0</v>
      </c>
      <c r="I200">
        <f>計算表!I200</f>
        <v>0</v>
      </c>
      <c r="J200">
        <f>計算表!J200</f>
        <v>0</v>
      </c>
      <c r="K200">
        <f>計算表!K200</f>
        <v>0</v>
      </c>
      <c r="L200">
        <f>計算表!L200</f>
        <v>0</v>
      </c>
      <c r="M200">
        <f>計算表!M200</f>
        <v>0</v>
      </c>
      <c r="N200">
        <f>計算表!N200</f>
        <v>0</v>
      </c>
      <c r="O200">
        <f>計算表!O200</f>
        <v>0</v>
      </c>
      <c r="P200">
        <f>計算表!P200</f>
        <v>0</v>
      </c>
      <c r="Q200">
        <f>計算表!Q200</f>
        <v>0</v>
      </c>
      <c r="R200">
        <f>計算表!R200</f>
        <v>0</v>
      </c>
    </row>
    <row r="201" spans="1:18" x14ac:dyDescent="0.25">
      <c r="A201">
        <f>計算表!A201</f>
        <v>200</v>
      </c>
      <c r="B201" s="2">
        <f>計算表!B201</f>
        <v>0</v>
      </c>
      <c r="C201" t="str">
        <f>計算表!C201</f>
        <v>8-寶石</v>
      </c>
      <c r="D201" t="str">
        <f>計算表!D201</f>
        <v>寶石升階(工廠自動)</v>
      </c>
      <c r="E201" t="str">
        <f>計算表!E201</f>
        <v>c 顆同種同級 → 1 顆同種高一級</v>
      </c>
      <c r="F201" t="str">
        <f>計算表!F201</f>
        <v>免費、自動（熔爐合成節點開關）。　※合成功能已停用，本列未生效。</v>
      </c>
      <c r="G201">
        <f>計算表!G201</f>
        <v>3</v>
      </c>
      <c r="H201">
        <f>計算表!H201</f>
        <v>0</v>
      </c>
      <c r="I201">
        <f>計算表!I201</f>
        <v>0</v>
      </c>
      <c r="J201">
        <f>計算表!J201</f>
        <v>0</v>
      </c>
      <c r="K201">
        <f>計算表!K201</f>
        <v>0</v>
      </c>
      <c r="L201">
        <f>計算表!L201</f>
        <v>0</v>
      </c>
      <c r="M201">
        <f>計算表!M201</f>
        <v>0</v>
      </c>
      <c r="N201">
        <f>計算表!N201</f>
        <v>0</v>
      </c>
      <c r="O201">
        <f>計算表!O201</f>
        <v>0</v>
      </c>
      <c r="P201">
        <f>計算表!P201</f>
        <v>0</v>
      </c>
      <c r="Q201">
        <f>計算表!Q201</f>
        <v>0</v>
      </c>
      <c r="R201">
        <f>計算表!R201</f>
        <v>0</v>
      </c>
    </row>
    <row r="202" spans="1:18" x14ac:dyDescent="0.25">
      <c r="A202">
        <f>計算表!A202</f>
        <v>201</v>
      </c>
      <c r="B202" s="2">
        <f>計算表!B202</f>
        <v>0</v>
      </c>
      <c r="C202" t="str">
        <f>計算表!C202</f>
        <v>8-寶石</v>
      </c>
      <c r="D202" t="str">
        <f>計算表!D202</f>
        <v>寶石合成(手動)</v>
      </c>
      <c r="E202" t="str">
        <f>計算表!E202</f>
        <v>2 顆同種同級 → 1 顆同種下一階</v>
      </c>
      <c r="F202" t="str">
        <f>計算表!F202</f>
        <v>金幣費用依素材等級：100/300/900/2700/8100。</v>
      </c>
      <c r="G202">
        <f>計算表!G202</f>
        <v>0</v>
      </c>
      <c r="H202">
        <f>計算表!H202</f>
        <v>0</v>
      </c>
      <c r="I202">
        <f>計算表!I202</f>
        <v>0</v>
      </c>
      <c r="J202">
        <f>計算表!J202</f>
        <v>0</v>
      </c>
      <c r="K202">
        <f>計算表!K202</f>
        <v>0</v>
      </c>
      <c r="L202">
        <f>計算表!L202</f>
        <v>0</v>
      </c>
      <c r="M202">
        <f>計算表!M202</f>
        <v>0</v>
      </c>
      <c r="N202">
        <f>計算表!N202</f>
        <v>0</v>
      </c>
      <c r="O202">
        <f>計算表!O202</f>
        <v>0</v>
      </c>
      <c r="P202">
        <f>計算表!P202</f>
        <v>0</v>
      </c>
      <c r="Q202">
        <f>計算表!Q202</f>
        <v>0</v>
      </c>
      <c r="R202">
        <f>計算表!R202</f>
        <v>0</v>
      </c>
    </row>
    <row r="203" spans="1:18" x14ac:dyDescent="0.25">
      <c r="A203">
        <f>計算表!A203</f>
        <v>202</v>
      </c>
      <c r="B203" s="2">
        <f>計算表!B203</f>
        <v>0</v>
      </c>
      <c r="C203" t="str">
        <f>計算表!C203</f>
        <v>8-寶石</v>
      </c>
      <c r="D203" t="str">
        <f>計算表!D203</f>
        <v>寶石合成金幣</v>
      </c>
      <c r="E203" t="str">
        <f>計算表!E203</f>
        <v>依素材等級 a/b/c/d/e</v>
      </c>
      <c r="F203" t="str">
        <f>計算表!F203</f>
        <v>1級→2級 a、2級→3級 b …。</v>
      </c>
      <c r="G203">
        <f>計算表!G203</f>
        <v>100</v>
      </c>
      <c r="H203">
        <f>計算表!H203</f>
        <v>300</v>
      </c>
      <c r="I203">
        <f>計算表!I203</f>
        <v>900</v>
      </c>
      <c r="J203">
        <f>計算表!J203</f>
        <v>2700</v>
      </c>
      <c r="K203">
        <f>計算表!K203</f>
        <v>8100</v>
      </c>
      <c r="L203">
        <f>計算表!L203</f>
        <v>0</v>
      </c>
      <c r="M203">
        <f>計算表!M203</f>
        <v>0</v>
      </c>
      <c r="N203">
        <f>計算表!N203</f>
        <v>0</v>
      </c>
      <c r="O203">
        <f>計算表!O203</f>
        <v>0</v>
      </c>
      <c r="P203">
        <f>計算表!P203</f>
        <v>0</v>
      </c>
      <c r="Q203">
        <f>計算表!Q203</f>
        <v>0</v>
      </c>
      <c r="R203">
        <f>計算表!R203</f>
        <v>0</v>
      </c>
    </row>
    <row r="204" spans="1:18" x14ac:dyDescent="0.25">
      <c r="A204">
        <f>計算表!A204</f>
        <v>203</v>
      </c>
      <c r="B204" s="2">
        <f>計算表!B204</f>
        <v>0</v>
      </c>
      <c r="C204" t="str">
        <f>計算表!C204</f>
        <v>8-寶石</v>
      </c>
      <c r="D204" t="str">
        <f>計算表!D204</f>
        <v>寶石轉換(九宮格)</v>
      </c>
      <c r="E204" t="str">
        <f>計算表!E204</f>
        <v>a 格；每格上限 b 顆；同階轉換數量不變（免費）</v>
      </c>
      <c r="F204" t="str">
        <f>計算表!F204</f>
        <v>融合寶石無法轉換。</v>
      </c>
      <c r="G204">
        <f>計算表!G204</f>
        <v>9</v>
      </c>
      <c r="H204">
        <f>計算表!H204</f>
        <v>100</v>
      </c>
      <c r="I204">
        <f>計算表!I204</f>
        <v>0</v>
      </c>
      <c r="J204">
        <f>計算表!J204</f>
        <v>0</v>
      </c>
      <c r="K204">
        <f>計算表!K204</f>
        <v>0</v>
      </c>
      <c r="L204">
        <f>計算表!L204</f>
        <v>0</v>
      </c>
      <c r="M204">
        <f>計算表!M204</f>
        <v>0</v>
      </c>
      <c r="N204">
        <f>計算表!N204</f>
        <v>0</v>
      </c>
      <c r="O204">
        <f>計算表!O204</f>
        <v>0</v>
      </c>
      <c r="P204">
        <f>計算表!P204</f>
        <v>0</v>
      </c>
      <c r="Q204">
        <f>計算表!Q204</f>
        <v>0</v>
      </c>
      <c r="R204">
        <f>計算表!R204</f>
        <v>0</v>
      </c>
    </row>
    <row r="205" spans="1:18" x14ac:dyDescent="0.25">
      <c r="A205">
        <f>計算表!A205</f>
        <v>204</v>
      </c>
      <c r="B205" s="2">
        <f>計算表!B205</f>
        <v>0</v>
      </c>
      <c r="C205" t="str">
        <f>計算表!C205</f>
        <v>8-寶石</v>
      </c>
      <c r="D205" t="str">
        <f>計算表!D205</f>
        <v>寶石拆解(一般)</v>
      </c>
      <c r="E205" t="str">
        <f>計算表!E205</f>
        <v>⌊2^(N-1) × a⌋ 顆同種 1 級</v>
      </c>
      <c r="F205" t="str">
        <f>計算表!F205</f>
        <v>a=保留比例（損失 30%）。2級→1 3級→2 4級→5 5級→11。</v>
      </c>
      <c r="G205">
        <f>計算表!G205</f>
        <v>0.7</v>
      </c>
      <c r="H205">
        <f>計算表!H205</f>
        <v>0</v>
      </c>
      <c r="I205">
        <f>計算表!I205</f>
        <v>0</v>
      </c>
      <c r="J205">
        <f>計算表!J205</f>
        <v>0</v>
      </c>
      <c r="K205">
        <f>計算表!K205</f>
        <v>0</v>
      </c>
      <c r="L205">
        <f>計算表!L205</f>
        <v>0</v>
      </c>
      <c r="M205">
        <f>計算表!M205</f>
        <v>0</v>
      </c>
      <c r="N205">
        <f>計算表!N205</f>
        <v>0</v>
      </c>
      <c r="O205">
        <f>計算表!O205</f>
        <v>0</v>
      </c>
      <c r="P205">
        <f>計算表!P205</f>
        <v>0</v>
      </c>
      <c r="Q205">
        <f>計算表!Q205</f>
        <v>0</v>
      </c>
      <c r="R205">
        <f>計算表!R205</f>
        <v>0</v>
      </c>
    </row>
    <row r="206" spans="1:18" x14ac:dyDescent="0.25">
      <c r="A206">
        <f>計算表!A206</f>
        <v>205</v>
      </c>
      <c r="B206" s="2">
        <f>計算表!B206</f>
        <v>0</v>
      </c>
      <c r="C206" t="str">
        <f>計算表!C206</f>
        <v>8-寶石</v>
      </c>
      <c r="D206" t="str">
        <f>計算表!D206</f>
        <v>寶石拆解(融合)</v>
      </c>
      <c r="E206" t="str">
        <f>計算表!E206</f>
        <v>⌊16×leaves × a⌋ 顆 1 級（依屬性均分）</v>
      </c>
      <c r="F206" t="str">
        <f>計算表!F206</f>
        <v>leaves=素材 5 階總數（融合時雙方相加）。　※與「寶石拆解(一般)」共用保留率，本列不生效。</v>
      </c>
      <c r="G206">
        <f>計算表!G206</f>
        <v>0.7</v>
      </c>
      <c r="H206">
        <f>計算表!H206</f>
        <v>0</v>
      </c>
      <c r="I206">
        <f>計算表!I206</f>
        <v>0</v>
      </c>
      <c r="J206">
        <f>計算表!J206</f>
        <v>0</v>
      </c>
      <c r="K206">
        <f>計算表!K206</f>
        <v>0</v>
      </c>
      <c r="L206">
        <f>計算表!L206</f>
        <v>0</v>
      </c>
      <c r="M206">
        <f>計算表!M206</f>
        <v>0</v>
      </c>
      <c r="N206">
        <f>計算表!N206</f>
        <v>0</v>
      </c>
      <c r="O206">
        <f>計算表!O206</f>
        <v>0</v>
      </c>
      <c r="P206">
        <f>計算表!P206</f>
        <v>0</v>
      </c>
      <c r="Q206">
        <f>計算表!Q206</f>
        <v>0</v>
      </c>
      <c r="R206">
        <f>計算表!R206</f>
        <v>0</v>
      </c>
    </row>
    <row r="207" spans="1:18" x14ac:dyDescent="0.25">
      <c r="A207">
        <f>計算表!A207</f>
        <v>206</v>
      </c>
      <c r="B207" s="2">
        <f>計算表!B207</f>
        <v>0</v>
      </c>
      <c r="C207" t="str">
        <f>計算表!C207</f>
        <v>8-寶石</v>
      </c>
      <c r="D207" t="str">
        <f>計算表!D207</f>
        <v>寶石融合成功率</v>
      </c>
      <c r="E207" t="str">
        <f>計算表!E207</f>
        <v>max(a%, b% - c%×雙方融合次數和)</v>
      </c>
      <c r="F207" t="str">
        <f>計算表!F207</f>
        <v>僅 5 階；產出雙屬性。</v>
      </c>
      <c r="G207">
        <f>計算表!G207</f>
        <v>10</v>
      </c>
      <c r="H207">
        <f>計算表!H207</f>
        <v>60</v>
      </c>
      <c r="I207">
        <f>計算表!I207</f>
        <v>10</v>
      </c>
      <c r="J207">
        <f>計算表!J207</f>
        <v>0</v>
      </c>
      <c r="K207">
        <f>計算表!K207</f>
        <v>0</v>
      </c>
      <c r="L207">
        <f>計算表!L207</f>
        <v>0</v>
      </c>
      <c r="M207">
        <f>計算表!M207</f>
        <v>0</v>
      </c>
      <c r="N207">
        <f>計算表!N207</f>
        <v>0</v>
      </c>
      <c r="O207">
        <f>計算表!O207</f>
        <v>0</v>
      </c>
      <c r="P207">
        <f>計算表!P207</f>
        <v>0</v>
      </c>
      <c r="Q207">
        <f>計算表!Q207</f>
        <v>0</v>
      </c>
      <c r="R207">
        <f>計算表!R207</f>
        <v>0</v>
      </c>
    </row>
    <row r="208" spans="1:18" x14ac:dyDescent="0.25">
      <c r="A208">
        <f>計算表!A208</f>
        <v>207</v>
      </c>
      <c r="B208" s="2">
        <f>計算表!B208</f>
        <v>0</v>
      </c>
      <c r="C208" t="str">
        <f>計算表!C208</f>
        <v>8-寶石</v>
      </c>
      <c r="D208" t="str">
        <f>計算表!D208</f>
        <v>寶石融合數值</v>
      </c>
      <c r="E208" t="str">
        <f>計算表!E208</f>
        <v>同屬性 rnd(較小值,較大值×2)；異屬性 原值×rnd(0.5,1.5)</v>
      </c>
      <c r="F208" t="str">
        <f>計算表!F208</f>
        <v>失敗：較弱一方降解為 50% 機率 4~8 顆 Lv1 / 50% 機率 2~4 顆 Lv2。　※結構寫死：同屬性 rnd(小,大×2)、異屬性 原值×rnd(0.5,1.5)。</v>
      </c>
      <c r="G208">
        <f>計算表!G208</f>
        <v>0</v>
      </c>
      <c r="H208">
        <f>計算表!H208</f>
        <v>0</v>
      </c>
      <c r="I208">
        <f>計算表!I208</f>
        <v>0</v>
      </c>
      <c r="J208">
        <f>計算表!J208</f>
        <v>0</v>
      </c>
      <c r="K208">
        <f>計算表!K208</f>
        <v>0</v>
      </c>
      <c r="L208">
        <f>計算表!L208</f>
        <v>0</v>
      </c>
      <c r="M208">
        <f>計算表!M208</f>
        <v>0</v>
      </c>
      <c r="N208">
        <f>計算表!N208</f>
        <v>0</v>
      </c>
      <c r="O208">
        <f>計算表!O208</f>
        <v>0</v>
      </c>
      <c r="P208">
        <f>計算表!P208</f>
        <v>0</v>
      </c>
      <c r="Q208">
        <f>計算表!Q208</f>
        <v>0</v>
      </c>
      <c r="R208">
        <f>計算表!R208</f>
        <v>0</v>
      </c>
    </row>
    <row r="209" spans="1:18" x14ac:dyDescent="0.25">
      <c r="A209">
        <f>計算表!A209</f>
        <v>208</v>
      </c>
      <c r="B209" s="2">
        <f>計算表!B209</f>
        <v>0</v>
      </c>
      <c r="C209" t="str">
        <f>計算表!C209</f>
        <v>8-寶石商店</v>
      </c>
      <c r="D209" t="str">
        <f>計算表!D209</f>
        <v>升級費用</v>
      </c>
      <c r="E209" t="str">
        <f>計算表!E209</f>
        <v>a + 商店等級^b × c</v>
      </c>
      <c r="F209" t="str">
        <f>計算表!F209</f>
        <v>Lv.1~20；Lv.20 滿級。</v>
      </c>
      <c r="G209">
        <f>計算表!G209</f>
        <v>10000</v>
      </c>
      <c r="H209">
        <f>計算表!H209</f>
        <v>3</v>
      </c>
      <c r="I209">
        <f>計算表!I209</f>
        <v>4000000</v>
      </c>
      <c r="J209">
        <f>計算表!J209</f>
        <v>0</v>
      </c>
      <c r="K209">
        <f>計算表!K209</f>
        <v>0</v>
      </c>
      <c r="L209">
        <f>計算表!L209</f>
        <v>0</v>
      </c>
      <c r="M209">
        <f>計算表!M209</f>
        <v>0</v>
      </c>
      <c r="N209">
        <f>計算表!N209</f>
        <v>0</v>
      </c>
      <c r="O209">
        <f>計算表!O209</f>
        <v>0</v>
      </c>
      <c r="P209">
        <f>計算表!P209</f>
        <v>0</v>
      </c>
      <c r="Q209">
        <f>計算表!Q209</f>
        <v>0</v>
      </c>
      <c r="R209">
        <f>計算表!R209</f>
        <v>0</v>
      </c>
    </row>
    <row r="210" spans="1:18" x14ac:dyDescent="0.25">
      <c r="A210">
        <f>計算表!A210</f>
        <v>209</v>
      </c>
      <c r="B210" s="2">
        <f>計算表!B210</f>
        <v>0</v>
      </c>
      <c r="C210" t="str">
        <f>計算表!C210</f>
        <v>8-寶石商店</v>
      </c>
      <c r="D210" t="str">
        <f>計算表!D210</f>
        <v>手動刷新費用</v>
      </c>
      <c r="E210" t="str">
        <f>計算表!E210</f>
        <v>a × (下一次重置序號^b)</v>
      </c>
      <c r="F210" t="str">
        <f>計算表!F210</f>
        <v>第一次刷新序號為 1。</v>
      </c>
      <c r="G210">
        <f>計算表!G210</f>
        <v>5000</v>
      </c>
      <c r="H210">
        <f>計算表!H210</f>
        <v>2.5</v>
      </c>
      <c r="I210">
        <f>計算表!I210</f>
        <v>0</v>
      </c>
      <c r="J210">
        <f>計算表!J210</f>
        <v>0</v>
      </c>
      <c r="K210">
        <f>計算表!K210</f>
        <v>0</v>
      </c>
      <c r="L210">
        <f>計算表!L210</f>
        <v>0</v>
      </c>
      <c r="M210">
        <f>計算表!M210</f>
        <v>0</v>
      </c>
      <c r="N210">
        <f>計算表!N210</f>
        <v>0</v>
      </c>
      <c r="O210">
        <f>計算表!O210</f>
        <v>0</v>
      </c>
      <c r="P210">
        <f>計算表!P210</f>
        <v>0</v>
      </c>
      <c r="Q210">
        <f>計算表!Q210</f>
        <v>0</v>
      </c>
      <c r="R210">
        <f>計算表!R210</f>
        <v>0</v>
      </c>
    </row>
    <row r="211" spans="1:18" x14ac:dyDescent="0.25">
      <c r="A211">
        <f>計算表!A211</f>
        <v>210</v>
      </c>
      <c r="B211" s="2">
        <f>計算表!B211</f>
        <v>0</v>
      </c>
      <c r="C211" t="str">
        <f>計算表!C211</f>
        <v>8-寶石商店</v>
      </c>
      <c r="D211" t="str">
        <f>計算表!D211</f>
        <v>刷新週期</v>
      </c>
      <c r="E211" t="str">
        <f>計算表!E211</f>
        <v>a 小時重置刷新次數</v>
      </c>
      <c r="F211">
        <f>計算表!F211</f>
        <v>0</v>
      </c>
      <c r="G211">
        <f>計算表!G211</f>
        <v>8</v>
      </c>
      <c r="H211">
        <f>計算表!H211</f>
        <v>0</v>
      </c>
      <c r="I211">
        <f>計算表!I211</f>
        <v>0</v>
      </c>
      <c r="J211">
        <f>計算表!J211</f>
        <v>0</v>
      </c>
      <c r="K211">
        <f>計算表!K211</f>
        <v>0</v>
      </c>
      <c r="L211">
        <f>計算表!L211</f>
        <v>0</v>
      </c>
      <c r="M211">
        <f>計算表!M211</f>
        <v>0</v>
      </c>
      <c r="N211">
        <f>計算表!N211</f>
        <v>0</v>
      </c>
      <c r="O211">
        <f>計算表!O211</f>
        <v>0</v>
      </c>
      <c r="P211">
        <f>計算表!P211</f>
        <v>0</v>
      </c>
      <c r="Q211">
        <f>計算表!Q211</f>
        <v>0</v>
      </c>
      <c r="R211">
        <f>計算表!R211</f>
        <v>0</v>
      </c>
    </row>
    <row r="212" spans="1:18" x14ac:dyDescent="0.25">
      <c r="A212">
        <f>計算表!A212</f>
        <v>211</v>
      </c>
      <c r="B212" s="2">
        <f>計算表!B212</f>
        <v>0</v>
      </c>
      <c r="C212" t="str">
        <f>計算表!C212</f>
        <v>8-寶石商店</v>
      </c>
      <c r="D212" t="str">
        <f>計算表!D212</f>
        <v>寶石標價(Lv1~10)</v>
      </c>
      <c r="E212" t="str">
        <f>計算表!E212</f>
        <v>各階價格</v>
      </c>
      <c r="F212" t="str">
        <f>計算表!F212</f>
        <v>a=Lv1 … j=Lv10。</v>
      </c>
      <c r="G212">
        <f>計算表!G212</f>
        <v>10000</v>
      </c>
      <c r="H212">
        <f>計算表!H212</f>
        <v>100000</v>
      </c>
      <c r="I212">
        <f>計算表!I212</f>
        <v>500000</v>
      </c>
      <c r="J212">
        <f>計算表!J212</f>
        <v>2000000</v>
      </c>
      <c r="K212">
        <f>計算表!K212</f>
        <v>10000000</v>
      </c>
      <c r="L212">
        <f>計算表!L212</f>
        <v>50000000</v>
      </c>
      <c r="M212">
        <f>計算表!M212</f>
        <v>200000000</v>
      </c>
      <c r="N212">
        <f>計算表!N212</f>
        <v>1000000000</v>
      </c>
      <c r="O212">
        <f>計算表!O212</f>
        <v>10000000000</v>
      </c>
      <c r="P212">
        <f>計算表!P212</f>
        <v>1000000000000</v>
      </c>
      <c r="Q212">
        <f>計算表!Q212</f>
        <v>0</v>
      </c>
      <c r="R212">
        <f>計算表!R212</f>
        <v>0</v>
      </c>
    </row>
    <row r="213" spans="1:18" x14ac:dyDescent="0.25">
      <c r="A213">
        <f>計算表!A213</f>
        <v>212</v>
      </c>
      <c r="B213" s="2">
        <f>計算表!B213</f>
        <v>0</v>
      </c>
      <c r="C213" t="str">
        <f>計算表!C213</f>
        <v>8-寶店刷出數量</v>
      </c>
      <c r="D213" t="str">
        <f>計算表!D213</f>
        <v>商店 Lv.1</v>
      </c>
      <c r="E213" t="str">
        <f>計算表!E213</f>
        <v>刷出數量=機率%（每格獨立）</v>
      </c>
      <c r="F213" t="str">
        <f>計算表!F213</f>
        <v>格式「刷出數量=機率%」，機率總和 100。</v>
      </c>
      <c r="G213" t="str">
        <f>計算表!G213</f>
        <v>5=50</v>
      </c>
      <c r="H213" t="str">
        <f>計算表!H213</f>
        <v>6=50</v>
      </c>
      <c r="I213">
        <f>計算表!I213</f>
        <v>0</v>
      </c>
      <c r="J213">
        <f>計算表!J213</f>
        <v>0</v>
      </c>
      <c r="K213">
        <f>計算表!K213</f>
        <v>0</v>
      </c>
      <c r="L213">
        <f>計算表!L213</f>
        <v>0</v>
      </c>
      <c r="M213">
        <f>計算表!M213</f>
        <v>0</v>
      </c>
      <c r="N213">
        <f>計算表!N213</f>
        <v>0</v>
      </c>
      <c r="O213">
        <f>計算表!O213</f>
        <v>0</v>
      </c>
      <c r="P213">
        <f>計算表!P213</f>
        <v>0</v>
      </c>
      <c r="Q213">
        <f>計算表!Q213</f>
        <v>0</v>
      </c>
      <c r="R213">
        <f>計算表!R213</f>
        <v>0</v>
      </c>
    </row>
    <row r="214" spans="1:18" x14ac:dyDescent="0.25">
      <c r="A214">
        <f>計算表!A214</f>
        <v>213</v>
      </c>
      <c r="B214" s="2">
        <f>計算表!B214</f>
        <v>0</v>
      </c>
      <c r="C214" t="str">
        <f>計算表!C214</f>
        <v>8-寶店刷出數量</v>
      </c>
      <c r="D214" t="str">
        <f>計算表!D214</f>
        <v>商店 Lv.2</v>
      </c>
      <c r="E214" t="str">
        <f>計算表!E214</f>
        <v>刷出數量=機率%（每格獨立）</v>
      </c>
      <c r="F214" t="str">
        <f>計算表!F214</f>
        <v>格式「刷出數量=機率%」，機率總和 100。</v>
      </c>
      <c r="G214" t="str">
        <f>計算表!G214</f>
        <v>5=50</v>
      </c>
      <c r="H214" t="str">
        <f>計算表!H214</f>
        <v>6=40</v>
      </c>
      <c r="I214" t="str">
        <f>計算表!I214</f>
        <v>7=10</v>
      </c>
      <c r="J214">
        <f>計算表!J214</f>
        <v>0</v>
      </c>
      <c r="K214">
        <f>計算表!K214</f>
        <v>0</v>
      </c>
      <c r="L214">
        <f>計算表!L214</f>
        <v>0</v>
      </c>
      <c r="M214">
        <f>計算表!M214</f>
        <v>0</v>
      </c>
      <c r="N214">
        <f>計算表!N214</f>
        <v>0</v>
      </c>
      <c r="O214">
        <f>計算表!O214</f>
        <v>0</v>
      </c>
      <c r="P214">
        <f>計算表!P214</f>
        <v>0</v>
      </c>
      <c r="Q214">
        <f>計算表!Q214</f>
        <v>0</v>
      </c>
      <c r="R214">
        <f>計算表!R214</f>
        <v>0</v>
      </c>
    </row>
    <row r="215" spans="1:18" x14ac:dyDescent="0.25">
      <c r="A215">
        <f>計算表!A215</f>
        <v>214</v>
      </c>
      <c r="B215" s="2">
        <f>計算表!B215</f>
        <v>0</v>
      </c>
      <c r="C215" t="str">
        <f>計算表!C215</f>
        <v>8-寶店刷出數量</v>
      </c>
      <c r="D215" t="str">
        <f>計算表!D215</f>
        <v>商店 Lv.3</v>
      </c>
      <c r="E215" t="str">
        <f>計算表!E215</f>
        <v>刷出數量=機率%（每格獨立）</v>
      </c>
      <c r="F215" t="str">
        <f>計算表!F215</f>
        <v>格式「刷出數量=機率%」，機率總和 100。</v>
      </c>
      <c r="G215" t="str">
        <f>計算表!G215</f>
        <v>5=50</v>
      </c>
      <c r="H215" t="str">
        <f>計算表!H215</f>
        <v>6=30</v>
      </c>
      <c r="I215" t="str">
        <f>計算表!I215</f>
        <v>7=10</v>
      </c>
      <c r="J215" t="str">
        <f>計算表!J215</f>
        <v>8=10</v>
      </c>
      <c r="K215">
        <f>計算表!K215</f>
        <v>0</v>
      </c>
      <c r="L215">
        <f>計算表!L215</f>
        <v>0</v>
      </c>
      <c r="M215">
        <f>計算表!M215</f>
        <v>0</v>
      </c>
      <c r="N215">
        <f>計算表!N215</f>
        <v>0</v>
      </c>
      <c r="O215">
        <f>計算表!O215</f>
        <v>0</v>
      </c>
      <c r="P215">
        <f>計算表!P215</f>
        <v>0</v>
      </c>
      <c r="Q215">
        <f>計算表!Q215</f>
        <v>0</v>
      </c>
      <c r="R215">
        <f>計算表!R215</f>
        <v>0</v>
      </c>
    </row>
    <row r="216" spans="1:18" x14ac:dyDescent="0.25">
      <c r="A216">
        <f>計算表!A216</f>
        <v>215</v>
      </c>
      <c r="B216" s="2">
        <f>計算表!B216</f>
        <v>0</v>
      </c>
      <c r="C216" t="str">
        <f>計算表!C216</f>
        <v>8-寶店刷出數量</v>
      </c>
      <c r="D216" t="str">
        <f>計算表!D216</f>
        <v>商店 Lv.4</v>
      </c>
      <c r="E216" t="str">
        <f>計算表!E216</f>
        <v>刷出數量=機率%（每格獨立）</v>
      </c>
      <c r="F216" t="str">
        <f>計算表!F216</f>
        <v>格式「刷出數量=機率%」，機率總和 100。</v>
      </c>
      <c r="G216" t="str">
        <f>計算表!G216</f>
        <v>5=45</v>
      </c>
      <c r="H216" t="str">
        <f>計算表!H216</f>
        <v>6=30</v>
      </c>
      <c r="I216" t="str">
        <f>計算表!I216</f>
        <v>7=15</v>
      </c>
      <c r="J216" t="str">
        <f>計算表!J216</f>
        <v>8=10</v>
      </c>
      <c r="K216">
        <f>計算表!K216</f>
        <v>0</v>
      </c>
      <c r="L216">
        <f>計算表!L216</f>
        <v>0</v>
      </c>
      <c r="M216">
        <f>計算表!M216</f>
        <v>0</v>
      </c>
      <c r="N216">
        <f>計算表!N216</f>
        <v>0</v>
      </c>
      <c r="O216">
        <f>計算表!O216</f>
        <v>0</v>
      </c>
      <c r="P216">
        <f>計算表!P216</f>
        <v>0</v>
      </c>
      <c r="Q216">
        <f>計算表!Q216</f>
        <v>0</v>
      </c>
      <c r="R216">
        <f>計算表!R216</f>
        <v>0</v>
      </c>
    </row>
    <row r="217" spans="1:18" x14ac:dyDescent="0.25">
      <c r="A217">
        <f>計算表!A217</f>
        <v>216</v>
      </c>
      <c r="B217" s="2">
        <f>計算表!B217</f>
        <v>0</v>
      </c>
      <c r="C217" t="str">
        <f>計算表!C217</f>
        <v>8-寶店刷出數量</v>
      </c>
      <c r="D217" t="str">
        <f>計算表!D217</f>
        <v>商店 Lv.5</v>
      </c>
      <c r="E217" t="str">
        <f>計算表!E217</f>
        <v>刷出數量=機率%（每格獨立）</v>
      </c>
      <c r="F217" t="str">
        <f>計算表!F217</f>
        <v>格式「刷出數量=機率%」，機率總和 100。</v>
      </c>
      <c r="G217" t="str">
        <f>計算表!G217</f>
        <v>5=40</v>
      </c>
      <c r="H217" t="str">
        <f>計算表!H217</f>
        <v>6=30</v>
      </c>
      <c r="I217" t="str">
        <f>計算表!I217</f>
        <v>7=15</v>
      </c>
      <c r="J217" t="str">
        <f>計算表!J217</f>
        <v>8=15</v>
      </c>
      <c r="K217">
        <f>計算表!K217</f>
        <v>0</v>
      </c>
      <c r="L217">
        <f>計算表!L217</f>
        <v>0</v>
      </c>
      <c r="M217">
        <f>計算表!M217</f>
        <v>0</v>
      </c>
      <c r="N217">
        <f>計算表!N217</f>
        <v>0</v>
      </c>
      <c r="O217">
        <f>計算表!O217</f>
        <v>0</v>
      </c>
      <c r="P217">
        <f>計算表!P217</f>
        <v>0</v>
      </c>
      <c r="Q217">
        <f>計算表!Q217</f>
        <v>0</v>
      </c>
      <c r="R217">
        <f>計算表!R217</f>
        <v>0</v>
      </c>
    </row>
    <row r="218" spans="1:18" x14ac:dyDescent="0.25">
      <c r="A218">
        <f>計算表!A218</f>
        <v>217</v>
      </c>
      <c r="B218" s="2">
        <f>計算表!B218</f>
        <v>0</v>
      </c>
      <c r="C218" t="str">
        <f>計算表!C218</f>
        <v>8-寶店刷出數量</v>
      </c>
      <c r="D218" t="str">
        <f>計算表!D218</f>
        <v>商店 Lv.6</v>
      </c>
      <c r="E218" t="str">
        <f>計算表!E218</f>
        <v>刷出數量=機率%（每格獨立）</v>
      </c>
      <c r="F218" t="str">
        <f>計算表!F218</f>
        <v>格式「刷出數量=機率%」，機率總和 100。</v>
      </c>
      <c r="G218" t="str">
        <f>計算表!G218</f>
        <v>5=35</v>
      </c>
      <c r="H218" t="str">
        <f>計算表!H218</f>
        <v>6=30</v>
      </c>
      <c r="I218" t="str">
        <f>計算表!I218</f>
        <v>7=15</v>
      </c>
      <c r="J218" t="str">
        <f>計算表!J218</f>
        <v>8=15</v>
      </c>
      <c r="K218" t="str">
        <f>計算表!K218</f>
        <v>9=5</v>
      </c>
      <c r="L218">
        <f>計算表!L218</f>
        <v>0</v>
      </c>
      <c r="M218">
        <f>計算表!M218</f>
        <v>0</v>
      </c>
      <c r="N218">
        <f>計算表!N218</f>
        <v>0</v>
      </c>
      <c r="O218">
        <f>計算表!O218</f>
        <v>0</v>
      </c>
      <c r="P218">
        <f>計算表!P218</f>
        <v>0</v>
      </c>
      <c r="Q218">
        <f>計算表!Q218</f>
        <v>0</v>
      </c>
      <c r="R218">
        <f>計算表!R218</f>
        <v>0</v>
      </c>
    </row>
    <row r="219" spans="1:18" x14ac:dyDescent="0.25">
      <c r="A219">
        <f>計算表!A219</f>
        <v>218</v>
      </c>
      <c r="B219" s="2">
        <f>計算表!B219</f>
        <v>0</v>
      </c>
      <c r="C219" t="str">
        <f>計算表!C219</f>
        <v>8-寶店刷出數量</v>
      </c>
      <c r="D219" t="str">
        <f>計算表!D219</f>
        <v>商店 Lv.7</v>
      </c>
      <c r="E219" t="str">
        <f>計算表!E219</f>
        <v>刷出數量=機率%（每格獨立）</v>
      </c>
      <c r="F219" t="str">
        <f>計算表!F219</f>
        <v>格式「刷出數量=機率%」，機率總和 100。</v>
      </c>
      <c r="G219" t="str">
        <f>計算表!G219</f>
        <v>6=35</v>
      </c>
      <c r="H219" t="str">
        <f>計算表!H219</f>
        <v>7=30</v>
      </c>
      <c r="I219" t="str">
        <f>計算表!I219</f>
        <v>8=15</v>
      </c>
      <c r="J219" t="str">
        <f>計算表!J219</f>
        <v>9=15</v>
      </c>
      <c r="K219" t="str">
        <f>計算表!K219</f>
        <v>10=5</v>
      </c>
      <c r="L219">
        <f>計算表!L219</f>
        <v>0</v>
      </c>
      <c r="M219">
        <f>計算表!M219</f>
        <v>0</v>
      </c>
      <c r="N219">
        <f>計算表!N219</f>
        <v>0</v>
      </c>
      <c r="O219">
        <f>計算表!O219</f>
        <v>0</v>
      </c>
      <c r="P219">
        <f>計算表!P219</f>
        <v>0</v>
      </c>
      <c r="Q219">
        <f>計算表!Q219</f>
        <v>0</v>
      </c>
      <c r="R219">
        <f>計算表!R219</f>
        <v>0</v>
      </c>
    </row>
    <row r="220" spans="1:18" x14ac:dyDescent="0.25">
      <c r="A220">
        <f>計算表!A220</f>
        <v>219</v>
      </c>
      <c r="B220" s="2">
        <f>計算表!B220</f>
        <v>0</v>
      </c>
      <c r="C220" t="str">
        <f>計算表!C220</f>
        <v>8-寶店刷出數量</v>
      </c>
      <c r="D220" t="str">
        <f>計算表!D220</f>
        <v>商店 Lv.8</v>
      </c>
      <c r="E220" t="str">
        <f>計算表!E220</f>
        <v>刷出數量=機率%（每格獨立）</v>
      </c>
      <c r="F220" t="str">
        <f>計算表!F220</f>
        <v>格式「刷出數量=機率%」，機率總和 100。</v>
      </c>
      <c r="G220" t="str">
        <f>計算表!G220</f>
        <v>6=30</v>
      </c>
      <c r="H220" t="str">
        <f>計算表!H220</f>
        <v>7=30</v>
      </c>
      <c r="I220" t="str">
        <f>計算表!I220</f>
        <v>8=15</v>
      </c>
      <c r="J220" t="str">
        <f>計算表!J220</f>
        <v>9=15</v>
      </c>
      <c r="K220" t="str">
        <f>計算表!K220</f>
        <v>10=10</v>
      </c>
      <c r="L220">
        <f>計算表!L220</f>
        <v>0</v>
      </c>
      <c r="M220">
        <f>計算表!M220</f>
        <v>0</v>
      </c>
      <c r="N220">
        <f>計算表!N220</f>
        <v>0</v>
      </c>
      <c r="O220">
        <f>計算表!O220</f>
        <v>0</v>
      </c>
      <c r="P220">
        <f>計算表!P220</f>
        <v>0</v>
      </c>
      <c r="Q220">
        <f>計算表!Q220</f>
        <v>0</v>
      </c>
      <c r="R220">
        <f>計算表!R220</f>
        <v>0</v>
      </c>
    </row>
    <row r="221" spans="1:18" x14ac:dyDescent="0.25">
      <c r="A221">
        <f>計算表!A221</f>
        <v>220</v>
      </c>
      <c r="B221" s="2">
        <f>計算表!B221</f>
        <v>0</v>
      </c>
      <c r="C221" t="str">
        <f>計算表!C221</f>
        <v>8-寶店刷出數量</v>
      </c>
      <c r="D221" t="str">
        <f>計算表!D221</f>
        <v>商店 Lv.9</v>
      </c>
      <c r="E221" t="str">
        <f>計算表!E221</f>
        <v>刷出數量=機率%（每格獨立）</v>
      </c>
      <c r="F221" t="str">
        <f>計算表!F221</f>
        <v>格式「刷出數量=機率%」，機率總和 100。</v>
      </c>
      <c r="G221" t="str">
        <f>計算表!G221</f>
        <v>7=30</v>
      </c>
      <c r="H221" t="str">
        <f>計算表!H221</f>
        <v>8=30</v>
      </c>
      <c r="I221" t="str">
        <f>計算表!I221</f>
        <v>9=15</v>
      </c>
      <c r="J221" t="str">
        <f>計算表!J221</f>
        <v>10=15</v>
      </c>
      <c r="K221" t="str">
        <f>計算表!K221</f>
        <v>11=10</v>
      </c>
      <c r="L221">
        <f>計算表!L221</f>
        <v>0</v>
      </c>
      <c r="M221">
        <f>計算表!M221</f>
        <v>0</v>
      </c>
      <c r="N221">
        <f>計算表!N221</f>
        <v>0</v>
      </c>
      <c r="O221">
        <f>計算表!O221</f>
        <v>0</v>
      </c>
      <c r="P221">
        <f>計算表!P221</f>
        <v>0</v>
      </c>
      <c r="Q221">
        <f>計算表!Q221</f>
        <v>0</v>
      </c>
      <c r="R221">
        <f>計算表!R221</f>
        <v>0</v>
      </c>
    </row>
    <row r="222" spans="1:18" x14ac:dyDescent="0.25">
      <c r="A222">
        <f>計算表!A222</f>
        <v>221</v>
      </c>
      <c r="B222" s="2">
        <f>計算表!B222</f>
        <v>0</v>
      </c>
      <c r="C222" t="str">
        <f>計算表!C222</f>
        <v>8-寶店刷出數量</v>
      </c>
      <c r="D222" t="str">
        <f>計算表!D222</f>
        <v>商店 Lv.10</v>
      </c>
      <c r="E222" t="str">
        <f>計算表!E222</f>
        <v>刷出數量=機率%（每格獨立）</v>
      </c>
      <c r="F222" t="str">
        <f>計算表!F222</f>
        <v>格式「刷出數量=機率%」，機率總和 100。</v>
      </c>
      <c r="G222" t="str">
        <f>計算表!G222</f>
        <v>8=30</v>
      </c>
      <c r="H222" t="str">
        <f>計算表!H222</f>
        <v>9=30</v>
      </c>
      <c r="I222" t="str">
        <f>計算表!I222</f>
        <v>10=15</v>
      </c>
      <c r="J222" t="str">
        <f>計算表!J222</f>
        <v>11=15</v>
      </c>
      <c r="K222" t="str">
        <f>計算表!K222</f>
        <v>12=10</v>
      </c>
      <c r="L222">
        <f>計算表!L222</f>
        <v>0</v>
      </c>
      <c r="M222">
        <f>計算表!M222</f>
        <v>0</v>
      </c>
      <c r="N222">
        <f>計算表!N222</f>
        <v>0</v>
      </c>
      <c r="O222">
        <f>計算表!O222</f>
        <v>0</v>
      </c>
      <c r="P222">
        <f>計算表!P222</f>
        <v>0</v>
      </c>
      <c r="Q222">
        <f>計算表!Q222</f>
        <v>0</v>
      </c>
      <c r="R222">
        <f>計算表!R222</f>
        <v>0</v>
      </c>
    </row>
    <row r="223" spans="1:18" x14ac:dyDescent="0.25">
      <c r="A223">
        <f>計算表!A223</f>
        <v>222</v>
      </c>
      <c r="B223" s="2">
        <f>計算表!B223</f>
        <v>0</v>
      </c>
      <c r="C223" t="str">
        <f>計算表!C223</f>
        <v>8-寶店刷出數量</v>
      </c>
      <c r="D223" t="str">
        <f>計算表!D223</f>
        <v>商店 Lv.11</v>
      </c>
      <c r="E223" t="str">
        <f>計算表!E223</f>
        <v>刷出數量=機率%（每格獨立）</v>
      </c>
      <c r="F223" t="str">
        <f>計算表!F223</f>
        <v>格式「刷出數量=機率%」，機率總和 100。</v>
      </c>
      <c r="G223" t="str">
        <f>計算表!G223</f>
        <v>9=30</v>
      </c>
      <c r="H223" t="str">
        <f>計算表!H223</f>
        <v>10=30</v>
      </c>
      <c r="I223" t="str">
        <f>計算表!I223</f>
        <v>11=15</v>
      </c>
      <c r="J223" t="str">
        <f>計算表!J223</f>
        <v>12=15</v>
      </c>
      <c r="K223" t="str">
        <f>計算表!K223</f>
        <v>13=10</v>
      </c>
      <c r="L223">
        <f>計算表!L223</f>
        <v>0</v>
      </c>
      <c r="M223">
        <f>計算表!M223</f>
        <v>0</v>
      </c>
      <c r="N223">
        <f>計算表!N223</f>
        <v>0</v>
      </c>
      <c r="O223">
        <f>計算表!O223</f>
        <v>0</v>
      </c>
      <c r="P223">
        <f>計算表!P223</f>
        <v>0</v>
      </c>
      <c r="Q223">
        <f>計算表!Q223</f>
        <v>0</v>
      </c>
      <c r="R223">
        <f>計算表!R223</f>
        <v>0</v>
      </c>
    </row>
    <row r="224" spans="1:18" x14ac:dyDescent="0.25">
      <c r="A224">
        <f>計算表!A224</f>
        <v>223</v>
      </c>
      <c r="B224" s="2">
        <f>計算表!B224</f>
        <v>0</v>
      </c>
      <c r="C224" t="str">
        <f>計算表!C224</f>
        <v>8-寶店刷出數量</v>
      </c>
      <c r="D224" t="str">
        <f>計算表!D224</f>
        <v>商店 Lv.12</v>
      </c>
      <c r="E224" t="str">
        <f>計算表!E224</f>
        <v>刷出數量=機率%（每格獨立）</v>
      </c>
      <c r="F224" t="str">
        <f>計算表!F224</f>
        <v>格式「刷出數量=機率%」，機率總和 100。</v>
      </c>
      <c r="G224" t="str">
        <f>計算表!G224</f>
        <v>10=30</v>
      </c>
      <c r="H224" t="str">
        <f>計算表!H224</f>
        <v>11=30</v>
      </c>
      <c r="I224" t="str">
        <f>計算表!I224</f>
        <v>12=15</v>
      </c>
      <c r="J224" t="str">
        <f>計算表!J224</f>
        <v>13=15</v>
      </c>
      <c r="K224" t="str">
        <f>計算表!K224</f>
        <v>14=10</v>
      </c>
      <c r="L224">
        <f>計算表!L224</f>
        <v>0</v>
      </c>
      <c r="M224">
        <f>計算表!M224</f>
        <v>0</v>
      </c>
      <c r="N224">
        <f>計算表!N224</f>
        <v>0</v>
      </c>
      <c r="O224">
        <f>計算表!O224</f>
        <v>0</v>
      </c>
      <c r="P224">
        <f>計算表!P224</f>
        <v>0</v>
      </c>
      <c r="Q224">
        <f>計算表!Q224</f>
        <v>0</v>
      </c>
      <c r="R224">
        <f>計算表!R224</f>
        <v>0</v>
      </c>
    </row>
    <row r="225" spans="1:18" x14ac:dyDescent="0.25">
      <c r="A225">
        <f>計算表!A225</f>
        <v>224</v>
      </c>
      <c r="B225" s="2">
        <f>計算表!B225</f>
        <v>0</v>
      </c>
      <c r="C225" t="str">
        <f>計算表!C225</f>
        <v>8-寶店刷出數量</v>
      </c>
      <c r="D225" t="str">
        <f>計算表!D225</f>
        <v>商店 Lv.13</v>
      </c>
      <c r="E225" t="str">
        <f>計算表!E225</f>
        <v>刷出數量=機率%（每格獨立）</v>
      </c>
      <c r="F225" t="str">
        <f>計算表!F225</f>
        <v>格式「刷出數量=機率%」，機率總和 100。</v>
      </c>
      <c r="G225" t="str">
        <f>計算表!G225</f>
        <v>11=30</v>
      </c>
      <c r="H225" t="str">
        <f>計算表!H225</f>
        <v>12=30</v>
      </c>
      <c r="I225" t="str">
        <f>計算表!I225</f>
        <v>13=15</v>
      </c>
      <c r="J225" t="str">
        <f>計算表!J225</f>
        <v>14=15</v>
      </c>
      <c r="K225" t="str">
        <f>計算表!K225</f>
        <v>15=10</v>
      </c>
      <c r="L225">
        <f>計算表!L225</f>
        <v>0</v>
      </c>
      <c r="M225">
        <f>計算表!M225</f>
        <v>0</v>
      </c>
      <c r="N225">
        <f>計算表!N225</f>
        <v>0</v>
      </c>
      <c r="O225">
        <f>計算表!O225</f>
        <v>0</v>
      </c>
      <c r="P225">
        <f>計算表!P225</f>
        <v>0</v>
      </c>
      <c r="Q225">
        <f>計算表!Q225</f>
        <v>0</v>
      </c>
      <c r="R225">
        <f>計算表!R225</f>
        <v>0</v>
      </c>
    </row>
    <row r="226" spans="1:18" x14ac:dyDescent="0.25">
      <c r="A226">
        <f>計算表!A226</f>
        <v>225</v>
      </c>
      <c r="B226" s="2">
        <f>計算表!B226</f>
        <v>0</v>
      </c>
      <c r="C226" t="str">
        <f>計算表!C226</f>
        <v>8-寶店刷出數量</v>
      </c>
      <c r="D226" t="str">
        <f>計算表!D226</f>
        <v>商店 Lv.14</v>
      </c>
      <c r="E226" t="str">
        <f>計算表!E226</f>
        <v>刷出數量=機率%（每格獨立）</v>
      </c>
      <c r="F226" t="str">
        <f>計算表!F226</f>
        <v>格式「刷出數量=機率%」，機率總和 100。</v>
      </c>
      <c r="G226" t="str">
        <f>計算表!G226</f>
        <v>12=30</v>
      </c>
      <c r="H226" t="str">
        <f>計算表!H226</f>
        <v>13=30</v>
      </c>
      <c r="I226" t="str">
        <f>計算表!I226</f>
        <v>14=15</v>
      </c>
      <c r="J226" t="str">
        <f>計算表!J226</f>
        <v>15=15</v>
      </c>
      <c r="K226" t="str">
        <f>計算表!K226</f>
        <v>16=10</v>
      </c>
      <c r="L226">
        <f>計算表!L226</f>
        <v>0</v>
      </c>
      <c r="M226">
        <f>計算表!M226</f>
        <v>0</v>
      </c>
      <c r="N226">
        <f>計算表!N226</f>
        <v>0</v>
      </c>
      <c r="O226">
        <f>計算表!O226</f>
        <v>0</v>
      </c>
      <c r="P226">
        <f>計算表!P226</f>
        <v>0</v>
      </c>
      <c r="Q226">
        <f>計算表!Q226</f>
        <v>0</v>
      </c>
      <c r="R226">
        <f>計算表!R226</f>
        <v>0</v>
      </c>
    </row>
    <row r="227" spans="1:18" x14ac:dyDescent="0.25">
      <c r="A227">
        <f>計算表!A227</f>
        <v>226</v>
      </c>
      <c r="B227" s="2">
        <f>計算表!B227</f>
        <v>0</v>
      </c>
      <c r="C227" t="str">
        <f>計算表!C227</f>
        <v>8-寶店刷出數量</v>
      </c>
      <c r="D227" t="str">
        <f>計算表!D227</f>
        <v>商店 Lv.15</v>
      </c>
      <c r="E227" t="str">
        <f>計算表!E227</f>
        <v>刷出數量=機率%（每格獨立）</v>
      </c>
      <c r="F227" t="str">
        <f>計算表!F227</f>
        <v>格式「刷出數量=機率%」，機率總和 100。</v>
      </c>
      <c r="G227" t="str">
        <f>計算表!G227</f>
        <v>13=30</v>
      </c>
      <c r="H227" t="str">
        <f>計算表!H227</f>
        <v>14=30</v>
      </c>
      <c r="I227" t="str">
        <f>計算表!I227</f>
        <v>15=15</v>
      </c>
      <c r="J227" t="str">
        <f>計算表!J227</f>
        <v>16=15</v>
      </c>
      <c r="K227" t="str">
        <f>計算表!K227</f>
        <v>17=10</v>
      </c>
      <c r="L227">
        <f>計算表!L227</f>
        <v>0</v>
      </c>
      <c r="M227">
        <f>計算表!M227</f>
        <v>0</v>
      </c>
      <c r="N227">
        <f>計算表!N227</f>
        <v>0</v>
      </c>
      <c r="O227">
        <f>計算表!O227</f>
        <v>0</v>
      </c>
      <c r="P227">
        <f>計算表!P227</f>
        <v>0</v>
      </c>
      <c r="Q227">
        <f>計算表!Q227</f>
        <v>0</v>
      </c>
      <c r="R227">
        <f>計算表!R227</f>
        <v>0</v>
      </c>
    </row>
    <row r="228" spans="1:18" x14ac:dyDescent="0.25">
      <c r="A228">
        <f>計算表!A228</f>
        <v>227</v>
      </c>
      <c r="B228" s="2">
        <f>計算表!B228</f>
        <v>0</v>
      </c>
      <c r="C228" t="str">
        <f>計算表!C228</f>
        <v>8-寶店刷出數量</v>
      </c>
      <c r="D228" t="str">
        <f>計算表!D228</f>
        <v>商店 Lv.16</v>
      </c>
      <c r="E228" t="str">
        <f>計算表!E228</f>
        <v>刷出數量=機率%（每格獨立）</v>
      </c>
      <c r="F228" t="str">
        <f>計算表!F228</f>
        <v>格式「刷出數量=機率%」，機率總和 100。</v>
      </c>
      <c r="G228" t="str">
        <f>計算表!G228</f>
        <v>14=30</v>
      </c>
      <c r="H228" t="str">
        <f>計算表!H228</f>
        <v>15=30</v>
      </c>
      <c r="I228" t="str">
        <f>計算表!I228</f>
        <v>16=15</v>
      </c>
      <c r="J228" t="str">
        <f>計算表!J228</f>
        <v>17=15</v>
      </c>
      <c r="K228" t="str">
        <f>計算表!K228</f>
        <v>18=10</v>
      </c>
      <c r="L228">
        <f>計算表!L228</f>
        <v>0</v>
      </c>
      <c r="M228">
        <f>計算表!M228</f>
        <v>0</v>
      </c>
      <c r="N228">
        <f>計算表!N228</f>
        <v>0</v>
      </c>
      <c r="O228">
        <f>計算表!O228</f>
        <v>0</v>
      </c>
      <c r="P228">
        <f>計算表!P228</f>
        <v>0</v>
      </c>
      <c r="Q228">
        <f>計算表!Q228</f>
        <v>0</v>
      </c>
      <c r="R228">
        <f>計算表!R228</f>
        <v>0</v>
      </c>
    </row>
    <row r="229" spans="1:18" x14ac:dyDescent="0.25">
      <c r="A229">
        <f>計算表!A229</f>
        <v>228</v>
      </c>
      <c r="B229" s="2">
        <f>計算表!B229</f>
        <v>0</v>
      </c>
      <c r="C229" t="str">
        <f>計算表!C229</f>
        <v>8-寶店刷出數量</v>
      </c>
      <c r="D229" t="str">
        <f>計算表!D229</f>
        <v>商店 Lv.17</v>
      </c>
      <c r="E229" t="str">
        <f>計算表!E229</f>
        <v>刷出數量=機率%（每格獨立）</v>
      </c>
      <c r="F229" t="str">
        <f>計算表!F229</f>
        <v>格式「刷出數量=機率%」，機率總和 100。</v>
      </c>
      <c r="G229" t="str">
        <f>計算表!G229</f>
        <v>15=30</v>
      </c>
      <c r="H229" t="str">
        <f>計算表!H229</f>
        <v>16=30</v>
      </c>
      <c r="I229" t="str">
        <f>計算表!I229</f>
        <v>17=15</v>
      </c>
      <c r="J229" t="str">
        <f>計算表!J229</f>
        <v>18=15</v>
      </c>
      <c r="K229" t="str">
        <f>計算表!K229</f>
        <v>19=10</v>
      </c>
      <c r="L229">
        <f>計算表!L229</f>
        <v>0</v>
      </c>
      <c r="M229">
        <f>計算表!M229</f>
        <v>0</v>
      </c>
      <c r="N229">
        <f>計算表!N229</f>
        <v>0</v>
      </c>
      <c r="O229">
        <f>計算表!O229</f>
        <v>0</v>
      </c>
      <c r="P229">
        <f>計算表!P229</f>
        <v>0</v>
      </c>
      <c r="Q229">
        <f>計算表!Q229</f>
        <v>0</v>
      </c>
      <c r="R229">
        <f>計算表!R229</f>
        <v>0</v>
      </c>
    </row>
    <row r="230" spans="1:18" x14ac:dyDescent="0.25">
      <c r="A230">
        <f>計算表!A230</f>
        <v>229</v>
      </c>
      <c r="B230" s="2">
        <f>計算表!B230</f>
        <v>0</v>
      </c>
      <c r="C230" t="str">
        <f>計算表!C230</f>
        <v>8-寶店刷出數量</v>
      </c>
      <c r="D230" t="str">
        <f>計算表!D230</f>
        <v>商店 Lv.18</v>
      </c>
      <c r="E230" t="str">
        <f>計算表!E230</f>
        <v>刷出數量=機率%（每格獨立）</v>
      </c>
      <c r="F230" t="str">
        <f>計算表!F230</f>
        <v>格式「刷出數量=機率%」，機率總和 100。</v>
      </c>
      <c r="G230" t="str">
        <f>計算表!G230</f>
        <v>15=10</v>
      </c>
      <c r="H230" t="str">
        <f>計算表!H230</f>
        <v>16=20</v>
      </c>
      <c r="I230" t="str">
        <f>計算表!I230</f>
        <v>17=30</v>
      </c>
      <c r="J230" t="str">
        <f>計算表!J230</f>
        <v>18=15</v>
      </c>
      <c r="K230" t="str">
        <f>計算表!K230</f>
        <v>19=15</v>
      </c>
      <c r="L230" t="str">
        <f>計算表!L230</f>
        <v>20=10</v>
      </c>
      <c r="M230">
        <f>計算表!M230</f>
        <v>0</v>
      </c>
      <c r="N230">
        <f>計算表!N230</f>
        <v>0</v>
      </c>
      <c r="O230">
        <f>計算表!O230</f>
        <v>0</v>
      </c>
      <c r="P230">
        <f>計算表!P230</f>
        <v>0</v>
      </c>
      <c r="Q230">
        <f>計算表!Q230</f>
        <v>0</v>
      </c>
      <c r="R230">
        <f>計算表!R230</f>
        <v>0</v>
      </c>
    </row>
    <row r="231" spans="1:18" x14ac:dyDescent="0.25">
      <c r="A231">
        <f>計算表!A231</f>
        <v>230</v>
      </c>
      <c r="B231" s="2">
        <f>計算表!B231</f>
        <v>0</v>
      </c>
      <c r="C231" t="str">
        <f>計算表!C231</f>
        <v>8-寶店刷出數量</v>
      </c>
      <c r="D231" t="str">
        <f>計算表!D231</f>
        <v>商店 Lv.19</v>
      </c>
      <c r="E231" t="str">
        <f>計算表!E231</f>
        <v>刷出數量=機率%（每格獨立）</v>
      </c>
      <c r="F231" t="str">
        <f>計算表!F231</f>
        <v>格式「刷出數量=機率%」，機率總和 100。</v>
      </c>
      <c r="G231" t="str">
        <f>計算表!G231</f>
        <v>15=10</v>
      </c>
      <c r="H231" t="str">
        <f>計算表!H231</f>
        <v>16=20</v>
      </c>
      <c r="I231" t="str">
        <f>計算表!I231</f>
        <v>17=30</v>
      </c>
      <c r="J231" t="str">
        <f>計算表!J231</f>
        <v>18=15</v>
      </c>
      <c r="K231" t="str">
        <f>計算表!K231</f>
        <v>19=15</v>
      </c>
      <c r="L231" t="str">
        <f>計算表!L231</f>
        <v>20=10</v>
      </c>
      <c r="M231">
        <f>計算表!M231</f>
        <v>0</v>
      </c>
      <c r="N231">
        <f>計算表!N231</f>
        <v>0</v>
      </c>
      <c r="O231">
        <f>計算表!O231</f>
        <v>0</v>
      </c>
      <c r="P231">
        <f>計算表!P231</f>
        <v>0</v>
      </c>
      <c r="Q231">
        <f>計算表!Q231</f>
        <v>0</v>
      </c>
      <c r="R231">
        <f>計算表!R231</f>
        <v>0</v>
      </c>
    </row>
    <row r="232" spans="1:18" x14ac:dyDescent="0.25">
      <c r="A232">
        <f>計算表!A232</f>
        <v>231</v>
      </c>
      <c r="B232" s="2">
        <f>計算表!B232</f>
        <v>0</v>
      </c>
      <c r="C232" t="str">
        <f>計算表!C232</f>
        <v>8-寶店刷出數量</v>
      </c>
      <c r="D232" t="str">
        <f>計算表!D232</f>
        <v>商店 Lv.20</v>
      </c>
      <c r="E232" t="str">
        <f>計算表!E232</f>
        <v>刷出數量=機率%（每格獨立）</v>
      </c>
      <c r="F232" t="str">
        <f>計算表!F232</f>
        <v>格式「刷出數量=機率%」，機率總和 100。</v>
      </c>
      <c r="G232" t="str">
        <f>計算表!G232</f>
        <v>15=10</v>
      </c>
      <c r="H232" t="str">
        <f>計算表!H232</f>
        <v>16=20</v>
      </c>
      <c r="I232" t="str">
        <f>計算表!I232</f>
        <v>17=30</v>
      </c>
      <c r="J232" t="str">
        <f>計算表!J232</f>
        <v>18=15</v>
      </c>
      <c r="K232" t="str">
        <f>計算表!K232</f>
        <v>19=15</v>
      </c>
      <c r="L232" t="str">
        <f>計算表!L232</f>
        <v>20=10</v>
      </c>
      <c r="M232">
        <f>計算表!M232</f>
        <v>0</v>
      </c>
      <c r="N232">
        <f>計算表!N232</f>
        <v>0</v>
      </c>
      <c r="O232">
        <f>計算表!O232</f>
        <v>0</v>
      </c>
      <c r="P232">
        <f>計算表!P232</f>
        <v>0</v>
      </c>
      <c r="Q232">
        <f>計算表!Q232</f>
        <v>0</v>
      </c>
      <c r="R232">
        <f>計算表!R232</f>
        <v>0</v>
      </c>
    </row>
    <row r="233" spans="1:18" x14ac:dyDescent="0.25">
      <c r="A233">
        <f>計算表!A233</f>
        <v>232</v>
      </c>
      <c r="B233" s="2">
        <f>計算表!B233</f>
        <v>0</v>
      </c>
      <c r="C233" t="str">
        <f>計算表!C233</f>
        <v>8-寶店刷出階級</v>
      </c>
      <c r="D233" t="str">
        <f>計算表!D233</f>
        <v>商店 Lv.1</v>
      </c>
      <c r="E233" t="str">
        <f>計算表!E233</f>
        <v>寶石階級=機率%（每顆獨立）</v>
      </c>
      <c r="F233" t="str">
        <f>計算表!F233</f>
        <v>格式「階級=機率%」，機率總和 100。</v>
      </c>
      <c r="G233" t="str">
        <f>計算表!G233</f>
        <v>1=75</v>
      </c>
      <c r="H233" t="str">
        <f>計算表!H233</f>
        <v>2=20</v>
      </c>
      <c r="I233" t="str">
        <f>計算表!I233</f>
        <v>3=4</v>
      </c>
      <c r="J233" t="str">
        <f>計算表!J233</f>
        <v>4=1</v>
      </c>
      <c r="K233">
        <f>計算表!K233</f>
        <v>0</v>
      </c>
      <c r="L233">
        <f>計算表!L233</f>
        <v>0</v>
      </c>
      <c r="M233">
        <f>計算表!M233</f>
        <v>0</v>
      </c>
      <c r="N233">
        <f>計算表!N233</f>
        <v>0</v>
      </c>
      <c r="O233">
        <f>計算表!O233</f>
        <v>0</v>
      </c>
      <c r="P233">
        <f>計算表!P233</f>
        <v>0</v>
      </c>
      <c r="Q233">
        <f>計算表!Q233</f>
        <v>0</v>
      </c>
      <c r="R233">
        <f>計算表!R233</f>
        <v>0</v>
      </c>
    </row>
    <row r="234" spans="1:18" x14ac:dyDescent="0.25">
      <c r="A234">
        <f>計算表!A234</f>
        <v>233</v>
      </c>
      <c r="B234" s="2">
        <f>計算表!B234</f>
        <v>0</v>
      </c>
      <c r="C234" t="str">
        <f>計算表!C234</f>
        <v>8-寶店刷出階級</v>
      </c>
      <c r="D234" t="str">
        <f>計算表!D234</f>
        <v>商店 Lv.2</v>
      </c>
      <c r="E234" t="str">
        <f>計算表!E234</f>
        <v>寶石階級=機率%（每顆獨立）</v>
      </c>
      <c r="F234" t="str">
        <f>計算表!F234</f>
        <v>格式「階級=機率%」，機率總和 100。</v>
      </c>
      <c r="G234" t="str">
        <f>計算表!G234</f>
        <v>1=73</v>
      </c>
      <c r="H234" t="str">
        <f>計算表!H234</f>
        <v>2=20</v>
      </c>
      <c r="I234" t="str">
        <f>計算表!I234</f>
        <v>3=5</v>
      </c>
      <c r="J234" t="str">
        <f>計算表!J234</f>
        <v>4=2</v>
      </c>
      <c r="K234">
        <f>計算表!K234</f>
        <v>0</v>
      </c>
      <c r="L234">
        <f>計算表!L234</f>
        <v>0</v>
      </c>
      <c r="M234">
        <f>計算表!M234</f>
        <v>0</v>
      </c>
      <c r="N234">
        <f>計算表!N234</f>
        <v>0</v>
      </c>
      <c r="O234">
        <f>計算表!O234</f>
        <v>0</v>
      </c>
      <c r="P234">
        <f>計算表!P234</f>
        <v>0</v>
      </c>
      <c r="Q234">
        <f>計算表!Q234</f>
        <v>0</v>
      </c>
      <c r="R234">
        <f>計算表!R234</f>
        <v>0</v>
      </c>
    </row>
    <row r="235" spans="1:18" x14ac:dyDescent="0.25">
      <c r="A235">
        <f>計算表!A235</f>
        <v>234</v>
      </c>
      <c r="B235" s="2">
        <f>計算表!B235</f>
        <v>0</v>
      </c>
      <c r="C235" t="str">
        <f>計算表!C235</f>
        <v>8-寶店刷出階級</v>
      </c>
      <c r="D235" t="str">
        <f>計算表!D235</f>
        <v>商店 Lv.3</v>
      </c>
      <c r="E235" t="str">
        <f>計算表!E235</f>
        <v>寶石階級=機率%（每顆獨立）</v>
      </c>
      <c r="F235" t="str">
        <f>計算表!F235</f>
        <v>格式「階級=機率%」，機率總和 100。</v>
      </c>
      <c r="G235" t="str">
        <f>計算表!G235</f>
        <v>1=71</v>
      </c>
      <c r="H235" t="str">
        <f>計算表!H235</f>
        <v>2=20</v>
      </c>
      <c r="I235" t="str">
        <f>計算表!I235</f>
        <v>3=6</v>
      </c>
      <c r="J235" t="str">
        <f>計算表!J235</f>
        <v>4=3</v>
      </c>
      <c r="K235">
        <f>計算表!K235</f>
        <v>0</v>
      </c>
      <c r="L235">
        <f>計算表!L235</f>
        <v>0</v>
      </c>
      <c r="M235">
        <f>計算表!M235</f>
        <v>0</v>
      </c>
      <c r="N235">
        <f>計算表!N235</f>
        <v>0</v>
      </c>
      <c r="O235">
        <f>計算表!O235</f>
        <v>0</v>
      </c>
      <c r="P235">
        <f>計算表!P235</f>
        <v>0</v>
      </c>
      <c r="Q235">
        <f>計算表!Q235</f>
        <v>0</v>
      </c>
      <c r="R235">
        <f>計算表!R235</f>
        <v>0</v>
      </c>
    </row>
    <row r="236" spans="1:18" x14ac:dyDescent="0.25">
      <c r="A236">
        <f>計算表!A236</f>
        <v>235</v>
      </c>
      <c r="B236" s="2">
        <f>計算表!B236</f>
        <v>0</v>
      </c>
      <c r="C236" t="str">
        <f>計算表!C236</f>
        <v>8-寶店刷出階級</v>
      </c>
      <c r="D236" t="str">
        <f>計算表!D236</f>
        <v>商店 Lv.4</v>
      </c>
      <c r="E236" t="str">
        <f>計算表!E236</f>
        <v>寶石階級=機率%（每顆獨立）</v>
      </c>
      <c r="F236" t="str">
        <f>計算表!F236</f>
        <v>格式「階級=機率%」，機率總和 100。</v>
      </c>
      <c r="G236" t="str">
        <f>計算表!G236</f>
        <v>1=70.5</v>
      </c>
      <c r="H236" t="str">
        <f>計算表!H236</f>
        <v>2=20</v>
      </c>
      <c r="I236" t="str">
        <f>計算表!I236</f>
        <v>3=6</v>
      </c>
      <c r="J236" t="str">
        <f>計算表!J236</f>
        <v>4=3</v>
      </c>
      <c r="K236" t="str">
        <f>計算表!K236</f>
        <v>5=0.5</v>
      </c>
      <c r="L236">
        <f>計算表!L236</f>
        <v>0</v>
      </c>
      <c r="M236">
        <f>計算表!M236</f>
        <v>0</v>
      </c>
      <c r="N236">
        <f>計算表!N236</f>
        <v>0</v>
      </c>
      <c r="O236">
        <f>計算表!O236</f>
        <v>0</v>
      </c>
      <c r="P236">
        <f>計算表!P236</f>
        <v>0</v>
      </c>
      <c r="Q236">
        <f>計算表!Q236</f>
        <v>0</v>
      </c>
      <c r="R236">
        <f>計算表!R236</f>
        <v>0</v>
      </c>
    </row>
    <row r="237" spans="1:18" x14ac:dyDescent="0.25">
      <c r="A237">
        <f>計算表!A237</f>
        <v>236</v>
      </c>
      <c r="B237" s="2">
        <f>計算表!B237</f>
        <v>0</v>
      </c>
      <c r="C237" t="str">
        <f>計算表!C237</f>
        <v>8-寶店刷出階級</v>
      </c>
      <c r="D237" t="str">
        <f>計算表!D237</f>
        <v>商店 Lv.5</v>
      </c>
      <c r="E237" t="str">
        <f>計算表!E237</f>
        <v>寶石階級=機率%（每顆獨立）</v>
      </c>
      <c r="F237" t="str">
        <f>計算表!F237</f>
        <v>格式「階級=機率%」，機率總和 100。</v>
      </c>
      <c r="G237" t="str">
        <f>計算表!G237</f>
        <v>1=69</v>
      </c>
      <c r="H237" t="str">
        <f>計算表!H237</f>
        <v>2=20</v>
      </c>
      <c r="I237" t="str">
        <f>計算表!I237</f>
        <v>3=6</v>
      </c>
      <c r="J237" t="str">
        <f>計算表!J237</f>
        <v>4=4</v>
      </c>
      <c r="K237" t="str">
        <f>計算表!K237</f>
        <v>5=1</v>
      </c>
      <c r="L237">
        <f>計算表!L237</f>
        <v>0</v>
      </c>
      <c r="M237">
        <f>計算表!M237</f>
        <v>0</v>
      </c>
      <c r="N237">
        <f>計算表!N237</f>
        <v>0</v>
      </c>
      <c r="O237">
        <f>計算表!O237</f>
        <v>0</v>
      </c>
      <c r="P237">
        <f>計算表!P237</f>
        <v>0</v>
      </c>
      <c r="Q237">
        <f>計算表!Q237</f>
        <v>0</v>
      </c>
      <c r="R237">
        <f>計算表!R237</f>
        <v>0</v>
      </c>
    </row>
    <row r="238" spans="1:18" x14ac:dyDescent="0.25">
      <c r="A238">
        <f>計算表!A238</f>
        <v>237</v>
      </c>
      <c r="B238" s="2">
        <f>計算表!B238</f>
        <v>0</v>
      </c>
      <c r="C238" t="str">
        <f>計算表!C238</f>
        <v>8-寶店刷出階級</v>
      </c>
      <c r="D238" t="str">
        <f>計算表!D238</f>
        <v>商店 Lv.6</v>
      </c>
      <c r="E238" t="str">
        <f>計算表!E238</f>
        <v>寶石階級=機率%（每顆獨立）</v>
      </c>
      <c r="F238" t="str">
        <f>計算表!F238</f>
        <v>格式「階級=機率%」，機率總和 100。</v>
      </c>
      <c r="G238" t="str">
        <f>計算表!G238</f>
        <v>1=67.5</v>
      </c>
      <c r="H238" t="str">
        <f>計算表!H238</f>
        <v>2=20</v>
      </c>
      <c r="I238" t="str">
        <f>計算表!I238</f>
        <v>3=6</v>
      </c>
      <c r="J238" t="str">
        <f>計算表!J238</f>
        <v>4=5</v>
      </c>
      <c r="K238" t="str">
        <f>計算表!K238</f>
        <v>5=1.5</v>
      </c>
      <c r="L238">
        <f>計算表!L238</f>
        <v>0</v>
      </c>
      <c r="M238">
        <f>計算表!M238</f>
        <v>0</v>
      </c>
      <c r="N238">
        <f>計算表!N238</f>
        <v>0</v>
      </c>
      <c r="O238">
        <f>計算表!O238</f>
        <v>0</v>
      </c>
      <c r="P238">
        <f>計算表!P238</f>
        <v>0</v>
      </c>
      <c r="Q238">
        <f>計算表!Q238</f>
        <v>0</v>
      </c>
      <c r="R238">
        <f>計算表!R238</f>
        <v>0</v>
      </c>
    </row>
    <row r="239" spans="1:18" x14ac:dyDescent="0.25">
      <c r="A239">
        <f>計算表!A239</f>
        <v>238</v>
      </c>
      <c r="B239" s="2">
        <f>計算表!B239</f>
        <v>0</v>
      </c>
      <c r="C239" t="str">
        <f>計算表!C239</f>
        <v>8-寶店刷出階級</v>
      </c>
      <c r="D239" t="str">
        <f>計算表!D239</f>
        <v>商店 Lv.7</v>
      </c>
      <c r="E239" t="str">
        <f>計算表!E239</f>
        <v>寶石階級=機率%（每顆獨立）</v>
      </c>
      <c r="F239" t="str">
        <f>計算表!F239</f>
        <v>格式「階級=機率%」，機率總和 100。</v>
      </c>
      <c r="G239" t="str">
        <f>計算表!G239</f>
        <v>1=64</v>
      </c>
      <c r="H239" t="str">
        <f>計算表!H239</f>
        <v>2=20</v>
      </c>
      <c r="I239" t="str">
        <f>計算表!I239</f>
        <v>3=8</v>
      </c>
      <c r="J239" t="str">
        <f>計算表!J239</f>
        <v>4=6</v>
      </c>
      <c r="K239" t="str">
        <f>計算表!K239</f>
        <v>5=2</v>
      </c>
      <c r="L239">
        <f>計算表!L239</f>
        <v>0</v>
      </c>
      <c r="M239">
        <f>計算表!M239</f>
        <v>0</v>
      </c>
      <c r="N239">
        <f>計算表!N239</f>
        <v>0</v>
      </c>
      <c r="O239">
        <f>計算表!O239</f>
        <v>0</v>
      </c>
      <c r="P239">
        <f>計算表!P239</f>
        <v>0</v>
      </c>
      <c r="Q239">
        <f>計算表!Q239</f>
        <v>0</v>
      </c>
      <c r="R239">
        <f>計算表!R239</f>
        <v>0</v>
      </c>
    </row>
    <row r="240" spans="1:18" x14ac:dyDescent="0.25">
      <c r="A240">
        <f>計算表!A240</f>
        <v>239</v>
      </c>
      <c r="B240" s="2">
        <f>計算表!B240</f>
        <v>0</v>
      </c>
      <c r="C240" t="str">
        <f>計算表!C240</f>
        <v>8-寶店刷出階級</v>
      </c>
      <c r="D240" t="str">
        <f>計算表!D240</f>
        <v>商店 Lv.8</v>
      </c>
      <c r="E240" t="str">
        <f>計算表!E240</f>
        <v>寶石階級=機率%（每顆獨立）</v>
      </c>
      <c r="F240" t="str">
        <f>計算表!F240</f>
        <v>格式「階級=機率%」，機率總和 100。</v>
      </c>
      <c r="G240" t="str">
        <f>計算表!G240</f>
        <v>1=61.5</v>
      </c>
      <c r="H240" t="str">
        <f>計算表!H240</f>
        <v>2=20</v>
      </c>
      <c r="I240" t="str">
        <f>計算表!I240</f>
        <v>3=9</v>
      </c>
      <c r="J240" t="str">
        <f>計算表!J240</f>
        <v>4=7</v>
      </c>
      <c r="K240" t="str">
        <f>計算表!K240</f>
        <v>5=2.5</v>
      </c>
      <c r="L240">
        <f>計算表!L240</f>
        <v>0</v>
      </c>
      <c r="M240">
        <f>計算表!M240</f>
        <v>0</v>
      </c>
      <c r="N240">
        <f>計算表!N240</f>
        <v>0</v>
      </c>
      <c r="O240">
        <f>計算表!O240</f>
        <v>0</v>
      </c>
      <c r="P240">
        <f>計算表!P240</f>
        <v>0</v>
      </c>
      <c r="Q240">
        <f>計算表!Q240</f>
        <v>0</v>
      </c>
      <c r="R240">
        <f>計算表!R240</f>
        <v>0</v>
      </c>
    </row>
    <row r="241" spans="1:18" x14ac:dyDescent="0.25">
      <c r="A241">
        <f>計算表!A241</f>
        <v>240</v>
      </c>
      <c r="B241" s="2">
        <f>計算表!B241</f>
        <v>0</v>
      </c>
      <c r="C241" t="str">
        <f>計算表!C241</f>
        <v>8-寶店刷出階級</v>
      </c>
      <c r="D241" t="str">
        <f>計算表!D241</f>
        <v>商店 Lv.9</v>
      </c>
      <c r="E241" t="str">
        <f>計算表!E241</f>
        <v>寶石階級=機率%（每顆獨立）</v>
      </c>
      <c r="F241" t="str">
        <f>計算表!F241</f>
        <v>格式「階級=機率%」，機率總和 100。</v>
      </c>
      <c r="G241" t="str">
        <f>計算表!G241</f>
        <v>1=59</v>
      </c>
      <c r="H241" t="str">
        <f>計算表!H241</f>
        <v>2=20</v>
      </c>
      <c r="I241" t="str">
        <f>計算表!I241</f>
        <v>3=10</v>
      </c>
      <c r="J241" t="str">
        <f>計算表!J241</f>
        <v>4=8</v>
      </c>
      <c r="K241" t="str">
        <f>計算表!K241</f>
        <v>5=3</v>
      </c>
      <c r="L241">
        <f>計算表!L241</f>
        <v>0</v>
      </c>
      <c r="M241">
        <f>計算表!M241</f>
        <v>0</v>
      </c>
      <c r="N241">
        <f>計算表!N241</f>
        <v>0</v>
      </c>
      <c r="O241">
        <f>計算表!O241</f>
        <v>0</v>
      </c>
      <c r="P241">
        <f>計算表!P241</f>
        <v>0</v>
      </c>
      <c r="Q241">
        <f>計算表!Q241</f>
        <v>0</v>
      </c>
      <c r="R241">
        <f>計算表!R241</f>
        <v>0</v>
      </c>
    </row>
    <row r="242" spans="1:18" x14ac:dyDescent="0.25">
      <c r="A242">
        <f>計算表!A242</f>
        <v>241</v>
      </c>
      <c r="B242" s="2">
        <f>計算表!B242</f>
        <v>0</v>
      </c>
      <c r="C242" t="str">
        <f>計算表!C242</f>
        <v>8-寶店刷出階級</v>
      </c>
      <c r="D242" t="str">
        <f>計算表!D242</f>
        <v>商店 Lv.10</v>
      </c>
      <c r="E242" t="str">
        <f>計算表!E242</f>
        <v>寶石階級=機率%（每顆獨立）</v>
      </c>
      <c r="F242" t="str">
        <f>計算表!F242</f>
        <v>格式「階級=機率%」，機率總和 100。</v>
      </c>
      <c r="G242" t="str">
        <f>計算表!G242</f>
        <v>1=58</v>
      </c>
      <c r="H242" t="str">
        <f>計算表!H242</f>
        <v>2=20</v>
      </c>
      <c r="I242" t="str">
        <f>計算表!I242</f>
        <v>3=10</v>
      </c>
      <c r="J242" t="str">
        <f>計算表!J242</f>
        <v>4=8</v>
      </c>
      <c r="K242" t="str">
        <f>計算表!K242</f>
        <v>5=3.5</v>
      </c>
      <c r="L242" t="str">
        <f>計算表!L242</f>
        <v>6=0.5</v>
      </c>
      <c r="M242">
        <f>計算表!M242</f>
        <v>0</v>
      </c>
      <c r="N242">
        <f>計算表!N242</f>
        <v>0</v>
      </c>
      <c r="O242">
        <f>計算表!O242</f>
        <v>0</v>
      </c>
      <c r="P242">
        <f>計算表!P242</f>
        <v>0</v>
      </c>
      <c r="Q242">
        <f>計算表!Q242</f>
        <v>0</v>
      </c>
      <c r="R242">
        <f>計算表!R242</f>
        <v>0</v>
      </c>
    </row>
    <row r="243" spans="1:18" x14ac:dyDescent="0.25">
      <c r="A243">
        <f>計算表!A243</f>
        <v>242</v>
      </c>
      <c r="B243" s="2">
        <f>計算表!B243</f>
        <v>0</v>
      </c>
      <c r="C243" t="str">
        <f>計算表!C243</f>
        <v>8-寶店刷出階級</v>
      </c>
      <c r="D243" t="str">
        <f>計算表!D243</f>
        <v>商店 Lv.11</v>
      </c>
      <c r="E243" t="str">
        <f>計算表!E243</f>
        <v>寶石階級=機率%（每顆獨立）</v>
      </c>
      <c r="F243" t="str">
        <f>計算表!F243</f>
        <v>格式「階級=機率%」，機率總和 100。</v>
      </c>
      <c r="G243" t="str">
        <f>計算表!G243</f>
        <v>1=57.25</v>
      </c>
      <c r="H243" t="str">
        <f>計算表!H243</f>
        <v>2=20</v>
      </c>
      <c r="I243" t="str">
        <f>計算表!I243</f>
        <v>3=10</v>
      </c>
      <c r="J243" t="str">
        <f>計算表!J243</f>
        <v>4=8</v>
      </c>
      <c r="K243" t="str">
        <f>計算表!K243</f>
        <v>5=4</v>
      </c>
      <c r="L243" t="str">
        <f>計算表!L243</f>
        <v>6=0.75</v>
      </c>
      <c r="M243">
        <f>計算表!M243</f>
        <v>0</v>
      </c>
      <c r="N243">
        <f>計算表!N243</f>
        <v>0</v>
      </c>
      <c r="O243">
        <f>計算表!O243</f>
        <v>0</v>
      </c>
      <c r="P243">
        <f>計算表!P243</f>
        <v>0</v>
      </c>
      <c r="Q243">
        <f>計算表!Q243</f>
        <v>0</v>
      </c>
      <c r="R243">
        <f>計算表!R243</f>
        <v>0</v>
      </c>
    </row>
    <row r="244" spans="1:18" x14ac:dyDescent="0.25">
      <c r="A244">
        <f>計算表!A244</f>
        <v>243</v>
      </c>
      <c r="B244" s="2">
        <f>計算表!B244</f>
        <v>0</v>
      </c>
      <c r="C244" t="str">
        <f>計算表!C244</f>
        <v>8-寶店刷出階級</v>
      </c>
      <c r="D244" t="str">
        <f>計算表!D244</f>
        <v>商店 Lv.12</v>
      </c>
      <c r="E244" t="str">
        <f>計算表!E244</f>
        <v>寶石階級=機率%（每顆獨立）</v>
      </c>
      <c r="F244" t="str">
        <f>計算表!F244</f>
        <v>格式「階級=機率%」，機率總和 100。</v>
      </c>
      <c r="G244" t="str">
        <f>計算表!G244</f>
        <v>1=53.5</v>
      </c>
      <c r="H244" t="str">
        <f>計算表!H244</f>
        <v>2=20</v>
      </c>
      <c r="I244" t="str">
        <f>計算表!I244</f>
        <v>3=12</v>
      </c>
      <c r="J244" t="str">
        <f>計算表!J244</f>
        <v>4=9</v>
      </c>
      <c r="K244" t="str">
        <f>計算表!K244</f>
        <v>5=4.5</v>
      </c>
      <c r="L244" t="str">
        <f>計算表!L244</f>
        <v>6=1</v>
      </c>
      <c r="M244">
        <f>計算表!M244</f>
        <v>0</v>
      </c>
      <c r="N244">
        <f>計算表!N244</f>
        <v>0</v>
      </c>
      <c r="O244">
        <f>計算表!O244</f>
        <v>0</v>
      </c>
      <c r="P244">
        <f>計算表!P244</f>
        <v>0</v>
      </c>
      <c r="Q244">
        <f>計算表!Q244</f>
        <v>0</v>
      </c>
      <c r="R244">
        <f>計算表!R244</f>
        <v>0</v>
      </c>
    </row>
    <row r="245" spans="1:18" x14ac:dyDescent="0.25">
      <c r="A245">
        <f>計算表!A245</f>
        <v>244</v>
      </c>
      <c r="B245" s="2">
        <f>計算表!B245</f>
        <v>0</v>
      </c>
      <c r="C245" t="str">
        <f>計算表!C245</f>
        <v>8-寶店刷出階級</v>
      </c>
      <c r="D245" t="str">
        <f>計算表!D245</f>
        <v>商店 Lv.13</v>
      </c>
      <c r="E245" t="str">
        <f>計算表!E245</f>
        <v>寶石階級=機率%（每顆獨立）</v>
      </c>
      <c r="F245" t="str">
        <f>計算表!F245</f>
        <v>格式「階級=機率%」，機率總和 100。</v>
      </c>
      <c r="G245" t="str">
        <f>計算表!G245</f>
        <v>1=53.25</v>
      </c>
      <c r="H245" t="str">
        <f>計算表!H245</f>
        <v>2=20</v>
      </c>
      <c r="I245" t="str">
        <f>計算表!I245</f>
        <v>3=12</v>
      </c>
      <c r="J245" t="str">
        <f>計算表!J245</f>
        <v>4=9</v>
      </c>
      <c r="K245" t="str">
        <f>計算表!K245</f>
        <v>5=4.5</v>
      </c>
      <c r="L245" t="str">
        <f>計算表!L245</f>
        <v>6=1.25</v>
      </c>
      <c r="M245">
        <f>計算表!M245</f>
        <v>0</v>
      </c>
      <c r="N245">
        <f>計算表!N245</f>
        <v>0</v>
      </c>
      <c r="O245">
        <f>計算表!O245</f>
        <v>0</v>
      </c>
      <c r="P245">
        <f>計算表!P245</f>
        <v>0</v>
      </c>
      <c r="Q245">
        <f>計算表!Q245</f>
        <v>0</v>
      </c>
      <c r="R245">
        <f>計算表!R245</f>
        <v>0</v>
      </c>
    </row>
    <row r="246" spans="1:18" x14ac:dyDescent="0.25">
      <c r="A246">
        <f>計算表!A246</f>
        <v>245</v>
      </c>
      <c r="B246" s="2">
        <f>計算表!B246</f>
        <v>0</v>
      </c>
      <c r="C246" t="str">
        <f>計算表!C246</f>
        <v>8-寶店刷出階級</v>
      </c>
      <c r="D246" t="str">
        <f>計算表!D246</f>
        <v>商店 Lv.14</v>
      </c>
      <c r="E246" t="str">
        <f>計算表!E246</f>
        <v>寶石階級=機率%（每顆獨立）</v>
      </c>
      <c r="F246" t="str">
        <f>計算表!F246</f>
        <v>格式「階級=機率%」，機率總和 100。</v>
      </c>
      <c r="G246" t="str">
        <f>計算表!G246</f>
        <v>1=53</v>
      </c>
      <c r="H246" t="str">
        <f>計算表!H246</f>
        <v>2=20</v>
      </c>
      <c r="I246" t="str">
        <f>計算表!I246</f>
        <v>3=12</v>
      </c>
      <c r="J246" t="str">
        <f>計算表!J246</f>
        <v>4=9</v>
      </c>
      <c r="K246" t="str">
        <f>計算表!K246</f>
        <v>5=4.5</v>
      </c>
      <c r="L246" t="str">
        <f>計算表!L246</f>
        <v>6=1.5</v>
      </c>
      <c r="M246">
        <f>計算表!M246</f>
        <v>0</v>
      </c>
      <c r="N246">
        <f>計算表!N246</f>
        <v>0</v>
      </c>
      <c r="O246">
        <f>計算表!O246</f>
        <v>0</v>
      </c>
      <c r="P246">
        <f>計算表!P246</f>
        <v>0</v>
      </c>
      <c r="Q246">
        <f>計算表!Q246</f>
        <v>0</v>
      </c>
      <c r="R246">
        <f>計算表!R246</f>
        <v>0</v>
      </c>
    </row>
    <row r="247" spans="1:18" x14ac:dyDescent="0.25">
      <c r="A247">
        <f>計算表!A247</f>
        <v>246</v>
      </c>
      <c r="B247" s="2">
        <f>計算表!B247</f>
        <v>0</v>
      </c>
      <c r="C247" t="str">
        <f>計算表!C247</f>
        <v>8-寶店刷出階級</v>
      </c>
      <c r="D247" t="str">
        <f>計算表!D247</f>
        <v>商店 Lv.15</v>
      </c>
      <c r="E247" t="str">
        <f>計算表!E247</f>
        <v>寶石階級=機率%（每顆獨立）</v>
      </c>
      <c r="F247" t="str">
        <f>計算表!F247</f>
        <v>格式「階級=機率%」，機率總和 100。</v>
      </c>
      <c r="G247" t="str">
        <f>計算表!G247</f>
        <v>1=51.5</v>
      </c>
      <c r="H247" t="str">
        <f>計算表!H247</f>
        <v>2=20</v>
      </c>
      <c r="I247" t="str">
        <f>計算表!I247</f>
        <v>3=12</v>
      </c>
      <c r="J247" t="str">
        <f>計算表!J247</f>
        <v>4=10</v>
      </c>
      <c r="K247" t="str">
        <f>計算表!K247</f>
        <v>5=5</v>
      </c>
      <c r="L247" t="str">
        <f>計算表!L247</f>
        <v>6=1</v>
      </c>
      <c r="M247" t="str">
        <f>計算表!M247</f>
        <v>7=0.5</v>
      </c>
      <c r="N247">
        <f>計算表!N247</f>
        <v>0</v>
      </c>
      <c r="O247">
        <f>計算表!O247</f>
        <v>0</v>
      </c>
      <c r="P247">
        <f>計算表!P247</f>
        <v>0</v>
      </c>
      <c r="Q247">
        <f>計算表!Q247</f>
        <v>0</v>
      </c>
      <c r="R247">
        <f>計算表!R247</f>
        <v>0</v>
      </c>
    </row>
    <row r="248" spans="1:18" x14ac:dyDescent="0.25">
      <c r="A248">
        <f>計算表!A248</f>
        <v>247</v>
      </c>
      <c r="B248" s="2">
        <f>計算表!B248</f>
        <v>0</v>
      </c>
      <c r="C248" t="str">
        <f>計算表!C248</f>
        <v>8-寶店刷出階級</v>
      </c>
      <c r="D248" t="str">
        <f>計算表!D248</f>
        <v>商店 Lv.16</v>
      </c>
      <c r="E248" t="str">
        <f>計算表!E248</f>
        <v>寶石階級=機率%（每顆獨立）</v>
      </c>
      <c r="F248" t="str">
        <f>計算表!F248</f>
        <v>格式「階級=機率%」，機率總和 100。</v>
      </c>
      <c r="G248" t="str">
        <f>計算表!G248</f>
        <v>1=50.75</v>
      </c>
      <c r="H248" t="str">
        <f>計算表!H248</f>
        <v>2=20</v>
      </c>
      <c r="I248" t="str">
        <f>計算表!I248</f>
        <v>3=12</v>
      </c>
      <c r="J248" t="str">
        <f>計算表!J248</f>
        <v>4=10</v>
      </c>
      <c r="K248" t="str">
        <f>計算表!K248</f>
        <v>5=5</v>
      </c>
      <c r="L248" t="str">
        <f>計算表!L248</f>
        <v>6=1.25</v>
      </c>
      <c r="M248" t="str">
        <f>計算表!M248</f>
        <v>7=1</v>
      </c>
      <c r="N248">
        <f>計算表!N248</f>
        <v>0</v>
      </c>
      <c r="O248">
        <f>計算表!O248</f>
        <v>0</v>
      </c>
      <c r="P248">
        <f>計算表!P248</f>
        <v>0</v>
      </c>
      <c r="Q248">
        <f>計算表!Q248</f>
        <v>0</v>
      </c>
      <c r="R248">
        <f>計算表!R248</f>
        <v>0</v>
      </c>
    </row>
    <row r="249" spans="1:18" x14ac:dyDescent="0.25">
      <c r="A249">
        <f>計算表!A249</f>
        <v>248</v>
      </c>
      <c r="B249" s="2">
        <f>計算表!B249</f>
        <v>0</v>
      </c>
      <c r="C249" t="str">
        <f>計算表!C249</f>
        <v>8-寶店刷出階級</v>
      </c>
      <c r="D249" t="str">
        <f>計算表!D249</f>
        <v>商店 Lv.17</v>
      </c>
      <c r="E249" t="str">
        <f>計算表!E249</f>
        <v>寶石階級=機率%（每顆獨立）</v>
      </c>
      <c r="F249" t="str">
        <f>計算表!F249</f>
        <v>格式「階級=機率%」，機率總和 100。</v>
      </c>
      <c r="G249" t="str">
        <f>計算表!G249</f>
        <v>1=50.5</v>
      </c>
      <c r="H249" t="str">
        <f>計算表!H249</f>
        <v>2=20</v>
      </c>
      <c r="I249" t="str">
        <f>計算表!I249</f>
        <v>3=12</v>
      </c>
      <c r="J249" t="str">
        <f>計算表!J249</f>
        <v>4=10</v>
      </c>
      <c r="K249" t="str">
        <f>計算表!K249</f>
        <v>5=5</v>
      </c>
      <c r="L249" t="str">
        <f>計算表!L249</f>
        <v>6=1.25</v>
      </c>
      <c r="M249" t="str">
        <f>計算表!M249</f>
        <v>7=1.25</v>
      </c>
      <c r="N249">
        <f>計算表!N249</f>
        <v>0</v>
      </c>
      <c r="O249">
        <f>計算表!O249</f>
        <v>0</v>
      </c>
      <c r="P249">
        <f>計算表!P249</f>
        <v>0</v>
      </c>
      <c r="Q249">
        <f>計算表!Q249</f>
        <v>0</v>
      </c>
      <c r="R249">
        <f>計算表!R249</f>
        <v>0</v>
      </c>
    </row>
    <row r="250" spans="1:18" x14ac:dyDescent="0.25">
      <c r="A250">
        <f>計算表!A250</f>
        <v>249</v>
      </c>
      <c r="B250" s="2">
        <f>計算表!B250</f>
        <v>0</v>
      </c>
      <c r="C250" t="str">
        <f>計算表!C250</f>
        <v>8-寶店刷出階級</v>
      </c>
      <c r="D250" t="str">
        <f>計算表!D250</f>
        <v>商店 Lv.18</v>
      </c>
      <c r="E250" t="str">
        <f>計算表!E250</f>
        <v>寶石階級=機率%（每顆獨立）</v>
      </c>
      <c r="F250" t="str">
        <f>計算表!F250</f>
        <v>格式「階級=機率%」，機率總和 100。</v>
      </c>
      <c r="G250" t="str">
        <f>計算表!G250</f>
        <v>1=50</v>
      </c>
      <c r="H250" t="str">
        <f>計算表!H250</f>
        <v>2=20</v>
      </c>
      <c r="I250" t="str">
        <f>計算表!I250</f>
        <v>3=12</v>
      </c>
      <c r="J250" t="str">
        <f>計算表!J250</f>
        <v>4=10</v>
      </c>
      <c r="K250" t="str">
        <f>計算表!K250</f>
        <v>5=5</v>
      </c>
      <c r="L250" t="str">
        <f>計算表!L250</f>
        <v>6=1.25</v>
      </c>
      <c r="M250" t="str">
        <f>計算表!M250</f>
        <v>7=1.25</v>
      </c>
      <c r="N250" t="str">
        <f>計算表!N250</f>
        <v>8=0.5</v>
      </c>
      <c r="O250">
        <f>計算表!O250</f>
        <v>0</v>
      </c>
      <c r="P250">
        <f>計算表!P250</f>
        <v>0</v>
      </c>
      <c r="Q250">
        <f>計算表!Q250</f>
        <v>0</v>
      </c>
      <c r="R250">
        <f>計算表!R250</f>
        <v>0</v>
      </c>
    </row>
    <row r="251" spans="1:18" x14ac:dyDescent="0.25">
      <c r="A251">
        <f>計算表!A251</f>
        <v>250</v>
      </c>
      <c r="B251" s="2">
        <f>計算表!B251</f>
        <v>0</v>
      </c>
      <c r="C251" t="str">
        <f>計算表!C251</f>
        <v>8-寶店刷出階級</v>
      </c>
      <c r="D251" t="str">
        <f>計算表!D251</f>
        <v>商店 Lv.19</v>
      </c>
      <c r="E251" t="str">
        <f>計算表!E251</f>
        <v>寶石階級=機率%（每顆獨立）</v>
      </c>
      <c r="F251" t="str">
        <f>計算表!F251</f>
        <v>格式「階級=機率%」，機率總和 100。</v>
      </c>
      <c r="G251" t="str">
        <f>計算表!G251</f>
        <v>1=49.65</v>
      </c>
      <c r="H251" t="str">
        <f>計算表!H251</f>
        <v>2=20</v>
      </c>
      <c r="I251" t="str">
        <f>計算表!I251</f>
        <v>3=12</v>
      </c>
      <c r="J251" t="str">
        <f>計算表!J251</f>
        <v>4=10</v>
      </c>
      <c r="K251" t="str">
        <f>計算表!K251</f>
        <v>5=5</v>
      </c>
      <c r="L251" t="str">
        <f>計算表!L251</f>
        <v>6=1.25</v>
      </c>
      <c r="M251" t="str">
        <f>計算表!M251</f>
        <v>7=1.25</v>
      </c>
      <c r="N251" t="str">
        <f>計算表!N251</f>
        <v>8=0.75</v>
      </c>
      <c r="O251" t="str">
        <f>計算表!O251</f>
        <v>9=0.1</v>
      </c>
      <c r="P251">
        <f>計算表!P251</f>
        <v>0</v>
      </c>
      <c r="Q251">
        <f>計算表!Q251</f>
        <v>0</v>
      </c>
      <c r="R251">
        <f>計算表!R251</f>
        <v>0</v>
      </c>
    </row>
    <row r="252" spans="1:18" x14ac:dyDescent="0.25">
      <c r="A252">
        <f>計算表!A252</f>
        <v>251</v>
      </c>
      <c r="B252" s="2">
        <f>計算表!B252</f>
        <v>0</v>
      </c>
      <c r="C252" t="str">
        <f>計算表!C252</f>
        <v>8-寶店刷出階級</v>
      </c>
      <c r="D252" t="str">
        <f>計算表!D252</f>
        <v>商店 Lv.20</v>
      </c>
      <c r="E252" t="str">
        <f>計算表!E252</f>
        <v>寶石階級=機率%（每顆獨立）</v>
      </c>
      <c r="F252" t="str">
        <f>計算表!F252</f>
        <v>格式「階級=機率%」，機率總和 100。</v>
      </c>
      <c r="G252" t="str">
        <f>計算表!G252</f>
        <v>1=48.9</v>
      </c>
      <c r="H252" t="str">
        <f>計算表!H252</f>
        <v>2=20</v>
      </c>
      <c r="I252" t="str">
        <f>計算表!I252</f>
        <v>3=12</v>
      </c>
      <c r="J252" t="str">
        <f>計算表!J252</f>
        <v>4=10</v>
      </c>
      <c r="K252" t="str">
        <f>計算表!K252</f>
        <v>5=5</v>
      </c>
      <c r="L252" t="str">
        <f>計算表!L252</f>
        <v>6=1.25</v>
      </c>
      <c r="M252" t="str">
        <f>計算表!M252</f>
        <v>7=1.25</v>
      </c>
      <c r="N252" t="str">
        <f>計算表!N252</f>
        <v>8=1</v>
      </c>
      <c r="O252" t="str">
        <f>計算表!O252</f>
        <v>9=0.5</v>
      </c>
      <c r="P252" t="str">
        <f>計算表!P252</f>
        <v>10=0.1</v>
      </c>
      <c r="Q252">
        <f>計算表!Q252</f>
        <v>0</v>
      </c>
      <c r="R252">
        <f>計算表!R252</f>
        <v>0</v>
      </c>
    </row>
    <row r="253" spans="1:18" x14ac:dyDescent="0.25">
      <c r="A253">
        <f>計算表!A253</f>
        <v>252</v>
      </c>
      <c r="B253" s="2">
        <f>計算表!B253</f>
        <v>0</v>
      </c>
      <c r="C253" t="str">
        <f>計算表!C253</f>
        <v>9-技能</v>
      </c>
      <c r="D253" t="str">
        <f>計算表!D253</f>
        <v>技能原始傷害</v>
      </c>
      <c r="E253" t="str">
        <f>計算表!E253</f>
        <v>(base + per×(等級-1))% × 攻擊力</v>
      </c>
      <c r="F253" t="str">
        <f>計算表!F253</f>
        <v>各技能 base/per 見 skills.js 的 SKILLS 表（未納入本表）。</v>
      </c>
      <c r="G253">
        <f>計算表!G253</f>
        <v>0</v>
      </c>
      <c r="H253">
        <f>計算表!H253</f>
        <v>0</v>
      </c>
      <c r="I253">
        <f>計算表!I253</f>
        <v>0</v>
      </c>
      <c r="J253">
        <f>計算表!J253</f>
        <v>0</v>
      </c>
      <c r="K253">
        <f>計算表!K253</f>
        <v>0</v>
      </c>
      <c r="L253">
        <f>計算表!L253</f>
        <v>0</v>
      </c>
      <c r="M253">
        <f>計算表!M253</f>
        <v>0</v>
      </c>
      <c r="N253">
        <f>計算表!N253</f>
        <v>0</v>
      </c>
      <c r="O253">
        <f>計算表!O253</f>
        <v>0</v>
      </c>
      <c r="P253">
        <f>計算表!P253</f>
        <v>0</v>
      </c>
      <c r="Q253">
        <f>計算表!Q253</f>
        <v>0</v>
      </c>
      <c r="R253">
        <f>計算表!R253</f>
        <v>0</v>
      </c>
    </row>
    <row r="254" spans="1:18" x14ac:dyDescent="0.25">
      <c r="A254">
        <f>計算表!A254</f>
        <v>253</v>
      </c>
      <c r="B254" s="2">
        <f>計算表!B254</f>
        <v>0</v>
      </c>
      <c r="C254" t="str">
        <f>計算表!C254</f>
        <v>9-技能</v>
      </c>
      <c r="D254" t="str">
        <f>計算表!D254</f>
        <v>一般技能法力消耗</v>
      </c>
      <c r="E254" t="str">
        <f>計算表!E254</f>
        <v>round(原始消耗 × (1 + a×(技能等級-1)))</v>
      </c>
      <c r="F254" t="str">
        <f>計算表!F254</f>
        <v>非複利。a=每級增幅。</v>
      </c>
      <c r="G254">
        <f>計算表!G254</f>
        <v>0.1</v>
      </c>
      <c r="H254">
        <f>計算表!H254</f>
        <v>0</v>
      </c>
      <c r="I254">
        <f>計算表!I254</f>
        <v>0</v>
      </c>
      <c r="J254">
        <f>計算表!J254</f>
        <v>0</v>
      </c>
      <c r="K254">
        <f>計算表!K254</f>
        <v>0</v>
      </c>
      <c r="L254">
        <f>計算表!L254</f>
        <v>0</v>
      </c>
      <c r="M254">
        <f>計算表!M254</f>
        <v>0</v>
      </c>
      <c r="N254">
        <f>計算表!N254</f>
        <v>0</v>
      </c>
      <c r="O254">
        <f>計算表!O254</f>
        <v>0</v>
      </c>
      <c r="P254">
        <f>計算表!P254</f>
        <v>0</v>
      </c>
      <c r="Q254">
        <f>計算表!Q254</f>
        <v>0</v>
      </c>
      <c r="R254">
        <f>計算表!R254</f>
        <v>0</v>
      </c>
    </row>
    <row r="255" spans="1:18" x14ac:dyDescent="0.25">
      <c r="A255">
        <f>計算表!A255</f>
        <v>254</v>
      </c>
      <c r="B255" s="2">
        <f>計算表!B255</f>
        <v>0</v>
      </c>
      <c r="C255" t="str">
        <f>計算表!C255</f>
        <v>9-技能</v>
      </c>
      <c r="D255" t="str">
        <f>計算表!D255</f>
        <v>多敵人技能傷害</v>
      </c>
      <c r="E255" t="str">
        <f>計算表!E255</f>
        <v>原始傷害 × (1+範圍傷害%) ÷ 目標數</v>
      </c>
      <c r="F255" t="str">
        <f>計算表!F255</f>
        <v>單一目標不套用範圍傷害、也不除以目標數。　※規則寫死：原始傷害×(1+範圍傷害%)÷目標數。</v>
      </c>
      <c r="G255">
        <f>計算表!G255</f>
        <v>0</v>
      </c>
      <c r="H255">
        <f>計算表!H255</f>
        <v>0</v>
      </c>
      <c r="I255">
        <f>計算表!I255</f>
        <v>0</v>
      </c>
      <c r="J255">
        <f>計算表!J255</f>
        <v>0</v>
      </c>
      <c r="K255">
        <f>計算表!K255</f>
        <v>0</v>
      </c>
      <c r="L255">
        <f>計算表!L255</f>
        <v>0</v>
      </c>
      <c r="M255">
        <f>計算表!M255</f>
        <v>0</v>
      </c>
      <c r="N255">
        <f>計算表!N255</f>
        <v>0</v>
      </c>
      <c r="O255">
        <f>計算表!O255</f>
        <v>0</v>
      </c>
      <c r="P255">
        <f>計算表!P255</f>
        <v>0</v>
      </c>
      <c r="Q255">
        <f>計算表!Q255</f>
        <v>0</v>
      </c>
      <c r="R255">
        <f>計算表!R255</f>
        <v>0</v>
      </c>
    </row>
    <row r="256" spans="1:18" x14ac:dyDescent="0.25">
      <c r="A256">
        <f>計算表!A256</f>
        <v>255</v>
      </c>
      <c r="B256" s="2">
        <f>計算表!B256</f>
        <v>0</v>
      </c>
      <c r="C256" t="str">
        <f>計算表!C256</f>
        <v>9-技能</v>
      </c>
      <c r="D256" t="str">
        <f>計算表!D256</f>
        <v>實際冷卻</v>
      </c>
      <c r="E256" t="str">
        <f>計算表!E256</f>
        <v>技能冷卻 × (1 - 冷卻縮減%)</v>
      </c>
      <c r="F256" t="str">
        <f>計算表!F256</f>
        <v>規則寫死：技能CD×(1-冷卻縮減%)。</v>
      </c>
      <c r="G256">
        <f>計算表!G256</f>
        <v>0</v>
      </c>
      <c r="H256">
        <f>計算表!H256</f>
        <v>0</v>
      </c>
      <c r="I256">
        <f>計算表!I256</f>
        <v>0</v>
      </c>
      <c r="J256">
        <f>計算表!J256</f>
        <v>0</v>
      </c>
      <c r="K256">
        <f>計算表!K256</f>
        <v>0</v>
      </c>
      <c r="L256">
        <f>計算表!L256</f>
        <v>0</v>
      </c>
      <c r="M256">
        <f>計算表!M256</f>
        <v>0</v>
      </c>
      <c r="N256">
        <f>計算表!N256</f>
        <v>0</v>
      </c>
      <c r="O256">
        <f>計算表!O256</f>
        <v>0</v>
      </c>
      <c r="P256">
        <f>計算表!P256</f>
        <v>0</v>
      </c>
      <c r="Q256">
        <f>計算表!Q256</f>
        <v>0</v>
      </c>
      <c r="R256">
        <f>計算表!R256</f>
        <v>0</v>
      </c>
    </row>
    <row r="257" spans="1:18" x14ac:dyDescent="0.25">
      <c r="A257">
        <f>計算表!A257</f>
        <v>256</v>
      </c>
      <c r="B257" s="2">
        <f>計算表!B257</f>
        <v>0</v>
      </c>
      <c r="C257" t="str">
        <f>計算表!C257</f>
        <v>9-技能</v>
      </c>
      <c r="D257" t="str">
        <f>計算表!D257</f>
        <v>施放硬直</v>
      </c>
      <c r="E257" t="str">
        <f>計算表!E257</f>
        <v>a 秒 × (1 - 施法速度%)</v>
      </c>
      <c r="F257" t="str">
        <f>計算表!F257</f>
        <v>延後下一次普攻。</v>
      </c>
      <c r="G257">
        <f>計算表!G257</f>
        <v>0.5</v>
      </c>
      <c r="H257">
        <f>計算表!H257</f>
        <v>0</v>
      </c>
      <c r="I257">
        <f>計算表!I257</f>
        <v>0</v>
      </c>
      <c r="J257">
        <f>計算表!J257</f>
        <v>0</v>
      </c>
      <c r="K257">
        <f>計算表!K257</f>
        <v>0</v>
      </c>
      <c r="L257">
        <f>計算表!L257</f>
        <v>0</v>
      </c>
      <c r="M257">
        <f>計算表!M257</f>
        <v>0</v>
      </c>
      <c r="N257">
        <f>計算表!N257</f>
        <v>0</v>
      </c>
      <c r="O257">
        <f>計算表!O257</f>
        <v>0</v>
      </c>
      <c r="P257">
        <f>計算表!P257</f>
        <v>0</v>
      </c>
      <c r="Q257">
        <f>計算表!Q257</f>
        <v>0</v>
      </c>
      <c r="R257">
        <f>計算表!R257</f>
        <v>0</v>
      </c>
    </row>
    <row r="258" spans="1:18" x14ac:dyDescent="0.25">
      <c r="A258">
        <f>計算表!A258</f>
        <v>257</v>
      </c>
      <c r="B258" s="2">
        <f>計算表!B258</f>
        <v>0</v>
      </c>
      <c r="C258" t="str">
        <f>計算表!C258</f>
        <v>9-技能</v>
      </c>
      <c r="D258" t="str">
        <f>計算表!D258</f>
        <v>技能共用冷卻(GCD)</v>
      </c>
      <c r="E258" t="str">
        <f>計算表!E258</f>
        <v>a 秒（固定，不受冷卻縮減影響）</v>
      </c>
      <c r="F258">
        <f>計算表!F258</f>
        <v>0</v>
      </c>
      <c r="G258">
        <f>計算表!G258</f>
        <v>0.4</v>
      </c>
      <c r="H258">
        <f>計算表!H258</f>
        <v>0</v>
      </c>
      <c r="I258">
        <f>計算表!I258</f>
        <v>0</v>
      </c>
      <c r="J258">
        <f>計算表!J258</f>
        <v>0</v>
      </c>
      <c r="K258">
        <f>計算表!K258</f>
        <v>0</v>
      </c>
      <c r="L258">
        <f>計算表!L258</f>
        <v>0</v>
      </c>
      <c r="M258">
        <f>計算表!M258</f>
        <v>0</v>
      </c>
      <c r="N258">
        <f>計算表!N258</f>
        <v>0</v>
      </c>
      <c r="O258">
        <f>計算表!O258</f>
        <v>0</v>
      </c>
      <c r="P258">
        <f>計算表!P258</f>
        <v>0</v>
      </c>
      <c r="Q258">
        <f>計算表!Q258</f>
        <v>0</v>
      </c>
      <c r="R258">
        <f>計算表!R258</f>
        <v>0</v>
      </c>
    </row>
    <row r="259" spans="1:18" x14ac:dyDescent="0.25">
      <c r="A259">
        <f>計算表!A259</f>
        <v>258</v>
      </c>
      <c r="B259" s="2">
        <f>計算表!B259</f>
        <v>0</v>
      </c>
      <c r="C259" t="str">
        <f>計算表!C259</f>
        <v>9-技能</v>
      </c>
      <c r="D259" t="str">
        <f>計算表!D259</f>
        <v>升級費用</v>
      </c>
      <c r="E259" t="str">
        <f>計算表!E259</f>
        <v>⌊a×當前等級 + b^(1 + 當前等級/c)⌋</v>
      </c>
      <c r="F259" t="str">
        <f>計算表!F259</f>
        <v>上限 5,000,000；降級全額退還。</v>
      </c>
      <c r="G259">
        <f>計算表!G259</f>
        <v>20000</v>
      </c>
      <c r="H259">
        <f>計算表!H259</f>
        <v>20</v>
      </c>
      <c r="I259">
        <f>計算表!I259</f>
        <v>10</v>
      </c>
      <c r="J259">
        <f>計算表!J259</f>
        <v>0</v>
      </c>
      <c r="K259">
        <f>計算表!K259</f>
        <v>0</v>
      </c>
      <c r="L259">
        <f>計算表!L259</f>
        <v>0</v>
      </c>
      <c r="M259">
        <f>計算表!M259</f>
        <v>0</v>
      </c>
      <c r="N259">
        <f>計算表!N259</f>
        <v>0</v>
      </c>
      <c r="O259">
        <f>計算表!O259</f>
        <v>0</v>
      </c>
      <c r="P259">
        <f>計算表!P259</f>
        <v>0</v>
      </c>
      <c r="Q259">
        <f>計算表!Q259</f>
        <v>0</v>
      </c>
      <c r="R259">
        <f>計算表!R259</f>
        <v>0</v>
      </c>
    </row>
    <row r="260" spans="1:18" x14ac:dyDescent="0.25">
      <c r="A260">
        <f>計算表!A260</f>
        <v>259</v>
      </c>
      <c r="B260" s="2">
        <f>計算表!B260</f>
        <v>0</v>
      </c>
      <c r="C260" t="str">
        <f>計算表!C260</f>
        <v>9-技能</v>
      </c>
      <c r="D260" t="str">
        <f>計算表!D260</f>
        <v>技能樹門檻</v>
      </c>
      <c r="E260" t="str">
        <f>計算表!E260</f>
        <v>第 N 階需在該系投入 N×a 點</v>
      </c>
      <c r="F260" t="str">
        <f>計算表!F260</f>
        <v>a=每階門檻點數。</v>
      </c>
      <c r="G260">
        <f>計算表!G260</f>
        <v>3</v>
      </c>
      <c r="H260">
        <f>計算表!H260</f>
        <v>0</v>
      </c>
      <c r="I260">
        <f>計算表!I260</f>
        <v>0</v>
      </c>
      <c r="J260">
        <f>計算表!J260</f>
        <v>0</v>
      </c>
      <c r="K260">
        <f>計算表!K260</f>
        <v>0</v>
      </c>
      <c r="L260">
        <f>計算表!L260</f>
        <v>0</v>
      </c>
      <c r="M260">
        <f>計算表!M260</f>
        <v>0</v>
      </c>
      <c r="N260">
        <f>計算表!N260</f>
        <v>0</v>
      </c>
      <c r="O260">
        <f>計算表!O260</f>
        <v>0</v>
      </c>
      <c r="P260">
        <f>計算表!P260</f>
        <v>0</v>
      </c>
      <c r="Q260">
        <f>計算表!Q260</f>
        <v>0</v>
      </c>
      <c r="R260">
        <f>計算表!R260</f>
        <v>0</v>
      </c>
    </row>
    <row r="261" spans="1:18" x14ac:dyDescent="0.25">
      <c r="A261">
        <f>計算表!A261</f>
        <v>260</v>
      </c>
      <c r="B261" s="2">
        <f>計算表!B261</f>
        <v>0</v>
      </c>
      <c r="C261" t="str">
        <f>計算表!C261</f>
        <v>9-技能</v>
      </c>
      <c r="D261" t="str">
        <f>計算表!D261</f>
        <v>等級上限</v>
      </c>
      <c r="E261" t="str">
        <f>計算表!E261</f>
        <v>一般 20+轉生×10；被動 30+轉生×10；融合 素材加總+20+轉生×20</v>
      </c>
      <c r="F261" t="str">
        <f>計算表!F261</f>
        <v>見「轉生對照表」。　※寫死：一般 20+轉生×10、被動 30+轉生×10、融合 素材加總+轉生×20。</v>
      </c>
      <c r="G261">
        <f>計算表!G261</f>
        <v>0</v>
      </c>
      <c r="H261">
        <f>計算表!H261</f>
        <v>0</v>
      </c>
      <c r="I261">
        <f>計算表!I261</f>
        <v>0</v>
      </c>
      <c r="J261">
        <f>計算表!J261</f>
        <v>0</v>
      </c>
      <c r="K261">
        <f>計算表!K261</f>
        <v>0</v>
      </c>
      <c r="L261">
        <f>計算表!L261</f>
        <v>0</v>
      </c>
      <c r="M261">
        <f>計算表!M261</f>
        <v>0</v>
      </c>
      <c r="N261">
        <f>計算表!N261</f>
        <v>0</v>
      </c>
      <c r="O261">
        <f>計算表!O261</f>
        <v>0</v>
      </c>
      <c r="P261">
        <f>計算表!P261</f>
        <v>0</v>
      </c>
      <c r="Q261">
        <f>計算表!Q261</f>
        <v>0</v>
      </c>
      <c r="R261">
        <f>計算表!R261</f>
        <v>0</v>
      </c>
    </row>
    <row r="262" spans="1:18" x14ac:dyDescent="0.25">
      <c r="A262">
        <f>計算表!A262</f>
        <v>261</v>
      </c>
      <c r="B262" s="2">
        <f>計算表!B262</f>
        <v>0</v>
      </c>
      <c r="C262" t="str">
        <f>計算表!C262</f>
        <v>9-技能</v>
      </c>
      <c r="D262" t="str">
        <f>計算表!D262</f>
        <v>奧術衝擊(基礎技能)</v>
      </c>
      <c r="E262" t="str">
        <f>計算表!E262</f>
        <v>MP a／冷卻 b 秒／施法 c 秒／魔攻×d＋物攻×e</v>
      </c>
      <c r="F262" t="str">
        <f>計算表!F262</f>
        <v>固定自動施放技能常數。</v>
      </c>
      <c r="G262">
        <f>計算表!G262</f>
        <v>30</v>
      </c>
      <c r="H262">
        <f>計算表!H262</f>
        <v>10</v>
      </c>
      <c r="I262">
        <f>計算表!I262</f>
        <v>0.8</v>
      </c>
      <c r="J262">
        <f>計算表!J262</f>
        <v>1.5</v>
      </c>
      <c r="K262">
        <f>計算表!K262</f>
        <v>0.3</v>
      </c>
      <c r="L262">
        <f>計算表!L262</f>
        <v>0</v>
      </c>
      <c r="M262">
        <f>計算表!M262</f>
        <v>0</v>
      </c>
      <c r="N262">
        <f>計算表!N262</f>
        <v>0</v>
      </c>
      <c r="O262">
        <f>計算表!O262</f>
        <v>0</v>
      </c>
      <c r="P262">
        <f>計算表!P262</f>
        <v>0</v>
      </c>
      <c r="Q262">
        <f>計算表!Q262</f>
        <v>0</v>
      </c>
      <c r="R262">
        <f>計算表!R262</f>
        <v>0</v>
      </c>
    </row>
    <row r="263" spans="1:18" x14ac:dyDescent="0.25">
      <c r="A263">
        <f>計算表!A263</f>
        <v>262</v>
      </c>
      <c r="B263" s="2">
        <f>計算表!B263</f>
        <v>0</v>
      </c>
      <c r="C263" t="str">
        <f>計算表!C263</f>
        <v>9-融合</v>
      </c>
      <c r="D263" t="str">
        <f>計算表!D263</f>
        <v>素材繼承比例</v>
      </c>
      <c r="E263" t="str">
        <f>計算表!E263</f>
        <v>各素材 base/per × a 後加總</v>
      </c>
      <c r="F263" t="str">
        <f>計算表!F263</f>
        <v>a=FUSE_FACTOR。</v>
      </c>
      <c r="G263">
        <f>計算表!G263</f>
        <v>0.75</v>
      </c>
      <c r="H263">
        <f>計算表!H263</f>
        <v>0</v>
      </c>
      <c r="I263">
        <f>計算表!I263</f>
        <v>0</v>
      </c>
      <c r="J263">
        <f>計算表!J263</f>
        <v>0</v>
      </c>
      <c r="K263">
        <f>計算表!K263</f>
        <v>0</v>
      </c>
      <c r="L263">
        <f>計算表!L263</f>
        <v>0</v>
      </c>
      <c r="M263">
        <f>計算表!M263</f>
        <v>0</v>
      </c>
      <c r="N263">
        <f>計算表!N263</f>
        <v>0</v>
      </c>
      <c r="O263">
        <f>計算表!O263</f>
        <v>0</v>
      </c>
      <c r="P263">
        <f>計算表!P263</f>
        <v>0</v>
      </c>
      <c r="Q263">
        <f>計算表!Q263</f>
        <v>0</v>
      </c>
      <c r="R263">
        <f>計算表!R263</f>
        <v>0</v>
      </c>
    </row>
    <row r="264" spans="1:18" x14ac:dyDescent="0.25">
      <c r="A264">
        <f>計算表!A264</f>
        <v>263</v>
      </c>
      <c r="B264" s="2">
        <f>計算表!B264</f>
        <v>0</v>
      </c>
      <c r="C264" t="str">
        <f>計算表!C264</f>
        <v>9-融合</v>
      </c>
      <c r="D264" t="str">
        <f>計算表!D264</f>
        <v>融合冷卻</v>
      </c>
      <c r="E264" t="str">
        <f>計算表!E264</f>
        <v>素材最長冷卻 × a</v>
      </c>
      <c r="F264">
        <f>計算表!F264</f>
        <v>0</v>
      </c>
      <c r="G264">
        <f>計算表!G264</f>
        <v>1.25</v>
      </c>
      <c r="H264">
        <f>計算表!H264</f>
        <v>0</v>
      </c>
      <c r="I264">
        <f>計算表!I264</f>
        <v>0</v>
      </c>
      <c r="J264">
        <f>計算表!J264</f>
        <v>0</v>
      </c>
      <c r="K264">
        <f>計算表!K264</f>
        <v>0</v>
      </c>
      <c r="L264">
        <f>計算表!L264</f>
        <v>0</v>
      </c>
      <c r="M264">
        <f>計算表!M264</f>
        <v>0</v>
      </c>
      <c r="N264">
        <f>計算表!N264</f>
        <v>0</v>
      </c>
      <c r="O264">
        <f>計算表!O264</f>
        <v>0</v>
      </c>
      <c r="P264">
        <f>計算表!P264</f>
        <v>0</v>
      </c>
      <c r="Q264">
        <f>計算表!Q264</f>
        <v>0</v>
      </c>
      <c r="R264">
        <f>計算表!R264</f>
        <v>0</v>
      </c>
    </row>
    <row r="265" spans="1:18" x14ac:dyDescent="0.25">
      <c r="A265">
        <f>計算表!A265</f>
        <v>264</v>
      </c>
      <c r="B265" s="2">
        <f>計算表!B265</f>
        <v>0</v>
      </c>
      <c r="C265" t="str">
        <f>計算表!C265</f>
        <v>9-融合</v>
      </c>
      <c r="D265" t="str">
        <f>計算表!D265</f>
        <v>變異觸發率</v>
      </c>
      <c r="E265" t="str">
        <f>計算表!E265</f>
        <v>a% + 幸運值/b</v>
      </c>
      <c r="F265" t="str">
        <f>計算表!F265</f>
        <v>8 種變異，至多 1 種。</v>
      </c>
      <c r="G265">
        <f>計算表!G265</f>
        <v>45</v>
      </c>
      <c r="H265">
        <f>計算表!H265</f>
        <v>3</v>
      </c>
      <c r="I265">
        <f>計算表!I265</f>
        <v>0</v>
      </c>
      <c r="J265">
        <f>計算表!J265</f>
        <v>0</v>
      </c>
      <c r="K265">
        <f>計算表!K265</f>
        <v>0</v>
      </c>
      <c r="L265">
        <f>計算表!L265</f>
        <v>0</v>
      </c>
      <c r="M265">
        <f>計算表!M265</f>
        <v>0</v>
      </c>
      <c r="N265">
        <f>計算表!N265</f>
        <v>0</v>
      </c>
      <c r="O265">
        <f>計算表!O265</f>
        <v>0</v>
      </c>
      <c r="P265">
        <f>計算表!P265</f>
        <v>0</v>
      </c>
      <c r="Q265">
        <f>計算表!Q265</f>
        <v>0</v>
      </c>
      <c r="R265">
        <f>計算表!R265</f>
        <v>0</v>
      </c>
    </row>
    <row r="266" spans="1:18" x14ac:dyDescent="0.25">
      <c r="A266">
        <f>計算表!A266</f>
        <v>265</v>
      </c>
      <c r="B266" s="2">
        <f>計算表!B266</f>
        <v>0</v>
      </c>
      <c r="C266" t="str">
        <f>計算表!C266</f>
        <v>9-融合</v>
      </c>
      <c r="D266" t="str">
        <f>計算表!D266</f>
        <v>DoT/控場/增益合併</v>
      </c>
      <c r="E266" t="str">
        <f>計算表!E266</f>
        <v>DoT×0.7 同名取高最多2種；控場取最大×0.8；增益 base×0.8 最多2種</v>
      </c>
      <c r="F266" t="str">
        <f>計算表!F266</f>
        <v>結構寫死：DoT×0.7、控場×0.8、增益×0.8，增益/減益各最多2種。</v>
      </c>
      <c r="G266">
        <f>計算表!G266</f>
        <v>0</v>
      </c>
      <c r="H266">
        <f>計算表!H266</f>
        <v>0</v>
      </c>
      <c r="I266">
        <f>計算表!I266</f>
        <v>0</v>
      </c>
      <c r="J266">
        <f>計算表!J266</f>
        <v>0</v>
      </c>
      <c r="K266">
        <f>計算表!K266</f>
        <v>0</v>
      </c>
      <c r="L266">
        <f>計算表!L266</f>
        <v>0</v>
      </c>
      <c r="M266">
        <f>計算表!M266</f>
        <v>0</v>
      </c>
      <c r="N266">
        <f>計算表!N266</f>
        <v>0</v>
      </c>
      <c r="O266">
        <f>計算表!O266</f>
        <v>0</v>
      </c>
      <c r="P266">
        <f>計算表!P266</f>
        <v>0</v>
      </c>
      <c r="Q266">
        <f>計算表!Q266</f>
        <v>0</v>
      </c>
      <c r="R266">
        <f>計算表!R266</f>
        <v>0</v>
      </c>
    </row>
    <row r="267" spans="1:18" x14ac:dyDescent="0.25">
      <c r="A267">
        <f>計算表!A267</f>
        <v>266</v>
      </c>
      <c r="B267" s="2">
        <f>計算表!B267</f>
        <v>0</v>
      </c>
      <c r="C267" t="str">
        <f>計算表!C267</f>
        <v>9-融合</v>
      </c>
      <c r="D267" t="str">
        <f>計算表!D267</f>
        <v>融合技能法力消耗</v>
      </c>
      <c r="E267" t="str">
        <f>計算表!E267</f>
        <v>round(素材原始消耗總和 × (1 + a×(融合技等級-1)))</v>
      </c>
      <c r="F267" t="str">
        <f>計算表!F267</f>
        <v>a=每級增幅。　※與「9-技能/一般技能法力消耗」共用公式，本列不生效。</v>
      </c>
      <c r="G267">
        <f>計算表!G267</f>
        <v>0.1</v>
      </c>
      <c r="H267">
        <f>計算表!H267</f>
        <v>0</v>
      </c>
      <c r="I267">
        <f>計算表!I267</f>
        <v>0</v>
      </c>
      <c r="J267">
        <f>計算表!J267</f>
        <v>0</v>
      </c>
      <c r="K267">
        <f>計算表!K267</f>
        <v>0</v>
      </c>
      <c r="L267">
        <f>計算表!L267</f>
        <v>0</v>
      </c>
      <c r="M267">
        <f>計算表!M267</f>
        <v>0</v>
      </c>
      <c r="N267">
        <f>計算表!N267</f>
        <v>0</v>
      </c>
      <c r="O267">
        <f>計算表!O267</f>
        <v>0</v>
      </c>
      <c r="P267">
        <f>計算表!P267</f>
        <v>0</v>
      </c>
      <c r="Q267">
        <f>計算表!Q267</f>
        <v>0</v>
      </c>
      <c r="R267">
        <f>計算表!R267</f>
        <v>0</v>
      </c>
    </row>
    <row r="268" spans="1:18" x14ac:dyDescent="0.25">
      <c r="A268">
        <f>計算表!A268</f>
        <v>267</v>
      </c>
      <c r="B268" s="2">
        <f>計算表!B268</f>
        <v>0</v>
      </c>
      <c r="C268" t="str">
        <f>計算表!C268</f>
        <v>10-離線</v>
      </c>
      <c r="D268" t="str">
        <f>計算表!D268</f>
        <v>有效離線時間</v>
      </c>
      <c r="E268" t="str">
        <f>計算表!E268</f>
        <v>min(實際離線秒數, a 小時)</v>
      </c>
      <c r="F268" t="str">
        <f>計算表!F268</f>
        <v>1 分鐘內不計。</v>
      </c>
      <c r="G268">
        <f>計算表!G268</f>
        <v>8</v>
      </c>
      <c r="H268">
        <f>計算表!H268</f>
        <v>0</v>
      </c>
      <c r="I268">
        <f>計算表!I268</f>
        <v>0</v>
      </c>
      <c r="J268">
        <f>計算表!J268</f>
        <v>0</v>
      </c>
      <c r="K268">
        <f>計算表!K268</f>
        <v>0</v>
      </c>
      <c r="L268">
        <f>計算表!L268</f>
        <v>0</v>
      </c>
      <c r="M268">
        <f>計算表!M268</f>
        <v>0</v>
      </c>
      <c r="N268">
        <f>計算表!N268</f>
        <v>0</v>
      </c>
      <c r="O268">
        <f>計算表!O268</f>
        <v>0</v>
      </c>
      <c r="P268">
        <f>計算表!P268</f>
        <v>0</v>
      </c>
      <c r="Q268">
        <f>計算表!Q268</f>
        <v>0</v>
      </c>
      <c r="R268">
        <f>計算表!R268</f>
        <v>0</v>
      </c>
    </row>
    <row r="269" spans="1:18" x14ac:dyDescent="0.25">
      <c r="A269">
        <f>計算表!A269</f>
        <v>268</v>
      </c>
      <c r="B269" s="2">
        <f>計算表!B269</f>
        <v>0</v>
      </c>
      <c r="C269" t="str">
        <f>計算表!C269</f>
        <v>10-離線</v>
      </c>
      <c r="D269" t="str">
        <f>計算表!D269</f>
        <v>期望暴擊倍率</v>
      </c>
      <c r="E269" t="str">
        <f>計算表!E269</f>
        <v>1 + 暴擊率% × (暴擊傷害% - 1)</v>
      </c>
      <c r="F269" t="str">
        <f>計算表!F269</f>
        <v>衍生估算值，非可調參數(離線收益計算用)。</v>
      </c>
      <c r="G269">
        <f>計算表!G269</f>
        <v>0</v>
      </c>
      <c r="H269">
        <f>計算表!H269</f>
        <v>0</v>
      </c>
      <c r="I269">
        <f>計算表!I269</f>
        <v>0</v>
      </c>
      <c r="J269">
        <f>計算表!J269</f>
        <v>0</v>
      </c>
      <c r="K269">
        <f>計算表!K269</f>
        <v>0</v>
      </c>
      <c r="L269">
        <f>計算表!L269</f>
        <v>0</v>
      </c>
      <c r="M269">
        <f>計算表!M269</f>
        <v>0</v>
      </c>
      <c r="N269">
        <f>計算表!N269</f>
        <v>0</v>
      </c>
      <c r="O269">
        <f>計算表!O269</f>
        <v>0</v>
      </c>
      <c r="P269">
        <f>計算表!P269</f>
        <v>0</v>
      </c>
      <c r="Q269">
        <f>計算表!Q269</f>
        <v>0</v>
      </c>
      <c r="R269">
        <f>計算表!R269</f>
        <v>0</v>
      </c>
    </row>
    <row r="270" spans="1:18" x14ac:dyDescent="0.25">
      <c r="A270">
        <f>計算表!A270</f>
        <v>269</v>
      </c>
      <c r="B270" s="2">
        <f>計算表!B270</f>
        <v>0</v>
      </c>
      <c r="C270" t="str">
        <f>計算表!C270</f>
        <v>10-離線</v>
      </c>
      <c r="D270" t="str">
        <f>計算表!D270</f>
        <v>估算 DPS</v>
      </c>
      <c r="E270" t="str">
        <f>計算表!E270</f>
        <v>物攻 × (1 - 當前階段怪物防禦減傷) × 攻速 × 期望暴擊倍率</v>
      </c>
      <c r="F270" t="str">
        <f>計算表!F270</f>
        <v>衍生估算值，非可調參數(離線收益計算用)。</v>
      </c>
      <c r="G270">
        <f>計算表!G270</f>
        <v>0</v>
      </c>
      <c r="H270">
        <f>計算表!H270</f>
        <v>0</v>
      </c>
      <c r="I270">
        <f>計算表!I270</f>
        <v>0</v>
      </c>
      <c r="J270">
        <f>計算表!J270</f>
        <v>0</v>
      </c>
      <c r="K270">
        <f>計算表!K270</f>
        <v>0</v>
      </c>
      <c r="L270">
        <f>計算表!L270</f>
        <v>0</v>
      </c>
      <c r="M270">
        <f>計算表!M270</f>
        <v>0</v>
      </c>
      <c r="N270">
        <f>計算表!N270</f>
        <v>0</v>
      </c>
      <c r="O270">
        <f>計算表!O270</f>
        <v>0</v>
      </c>
      <c r="P270">
        <f>計算表!P270</f>
        <v>0</v>
      </c>
      <c r="Q270">
        <f>計算表!Q270</f>
        <v>0</v>
      </c>
      <c r="R270">
        <f>計算表!R270</f>
        <v>0</v>
      </c>
    </row>
    <row r="271" spans="1:18" x14ac:dyDescent="0.25">
      <c r="A271">
        <f>計算表!A271</f>
        <v>270</v>
      </c>
      <c r="B271" s="2">
        <f>計算表!B271</f>
        <v>0</v>
      </c>
      <c r="C271" t="str">
        <f>計算表!C271</f>
        <v>10-離線</v>
      </c>
      <c r="D271" t="str">
        <f>計算表!D271</f>
        <v>單殺耗時</v>
      </c>
      <c r="E271" t="str">
        <f>計算表!E271</f>
        <v>怪物血量 / DPS + a 秒出怪間隔</v>
      </c>
      <c r="F271" t="str">
        <f>計算表!F271</f>
        <v>a=出怪間隔。　※衍生估算值，非可調參數(離線收益計算用)。</v>
      </c>
      <c r="G271">
        <f>計算表!G271</f>
        <v>0.8</v>
      </c>
      <c r="H271">
        <f>計算表!H271</f>
        <v>0</v>
      </c>
      <c r="I271">
        <f>計算表!I271</f>
        <v>0</v>
      </c>
      <c r="J271">
        <f>計算表!J271</f>
        <v>0</v>
      </c>
      <c r="K271">
        <f>計算表!K271</f>
        <v>0</v>
      </c>
      <c r="L271">
        <f>計算表!L271</f>
        <v>0</v>
      </c>
      <c r="M271">
        <f>計算表!M271</f>
        <v>0</v>
      </c>
      <c r="N271">
        <f>計算表!N271</f>
        <v>0</v>
      </c>
      <c r="O271">
        <f>計算表!O271</f>
        <v>0</v>
      </c>
      <c r="P271">
        <f>計算表!P271</f>
        <v>0</v>
      </c>
      <c r="Q271">
        <f>計算表!Q271</f>
        <v>0</v>
      </c>
      <c r="R271">
        <f>計算表!R271</f>
        <v>0</v>
      </c>
    </row>
    <row r="272" spans="1:18" x14ac:dyDescent="0.25">
      <c r="A272">
        <f>計算表!A272</f>
        <v>271</v>
      </c>
      <c r="B272" s="2">
        <f>計算表!B272</f>
        <v>0</v>
      </c>
      <c r="C272" t="str">
        <f>計算表!C272</f>
        <v>10-離線</v>
      </c>
      <c r="D272" t="str">
        <f>計算表!D272</f>
        <v>擊殺數</v>
      </c>
      <c r="E272" t="str">
        <f>計算表!E272</f>
        <v>⌊有效時間 / 單殺耗時 × a⌋</v>
      </c>
      <c r="F272" t="str">
        <f>計算表!F272</f>
        <v>a=效率係數；上限 b。</v>
      </c>
      <c r="G272">
        <f>計算表!G272</f>
        <v>0.5</v>
      </c>
      <c r="H272">
        <f>計算表!H272</f>
        <v>20000</v>
      </c>
      <c r="I272">
        <f>計算表!I272</f>
        <v>0</v>
      </c>
      <c r="J272">
        <f>計算表!J272</f>
        <v>0</v>
      </c>
      <c r="K272">
        <f>計算表!K272</f>
        <v>0</v>
      </c>
      <c r="L272">
        <f>計算表!L272</f>
        <v>0</v>
      </c>
      <c r="M272">
        <f>計算表!M272</f>
        <v>0</v>
      </c>
      <c r="N272">
        <f>計算表!N272</f>
        <v>0</v>
      </c>
      <c r="O272">
        <f>計算表!O272</f>
        <v>0</v>
      </c>
      <c r="P272">
        <f>計算表!P272</f>
        <v>0</v>
      </c>
      <c r="Q272">
        <f>計算表!Q272</f>
        <v>0</v>
      </c>
      <c r="R272">
        <f>計算表!R272</f>
        <v>0</v>
      </c>
    </row>
    <row r="273" spans="1:18" x14ac:dyDescent="0.25">
      <c r="A273">
        <f>計算表!A273</f>
        <v>272</v>
      </c>
      <c r="B273" s="2">
        <f>計算表!B273</f>
        <v>0</v>
      </c>
      <c r="C273" t="str">
        <f>計算表!C273</f>
        <v>10-離線</v>
      </c>
      <c r="D273" t="str">
        <f>計算表!D273</f>
        <v>裝備收益</v>
      </c>
      <c r="E273" t="str">
        <f>計算表!E273</f>
        <v>期望件數×(1+掉寶率)，高品質優先最多 a 件實體化，其餘折碎片</v>
      </c>
      <c r="F273" t="str">
        <f>計算表!F273</f>
        <v>a=實體化上限；折算碎片=每件 3×分解係數。　※衍生：離線最多實體化30件裝備，其餘折算碎片(寫死於 save.js)。</v>
      </c>
      <c r="G273">
        <f>計算表!G273</f>
        <v>30</v>
      </c>
      <c r="H273">
        <f>計算表!H273</f>
        <v>0</v>
      </c>
      <c r="I273">
        <f>計算表!I273</f>
        <v>0</v>
      </c>
      <c r="J273">
        <f>計算表!J273</f>
        <v>0</v>
      </c>
      <c r="K273">
        <f>計算表!K273</f>
        <v>0</v>
      </c>
      <c r="L273">
        <f>計算表!L273</f>
        <v>0</v>
      </c>
      <c r="M273">
        <f>計算表!M273</f>
        <v>0</v>
      </c>
      <c r="N273">
        <f>計算表!N273</f>
        <v>0</v>
      </c>
      <c r="O273">
        <f>計算表!O273</f>
        <v>0</v>
      </c>
      <c r="P273">
        <f>計算表!P273</f>
        <v>0</v>
      </c>
      <c r="Q273">
        <f>計算表!Q273</f>
        <v>0</v>
      </c>
      <c r="R273">
        <f>計算表!R273</f>
        <v>0</v>
      </c>
    </row>
    <row r="274" spans="1:18" x14ac:dyDescent="0.25">
      <c r="A274">
        <f>計算表!A274</f>
        <v>273</v>
      </c>
      <c r="B274" s="2">
        <f>計算表!B274</f>
        <v>0</v>
      </c>
      <c r="C274" t="str">
        <f>計算表!C274</f>
        <v>表-稀有度</v>
      </c>
      <c r="D274" t="str">
        <f>計算表!D274</f>
        <v>普通</v>
      </c>
      <c r="E274" t="str">
        <f>計算表!E274</f>
        <v>（查表）</v>
      </c>
      <c r="F274" t="str">
        <f>計算表!F274</f>
        <v>a=詞條數值倍率 b=詞條數下限 c=詞條數上限 d=寶石插槽 e=附魔欄位 f=分解係數。</v>
      </c>
      <c r="G274">
        <f>計算表!G274</f>
        <v>1</v>
      </c>
      <c r="H274">
        <f>計算表!H274</f>
        <v>1</v>
      </c>
      <c r="I274">
        <f>計算表!I274</f>
        <v>2</v>
      </c>
      <c r="J274">
        <f>計算表!J274</f>
        <v>1</v>
      </c>
      <c r="K274">
        <f>計算表!K274</f>
        <v>1</v>
      </c>
      <c r="L274">
        <f>計算表!L274</f>
        <v>1</v>
      </c>
      <c r="M274">
        <f>計算表!M274</f>
        <v>0</v>
      </c>
      <c r="N274">
        <f>計算表!N274</f>
        <v>0</v>
      </c>
      <c r="O274">
        <f>計算表!O274</f>
        <v>0</v>
      </c>
      <c r="P274">
        <f>計算表!P274</f>
        <v>0</v>
      </c>
      <c r="Q274">
        <f>計算表!Q274</f>
        <v>0</v>
      </c>
      <c r="R274">
        <f>計算表!R274</f>
        <v>0</v>
      </c>
    </row>
    <row r="275" spans="1:18" x14ac:dyDescent="0.25">
      <c r="A275">
        <f>計算表!A275</f>
        <v>274</v>
      </c>
      <c r="B275" s="2">
        <f>計算表!B275</f>
        <v>0</v>
      </c>
      <c r="C275" t="str">
        <f>計算表!C275</f>
        <v>表-稀有度</v>
      </c>
      <c r="D275" t="str">
        <f>計算表!D275</f>
        <v>精良</v>
      </c>
      <c r="E275" t="str">
        <f>計算表!E275</f>
        <v>（查表）</v>
      </c>
      <c r="F275" t="str">
        <f>計算表!F275</f>
        <v>a=詞條數值倍率 b=詞條數下限 c=詞條數上限 d=寶石插槽 e=附魔欄位 f=分解係數。</v>
      </c>
      <c r="G275">
        <f>計算表!G275</f>
        <v>1.35</v>
      </c>
      <c r="H275">
        <f>計算表!H275</f>
        <v>1</v>
      </c>
      <c r="I275">
        <f>計算表!I275</f>
        <v>2</v>
      </c>
      <c r="J275">
        <f>計算表!J275</f>
        <v>1</v>
      </c>
      <c r="K275">
        <f>計算表!K275</f>
        <v>1</v>
      </c>
      <c r="L275">
        <f>計算表!L275</f>
        <v>1.7</v>
      </c>
      <c r="M275">
        <f>計算表!M275</f>
        <v>0</v>
      </c>
      <c r="N275">
        <f>計算表!N275</f>
        <v>0</v>
      </c>
      <c r="O275">
        <f>計算表!O275</f>
        <v>0</v>
      </c>
      <c r="P275">
        <f>計算表!P275</f>
        <v>0</v>
      </c>
      <c r="Q275">
        <f>計算表!Q275</f>
        <v>0</v>
      </c>
      <c r="R275">
        <f>計算表!R275</f>
        <v>0</v>
      </c>
    </row>
    <row r="276" spans="1:18" x14ac:dyDescent="0.25">
      <c r="A276">
        <f>計算表!A276</f>
        <v>275</v>
      </c>
      <c r="B276" s="2">
        <f>計算表!B276</f>
        <v>0</v>
      </c>
      <c r="C276" t="str">
        <f>計算表!C276</f>
        <v>表-稀有度</v>
      </c>
      <c r="D276" t="str">
        <f>計算表!D276</f>
        <v>稀有</v>
      </c>
      <c r="E276" t="str">
        <f>計算表!E276</f>
        <v>（查表）</v>
      </c>
      <c r="F276" t="str">
        <f>計算表!F276</f>
        <v>a=詞條數值倍率 b=詞條數下限 c=詞條數上限 d=寶石插槽 e=附魔欄位 f=分解係數。</v>
      </c>
      <c r="G276">
        <f>計算表!G276</f>
        <v>1.75</v>
      </c>
      <c r="H276">
        <f>計算表!H276</f>
        <v>2</v>
      </c>
      <c r="I276">
        <f>計算表!I276</f>
        <v>3</v>
      </c>
      <c r="J276">
        <f>計算表!J276</f>
        <v>2</v>
      </c>
      <c r="K276">
        <f>計算表!K276</f>
        <v>1</v>
      </c>
      <c r="L276">
        <f>計算表!L276</f>
        <v>2.8</v>
      </c>
      <c r="M276">
        <f>計算表!M276</f>
        <v>0</v>
      </c>
      <c r="N276">
        <f>計算表!N276</f>
        <v>0</v>
      </c>
      <c r="O276">
        <f>計算表!O276</f>
        <v>0</v>
      </c>
      <c r="P276">
        <f>計算表!P276</f>
        <v>0</v>
      </c>
      <c r="Q276">
        <f>計算表!Q276</f>
        <v>0</v>
      </c>
      <c r="R276">
        <f>計算表!R276</f>
        <v>0</v>
      </c>
    </row>
    <row r="277" spans="1:18" x14ac:dyDescent="0.25">
      <c r="A277">
        <f>計算表!A277</f>
        <v>276</v>
      </c>
      <c r="B277" s="2">
        <f>計算表!B277</f>
        <v>0</v>
      </c>
      <c r="C277" t="str">
        <f>計算表!C277</f>
        <v>表-稀有度</v>
      </c>
      <c r="D277" t="str">
        <f>計算表!D277</f>
        <v>獨特</v>
      </c>
      <c r="E277" t="str">
        <f>計算表!E277</f>
        <v>（查表）</v>
      </c>
      <c r="F277" t="str">
        <f>計算表!F277</f>
        <v>a=詞條數值倍率 b=詞條數下限 c=詞條數上限 d=寶石插槽 e=附魔欄位 f=分解係數。</v>
      </c>
      <c r="G277">
        <f>計算表!G277</f>
        <v>2.2999999999999998</v>
      </c>
      <c r="H277">
        <f>計算表!H277</f>
        <v>3</v>
      </c>
      <c r="I277">
        <f>計算表!I277</f>
        <v>4</v>
      </c>
      <c r="J277">
        <f>計算表!J277</f>
        <v>2</v>
      </c>
      <c r="K277">
        <f>計算表!K277</f>
        <v>2</v>
      </c>
      <c r="L277">
        <f>計算表!L277</f>
        <v>4.5</v>
      </c>
      <c r="M277">
        <f>計算表!M277</f>
        <v>0</v>
      </c>
      <c r="N277">
        <f>計算表!N277</f>
        <v>0</v>
      </c>
      <c r="O277">
        <f>計算表!O277</f>
        <v>0</v>
      </c>
      <c r="P277">
        <f>計算表!P277</f>
        <v>0</v>
      </c>
      <c r="Q277">
        <f>計算表!Q277</f>
        <v>0</v>
      </c>
      <c r="R277">
        <f>計算表!R277</f>
        <v>0</v>
      </c>
    </row>
    <row r="278" spans="1:18" x14ac:dyDescent="0.25">
      <c r="A278">
        <f>計算表!A278</f>
        <v>277</v>
      </c>
      <c r="B278" s="2">
        <f>計算表!B278</f>
        <v>0</v>
      </c>
      <c r="C278" t="str">
        <f>計算表!C278</f>
        <v>表-稀有度</v>
      </c>
      <c r="D278" t="str">
        <f>計算表!D278</f>
        <v>史詩</v>
      </c>
      <c r="E278" t="str">
        <f>計算表!E278</f>
        <v>（查表）</v>
      </c>
      <c r="F278" t="str">
        <f>計算表!F278</f>
        <v>a=詞條數值倍率 b=詞條數下限 c=詞條數上限 d=寶石插槽 e=附魔欄位 f=分解係數。</v>
      </c>
      <c r="G278">
        <f>計算表!G278</f>
        <v>3</v>
      </c>
      <c r="H278">
        <f>計算表!H278</f>
        <v>4</v>
      </c>
      <c r="I278">
        <f>計算表!I278</f>
        <v>5</v>
      </c>
      <c r="J278">
        <f>計算表!J278</f>
        <v>3</v>
      </c>
      <c r="K278">
        <f>計算表!K278</f>
        <v>2</v>
      </c>
      <c r="L278">
        <f>計算表!L278</f>
        <v>7.5</v>
      </c>
      <c r="M278">
        <f>計算表!M278</f>
        <v>0</v>
      </c>
      <c r="N278">
        <f>計算表!N278</f>
        <v>0</v>
      </c>
      <c r="O278">
        <f>計算表!O278</f>
        <v>0</v>
      </c>
      <c r="P278">
        <f>計算表!P278</f>
        <v>0</v>
      </c>
      <c r="Q278">
        <f>計算表!Q278</f>
        <v>0</v>
      </c>
      <c r="R278">
        <f>計算表!R278</f>
        <v>0</v>
      </c>
    </row>
    <row r="279" spans="1:18" x14ac:dyDescent="0.25">
      <c r="A279">
        <f>計算表!A279</f>
        <v>278</v>
      </c>
      <c r="B279" s="2">
        <f>計算表!B279</f>
        <v>0</v>
      </c>
      <c r="C279" t="str">
        <f>計算表!C279</f>
        <v>表-稀有度</v>
      </c>
      <c r="D279" t="str">
        <f>計算表!D279</f>
        <v>傳說</v>
      </c>
      <c r="E279" t="str">
        <f>計算表!E279</f>
        <v>（查表）</v>
      </c>
      <c r="F279" t="str">
        <f>計算表!F279</f>
        <v>a=詞條數值倍率 b=詞條數下限 c=詞條數上限 d=寶石插槽 e=附魔欄位 f=分解係數。</v>
      </c>
      <c r="G279">
        <f>計算表!G279</f>
        <v>4</v>
      </c>
      <c r="H279">
        <f>計算表!H279</f>
        <v>4</v>
      </c>
      <c r="I279">
        <f>計算表!I279</f>
        <v>5</v>
      </c>
      <c r="J279">
        <f>計算表!J279</f>
        <v>4</v>
      </c>
      <c r="K279">
        <f>計算表!K279</f>
        <v>2</v>
      </c>
      <c r="L279">
        <f>計算表!L279</f>
        <v>12</v>
      </c>
      <c r="M279">
        <f>計算表!M279</f>
        <v>0</v>
      </c>
      <c r="N279">
        <f>計算表!N279</f>
        <v>0</v>
      </c>
      <c r="O279">
        <f>計算表!O279</f>
        <v>0</v>
      </c>
      <c r="P279">
        <f>計算表!P279</f>
        <v>0</v>
      </c>
      <c r="Q279">
        <f>計算表!Q279</f>
        <v>0</v>
      </c>
      <c r="R279">
        <f>計算表!R279</f>
        <v>0</v>
      </c>
    </row>
    <row r="280" spans="1:18" x14ac:dyDescent="0.25">
      <c r="A280">
        <f>計算表!A280</f>
        <v>279</v>
      </c>
      <c r="B280" s="2">
        <f>計算表!B280</f>
        <v>0</v>
      </c>
      <c r="C280" t="str">
        <f>計算表!C280</f>
        <v>表-稀有度</v>
      </c>
      <c r="D280" t="str">
        <f>計算表!D280</f>
        <v>神話</v>
      </c>
      <c r="E280" t="str">
        <f>計算表!E280</f>
        <v>（查表）</v>
      </c>
      <c r="F280" t="str">
        <f>計算表!F280</f>
        <v>a=詞條數值倍率 b=詞條數下限 c=詞條數上限 d=寶石插槽 e=附魔欄位 f=分解係數。</v>
      </c>
      <c r="G280">
        <f>計算表!G280</f>
        <v>5.2</v>
      </c>
      <c r="H280">
        <f>計算表!H280</f>
        <v>6</v>
      </c>
      <c r="I280">
        <f>計算表!I280</f>
        <v>6</v>
      </c>
      <c r="J280">
        <f>計算表!J280</f>
        <v>5</v>
      </c>
      <c r="K280">
        <f>計算表!K280</f>
        <v>3</v>
      </c>
      <c r="L280">
        <f>計算表!L280</f>
        <v>19</v>
      </c>
      <c r="M280">
        <f>計算表!M280</f>
        <v>0</v>
      </c>
      <c r="N280">
        <f>計算表!N280</f>
        <v>0</v>
      </c>
      <c r="O280">
        <f>計算表!O280</f>
        <v>0</v>
      </c>
      <c r="P280">
        <f>計算表!P280</f>
        <v>0</v>
      </c>
      <c r="Q280">
        <f>計算表!Q280</f>
        <v>0</v>
      </c>
      <c r="R280">
        <f>計算表!R280</f>
        <v>0</v>
      </c>
    </row>
    <row r="281" spans="1:18" x14ac:dyDescent="0.25">
      <c r="A281">
        <f>計算表!A281</f>
        <v>280</v>
      </c>
      <c r="B281" s="2">
        <f>計算表!B281</f>
        <v>0</v>
      </c>
      <c r="C281" t="str">
        <f>計算表!C281</f>
        <v>表-稀有度</v>
      </c>
      <c r="D281" t="str">
        <f>計算表!D281</f>
        <v>創世</v>
      </c>
      <c r="E281" t="str">
        <f>計算表!E281</f>
        <v>（查表）</v>
      </c>
      <c r="F281" t="str">
        <f>計算表!F281</f>
        <v>a=詞條數值倍率 b=詞條數下限 c=詞條數上限 d=寶石插槽 e=附魔欄位 f=分解係數。</v>
      </c>
      <c r="G281">
        <f>計算表!G281</f>
        <v>6.8</v>
      </c>
      <c r="H281">
        <f>計算表!H281</f>
        <v>7</v>
      </c>
      <c r="I281">
        <f>計算表!I281</f>
        <v>7</v>
      </c>
      <c r="J281">
        <f>計算表!J281</f>
        <v>6</v>
      </c>
      <c r="K281">
        <f>計算表!K281</f>
        <v>3</v>
      </c>
      <c r="L281">
        <f>計算表!L281</f>
        <v>30</v>
      </c>
      <c r="M281">
        <f>計算表!M281</f>
        <v>0</v>
      </c>
      <c r="N281">
        <f>計算表!N281</f>
        <v>0</v>
      </c>
      <c r="O281">
        <f>計算表!O281</f>
        <v>0</v>
      </c>
      <c r="P281">
        <f>計算表!P281</f>
        <v>0</v>
      </c>
      <c r="Q281">
        <f>計算表!Q281</f>
        <v>0</v>
      </c>
      <c r="R281">
        <f>計算表!R281</f>
        <v>0</v>
      </c>
    </row>
    <row r="282" spans="1:18" x14ac:dyDescent="0.25">
      <c r="A282">
        <f>計算表!A282</f>
        <v>281</v>
      </c>
      <c r="B282" s="2">
        <f>計算表!B282</f>
        <v>0</v>
      </c>
      <c r="C282" t="str">
        <f>計算表!C282</f>
        <v>表-稀有度</v>
      </c>
      <c r="D282" t="str">
        <f>計算表!D282</f>
        <v>神鑄創世</v>
      </c>
      <c r="E282" t="str">
        <f>計算表!E282</f>
        <v>（查表）</v>
      </c>
      <c r="F282" t="str">
        <f>計算表!F282</f>
        <v>a=詞條數值倍率 b=詞條數下限 c=詞條數上限 d=寶石插槽 e=附魔欄位 f=分解係數。</v>
      </c>
      <c r="G282">
        <f>計算表!G282</f>
        <v>10.199999999999999</v>
      </c>
      <c r="H282">
        <f>計算表!H282</f>
        <v>7</v>
      </c>
      <c r="I282">
        <f>計算表!I282</f>
        <v>7</v>
      </c>
      <c r="J282">
        <f>計算表!J282</f>
        <v>6</v>
      </c>
      <c r="K282">
        <f>計算表!K282</f>
        <v>3</v>
      </c>
      <c r="L282">
        <f>計算表!L282</f>
        <v>45</v>
      </c>
      <c r="M282">
        <f>計算表!M282</f>
        <v>0</v>
      </c>
      <c r="N282">
        <f>計算表!N282</f>
        <v>0</v>
      </c>
      <c r="O282">
        <f>計算表!O282</f>
        <v>0</v>
      </c>
      <c r="P282">
        <f>計算表!P282</f>
        <v>0</v>
      </c>
      <c r="Q282">
        <f>計算表!Q282</f>
        <v>0</v>
      </c>
      <c r="R282">
        <f>計算表!R282</f>
        <v>0</v>
      </c>
    </row>
    <row r="283" spans="1:18" x14ac:dyDescent="0.25">
      <c r="A283">
        <f>計算表!A283</f>
        <v>282</v>
      </c>
      <c r="B283" s="2">
        <f>計算表!B283</f>
        <v>0</v>
      </c>
      <c r="C283" t="str">
        <f>計算表!C283</f>
        <v>表-詞條池</v>
      </c>
      <c r="D283" t="str">
        <f>計算表!D283</f>
        <v>物理攻擊</v>
      </c>
      <c r="E283" t="str">
        <f>計算表!E283</f>
        <v>基準值 = (a + a×b×(裝備等級-1)) × 稀有度倍率</v>
      </c>
      <c r="F283" t="str">
        <f>計算表!F283</f>
        <v>a=一級基準 b=每級成長係數 c=出現權重 d=最低稀有度 e=百分比。</v>
      </c>
      <c r="G283">
        <f>計算表!G283</f>
        <v>4</v>
      </c>
      <c r="H283">
        <f>計算表!H283</f>
        <v>0.55000000000000004</v>
      </c>
      <c r="I283">
        <f>計算表!I283</f>
        <v>11</v>
      </c>
      <c r="J283" t="str">
        <f>計算表!J283</f>
        <v>-</v>
      </c>
      <c r="K283" t="str">
        <f>計算表!K283</f>
        <v>否</v>
      </c>
      <c r="L283">
        <f>計算表!L283</f>
        <v>0</v>
      </c>
      <c r="M283">
        <f>計算表!M283</f>
        <v>0</v>
      </c>
      <c r="N283">
        <f>計算表!N283</f>
        <v>0</v>
      </c>
      <c r="O283">
        <f>計算表!O283</f>
        <v>0</v>
      </c>
      <c r="P283">
        <f>計算表!P283</f>
        <v>0</v>
      </c>
      <c r="Q283">
        <f>計算表!Q283</f>
        <v>0</v>
      </c>
      <c r="R283">
        <f>計算表!R283</f>
        <v>0</v>
      </c>
    </row>
    <row r="284" spans="1:18" x14ac:dyDescent="0.25">
      <c r="A284">
        <f>計算表!A284</f>
        <v>283</v>
      </c>
      <c r="B284" s="2">
        <f>計算表!B284</f>
        <v>0</v>
      </c>
      <c r="C284" t="str">
        <f>計算表!C284</f>
        <v>表-詞條池</v>
      </c>
      <c r="D284" t="str">
        <f>計算表!D284</f>
        <v>物理攻擊%</v>
      </c>
      <c r="E284" t="str">
        <f>計算表!E284</f>
        <v>基準值 = (a + a×b×(裝備等級-1)) × 稀有度倍率</v>
      </c>
      <c r="F284" t="str">
        <f>計算表!F284</f>
        <v>a=一級基準 b=每級成長係數 c=出現權重 d=最低稀有度 e=百分比。</v>
      </c>
      <c r="G284">
        <f>計算表!G284</f>
        <v>4</v>
      </c>
      <c r="H284">
        <f>計算表!H284</f>
        <v>0.02</v>
      </c>
      <c r="I284">
        <f>計算表!I284</f>
        <v>7</v>
      </c>
      <c r="J284" t="str">
        <f>計算表!J284</f>
        <v>-</v>
      </c>
      <c r="K284" t="str">
        <f>計算表!K284</f>
        <v>是</v>
      </c>
      <c r="L284">
        <f>計算表!L284</f>
        <v>0</v>
      </c>
      <c r="M284">
        <f>計算表!M284</f>
        <v>0</v>
      </c>
      <c r="N284">
        <f>計算表!N284</f>
        <v>0</v>
      </c>
      <c r="O284">
        <f>計算表!O284</f>
        <v>0</v>
      </c>
      <c r="P284">
        <f>計算表!P284</f>
        <v>0</v>
      </c>
      <c r="Q284">
        <f>計算表!Q284</f>
        <v>0</v>
      </c>
      <c r="R284">
        <f>計算表!R284</f>
        <v>0</v>
      </c>
    </row>
    <row r="285" spans="1:18" x14ac:dyDescent="0.25">
      <c r="A285">
        <f>計算表!A285</f>
        <v>284</v>
      </c>
      <c r="B285" s="2">
        <f>計算表!B285</f>
        <v>0</v>
      </c>
      <c r="C285" t="str">
        <f>計算表!C285</f>
        <v>表-詞條池</v>
      </c>
      <c r="D285" t="str">
        <f>計算表!D285</f>
        <v>魔法攻擊</v>
      </c>
      <c r="E285" t="str">
        <f>計算表!E285</f>
        <v>基準值 = (a + a×b×(裝備等級-1)) × 稀有度倍率</v>
      </c>
      <c r="F285" t="str">
        <f>計算表!F285</f>
        <v>a=一級基準 b=每級成長係數 c=出現權重 d=最低稀有度 e=百分比。</v>
      </c>
      <c r="G285">
        <f>計算表!G285</f>
        <v>4</v>
      </c>
      <c r="H285">
        <f>計算表!H285</f>
        <v>0.55000000000000004</v>
      </c>
      <c r="I285">
        <f>計算表!I285</f>
        <v>11</v>
      </c>
      <c r="J285" t="str">
        <f>計算表!J285</f>
        <v>-</v>
      </c>
      <c r="K285" t="str">
        <f>計算表!K285</f>
        <v>否</v>
      </c>
      <c r="L285">
        <f>計算表!L285</f>
        <v>0</v>
      </c>
      <c r="M285">
        <f>計算表!M285</f>
        <v>0</v>
      </c>
      <c r="N285">
        <f>計算表!N285</f>
        <v>0</v>
      </c>
      <c r="O285">
        <f>計算表!O285</f>
        <v>0</v>
      </c>
      <c r="P285">
        <f>計算表!P285</f>
        <v>0</v>
      </c>
      <c r="Q285">
        <f>計算表!Q285</f>
        <v>0</v>
      </c>
      <c r="R285">
        <f>計算表!R285</f>
        <v>0</v>
      </c>
    </row>
    <row r="286" spans="1:18" x14ac:dyDescent="0.25">
      <c r="A286">
        <f>計算表!A286</f>
        <v>285</v>
      </c>
      <c r="B286" s="2">
        <f>計算表!B286</f>
        <v>0</v>
      </c>
      <c r="C286" t="str">
        <f>計算表!C286</f>
        <v>表-詞條池</v>
      </c>
      <c r="D286" t="str">
        <f>計算表!D286</f>
        <v>魔法攻擊%</v>
      </c>
      <c r="E286" t="str">
        <f>計算表!E286</f>
        <v>基準值 = (a + a×b×(裝備等級-1)) × 稀有度倍率</v>
      </c>
      <c r="F286" t="str">
        <f>計算表!F286</f>
        <v>a=一級基準 b=每級成長係數 c=出現權重 d=最低稀有度 e=百分比。</v>
      </c>
      <c r="G286">
        <f>計算表!G286</f>
        <v>4</v>
      </c>
      <c r="H286">
        <f>計算表!H286</f>
        <v>0.02</v>
      </c>
      <c r="I286">
        <f>計算表!I286</f>
        <v>7</v>
      </c>
      <c r="J286" t="str">
        <f>計算表!J286</f>
        <v>-</v>
      </c>
      <c r="K286" t="str">
        <f>計算表!K286</f>
        <v>是</v>
      </c>
      <c r="L286">
        <f>計算表!L286</f>
        <v>0</v>
      </c>
      <c r="M286">
        <f>計算表!M286</f>
        <v>0</v>
      </c>
      <c r="N286">
        <f>計算表!N286</f>
        <v>0</v>
      </c>
      <c r="O286">
        <f>計算表!O286</f>
        <v>0</v>
      </c>
      <c r="P286">
        <f>計算表!P286</f>
        <v>0</v>
      </c>
      <c r="Q286">
        <f>計算表!Q286</f>
        <v>0</v>
      </c>
      <c r="R286">
        <f>計算表!R286</f>
        <v>0</v>
      </c>
    </row>
    <row r="287" spans="1:18" x14ac:dyDescent="0.25">
      <c r="A287">
        <f>計算表!A287</f>
        <v>286</v>
      </c>
      <c r="B287" s="2">
        <f>計算表!B287</f>
        <v>0</v>
      </c>
      <c r="C287" t="str">
        <f>計算表!C287</f>
        <v>表-詞條池</v>
      </c>
      <c r="D287" t="str">
        <f>計算表!D287</f>
        <v>生命值</v>
      </c>
      <c r="E287" t="str">
        <f>計算表!E287</f>
        <v>基準值 = (a + a×b×(裝備等級-1)) × 稀有度倍率</v>
      </c>
      <c r="F287" t="str">
        <f>計算表!F287</f>
        <v>a=一級基準 b=每級成長係數 c=出現權重 d=最低稀有度 e=百分比。</v>
      </c>
      <c r="G287">
        <f>計算表!G287</f>
        <v>22</v>
      </c>
      <c r="H287">
        <f>計算表!H287</f>
        <v>3</v>
      </c>
      <c r="I287">
        <f>計算表!I287</f>
        <v>11</v>
      </c>
      <c r="J287" t="str">
        <f>計算表!J287</f>
        <v>-</v>
      </c>
      <c r="K287" t="str">
        <f>計算表!K287</f>
        <v>否</v>
      </c>
      <c r="L287">
        <f>計算表!L287</f>
        <v>0</v>
      </c>
      <c r="M287">
        <f>計算表!M287</f>
        <v>0</v>
      </c>
      <c r="N287">
        <f>計算表!N287</f>
        <v>0</v>
      </c>
      <c r="O287">
        <f>計算表!O287</f>
        <v>0</v>
      </c>
      <c r="P287">
        <f>計算表!P287</f>
        <v>0</v>
      </c>
      <c r="Q287">
        <f>計算表!Q287</f>
        <v>0</v>
      </c>
      <c r="R287">
        <f>計算表!R287</f>
        <v>0</v>
      </c>
    </row>
    <row r="288" spans="1:18" x14ac:dyDescent="0.25">
      <c r="A288">
        <f>計算表!A288</f>
        <v>287</v>
      </c>
      <c r="B288" s="2">
        <f>計算表!B288</f>
        <v>0</v>
      </c>
      <c r="C288" t="str">
        <f>計算表!C288</f>
        <v>表-詞條池</v>
      </c>
      <c r="D288" t="str">
        <f>計算表!D288</f>
        <v>生命值%</v>
      </c>
      <c r="E288" t="str">
        <f>計算表!E288</f>
        <v>基準值 = (a + a×b×(裝備等級-1)) × 稀有度倍率</v>
      </c>
      <c r="F288" t="str">
        <f>計算表!F288</f>
        <v>a=一級基準 b=每級成長係數 c=出現權重 d=最低稀有度 e=百分比。</v>
      </c>
      <c r="G288">
        <f>計算表!G288</f>
        <v>5</v>
      </c>
      <c r="H288">
        <f>計算表!H288</f>
        <v>0.02</v>
      </c>
      <c r="I288">
        <f>計算表!I288</f>
        <v>7</v>
      </c>
      <c r="J288" t="str">
        <f>計算表!J288</f>
        <v>-</v>
      </c>
      <c r="K288" t="str">
        <f>計算表!K288</f>
        <v>是</v>
      </c>
      <c r="L288">
        <f>計算表!L288</f>
        <v>0</v>
      </c>
      <c r="M288">
        <f>計算表!M288</f>
        <v>0</v>
      </c>
      <c r="N288">
        <f>計算表!N288</f>
        <v>0</v>
      </c>
      <c r="O288">
        <f>計算表!O288</f>
        <v>0</v>
      </c>
      <c r="P288">
        <f>計算表!P288</f>
        <v>0</v>
      </c>
      <c r="Q288">
        <f>計算表!Q288</f>
        <v>0</v>
      </c>
      <c r="R288">
        <f>計算表!R288</f>
        <v>0</v>
      </c>
    </row>
    <row r="289" spans="1:18" x14ac:dyDescent="0.25">
      <c r="A289">
        <f>計算表!A289</f>
        <v>288</v>
      </c>
      <c r="B289" s="2">
        <f>計算表!B289</f>
        <v>0</v>
      </c>
      <c r="C289" t="str">
        <f>計算表!C289</f>
        <v>表-詞條池</v>
      </c>
      <c r="D289" t="str">
        <f>計算表!D289</f>
        <v>生命恢復/秒</v>
      </c>
      <c r="E289" t="str">
        <f>計算表!E289</f>
        <v>基準值 = (a + a×b×(裝備等級-1)) × 稀有度倍率</v>
      </c>
      <c r="F289" t="str">
        <f>計算表!F289</f>
        <v>a=一級基準 b=每級成長係數 c=出現權重 d=最低稀有度 e=百分比。</v>
      </c>
      <c r="G289">
        <f>計算表!G289</f>
        <v>2</v>
      </c>
      <c r="H289">
        <f>計算表!H289</f>
        <v>0.5</v>
      </c>
      <c r="I289">
        <f>計算表!I289</f>
        <v>5</v>
      </c>
      <c r="J289" t="str">
        <f>計算表!J289</f>
        <v>-</v>
      </c>
      <c r="K289" t="str">
        <f>計算表!K289</f>
        <v>否</v>
      </c>
      <c r="L289">
        <f>計算表!L289</f>
        <v>0</v>
      </c>
      <c r="M289">
        <f>計算表!M289</f>
        <v>0</v>
      </c>
      <c r="N289">
        <f>計算表!N289</f>
        <v>0</v>
      </c>
      <c r="O289">
        <f>計算表!O289</f>
        <v>0</v>
      </c>
      <c r="P289">
        <f>計算表!P289</f>
        <v>0</v>
      </c>
      <c r="Q289">
        <f>計算表!Q289</f>
        <v>0</v>
      </c>
      <c r="R289">
        <f>計算表!R289</f>
        <v>0</v>
      </c>
    </row>
    <row r="290" spans="1:18" x14ac:dyDescent="0.25">
      <c r="A290">
        <f>計算表!A290</f>
        <v>289</v>
      </c>
      <c r="B290" s="2">
        <f>計算表!B290</f>
        <v>0</v>
      </c>
      <c r="C290" t="str">
        <f>計算表!C290</f>
        <v>表-詞條池</v>
      </c>
      <c r="D290" t="str">
        <f>計算表!D290</f>
        <v>法力值</v>
      </c>
      <c r="E290" t="str">
        <f>計算表!E290</f>
        <v>基準值 = (a + a×b×(裝備等級-1)) × 稀有度倍率</v>
      </c>
      <c r="F290" t="str">
        <f>計算表!F290</f>
        <v>a=一級基準 b=每級成長係數 c=出現權重 d=最低稀有度 e=百分比。</v>
      </c>
      <c r="G290">
        <f>計算表!G290</f>
        <v>10</v>
      </c>
      <c r="H290">
        <f>計算表!H290</f>
        <v>1.2</v>
      </c>
      <c r="I290">
        <f>計算表!I290</f>
        <v>5</v>
      </c>
      <c r="J290" t="str">
        <f>計算表!J290</f>
        <v>-</v>
      </c>
      <c r="K290" t="str">
        <f>計算表!K290</f>
        <v>否</v>
      </c>
      <c r="L290">
        <f>計算表!L290</f>
        <v>0</v>
      </c>
      <c r="M290">
        <f>計算表!M290</f>
        <v>0</v>
      </c>
      <c r="N290">
        <f>計算表!N290</f>
        <v>0</v>
      </c>
      <c r="O290">
        <f>計算表!O290</f>
        <v>0</v>
      </c>
      <c r="P290">
        <f>計算表!P290</f>
        <v>0</v>
      </c>
      <c r="Q290">
        <f>計算表!Q290</f>
        <v>0</v>
      </c>
      <c r="R290">
        <f>計算表!R290</f>
        <v>0</v>
      </c>
    </row>
    <row r="291" spans="1:18" x14ac:dyDescent="0.25">
      <c r="A291">
        <f>計算表!A291</f>
        <v>290</v>
      </c>
      <c r="B291" s="2">
        <f>計算表!B291</f>
        <v>0</v>
      </c>
      <c r="C291" t="str">
        <f>計算表!C291</f>
        <v>表-詞條池</v>
      </c>
      <c r="D291" t="str">
        <f>計算表!D291</f>
        <v>法力恢復/秒</v>
      </c>
      <c r="E291" t="str">
        <f>計算表!E291</f>
        <v>基準值 = (a + a×b×(裝備等級-1)) × 稀有度倍率</v>
      </c>
      <c r="F291" t="str">
        <f>計算表!F291</f>
        <v>a=一級基準 b=每級成長係數 c=出現權重 d=最低稀有度 e=百分比。</v>
      </c>
      <c r="G291">
        <f>計算表!G291</f>
        <v>0.8</v>
      </c>
      <c r="H291">
        <f>計算表!H291</f>
        <v>0.06</v>
      </c>
      <c r="I291">
        <f>計算表!I291</f>
        <v>4</v>
      </c>
      <c r="J291" t="str">
        <f>計算表!J291</f>
        <v>-</v>
      </c>
      <c r="K291" t="str">
        <f>計算表!K291</f>
        <v>否</v>
      </c>
      <c r="L291">
        <f>計算表!L291</f>
        <v>0</v>
      </c>
      <c r="M291">
        <f>計算表!M291</f>
        <v>0</v>
      </c>
      <c r="N291">
        <f>計算表!N291</f>
        <v>0</v>
      </c>
      <c r="O291">
        <f>計算表!O291</f>
        <v>0</v>
      </c>
      <c r="P291">
        <f>計算表!P291</f>
        <v>0</v>
      </c>
      <c r="Q291">
        <f>計算表!Q291</f>
        <v>0</v>
      </c>
      <c r="R291">
        <f>計算表!R291</f>
        <v>0</v>
      </c>
    </row>
    <row r="292" spans="1:18" x14ac:dyDescent="0.25">
      <c r="A292">
        <f>計算表!A292</f>
        <v>291</v>
      </c>
      <c r="B292" s="2">
        <f>計算表!B292</f>
        <v>0</v>
      </c>
      <c r="C292" t="str">
        <f>計算表!C292</f>
        <v>表-詞條池</v>
      </c>
      <c r="D292" t="str">
        <f>計算表!D292</f>
        <v>力量</v>
      </c>
      <c r="E292" t="str">
        <f>計算表!E292</f>
        <v>基準值 = (a + a×b×(裝備等級-1)) × 稀有度倍率</v>
      </c>
      <c r="F292" t="str">
        <f>計算表!F292</f>
        <v>a=一級基準 b=每級成長係數 c=出現權重 d=最低稀有度 e=百分比。</v>
      </c>
      <c r="G292">
        <f>計算表!G292</f>
        <v>3</v>
      </c>
      <c r="H292">
        <f>計算表!H292</f>
        <v>0.4</v>
      </c>
      <c r="I292">
        <f>計算表!I292</f>
        <v>8</v>
      </c>
      <c r="J292" t="str">
        <f>計算表!J292</f>
        <v>-</v>
      </c>
      <c r="K292" t="str">
        <f>計算表!K292</f>
        <v>否</v>
      </c>
      <c r="L292">
        <f>計算表!L292</f>
        <v>0</v>
      </c>
      <c r="M292">
        <f>計算表!M292</f>
        <v>0</v>
      </c>
      <c r="N292">
        <f>計算表!N292</f>
        <v>0</v>
      </c>
      <c r="O292">
        <f>計算表!O292</f>
        <v>0</v>
      </c>
      <c r="P292">
        <f>計算表!P292</f>
        <v>0</v>
      </c>
      <c r="Q292">
        <f>計算表!Q292</f>
        <v>0</v>
      </c>
      <c r="R292">
        <f>計算表!R292</f>
        <v>0</v>
      </c>
    </row>
    <row r="293" spans="1:18" x14ac:dyDescent="0.25">
      <c r="A293">
        <f>計算表!A293</f>
        <v>292</v>
      </c>
      <c r="B293" s="2">
        <f>計算表!B293</f>
        <v>0</v>
      </c>
      <c r="C293" t="str">
        <f>計算表!C293</f>
        <v>表-詞條池</v>
      </c>
      <c r="D293" t="str">
        <f>計算表!D293</f>
        <v>敏捷</v>
      </c>
      <c r="E293" t="str">
        <f>計算表!E293</f>
        <v>基準值 = (a + a×b×(裝備等級-1)) × 稀有度倍率</v>
      </c>
      <c r="F293" t="str">
        <f>計算表!F293</f>
        <v>a=一級基準 b=每級成長係數 c=出現權重 d=最低稀有度 e=百分比。</v>
      </c>
      <c r="G293">
        <f>計算表!G293</f>
        <v>3</v>
      </c>
      <c r="H293">
        <f>計算表!H293</f>
        <v>0.4</v>
      </c>
      <c r="I293">
        <f>計算表!I293</f>
        <v>8</v>
      </c>
      <c r="J293" t="str">
        <f>計算表!J293</f>
        <v>-</v>
      </c>
      <c r="K293" t="str">
        <f>計算表!K293</f>
        <v>否</v>
      </c>
      <c r="L293">
        <f>計算表!L293</f>
        <v>0</v>
      </c>
      <c r="M293">
        <f>計算表!M293</f>
        <v>0</v>
      </c>
      <c r="N293">
        <f>計算表!N293</f>
        <v>0</v>
      </c>
      <c r="O293">
        <f>計算表!O293</f>
        <v>0</v>
      </c>
      <c r="P293">
        <f>計算表!P293</f>
        <v>0</v>
      </c>
      <c r="Q293">
        <f>計算表!Q293</f>
        <v>0</v>
      </c>
      <c r="R293">
        <f>計算表!R293</f>
        <v>0</v>
      </c>
    </row>
    <row r="294" spans="1:18" x14ac:dyDescent="0.25">
      <c r="A294">
        <f>計算表!A294</f>
        <v>293</v>
      </c>
      <c r="B294" s="2">
        <f>計算表!B294</f>
        <v>0</v>
      </c>
      <c r="C294" t="str">
        <f>計算表!C294</f>
        <v>表-詞條池</v>
      </c>
      <c r="D294" t="str">
        <f>計算表!D294</f>
        <v>智力</v>
      </c>
      <c r="E294" t="str">
        <f>計算表!E294</f>
        <v>基準值 = (a + a×b×(裝備等級-1)) × 稀有度倍率</v>
      </c>
      <c r="F294" t="str">
        <f>計算表!F294</f>
        <v>a=一級基準 b=每級成長係數 c=出現權重 d=最低稀有度 e=百分比。</v>
      </c>
      <c r="G294">
        <f>計算表!G294</f>
        <v>3</v>
      </c>
      <c r="H294">
        <f>計算表!H294</f>
        <v>0.4</v>
      </c>
      <c r="I294">
        <f>計算表!I294</f>
        <v>8</v>
      </c>
      <c r="J294" t="str">
        <f>計算表!J294</f>
        <v>-</v>
      </c>
      <c r="K294" t="str">
        <f>計算表!K294</f>
        <v>否</v>
      </c>
      <c r="L294">
        <f>計算表!L294</f>
        <v>0</v>
      </c>
      <c r="M294">
        <f>計算表!M294</f>
        <v>0</v>
      </c>
      <c r="N294">
        <f>計算表!N294</f>
        <v>0</v>
      </c>
      <c r="O294">
        <f>計算表!O294</f>
        <v>0</v>
      </c>
      <c r="P294">
        <f>計算表!P294</f>
        <v>0</v>
      </c>
      <c r="Q294">
        <f>計算表!Q294</f>
        <v>0</v>
      </c>
      <c r="R294">
        <f>計算表!R294</f>
        <v>0</v>
      </c>
    </row>
    <row r="295" spans="1:18" x14ac:dyDescent="0.25">
      <c r="A295">
        <f>計算表!A295</f>
        <v>294</v>
      </c>
      <c r="B295" s="2">
        <f>計算表!B295</f>
        <v>0</v>
      </c>
      <c r="C295" t="str">
        <f>計算表!C295</f>
        <v>表-詞條池</v>
      </c>
      <c r="D295" t="str">
        <f>計算表!D295</f>
        <v>耐力</v>
      </c>
      <c r="E295" t="str">
        <f>計算表!E295</f>
        <v>基準值 = (a + a×b×(裝備等級-1)) × 稀有度倍率</v>
      </c>
      <c r="F295" t="str">
        <f>計算表!F295</f>
        <v>a=一級基準 b=每級成長係數 c=出現權重 d=最低稀有度 e=百分比。</v>
      </c>
      <c r="G295">
        <f>計算表!G295</f>
        <v>3</v>
      </c>
      <c r="H295">
        <f>計算表!H295</f>
        <v>0.4</v>
      </c>
      <c r="I295">
        <f>計算表!I295</f>
        <v>8</v>
      </c>
      <c r="J295" t="str">
        <f>計算表!J295</f>
        <v>-</v>
      </c>
      <c r="K295" t="str">
        <f>計算表!K295</f>
        <v>否</v>
      </c>
      <c r="L295">
        <f>計算表!L295</f>
        <v>0</v>
      </c>
      <c r="M295">
        <f>計算表!M295</f>
        <v>0</v>
      </c>
      <c r="N295">
        <f>計算表!N295</f>
        <v>0</v>
      </c>
      <c r="O295">
        <f>計算表!O295</f>
        <v>0</v>
      </c>
      <c r="P295">
        <f>計算表!P295</f>
        <v>0</v>
      </c>
      <c r="Q295">
        <f>計算表!Q295</f>
        <v>0</v>
      </c>
      <c r="R295">
        <f>計算表!R295</f>
        <v>0</v>
      </c>
    </row>
    <row r="296" spans="1:18" x14ac:dyDescent="0.25">
      <c r="A296">
        <f>計算表!A296</f>
        <v>295</v>
      </c>
      <c r="B296" s="2">
        <f>計算表!B296</f>
        <v>0</v>
      </c>
      <c r="C296" t="str">
        <f>計算表!C296</f>
        <v>表-詞條池</v>
      </c>
      <c r="D296" t="str">
        <f>計算表!D296</f>
        <v>物理防禦</v>
      </c>
      <c r="E296" t="str">
        <f>計算表!E296</f>
        <v>基準值 = (a + a×b×(裝備等級-1)) × 稀有度倍率</v>
      </c>
      <c r="F296" t="str">
        <f>計算表!F296</f>
        <v>a=一級基準 b=每級成長係數 c=出現權重 d=最低稀有度 e=百分比。</v>
      </c>
      <c r="G296">
        <f>計算表!G296</f>
        <v>3</v>
      </c>
      <c r="H296">
        <f>計算表!H296</f>
        <v>0.35</v>
      </c>
      <c r="I296">
        <f>計算表!I296</f>
        <v>9</v>
      </c>
      <c r="J296" t="str">
        <f>計算表!J296</f>
        <v>-</v>
      </c>
      <c r="K296" t="str">
        <f>計算表!K296</f>
        <v>否</v>
      </c>
      <c r="L296">
        <f>計算表!L296</f>
        <v>0</v>
      </c>
      <c r="M296">
        <f>計算表!M296</f>
        <v>0</v>
      </c>
      <c r="N296">
        <f>計算表!N296</f>
        <v>0</v>
      </c>
      <c r="O296">
        <f>計算表!O296</f>
        <v>0</v>
      </c>
      <c r="P296">
        <f>計算表!P296</f>
        <v>0</v>
      </c>
      <c r="Q296">
        <f>計算表!Q296</f>
        <v>0</v>
      </c>
      <c r="R296">
        <f>計算表!R296</f>
        <v>0</v>
      </c>
    </row>
    <row r="297" spans="1:18" x14ac:dyDescent="0.25">
      <c r="A297">
        <f>計算表!A297</f>
        <v>296</v>
      </c>
      <c r="B297" s="2">
        <f>計算表!B297</f>
        <v>0</v>
      </c>
      <c r="C297" t="str">
        <f>計算表!C297</f>
        <v>表-詞條池</v>
      </c>
      <c r="D297" t="str">
        <f>計算表!D297</f>
        <v>物理防禦%</v>
      </c>
      <c r="E297" t="str">
        <f>計算表!E297</f>
        <v>基準值 = (a + a×b×(裝備等級-1)) × 稀有度倍率</v>
      </c>
      <c r="F297" t="str">
        <f>計算表!F297</f>
        <v>a=一級基準 b=每級成長係數 c=出現權重 d=最低稀有度 e=百分比。</v>
      </c>
      <c r="G297">
        <f>計算表!G297</f>
        <v>4</v>
      </c>
      <c r="H297">
        <f>計算表!H297</f>
        <v>0.02</v>
      </c>
      <c r="I297">
        <f>計算表!I297</f>
        <v>6</v>
      </c>
      <c r="J297" t="str">
        <f>計算表!J297</f>
        <v>-</v>
      </c>
      <c r="K297" t="str">
        <f>計算表!K297</f>
        <v>是</v>
      </c>
      <c r="L297">
        <f>計算表!L297</f>
        <v>0</v>
      </c>
      <c r="M297">
        <f>計算表!M297</f>
        <v>0</v>
      </c>
      <c r="N297">
        <f>計算表!N297</f>
        <v>0</v>
      </c>
      <c r="O297">
        <f>計算表!O297</f>
        <v>0</v>
      </c>
      <c r="P297">
        <f>計算表!P297</f>
        <v>0</v>
      </c>
      <c r="Q297">
        <f>計算表!Q297</f>
        <v>0</v>
      </c>
      <c r="R297">
        <f>計算表!R297</f>
        <v>0</v>
      </c>
    </row>
    <row r="298" spans="1:18" x14ac:dyDescent="0.25">
      <c r="A298">
        <f>計算表!A298</f>
        <v>297</v>
      </c>
      <c r="B298" s="2">
        <f>計算表!B298</f>
        <v>0</v>
      </c>
      <c r="C298" t="str">
        <f>計算表!C298</f>
        <v>表-詞條池</v>
      </c>
      <c r="D298" t="str">
        <f>計算表!D298</f>
        <v>魔法防禦</v>
      </c>
      <c r="E298" t="str">
        <f>計算表!E298</f>
        <v>基準值 = (a + a×b×(裝備等級-1)) × 稀有度倍率</v>
      </c>
      <c r="F298" t="str">
        <f>計算表!F298</f>
        <v>a=一級基準 b=每級成長係數 c=出現權重 d=最低稀有度 e=百分比。</v>
      </c>
      <c r="G298">
        <f>計算表!G298</f>
        <v>3</v>
      </c>
      <c r="H298">
        <f>計算表!H298</f>
        <v>0.35</v>
      </c>
      <c r="I298">
        <f>計算表!I298</f>
        <v>9</v>
      </c>
      <c r="J298" t="str">
        <f>計算表!J298</f>
        <v>-</v>
      </c>
      <c r="K298" t="str">
        <f>計算表!K298</f>
        <v>否</v>
      </c>
      <c r="L298">
        <f>計算表!L298</f>
        <v>0</v>
      </c>
      <c r="M298">
        <f>計算表!M298</f>
        <v>0</v>
      </c>
      <c r="N298">
        <f>計算表!N298</f>
        <v>0</v>
      </c>
      <c r="O298">
        <f>計算表!O298</f>
        <v>0</v>
      </c>
      <c r="P298">
        <f>計算表!P298</f>
        <v>0</v>
      </c>
      <c r="Q298">
        <f>計算表!Q298</f>
        <v>0</v>
      </c>
      <c r="R298">
        <f>計算表!R298</f>
        <v>0</v>
      </c>
    </row>
    <row r="299" spans="1:18" x14ac:dyDescent="0.25">
      <c r="A299">
        <f>計算表!A299</f>
        <v>298</v>
      </c>
      <c r="B299" s="2">
        <f>計算表!B299</f>
        <v>0</v>
      </c>
      <c r="C299" t="str">
        <f>計算表!C299</f>
        <v>表-詞條池</v>
      </c>
      <c r="D299" t="str">
        <f>計算表!D299</f>
        <v>全局減傷</v>
      </c>
      <c r="E299" t="str">
        <f>計算表!E299</f>
        <v>基準值 = (a + a×b×(裝備等級-1)) × 稀有度倍率</v>
      </c>
      <c r="F299" t="str">
        <f>計算表!F299</f>
        <v>a=一級基準 b=每級成長係數 c=出現權重 d=最低稀有度 e=百分比。</v>
      </c>
      <c r="G299">
        <f>計算表!G299</f>
        <v>3</v>
      </c>
      <c r="H299">
        <f>計算表!H299</f>
        <v>0.35</v>
      </c>
      <c r="I299">
        <f>計算表!I299</f>
        <v>9</v>
      </c>
      <c r="J299" t="str">
        <f>計算表!J299</f>
        <v>史詩</v>
      </c>
      <c r="K299" t="str">
        <f>計算表!K299</f>
        <v>否</v>
      </c>
      <c r="L299">
        <f>計算表!L299</f>
        <v>0</v>
      </c>
      <c r="M299">
        <f>計算表!M299</f>
        <v>0</v>
      </c>
      <c r="N299">
        <f>計算表!N299</f>
        <v>0</v>
      </c>
      <c r="O299">
        <f>計算表!O299</f>
        <v>0</v>
      </c>
      <c r="P299">
        <f>計算表!P299</f>
        <v>0</v>
      </c>
      <c r="Q299">
        <f>計算表!Q299</f>
        <v>0</v>
      </c>
      <c r="R299">
        <f>計算表!R299</f>
        <v>0</v>
      </c>
    </row>
    <row r="300" spans="1:18" x14ac:dyDescent="0.25">
      <c r="A300">
        <f>計算表!A300</f>
        <v>299</v>
      </c>
      <c r="B300" s="2">
        <f>計算表!B300</f>
        <v>0</v>
      </c>
      <c r="C300" t="str">
        <f>計算表!C300</f>
        <v>表-詞條池</v>
      </c>
      <c r="D300" t="str">
        <f>計算表!D300</f>
        <v>攻擊速度%</v>
      </c>
      <c r="E300" t="str">
        <f>計算表!E300</f>
        <v>基準值 = (a + a×b×(裝備等級-1)) × 稀有度倍率</v>
      </c>
      <c r="F300" t="str">
        <f>計算表!F300</f>
        <v>a=一級基準 b=每級成長係數 c=出現權重 d=最低稀有度 e=百分比。</v>
      </c>
      <c r="G300">
        <f>計算表!G300</f>
        <v>3</v>
      </c>
      <c r="H300">
        <f>計算表!H300</f>
        <v>1.2E-2</v>
      </c>
      <c r="I300">
        <f>計算表!I300</f>
        <v>6</v>
      </c>
      <c r="J300" t="str">
        <f>計算表!J300</f>
        <v>-</v>
      </c>
      <c r="K300" t="str">
        <f>計算表!K300</f>
        <v>是</v>
      </c>
      <c r="L300">
        <f>計算表!L300</f>
        <v>0</v>
      </c>
      <c r="M300">
        <f>計算表!M300</f>
        <v>0</v>
      </c>
      <c r="N300">
        <f>計算表!N300</f>
        <v>0</v>
      </c>
      <c r="O300">
        <f>計算表!O300</f>
        <v>0</v>
      </c>
      <c r="P300">
        <f>計算表!P300</f>
        <v>0</v>
      </c>
      <c r="Q300">
        <f>計算表!Q300</f>
        <v>0</v>
      </c>
      <c r="R300">
        <f>計算表!R300</f>
        <v>0</v>
      </c>
    </row>
    <row r="301" spans="1:18" x14ac:dyDescent="0.25">
      <c r="A301">
        <f>計算表!A301</f>
        <v>300</v>
      </c>
      <c r="B301" s="2">
        <f>計算表!B301</f>
        <v>0</v>
      </c>
      <c r="C301" t="str">
        <f>計算表!C301</f>
        <v>表-詞條池</v>
      </c>
      <c r="D301" t="str">
        <f>計算表!D301</f>
        <v>暴擊率%</v>
      </c>
      <c r="E301" t="str">
        <f>計算表!E301</f>
        <v>基準值 = (a + a×b×(裝備等級-1)) × 稀有度倍率</v>
      </c>
      <c r="F301" t="str">
        <f>計算表!F301</f>
        <v>a=一級基準 b=每級成長係數 c=出現權重 d=最低稀有度 e=百分比。</v>
      </c>
      <c r="G301">
        <f>計算表!G301</f>
        <v>2.5</v>
      </c>
      <c r="H301">
        <f>計算表!H301</f>
        <v>1.2E-2</v>
      </c>
      <c r="I301">
        <f>計算表!I301</f>
        <v>6</v>
      </c>
      <c r="J301" t="str">
        <f>計算表!J301</f>
        <v>-</v>
      </c>
      <c r="K301" t="str">
        <f>計算表!K301</f>
        <v>是</v>
      </c>
      <c r="L301">
        <f>計算表!L301</f>
        <v>0</v>
      </c>
      <c r="M301">
        <f>計算表!M301</f>
        <v>0</v>
      </c>
      <c r="N301">
        <f>計算表!N301</f>
        <v>0</v>
      </c>
      <c r="O301">
        <f>計算表!O301</f>
        <v>0</v>
      </c>
      <c r="P301">
        <f>計算表!P301</f>
        <v>0</v>
      </c>
      <c r="Q301">
        <f>計算表!Q301</f>
        <v>0</v>
      </c>
      <c r="R301">
        <f>計算表!R301</f>
        <v>0</v>
      </c>
    </row>
    <row r="302" spans="1:18" x14ac:dyDescent="0.25">
      <c r="A302">
        <f>計算表!A302</f>
        <v>301</v>
      </c>
      <c r="B302" s="2">
        <f>計算表!B302</f>
        <v>0</v>
      </c>
      <c r="C302" t="str">
        <f>計算表!C302</f>
        <v>表-詞條池</v>
      </c>
      <c r="D302" t="str">
        <f>計算表!D302</f>
        <v>暴擊傷害%</v>
      </c>
      <c r="E302" t="str">
        <f>計算表!E302</f>
        <v>基準值 = (a + a×b×(裝備等級-1)) × 稀有度倍率</v>
      </c>
      <c r="F302" t="str">
        <f>計算表!F302</f>
        <v>a=一級基準 b=每級成長係數 c=出現權重 d=最低稀有度 e=百分比。</v>
      </c>
      <c r="G302">
        <f>計算表!G302</f>
        <v>8</v>
      </c>
      <c r="H302">
        <f>計算表!H302</f>
        <v>0.05</v>
      </c>
      <c r="I302">
        <f>計算表!I302</f>
        <v>5</v>
      </c>
      <c r="J302" t="str">
        <f>計算表!J302</f>
        <v>-</v>
      </c>
      <c r="K302" t="str">
        <f>計算表!K302</f>
        <v>是</v>
      </c>
      <c r="L302">
        <f>計算表!L302</f>
        <v>0</v>
      </c>
      <c r="M302">
        <f>計算表!M302</f>
        <v>0</v>
      </c>
      <c r="N302">
        <f>計算表!N302</f>
        <v>0</v>
      </c>
      <c r="O302">
        <f>計算表!O302</f>
        <v>0</v>
      </c>
      <c r="P302">
        <f>計算表!P302</f>
        <v>0</v>
      </c>
      <c r="Q302">
        <f>計算表!Q302</f>
        <v>0</v>
      </c>
      <c r="R302">
        <f>計算表!R302</f>
        <v>0</v>
      </c>
    </row>
    <row r="303" spans="1:18" x14ac:dyDescent="0.25">
      <c r="A303">
        <f>計算表!A303</f>
        <v>302</v>
      </c>
      <c r="B303" s="2">
        <f>計算表!B303</f>
        <v>0</v>
      </c>
      <c r="C303" t="str">
        <f>計算表!C303</f>
        <v>表-詞條池</v>
      </c>
      <c r="D303" t="str">
        <f>計算表!D303</f>
        <v>物理穿透%</v>
      </c>
      <c r="E303" t="str">
        <f>計算表!E303</f>
        <v>基準值 = (a + a×b×(裝備等級-1)) × 稀有度倍率</v>
      </c>
      <c r="F303" t="str">
        <f>計算表!F303</f>
        <v>a=一級基準 b=每級成長係數 c=出現權重 d=最低稀有度 e=百分比。</v>
      </c>
      <c r="G303">
        <f>計算表!G303</f>
        <v>3</v>
      </c>
      <c r="H303">
        <f>計算表!H303</f>
        <v>1.4999999999999999E-2</v>
      </c>
      <c r="I303">
        <f>計算表!I303</f>
        <v>4</v>
      </c>
      <c r="J303" t="str">
        <f>計算表!J303</f>
        <v>精良</v>
      </c>
      <c r="K303" t="str">
        <f>計算表!K303</f>
        <v>是</v>
      </c>
      <c r="L303">
        <f>計算表!L303</f>
        <v>0</v>
      </c>
      <c r="M303">
        <f>計算表!M303</f>
        <v>0</v>
      </c>
      <c r="N303">
        <f>計算表!N303</f>
        <v>0</v>
      </c>
      <c r="O303">
        <f>計算表!O303</f>
        <v>0</v>
      </c>
      <c r="P303">
        <f>計算表!P303</f>
        <v>0</v>
      </c>
      <c r="Q303">
        <f>計算表!Q303</f>
        <v>0</v>
      </c>
      <c r="R303">
        <f>計算表!R303</f>
        <v>0</v>
      </c>
    </row>
    <row r="304" spans="1:18" x14ac:dyDescent="0.25">
      <c r="A304">
        <f>計算表!A304</f>
        <v>303</v>
      </c>
      <c r="B304" s="2">
        <f>計算表!B304</f>
        <v>0</v>
      </c>
      <c r="C304" t="str">
        <f>計算表!C304</f>
        <v>表-詞條池</v>
      </c>
      <c r="D304" t="str">
        <f>計算表!D304</f>
        <v>魔法穿透%</v>
      </c>
      <c r="E304" t="str">
        <f>計算表!E304</f>
        <v>基準值 = (a + a×b×(裝備等級-1)) × 稀有度倍率</v>
      </c>
      <c r="F304" t="str">
        <f>計算表!F304</f>
        <v>a=一級基準 b=每級成長係數 c=出現權重 d=最低稀有度 e=百分比。</v>
      </c>
      <c r="G304">
        <f>計算表!G304</f>
        <v>3</v>
      </c>
      <c r="H304">
        <f>計算表!H304</f>
        <v>1.4999999999999999E-2</v>
      </c>
      <c r="I304">
        <f>計算表!I304</f>
        <v>4</v>
      </c>
      <c r="J304" t="str">
        <f>計算表!J304</f>
        <v>精良</v>
      </c>
      <c r="K304" t="str">
        <f>計算表!K304</f>
        <v>是</v>
      </c>
      <c r="L304">
        <f>計算表!L304</f>
        <v>0</v>
      </c>
      <c r="M304">
        <f>計算表!M304</f>
        <v>0</v>
      </c>
      <c r="N304">
        <f>計算表!N304</f>
        <v>0</v>
      </c>
      <c r="O304">
        <f>計算表!O304</f>
        <v>0</v>
      </c>
      <c r="P304">
        <f>計算表!P304</f>
        <v>0</v>
      </c>
      <c r="Q304">
        <f>計算表!Q304</f>
        <v>0</v>
      </c>
      <c r="R304">
        <f>計算表!R304</f>
        <v>0</v>
      </c>
    </row>
    <row r="305" spans="1:18" x14ac:dyDescent="0.25">
      <c r="A305">
        <f>計算表!A305</f>
        <v>304</v>
      </c>
      <c r="B305" s="2">
        <f>計算表!B305</f>
        <v>0</v>
      </c>
      <c r="C305" t="str">
        <f>計算表!C305</f>
        <v>表-詞條池</v>
      </c>
      <c r="D305" t="str">
        <f>計算表!D305</f>
        <v>命中率%</v>
      </c>
      <c r="E305" t="str">
        <f>計算表!E305</f>
        <v>基準值 = (a + a×b×(裝備等級-1)) × 稀有度倍率</v>
      </c>
      <c r="F305" t="str">
        <f>計算表!F305</f>
        <v>a=一級基準 b=每級成長係數 c=出現權重 d=最低稀有度 e=百分比。</v>
      </c>
      <c r="G305">
        <f>計算表!G305</f>
        <v>3</v>
      </c>
      <c r="H305">
        <f>計算表!H305</f>
        <v>1.4999999999999999E-2</v>
      </c>
      <c r="I305">
        <f>計算表!I305</f>
        <v>5</v>
      </c>
      <c r="J305" t="str">
        <f>計算表!J305</f>
        <v>-</v>
      </c>
      <c r="K305" t="str">
        <f>計算表!K305</f>
        <v>是</v>
      </c>
      <c r="L305">
        <f>計算表!L305</f>
        <v>0</v>
      </c>
      <c r="M305">
        <f>計算表!M305</f>
        <v>0</v>
      </c>
      <c r="N305">
        <f>計算表!N305</f>
        <v>0</v>
      </c>
      <c r="O305">
        <f>計算表!O305</f>
        <v>0</v>
      </c>
      <c r="P305">
        <f>計算表!P305</f>
        <v>0</v>
      </c>
      <c r="Q305">
        <f>計算表!Q305</f>
        <v>0</v>
      </c>
      <c r="R305">
        <f>計算表!R305</f>
        <v>0</v>
      </c>
    </row>
    <row r="306" spans="1:18" x14ac:dyDescent="0.25">
      <c r="A306">
        <f>計算表!A306</f>
        <v>305</v>
      </c>
      <c r="B306" s="2">
        <f>計算表!B306</f>
        <v>0</v>
      </c>
      <c r="C306" t="str">
        <f>計算表!C306</f>
        <v>表-詞條池</v>
      </c>
      <c r="D306" t="str">
        <f>計算表!D306</f>
        <v>冷卻縮減%</v>
      </c>
      <c r="E306" t="str">
        <f>計算表!E306</f>
        <v>基準值 = (a + a×b×(裝備等級-1)) × 稀有度倍率</v>
      </c>
      <c r="F306" t="str">
        <f>計算表!F306</f>
        <v>a=一級基準 b=每級成長係數 c=出現權重 d=最低稀有度 e=百分比。</v>
      </c>
      <c r="G306">
        <f>計算表!G306</f>
        <v>2.5</v>
      </c>
      <c r="H306">
        <f>計算表!H306</f>
        <v>0.01</v>
      </c>
      <c r="I306">
        <f>計算表!I306</f>
        <v>4</v>
      </c>
      <c r="J306" t="str">
        <f>計算表!J306</f>
        <v>稀有</v>
      </c>
      <c r="K306" t="str">
        <f>計算表!K306</f>
        <v>是</v>
      </c>
      <c r="L306">
        <f>計算表!L306</f>
        <v>0</v>
      </c>
      <c r="M306">
        <f>計算表!M306</f>
        <v>0</v>
      </c>
      <c r="N306">
        <f>計算表!N306</f>
        <v>0</v>
      </c>
      <c r="O306">
        <f>計算表!O306</f>
        <v>0</v>
      </c>
      <c r="P306">
        <f>計算表!P306</f>
        <v>0</v>
      </c>
      <c r="Q306">
        <f>計算表!Q306</f>
        <v>0</v>
      </c>
      <c r="R306">
        <f>計算表!R306</f>
        <v>0</v>
      </c>
    </row>
    <row r="307" spans="1:18" x14ac:dyDescent="0.25">
      <c r="A307">
        <f>計算表!A307</f>
        <v>306</v>
      </c>
      <c r="B307" s="2">
        <f>計算表!B307</f>
        <v>0</v>
      </c>
      <c r="C307" t="str">
        <f>計算表!C307</f>
        <v>表-詞條池</v>
      </c>
      <c r="D307" t="str">
        <f>計算表!D307</f>
        <v>施法速度%</v>
      </c>
      <c r="E307" t="str">
        <f>計算表!E307</f>
        <v>基準值 = (a + a×b×(裝備等級-1)) × 稀有度倍率</v>
      </c>
      <c r="F307" t="str">
        <f>計算表!F307</f>
        <v>a=一級基準 b=每級成長係數 c=出現權重 d=最低稀有度 e=百分比。</v>
      </c>
      <c r="G307">
        <f>計算表!G307</f>
        <v>3</v>
      </c>
      <c r="H307">
        <f>計算表!H307</f>
        <v>1.2E-2</v>
      </c>
      <c r="I307">
        <f>計算表!I307</f>
        <v>4</v>
      </c>
      <c r="J307" t="str">
        <f>計算表!J307</f>
        <v>稀有</v>
      </c>
      <c r="K307" t="str">
        <f>計算表!K307</f>
        <v>是</v>
      </c>
      <c r="L307">
        <f>計算表!L307</f>
        <v>0</v>
      </c>
      <c r="M307">
        <f>計算表!M307</f>
        <v>0</v>
      </c>
      <c r="N307">
        <f>計算表!N307</f>
        <v>0</v>
      </c>
      <c r="O307">
        <f>計算表!O307</f>
        <v>0</v>
      </c>
      <c r="P307">
        <f>計算表!P307</f>
        <v>0</v>
      </c>
      <c r="Q307">
        <f>計算表!Q307</f>
        <v>0</v>
      </c>
      <c r="R307">
        <f>計算表!R307</f>
        <v>0</v>
      </c>
    </row>
    <row r="308" spans="1:18" x14ac:dyDescent="0.25">
      <c r="A308">
        <f>計算表!A308</f>
        <v>307</v>
      </c>
      <c r="B308" s="2">
        <f>計算表!B308</f>
        <v>0</v>
      </c>
      <c r="C308" t="str">
        <f>計算表!C308</f>
        <v>表-詞條池</v>
      </c>
      <c r="D308" t="str">
        <f>計算表!D308</f>
        <v>吸血%</v>
      </c>
      <c r="E308" t="str">
        <f>計算表!E308</f>
        <v>基準值 = (a + a×b×(裝備等級-1)) × 稀有度倍率</v>
      </c>
      <c r="F308" t="str">
        <f>計算表!F308</f>
        <v>a=一級基準 b=每級成長係數 c=出現權重 d=最低稀有度 e=百分比。</v>
      </c>
      <c r="G308">
        <f>計算表!G308</f>
        <v>1.5</v>
      </c>
      <c r="H308">
        <f>計算表!H308</f>
        <v>8.0000000000000002E-3</v>
      </c>
      <c r="I308">
        <f>計算表!I308</f>
        <v>4</v>
      </c>
      <c r="J308" t="str">
        <f>計算表!J308</f>
        <v>-</v>
      </c>
      <c r="K308" t="str">
        <f>計算表!K308</f>
        <v>是</v>
      </c>
      <c r="L308">
        <f>計算表!L308</f>
        <v>0</v>
      </c>
      <c r="M308">
        <f>計算表!M308</f>
        <v>0</v>
      </c>
      <c r="N308">
        <f>計算表!N308</f>
        <v>0</v>
      </c>
      <c r="O308">
        <f>計算表!O308</f>
        <v>0</v>
      </c>
      <c r="P308">
        <f>計算表!P308</f>
        <v>0</v>
      </c>
      <c r="Q308">
        <f>計算表!Q308</f>
        <v>0</v>
      </c>
      <c r="R308">
        <f>計算表!R308</f>
        <v>0</v>
      </c>
    </row>
    <row r="309" spans="1:18" x14ac:dyDescent="0.25">
      <c r="A309">
        <f>計算表!A309</f>
        <v>308</v>
      </c>
      <c r="B309" s="2">
        <f>計算表!B309</f>
        <v>0</v>
      </c>
      <c r="C309" t="str">
        <f>計算表!C309</f>
        <v>表-詞條池</v>
      </c>
      <c r="D309" t="str">
        <f>計算表!D309</f>
        <v>吸魔%</v>
      </c>
      <c r="E309" t="str">
        <f>計算表!E309</f>
        <v>基準值 = (a + a×b×(裝備等級-1)) × 稀有度倍率</v>
      </c>
      <c r="F309" t="str">
        <f>計算表!F309</f>
        <v>a=一級基準 b=每級成長係數 c=出現權重 d=最低稀有度 e=百分比。</v>
      </c>
      <c r="G309">
        <f>計算表!G309</f>
        <v>1.2</v>
      </c>
      <c r="H309">
        <f>計算表!H309</f>
        <v>6.0000000000000001E-3</v>
      </c>
      <c r="I309">
        <f>計算表!I309</f>
        <v>3</v>
      </c>
      <c r="J309" t="str">
        <f>計算表!J309</f>
        <v>稀有</v>
      </c>
      <c r="K309" t="str">
        <f>計算表!K309</f>
        <v>是</v>
      </c>
      <c r="L309">
        <f>計算表!L309</f>
        <v>0</v>
      </c>
      <c r="M309">
        <f>計算表!M309</f>
        <v>0</v>
      </c>
      <c r="N309">
        <f>計算表!N309</f>
        <v>0</v>
      </c>
      <c r="O309">
        <f>計算表!O309</f>
        <v>0</v>
      </c>
      <c r="P309">
        <f>計算表!P309</f>
        <v>0</v>
      </c>
      <c r="Q309">
        <f>計算表!Q309</f>
        <v>0</v>
      </c>
      <c r="R309">
        <f>計算表!R309</f>
        <v>0</v>
      </c>
    </row>
    <row r="310" spans="1:18" x14ac:dyDescent="0.25">
      <c r="A310">
        <f>計算表!A310</f>
        <v>309</v>
      </c>
      <c r="B310" s="2">
        <f>計算表!B310</f>
        <v>0</v>
      </c>
      <c r="C310" t="str">
        <f>計算表!C310</f>
        <v>表-詞條池</v>
      </c>
      <c r="D310" t="str">
        <f>計算表!D310</f>
        <v>對菁英傷害%</v>
      </c>
      <c r="E310" t="str">
        <f>計算表!E310</f>
        <v>基準值 = (a + a×b×(裝備等級-1)) × 稀有度倍率</v>
      </c>
      <c r="F310" t="str">
        <f>計算表!F310</f>
        <v>a=一級基準 b=每級成長係數 c=出現權重 d=最低稀有度 e=百分比。</v>
      </c>
      <c r="G310">
        <f>計算表!G310</f>
        <v>4</v>
      </c>
      <c r="H310">
        <f>計算表!H310</f>
        <v>0.02</v>
      </c>
      <c r="I310">
        <f>計算表!I310</f>
        <v>4</v>
      </c>
      <c r="J310" t="str">
        <f>計算表!J310</f>
        <v>稀有</v>
      </c>
      <c r="K310" t="str">
        <f>計算表!K310</f>
        <v>是</v>
      </c>
      <c r="L310">
        <f>計算表!L310</f>
        <v>0</v>
      </c>
      <c r="M310">
        <f>計算表!M310</f>
        <v>0</v>
      </c>
      <c r="N310">
        <f>計算表!N310</f>
        <v>0</v>
      </c>
      <c r="O310">
        <f>計算表!O310</f>
        <v>0</v>
      </c>
      <c r="P310">
        <f>計算表!P310</f>
        <v>0</v>
      </c>
      <c r="Q310">
        <f>計算表!Q310</f>
        <v>0</v>
      </c>
      <c r="R310">
        <f>計算表!R310</f>
        <v>0</v>
      </c>
    </row>
    <row r="311" spans="1:18" x14ac:dyDescent="0.25">
      <c r="A311">
        <f>計算表!A311</f>
        <v>310</v>
      </c>
      <c r="B311" s="2">
        <f>計算表!B311</f>
        <v>0</v>
      </c>
      <c r="C311" t="str">
        <f>計算表!C311</f>
        <v>表-詞條池</v>
      </c>
      <c r="D311" t="str">
        <f>計算表!D311</f>
        <v>對BOSS傷害%</v>
      </c>
      <c r="E311" t="str">
        <f>計算表!E311</f>
        <v>基準值 = (a + a×b×(裝備等級-1)) × 稀有度倍率</v>
      </c>
      <c r="F311" t="str">
        <f>計算表!F311</f>
        <v>a=一級基準 b=每級成長係數 c=出現權重 d=最低稀有度 e=百分比。</v>
      </c>
      <c r="G311">
        <f>計算表!G311</f>
        <v>4</v>
      </c>
      <c r="H311">
        <f>計算表!H311</f>
        <v>0.02</v>
      </c>
      <c r="I311">
        <f>計算表!I311</f>
        <v>4</v>
      </c>
      <c r="J311" t="str">
        <f>計算表!J311</f>
        <v>稀有</v>
      </c>
      <c r="K311" t="str">
        <f>計算表!K311</f>
        <v>是</v>
      </c>
      <c r="L311">
        <f>計算表!L311</f>
        <v>0</v>
      </c>
      <c r="M311">
        <f>計算表!M311</f>
        <v>0</v>
      </c>
      <c r="N311">
        <f>計算表!N311</f>
        <v>0</v>
      </c>
      <c r="O311">
        <f>計算表!O311</f>
        <v>0</v>
      </c>
      <c r="P311">
        <f>計算表!P311</f>
        <v>0</v>
      </c>
      <c r="Q311">
        <f>計算表!Q311</f>
        <v>0</v>
      </c>
      <c r="R311">
        <f>計算表!R311</f>
        <v>0</v>
      </c>
    </row>
    <row r="312" spans="1:18" x14ac:dyDescent="0.25">
      <c r="A312">
        <f>計算表!A312</f>
        <v>311</v>
      </c>
      <c r="B312" s="2">
        <f>計算表!B312</f>
        <v>0</v>
      </c>
      <c r="C312" t="str">
        <f>計算表!C312</f>
        <v>表-詞條池</v>
      </c>
      <c r="D312" t="str">
        <f>計算表!D312</f>
        <v>範圍傷害%</v>
      </c>
      <c r="E312" t="str">
        <f>計算表!E312</f>
        <v>基準值 = (a + a×b×(裝備等級-1)) × 稀有度倍率</v>
      </c>
      <c r="F312" t="str">
        <f>計算表!F312</f>
        <v>a=一級基準 b=每級成長係數 c=出現權重 d=最低稀有度 e=百分比。</v>
      </c>
      <c r="G312">
        <f>計算表!G312</f>
        <v>4</v>
      </c>
      <c r="H312">
        <f>計算表!H312</f>
        <v>0.02</v>
      </c>
      <c r="I312">
        <f>計算表!I312</f>
        <v>4</v>
      </c>
      <c r="J312" t="str">
        <f>計算表!J312</f>
        <v>稀有</v>
      </c>
      <c r="K312" t="str">
        <f>計算表!K312</f>
        <v>是</v>
      </c>
      <c r="L312">
        <f>計算表!L312</f>
        <v>0</v>
      </c>
      <c r="M312">
        <f>計算表!M312</f>
        <v>0</v>
      </c>
      <c r="N312">
        <f>計算表!N312</f>
        <v>0</v>
      </c>
      <c r="O312">
        <f>計算表!O312</f>
        <v>0</v>
      </c>
      <c r="P312">
        <f>計算表!P312</f>
        <v>0</v>
      </c>
      <c r="Q312">
        <f>計算表!Q312</f>
        <v>0</v>
      </c>
      <c r="R312">
        <f>計算表!R312</f>
        <v>0</v>
      </c>
    </row>
    <row r="313" spans="1:18" x14ac:dyDescent="0.25">
      <c r="A313">
        <f>計算表!A313</f>
        <v>312</v>
      </c>
      <c r="B313" s="2">
        <f>計算表!B313</f>
        <v>0</v>
      </c>
      <c r="C313" t="str">
        <f>計算表!C313</f>
        <v>表-詞條池</v>
      </c>
      <c r="D313" t="str">
        <f>計算表!D313</f>
        <v>格擋率%</v>
      </c>
      <c r="E313" t="str">
        <f>計算表!E313</f>
        <v>基準值 = (a + a×b×(裝備等級-1)) × 稀有度倍率</v>
      </c>
      <c r="F313" t="str">
        <f>計算表!F313</f>
        <v>a=一級基準 b=每級成長係數 c=出現權重 d=最低稀有度 e=百分比。</v>
      </c>
      <c r="G313">
        <f>計算表!G313</f>
        <v>2.5</v>
      </c>
      <c r="H313">
        <f>計算表!H313</f>
        <v>1.2E-2</v>
      </c>
      <c r="I313">
        <f>計算表!I313</f>
        <v>4</v>
      </c>
      <c r="J313" t="str">
        <f>計算表!J313</f>
        <v>-</v>
      </c>
      <c r="K313" t="str">
        <f>計算表!K313</f>
        <v>是</v>
      </c>
      <c r="L313">
        <f>計算表!L313</f>
        <v>0</v>
      </c>
      <c r="M313">
        <f>計算表!M313</f>
        <v>0</v>
      </c>
      <c r="N313">
        <f>計算表!N313</f>
        <v>0</v>
      </c>
      <c r="O313">
        <f>計算表!O313</f>
        <v>0</v>
      </c>
      <c r="P313">
        <f>計算表!P313</f>
        <v>0</v>
      </c>
      <c r="Q313">
        <f>計算表!Q313</f>
        <v>0</v>
      </c>
      <c r="R313">
        <f>計算表!R313</f>
        <v>0</v>
      </c>
    </row>
    <row r="314" spans="1:18" x14ac:dyDescent="0.25">
      <c r="A314">
        <f>計算表!A314</f>
        <v>313</v>
      </c>
      <c r="B314" s="2">
        <f>計算表!B314</f>
        <v>0</v>
      </c>
      <c r="C314" t="str">
        <f>計算表!C314</f>
        <v>表-詞條池</v>
      </c>
      <c r="D314" t="str">
        <f>計算表!D314</f>
        <v>格擋減傷%</v>
      </c>
      <c r="E314" t="str">
        <f>計算表!E314</f>
        <v>基準值 = (a + a×b×(裝備等級-1)) × 稀有度倍率</v>
      </c>
      <c r="F314" t="str">
        <f>計算表!F314</f>
        <v>a=一級基準 b=每級成長係數 c=出現權重 d=最低稀有度 e=百分比。</v>
      </c>
      <c r="G314">
        <f>計算表!G314</f>
        <v>4</v>
      </c>
      <c r="H314">
        <f>計算表!H314</f>
        <v>0.02</v>
      </c>
      <c r="I314">
        <f>計算表!I314</f>
        <v>3</v>
      </c>
      <c r="J314" t="str">
        <f>計算表!J314</f>
        <v>稀有</v>
      </c>
      <c r="K314" t="str">
        <f>計算表!K314</f>
        <v>是</v>
      </c>
      <c r="L314">
        <f>計算表!L314</f>
        <v>0</v>
      </c>
      <c r="M314">
        <f>計算表!M314</f>
        <v>0</v>
      </c>
      <c r="N314">
        <f>計算表!N314</f>
        <v>0</v>
      </c>
      <c r="O314">
        <f>計算表!O314</f>
        <v>0</v>
      </c>
      <c r="P314">
        <f>計算表!P314</f>
        <v>0</v>
      </c>
      <c r="Q314">
        <f>計算表!Q314</f>
        <v>0</v>
      </c>
      <c r="R314">
        <f>計算表!R314</f>
        <v>0</v>
      </c>
    </row>
    <row r="315" spans="1:18" x14ac:dyDescent="0.25">
      <c r="A315">
        <f>計算表!A315</f>
        <v>314</v>
      </c>
      <c r="B315" s="2">
        <f>計算表!B315</f>
        <v>0</v>
      </c>
      <c r="C315" t="str">
        <f>計算表!C315</f>
        <v>表-詞條池</v>
      </c>
      <c r="D315" t="str">
        <f>計算表!D315</f>
        <v>閃避率%</v>
      </c>
      <c r="E315" t="str">
        <f>計算表!E315</f>
        <v>基準值 = (a + a×b×(裝備等級-1)) × 稀有度倍率</v>
      </c>
      <c r="F315" t="str">
        <f>計算表!F315</f>
        <v>a=一級基準 b=每級成長係數 c=出現權重 d=最低稀有度 e=百分比。</v>
      </c>
      <c r="G315">
        <f>計算表!G315</f>
        <v>2</v>
      </c>
      <c r="H315">
        <f>計算表!H315</f>
        <v>0.01</v>
      </c>
      <c r="I315">
        <f>計算表!I315</f>
        <v>4</v>
      </c>
      <c r="J315" t="str">
        <f>計算表!J315</f>
        <v>-</v>
      </c>
      <c r="K315" t="str">
        <f>計算表!K315</f>
        <v>是</v>
      </c>
      <c r="L315">
        <f>計算表!L315</f>
        <v>0</v>
      </c>
      <c r="M315">
        <f>計算表!M315</f>
        <v>0</v>
      </c>
      <c r="N315">
        <f>計算表!N315</f>
        <v>0</v>
      </c>
      <c r="O315">
        <f>計算表!O315</f>
        <v>0</v>
      </c>
      <c r="P315">
        <f>計算表!P315</f>
        <v>0</v>
      </c>
      <c r="Q315">
        <f>計算表!Q315</f>
        <v>0</v>
      </c>
      <c r="R315">
        <f>計算表!R315</f>
        <v>0</v>
      </c>
    </row>
    <row r="316" spans="1:18" x14ac:dyDescent="0.25">
      <c r="A316">
        <f>計算表!A316</f>
        <v>315</v>
      </c>
      <c r="B316" s="2">
        <f>計算表!B316</f>
        <v>0</v>
      </c>
      <c r="C316" t="str">
        <f>計算表!C316</f>
        <v>表-詞條池</v>
      </c>
      <c r="D316" t="str">
        <f>計算表!D316</f>
        <v>韌性%</v>
      </c>
      <c r="E316" t="str">
        <f>計算表!E316</f>
        <v>基準值 = (a + a×b×(裝備等級-1)) × 稀有度倍率</v>
      </c>
      <c r="F316" t="str">
        <f>計算表!F316</f>
        <v>a=一級基準 b=每級成長係數 c=出現權重 d=最低稀有度 e=百分比。</v>
      </c>
      <c r="G316">
        <f>計算表!G316</f>
        <v>4</v>
      </c>
      <c r="H316">
        <f>計算表!H316</f>
        <v>0.02</v>
      </c>
      <c r="I316">
        <f>計算表!I316</f>
        <v>3</v>
      </c>
      <c r="J316" t="str">
        <f>計算表!J316</f>
        <v>稀有</v>
      </c>
      <c r="K316" t="str">
        <f>計算表!K316</f>
        <v>是</v>
      </c>
      <c r="L316">
        <f>計算表!L316</f>
        <v>0</v>
      </c>
      <c r="M316">
        <f>計算表!M316</f>
        <v>0</v>
      </c>
      <c r="N316">
        <f>計算表!N316</f>
        <v>0</v>
      </c>
      <c r="O316">
        <f>計算表!O316</f>
        <v>0</v>
      </c>
      <c r="P316">
        <f>計算表!P316</f>
        <v>0</v>
      </c>
      <c r="Q316">
        <f>計算表!Q316</f>
        <v>0</v>
      </c>
      <c r="R316">
        <f>計算表!R316</f>
        <v>0</v>
      </c>
    </row>
    <row r="317" spans="1:18" x14ac:dyDescent="0.25">
      <c r="A317">
        <f>計算表!A317</f>
        <v>316</v>
      </c>
      <c r="B317" s="2">
        <f>計算表!B317</f>
        <v>0</v>
      </c>
      <c r="C317" t="str">
        <f>計算表!C317</f>
        <v>表-詞條池</v>
      </c>
      <c r="D317" t="str">
        <f>計算表!D317</f>
        <v>護盾效率%</v>
      </c>
      <c r="E317" t="str">
        <f>計算表!E317</f>
        <v>基準值 = (a + a×b×(裝備等級-1)) × 稀有度倍率</v>
      </c>
      <c r="F317" t="str">
        <f>計算表!F317</f>
        <v>a=一級基準 b=每級成長係數 c=出現權重 d=最低稀有度 e=百分比。</v>
      </c>
      <c r="G317">
        <f>計算表!G317</f>
        <v>5</v>
      </c>
      <c r="H317">
        <f>計算表!H317</f>
        <v>2.5000000000000001E-2</v>
      </c>
      <c r="I317">
        <f>計算表!I317</f>
        <v>3</v>
      </c>
      <c r="J317" t="str">
        <f>計算表!J317</f>
        <v>獨特</v>
      </c>
      <c r="K317" t="str">
        <f>計算表!K317</f>
        <v>是</v>
      </c>
      <c r="L317">
        <f>計算表!L317</f>
        <v>0</v>
      </c>
      <c r="M317">
        <f>計算表!M317</f>
        <v>0</v>
      </c>
      <c r="N317">
        <f>計算表!N317</f>
        <v>0</v>
      </c>
      <c r="O317">
        <f>計算表!O317</f>
        <v>0</v>
      </c>
      <c r="P317">
        <f>計算表!P317</f>
        <v>0</v>
      </c>
      <c r="Q317">
        <f>計算表!Q317</f>
        <v>0</v>
      </c>
      <c r="R317">
        <f>計算表!R317</f>
        <v>0</v>
      </c>
    </row>
    <row r="318" spans="1:18" x14ac:dyDescent="0.25">
      <c r="A318">
        <f>計算表!A318</f>
        <v>317</v>
      </c>
      <c r="B318" s="2">
        <f>計算表!B318</f>
        <v>0</v>
      </c>
      <c r="C318" t="str">
        <f>計算表!C318</f>
        <v>表-詞條池</v>
      </c>
      <c r="D318" t="str">
        <f>計算表!D318</f>
        <v>物理抗性%</v>
      </c>
      <c r="E318" t="str">
        <f>計算表!E318</f>
        <v>基準值 = (a + a×b×(裝備等級-1)) × 稀有度倍率</v>
      </c>
      <c r="F318" t="str">
        <f>計算表!F318</f>
        <v>a=一級基準 b=每級成長係數 c=出現權重 d=最低稀有度 e=百分比。</v>
      </c>
      <c r="G318">
        <f>計算表!G318</f>
        <v>2</v>
      </c>
      <c r="H318">
        <f>計算表!H318</f>
        <v>8.0000000000000002E-3</v>
      </c>
      <c r="I318">
        <f>計算表!I318</f>
        <v>3</v>
      </c>
      <c r="J318" t="str">
        <f>計算表!J318</f>
        <v>獨特</v>
      </c>
      <c r="K318" t="str">
        <f>計算表!K318</f>
        <v>是</v>
      </c>
      <c r="L318">
        <f>計算表!L318</f>
        <v>0</v>
      </c>
      <c r="M318">
        <f>計算表!M318</f>
        <v>0</v>
      </c>
      <c r="N318">
        <f>計算表!N318</f>
        <v>0</v>
      </c>
      <c r="O318">
        <f>計算表!O318</f>
        <v>0</v>
      </c>
      <c r="P318">
        <f>計算表!P318</f>
        <v>0</v>
      </c>
      <c r="Q318">
        <f>計算表!Q318</f>
        <v>0</v>
      </c>
      <c r="R318">
        <f>計算表!R318</f>
        <v>0</v>
      </c>
    </row>
    <row r="319" spans="1:18" x14ac:dyDescent="0.25">
      <c r="A319">
        <f>計算表!A319</f>
        <v>318</v>
      </c>
      <c r="B319" s="2">
        <f>計算表!B319</f>
        <v>0</v>
      </c>
      <c r="C319" t="str">
        <f>計算表!C319</f>
        <v>表-詞條池</v>
      </c>
      <c r="D319" t="str">
        <f>計算表!D319</f>
        <v>魔法抗性%</v>
      </c>
      <c r="E319" t="str">
        <f>計算表!E319</f>
        <v>基準值 = (a + a×b×(裝備等級-1)) × 稀有度倍率</v>
      </c>
      <c r="F319" t="str">
        <f>計算表!F319</f>
        <v>a=一級基準 b=每級成長係數 c=出現權重 d=最低稀有度 e=百分比。</v>
      </c>
      <c r="G319">
        <f>計算表!G319</f>
        <v>2</v>
      </c>
      <c r="H319">
        <f>計算表!H319</f>
        <v>8.0000000000000002E-3</v>
      </c>
      <c r="I319">
        <f>計算表!I319</f>
        <v>3</v>
      </c>
      <c r="J319" t="str">
        <f>計算表!J319</f>
        <v>獨特</v>
      </c>
      <c r="K319" t="str">
        <f>計算表!K319</f>
        <v>是</v>
      </c>
      <c r="L319">
        <f>計算表!L319</f>
        <v>0</v>
      </c>
      <c r="M319">
        <f>計算表!M319</f>
        <v>0</v>
      </c>
      <c r="N319">
        <f>計算表!N319</f>
        <v>0</v>
      </c>
      <c r="O319">
        <f>計算表!O319</f>
        <v>0</v>
      </c>
      <c r="P319">
        <f>計算表!P319</f>
        <v>0</v>
      </c>
      <c r="Q319">
        <f>計算表!Q319</f>
        <v>0</v>
      </c>
      <c r="R319">
        <f>計算表!R319</f>
        <v>0</v>
      </c>
    </row>
    <row r="320" spans="1:18" x14ac:dyDescent="0.25">
      <c r="A320">
        <f>計算表!A320</f>
        <v>319</v>
      </c>
      <c r="B320" s="2">
        <f>計算表!B320</f>
        <v>0</v>
      </c>
      <c r="C320" t="str">
        <f>計算表!C320</f>
        <v>表-詞條池</v>
      </c>
      <c r="D320" t="str">
        <f>計算表!D320</f>
        <v>火焰抗性%</v>
      </c>
      <c r="E320" t="str">
        <f>計算表!E320</f>
        <v>基準值 = (a + a×b×(裝備等級-1)) × 稀有度倍率</v>
      </c>
      <c r="F320" t="str">
        <f>計算表!F320</f>
        <v>a=一級基準 b=每級成長係數 c=出現權重 d=最低稀有度 e=百分比。</v>
      </c>
      <c r="G320">
        <f>計算表!G320</f>
        <v>4</v>
      </c>
      <c r="H320">
        <f>計算表!H320</f>
        <v>0.02</v>
      </c>
      <c r="I320">
        <f>計算表!I320</f>
        <v>3</v>
      </c>
      <c r="J320" t="str">
        <f>計算表!J320</f>
        <v>精良</v>
      </c>
      <c r="K320" t="str">
        <f>計算表!K320</f>
        <v>是</v>
      </c>
      <c r="L320">
        <f>計算表!L320</f>
        <v>0</v>
      </c>
      <c r="M320">
        <f>計算表!M320</f>
        <v>0</v>
      </c>
      <c r="N320">
        <f>計算表!N320</f>
        <v>0</v>
      </c>
      <c r="O320">
        <f>計算表!O320</f>
        <v>0</v>
      </c>
      <c r="P320">
        <f>計算表!P320</f>
        <v>0</v>
      </c>
      <c r="Q320">
        <f>計算表!Q320</f>
        <v>0</v>
      </c>
      <c r="R320">
        <f>計算表!R320</f>
        <v>0</v>
      </c>
    </row>
    <row r="321" spans="1:18" x14ac:dyDescent="0.25">
      <c r="A321">
        <f>計算表!A321</f>
        <v>320</v>
      </c>
      <c r="B321" s="2">
        <f>計算表!B321</f>
        <v>0</v>
      </c>
      <c r="C321" t="str">
        <f>計算表!C321</f>
        <v>表-詞條池</v>
      </c>
      <c r="D321" t="str">
        <f>計算表!D321</f>
        <v>冰霜抗性%</v>
      </c>
      <c r="E321" t="str">
        <f>計算表!E321</f>
        <v>基準值 = (a + a×b×(裝備等級-1)) × 稀有度倍率</v>
      </c>
      <c r="F321" t="str">
        <f>計算表!F321</f>
        <v>a=一級基準 b=每級成長係數 c=出現權重 d=最低稀有度 e=百分比。</v>
      </c>
      <c r="G321">
        <f>計算表!G321</f>
        <v>4</v>
      </c>
      <c r="H321">
        <f>計算表!H321</f>
        <v>0.02</v>
      </c>
      <c r="I321">
        <f>計算表!I321</f>
        <v>3</v>
      </c>
      <c r="J321" t="str">
        <f>計算表!J321</f>
        <v>精良</v>
      </c>
      <c r="K321" t="str">
        <f>計算表!K321</f>
        <v>是</v>
      </c>
      <c r="L321">
        <f>計算表!L321</f>
        <v>0</v>
      </c>
      <c r="M321">
        <f>計算表!M321</f>
        <v>0</v>
      </c>
      <c r="N321">
        <f>計算表!N321</f>
        <v>0</v>
      </c>
      <c r="O321">
        <f>計算表!O321</f>
        <v>0</v>
      </c>
      <c r="P321">
        <f>計算表!P321</f>
        <v>0</v>
      </c>
      <c r="Q321">
        <f>計算表!Q321</f>
        <v>0</v>
      </c>
      <c r="R321">
        <f>計算表!R321</f>
        <v>0</v>
      </c>
    </row>
    <row r="322" spans="1:18" x14ac:dyDescent="0.25">
      <c r="A322">
        <f>計算表!A322</f>
        <v>321</v>
      </c>
      <c r="B322" s="2">
        <f>計算表!B322</f>
        <v>0</v>
      </c>
      <c r="C322" t="str">
        <f>計算表!C322</f>
        <v>表-詞條池</v>
      </c>
      <c r="D322" t="str">
        <f>計算表!D322</f>
        <v>雷電抗性%</v>
      </c>
      <c r="E322" t="str">
        <f>計算表!E322</f>
        <v>基準值 = (a + a×b×(裝備等級-1)) × 稀有度倍率</v>
      </c>
      <c r="F322" t="str">
        <f>計算表!F322</f>
        <v>a=一級基準 b=每級成長係數 c=出現權重 d=最低稀有度 e=百分比。</v>
      </c>
      <c r="G322">
        <f>計算表!G322</f>
        <v>4</v>
      </c>
      <c r="H322">
        <f>計算表!H322</f>
        <v>0.02</v>
      </c>
      <c r="I322">
        <f>計算表!I322</f>
        <v>3</v>
      </c>
      <c r="J322" t="str">
        <f>計算表!J322</f>
        <v>精良</v>
      </c>
      <c r="K322" t="str">
        <f>計算表!K322</f>
        <v>是</v>
      </c>
      <c r="L322">
        <f>計算表!L322</f>
        <v>0</v>
      </c>
      <c r="M322">
        <f>計算表!M322</f>
        <v>0</v>
      </c>
      <c r="N322">
        <f>計算表!N322</f>
        <v>0</v>
      </c>
      <c r="O322">
        <f>計算表!O322</f>
        <v>0</v>
      </c>
      <c r="P322">
        <f>計算表!P322</f>
        <v>0</v>
      </c>
      <c r="Q322">
        <f>計算表!Q322</f>
        <v>0</v>
      </c>
      <c r="R322">
        <f>計算表!R322</f>
        <v>0</v>
      </c>
    </row>
    <row r="323" spans="1:18" x14ac:dyDescent="0.25">
      <c r="A323">
        <f>計算表!A323</f>
        <v>322</v>
      </c>
      <c r="B323" s="2">
        <f>計算表!B323</f>
        <v>0</v>
      </c>
      <c r="C323" t="str">
        <f>計算表!C323</f>
        <v>表-詞條池</v>
      </c>
      <c r="D323" t="str">
        <f>計算表!D323</f>
        <v>劇毒抗性%</v>
      </c>
      <c r="E323" t="str">
        <f>計算表!E323</f>
        <v>基準值 = (a + a×b×(裝備等級-1)) × 稀有度倍率</v>
      </c>
      <c r="F323" t="str">
        <f>計算表!F323</f>
        <v>a=一級基準 b=每級成長係數 c=出現權重 d=最低稀有度 e=百分比。</v>
      </c>
      <c r="G323">
        <f>計算表!G323</f>
        <v>4</v>
      </c>
      <c r="H323">
        <f>計算表!H323</f>
        <v>0.02</v>
      </c>
      <c r="I323">
        <f>計算表!I323</f>
        <v>3</v>
      </c>
      <c r="J323" t="str">
        <f>計算表!J323</f>
        <v>精良</v>
      </c>
      <c r="K323" t="str">
        <f>計算表!K323</f>
        <v>是</v>
      </c>
      <c r="L323">
        <f>計算表!L323</f>
        <v>0</v>
      </c>
      <c r="M323">
        <f>計算表!M323</f>
        <v>0</v>
      </c>
      <c r="N323">
        <f>計算表!N323</f>
        <v>0</v>
      </c>
      <c r="O323">
        <f>計算表!O323</f>
        <v>0</v>
      </c>
      <c r="P323">
        <f>計算表!P323</f>
        <v>0</v>
      </c>
      <c r="Q323">
        <f>計算表!Q323</f>
        <v>0</v>
      </c>
      <c r="R323">
        <f>計算表!R323</f>
        <v>0</v>
      </c>
    </row>
    <row r="324" spans="1:18" x14ac:dyDescent="0.25">
      <c r="A324">
        <f>計算表!A324</f>
        <v>323</v>
      </c>
      <c r="B324" s="2">
        <f>計算表!B324</f>
        <v>0</v>
      </c>
      <c r="C324" t="str">
        <f>計算表!C324</f>
        <v>表-詞條池</v>
      </c>
      <c r="D324" t="str">
        <f>計算表!D324</f>
        <v>聖光抗性%</v>
      </c>
      <c r="E324" t="str">
        <f>計算表!E324</f>
        <v>基準值 = (a + a×b×(裝備等級-1)) × 稀有度倍率</v>
      </c>
      <c r="F324" t="str">
        <f>計算表!F324</f>
        <v>a=一級基準 b=每級成長係數 c=出現權重 d=最低稀有度 e=百分比。</v>
      </c>
      <c r="G324">
        <f>計算表!G324</f>
        <v>4</v>
      </c>
      <c r="H324">
        <f>計算表!H324</f>
        <v>0.02</v>
      </c>
      <c r="I324">
        <f>計算表!I324</f>
        <v>3</v>
      </c>
      <c r="J324" t="str">
        <f>計算表!J324</f>
        <v>精良</v>
      </c>
      <c r="K324" t="str">
        <f>計算表!K324</f>
        <v>是</v>
      </c>
      <c r="L324">
        <f>計算表!L324</f>
        <v>0</v>
      </c>
      <c r="M324">
        <f>計算表!M324</f>
        <v>0</v>
      </c>
      <c r="N324">
        <f>計算表!N324</f>
        <v>0</v>
      </c>
      <c r="O324">
        <f>計算表!O324</f>
        <v>0</v>
      </c>
      <c r="P324">
        <f>計算表!P324</f>
        <v>0</v>
      </c>
      <c r="Q324">
        <f>計算表!Q324</f>
        <v>0</v>
      </c>
      <c r="R324">
        <f>計算表!R324</f>
        <v>0</v>
      </c>
    </row>
    <row r="325" spans="1:18" x14ac:dyDescent="0.25">
      <c r="A325">
        <f>計算表!A325</f>
        <v>324</v>
      </c>
      <c r="B325" s="2">
        <f>計算表!B325</f>
        <v>0</v>
      </c>
      <c r="C325" t="str">
        <f>計算表!C325</f>
        <v>表-詞條池</v>
      </c>
      <c r="D325" t="str">
        <f>計算表!D325</f>
        <v>暗影抗性%</v>
      </c>
      <c r="E325" t="str">
        <f>計算表!E325</f>
        <v>基準值 = (a + a×b×(裝備等級-1)) × 稀有度倍率</v>
      </c>
      <c r="F325" t="str">
        <f>計算表!F325</f>
        <v>a=一級基準 b=每級成長係數 c=出現權重 d=最低稀有度 e=百分比。</v>
      </c>
      <c r="G325">
        <f>計算表!G325</f>
        <v>4</v>
      </c>
      <c r="H325">
        <f>計算表!H325</f>
        <v>0.02</v>
      </c>
      <c r="I325">
        <f>計算表!I325</f>
        <v>3</v>
      </c>
      <c r="J325" t="str">
        <f>計算表!J325</f>
        <v>精良</v>
      </c>
      <c r="K325" t="str">
        <f>計算表!K325</f>
        <v>是</v>
      </c>
      <c r="L325">
        <f>計算表!L325</f>
        <v>0</v>
      </c>
      <c r="M325">
        <f>計算表!M325</f>
        <v>0</v>
      </c>
      <c r="N325">
        <f>計算表!N325</f>
        <v>0</v>
      </c>
      <c r="O325">
        <f>計算表!O325</f>
        <v>0</v>
      </c>
      <c r="P325">
        <f>計算表!P325</f>
        <v>0</v>
      </c>
      <c r="Q325">
        <f>計算表!Q325</f>
        <v>0</v>
      </c>
      <c r="R325">
        <f>計算表!R325</f>
        <v>0</v>
      </c>
    </row>
    <row r="326" spans="1:18" x14ac:dyDescent="0.25">
      <c r="A326">
        <f>計算表!A326</f>
        <v>325</v>
      </c>
      <c r="B326" s="2">
        <f>計算表!B326</f>
        <v>0</v>
      </c>
      <c r="C326" t="str">
        <f>計算表!C326</f>
        <v>表-詞條池</v>
      </c>
      <c r="D326" t="str">
        <f>計算表!D326</f>
        <v>控制時間縮減%</v>
      </c>
      <c r="E326" t="str">
        <f>計算表!E326</f>
        <v>基準值 = (a + a×b×(裝備等級-1)) × 稀有度倍率</v>
      </c>
      <c r="F326" t="str">
        <f>計算表!F326</f>
        <v>a=一級基準 b=每級成長係數 c=出現權重 d=最低稀有度 e=百分比。</v>
      </c>
      <c r="G326">
        <f>計算表!G326</f>
        <v>4</v>
      </c>
      <c r="H326">
        <f>計算表!H326</f>
        <v>0.02</v>
      </c>
      <c r="I326">
        <f>計算表!I326</f>
        <v>3</v>
      </c>
      <c r="J326" t="str">
        <f>計算表!J326</f>
        <v>獨特</v>
      </c>
      <c r="K326" t="str">
        <f>計算表!K326</f>
        <v>是</v>
      </c>
      <c r="L326">
        <f>計算表!L326</f>
        <v>0</v>
      </c>
      <c r="M326">
        <f>計算表!M326</f>
        <v>0</v>
      </c>
      <c r="N326">
        <f>計算表!N326</f>
        <v>0</v>
      </c>
      <c r="O326">
        <f>計算表!O326</f>
        <v>0</v>
      </c>
      <c r="P326">
        <f>計算表!P326</f>
        <v>0</v>
      </c>
      <c r="Q326">
        <f>計算表!Q326</f>
        <v>0</v>
      </c>
      <c r="R326">
        <f>計算表!R326</f>
        <v>0</v>
      </c>
    </row>
    <row r="327" spans="1:18" x14ac:dyDescent="0.25">
      <c r="A327">
        <f>計算表!A327</f>
        <v>326</v>
      </c>
      <c r="B327" s="2">
        <f>計算表!B327</f>
        <v>0</v>
      </c>
      <c r="C327" t="str">
        <f>計算表!C327</f>
        <v>表-詞條池</v>
      </c>
      <c r="D327" t="str">
        <f>計算表!D327</f>
        <v>移動速度%</v>
      </c>
      <c r="E327" t="str">
        <f>計算表!E327</f>
        <v>基準值 = (a + a×b×(裝備等級-1)) × 稀有度倍率</v>
      </c>
      <c r="F327" t="str">
        <f>計算表!F327</f>
        <v>a=一級基準 b=每級成長係數 c=出現權重 d=最低稀有度 e=百分比。</v>
      </c>
      <c r="G327">
        <f>計算表!G327</f>
        <v>3</v>
      </c>
      <c r="H327">
        <f>計算表!H327</f>
        <v>1.2E-2</v>
      </c>
      <c r="I327">
        <f>計算表!I327</f>
        <v>4</v>
      </c>
      <c r="J327" t="str">
        <f>計算表!J327</f>
        <v>-</v>
      </c>
      <c r="K327" t="str">
        <f>計算表!K327</f>
        <v>是</v>
      </c>
      <c r="L327">
        <f>計算表!L327</f>
        <v>0</v>
      </c>
      <c r="M327">
        <f>計算表!M327</f>
        <v>0</v>
      </c>
      <c r="N327">
        <f>計算表!N327</f>
        <v>0</v>
      </c>
      <c r="O327">
        <f>計算表!O327</f>
        <v>0</v>
      </c>
      <c r="P327">
        <f>計算表!P327</f>
        <v>0</v>
      </c>
      <c r="Q327">
        <f>計算表!Q327</f>
        <v>0</v>
      </c>
      <c r="R327">
        <f>計算表!R327</f>
        <v>0</v>
      </c>
    </row>
    <row r="328" spans="1:18" x14ac:dyDescent="0.25">
      <c r="A328">
        <f>計算表!A328</f>
        <v>327</v>
      </c>
      <c r="B328" s="2">
        <f>計算表!B328</f>
        <v>0</v>
      </c>
      <c r="C328" t="str">
        <f>計算表!C328</f>
        <v>表-詞條池</v>
      </c>
      <c r="D328" t="str">
        <f>計算表!D328</f>
        <v>掉寶率%</v>
      </c>
      <c r="E328" t="str">
        <f>計算表!E328</f>
        <v>基準值 = (a + a×b×(裝備等級-1)) × 稀有度倍率</v>
      </c>
      <c r="F328" t="str">
        <f>計算表!F328</f>
        <v>a=一級基準 b=每級成長係數 c=出現權重 d=最低稀有度 e=百分比。</v>
      </c>
      <c r="G328">
        <f>計算表!G328</f>
        <v>3</v>
      </c>
      <c r="H328">
        <f>計算表!H328</f>
        <v>1.4999999999999999E-2</v>
      </c>
      <c r="I328">
        <f>計算表!I328</f>
        <v>4</v>
      </c>
      <c r="J328" t="str">
        <f>計算表!J328</f>
        <v>-</v>
      </c>
      <c r="K328" t="str">
        <f>計算表!K328</f>
        <v>是</v>
      </c>
      <c r="L328">
        <f>計算表!L328</f>
        <v>0</v>
      </c>
      <c r="M328">
        <f>計算表!M328</f>
        <v>0</v>
      </c>
      <c r="N328">
        <f>計算表!N328</f>
        <v>0</v>
      </c>
      <c r="O328">
        <f>計算表!O328</f>
        <v>0</v>
      </c>
      <c r="P328">
        <f>計算表!P328</f>
        <v>0</v>
      </c>
      <c r="Q328">
        <f>計算表!Q328</f>
        <v>0</v>
      </c>
      <c r="R328">
        <f>計算表!R328</f>
        <v>0</v>
      </c>
    </row>
    <row r="329" spans="1:18" x14ac:dyDescent="0.25">
      <c r="A329">
        <f>計算表!A329</f>
        <v>328</v>
      </c>
      <c r="B329" s="2">
        <f>計算表!B329</f>
        <v>0</v>
      </c>
      <c r="C329" t="str">
        <f>計算表!C329</f>
        <v>表-詞條池</v>
      </c>
      <c r="D329" t="str">
        <f>計算表!D329</f>
        <v>經驗加成%</v>
      </c>
      <c r="E329" t="str">
        <f>計算表!E329</f>
        <v>基準值 = (a + a×b×(裝備等級-1)) × 稀有度倍率</v>
      </c>
      <c r="F329" t="str">
        <f>計算表!F329</f>
        <v>a=一級基準 b=每級成長係數 c=出現權重 d=最低稀有度 e=百分比。</v>
      </c>
      <c r="G329">
        <f>計算表!G329</f>
        <v>4</v>
      </c>
      <c r="H329">
        <f>計算表!H329</f>
        <v>0.02</v>
      </c>
      <c r="I329">
        <f>計算表!I329</f>
        <v>4</v>
      </c>
      <c r="J329" t="str">
        <f>計算表!J329</f>
        <v>-</v>
      </c>
      <c r="K329" t="str">
        <f>計算表!K329</f>
        <v>是（限飾品）</v>
      </c>
      <c r="L329">
        <f>計算表!L329</f>
        <v>0</v>
      </c>
      <c r="M329">
        <f>計算表!M329</f>
        <v>0</v>
      </c>
      <c r="N329">
        <f>計算表!N329</f>
        <v>0</v>
      </c>
      <c r="O329">
        <f>計算表!O329</f>
        <v>0</v>
      </c>
      <c r="P329">
        <f>計算表!P329</f>
        <v>0</v>
      </c>
      <c r="Q329">
        <f>計算表!Q329</f>
        <v>0</v>
      </c>
      <c r="R329">
        <f>計算表!R329</f>
        <v>0</v>
      </c>
    </row>
    <row r="330" spans="1:18" x14ac:dyDescent="0.25">
      <c r="A330">
        <f>計算表!A330</f>
        <v>329</v>
      </c>
      <c r="B330" s="2">
        <f>計算表!B330</f>
        <v>0</v>
      </c>
      <c r="C330" t="str">
        <f>計算表!C330</f>
        <v>表-詞條池</v>
      </c>
      <c r="D330" t="str">
        <f>計算表!D330</f>
        <v>金幣加成%</v>
      </c>
      <c r="E330" t="str">
        <f>計算表!E330</f>
        <v>基準值 = (a + a×b×(裝備等級-1)) × 稀有度倍率</v>
      </c>
      <c r="F330" t="str">
        <f>計算表!F330</f>
        <v>a=一級基準 b=每級成長係數 c=出現權重 d=最低稀有度 e=百分比。</v>
      </c>
      <c r="G330">
        <f>計算表!G330</f>
        <v>5</v>
      </c>
      <c r="H330">
        <f>計算表!H330</f>
        <v>2.5000000000000001E-2</v>
      </c>
      <c r="I330">
        <f>計算表!I330</f>
        <v>4</v>
      </c>
      <c r="J330" t="str">
        <f>計算表!J330</f>
        <v>-</v>
      </c>
      <c r="K330" t="str">
        <f>計算表!K330</f>
        <v>是（限飾品）</v>
      </c>
      <c r="L330">
        <f>計算表!L330</f>
        <v>0</v>
      </c>
      <c r="M330">
        <f>計算表!M330</f>
        <v>0</v>
      </c>
      <c r="N330">
        <f>計算表!N330</f>
        <v>0</v>
      </c>
      <c r="O330">
        <f>計算表!O330</f>
        <v>0</v>
      </c>
      <c r="P330">
        <f>計算表!P330</f>
        <v>0</v>
      </c>
      <c r="Q330">
        <f>計算表!Q330</f>
        <v>0</v>
      </c>
      <c r="R330">
        <f>計算表!R330</f>
        <v>0</v>
      </c>
    </row>
    <row r="331" spans="1:18" x14ac:dyDescent="0.25">
      <c r="A331">
        <f>計算表!A331</f>
        <v>330</v>
      </c>
      <c r="B331" s="2">
        <f>計算表!B331</f>
        <v>0</v>
      </c>
      <c r="C331" t="str">
        <f>計算表!C331</f>
        <v>表-詞條池</v>
      </c>
      <c r="D331" t="str">
        <f>計算表!D331</f>
        <v>幸運值</v>
      </c>
      <c r="E331" t="str">
        <f>計算表!E331</f>
        <v>基準值 = (a + a×b×(裝備等級-1)) × 稀有度倍率</v>
      </c>
      <c r="F331" t="str">
        <f>計算表!F331</f>
        <v>a=一級基準 b=每級成長係數 c=出現權重 d=最低稀有度 e=百分比。</v>
      </c>
      <c r="G331">
        <f>計算表!G331</f>
        <v>2</v>
      </c>
      <c r="H331">
        <f>計算表!H331</f>
        <v>0.1</v>
      </c>
      <c r="I331">
        <f>計算表!I331</f>
        <v>3</v>
      </c>
      <c r="J331" t="str">
        <f>計算表!J331</f>
        <v>獨特</v>
      </c>
      <c r="K331" t="str">
        <f>計算表!K331</f>
        <v>否（限飾品）</v>
      </c>
      <c r="L331">
        <f>計算表!L331</f>
        <v>0</v>
      </c>
      <c r="M331">
        <f>計算表!M331</f>
        <v>0</v>
      </c>
      <c r="N331">
        <f>計算表!N331</f>
        <v>0</v>
      </c>
      <c r="O331">
        <f>計算表!O331</f>
        <v>0</v>
      </c>
      <c r="P331">
        <f>計算表!P331</f>
        <v>0</v>
      </c>
      <c r="Q331">
        <f>計算表!Q331</f>
        <v>0</v>
      </c>
      <c r="R331">
        <f>計算表!R331</f>
        <v>0</v>
      </c>
    </row>
    <row r="332" spans="1:18" x14ac:dyDescent="0.25">
      <c r="A332">
        <f>計算表!A332</f>
        <v>331</v>
      </c>
      <c r="B332" s="2">
        <f>計算表!B332</f>
        <v>0</v>
      </c>
      <c r="C332" t="str">
        <f>計算表!C332</f>
        <v>表-詞條池</v>
      </c>
      <c r="D332" t="str">
        <f>計算表!D332</f>
        <v>負重上限</v>
      </c>
      <c r="E332" t="str">
        <f>計算表!E332</f>
        <v>基準值 = (a + a×b×(裝備等級-1)) × 稀有度倍率</v>
      </c>
      <c r="F332" t="str">
        <f>計算表!F332</f>
        <v>a=一級基準 b=每級成長係數 c=出現權重 d=最低稀有度 e=百分比。</v>
      </c>
      <c r="G332">
        <f>計算表!G332</f>
        <v>2</v>
      </c>
      <c r="H332">
        <f>計算表!H332</f>
        <v>0.3</v>
      </c>
      <c r="I332">
        <f>計算表!I332</f>
        <v>3</v>
      </c>
      <c r="J332" t="str">
        <f>計算表!J332</f>
        <v>-</v>
      </c>
      <c r="K332" t="str">
        <f>計算表!K332</f>
        <v>否（限飾品）</v>
      </c>
      <c r="L332">
        <f>計算表!L332</f>
        <v>0</v>
      </c>
      <c r="M332">
        <f>計算表!M332</f>
        <v>0</v>
      </c>
      <c r="N332">
        <f>計算表!N332</f>
        <v>0</v>
      </c>
      <c r="O332">
        <f>計算表!O332</f>
        <v>0</v>
      </c>
      <c r="P332">
        <f>計算表!P332</f>
        <v>0</v>
      </c>
      <c r="Q332">
        <f>計算表!Q332</f>
        <v>0</v>
      </c>
      <c r="R332">
        <f>計算表!R332</f>
        <v>0</v>
      </c>
    </row>
    <row r="333" spans="1:18" x14ac:dyDescent="0.25">
      <c r="A333">
        <f>計算表!A333</f>
        <v>332</v>
      </c>
      <c r="B333" s="2">
        <f>計算表!B333</f>
        <v>0</v>
      </c>
      <c r="C333" t="str">
        <f>計算表!C333</f>
        <v>表-詞條池</v>
      </c>
      <c r="D333" t="str">
        <f>計算表!D333</f>
        <v>強化成功率%</v>
      </c>
      <c r="E333" t="str">
        <f>計算表!E333</f>
        <v>基準值 = (a + a×b×(裝備等級-1)) × 稀有度倍率</v>
      </c>
      <c r="F333" t="str">
        <f>計算表!F333</f>
        <v>a=一級基準 b=每級成長係數 c=出現權重 d=最低稀有度 e=百分比。</v>
      </c>
      <c r="G333">
        <f>計算表!G333</f>
        <v>3</v>
      </c>
      <c r="H333">
        <f>計算表!H333</f>
        <v>1.4999999999999999E-2</v>
      </c>
      <c r="I333">
        <f>計算表!I333</f>
        <v>3</v>
      </c>
      <c r="J333" t="str">
        <f>計算表!J333</f>
        <v>獨特</v>
      </c>
      <c r="K333" t="str">
        <f>計算表!K333</f>
        <v>是</v>
      </c>
      <c r="L333">
        <f>計算表!L333</f>
        <v>0</v>
      </c>
      <c r="M333">
        <f>計算表!M333</f>
        <v>0</v>
      </c>
      <c r="N333">
        <f>計算表!N333</f>
        <v>0</v>
      </c>
      <c r="O333">
        <f>計算表!O333</f>
        <v>0</v>
      </c>
      <c r="P333">
        <f>計算表!P333</f>
        <v>0</v>
      </c>
      <c r="Q333">
        <f>計算表!Q333</f>
        <v>0</v>
      </c>
      <c r="R333">
        <f>計算表!R333</f>
        <v>0</v>
      </c>
    </row>
    <row r="334" spans="1:18" x14ac:dyDescent="0.25">
      <c r="A334">
        <f>計算表!A334</f>
        <v>333</v>
      </c>
      <c r="B334" s="2">
        <f>計算表!B334</f>
        <v>0</v>
      </c>
      <c r="C334" t="str">
        <f>計算表!C334</f>
        <v>表-詞條池</v>
      </c>
      <c r="D334" t="str">
        <f>計算表!D334</f>
        <v>分解高產率%</v>
      </c>
      <c r="E334" t="str">
        <f>計算表!E334</f>
        <v>基準值 = (a + a×b×(裝備等級-1)) × 稀有度倍率</v>
      </c>
      <c r="F334" t="str">
        <f>計算表!F334</f>
        <v>a=一級基準 b=每級成長係數 c=出現權重 d=最低稀有度 e=百分比。</v>
      </c>
      <c r="G334">
        <f>計算表!G334</f>
        <v>3</v>
      </c>
      <c r="H334">
        <f>計算表!H334</f>
        <v>1.4999999999999999E-2</v>
      </c>
      <c r="I334">
        <f>計算表!I334</f>
        <v>3</v>
      </c>
      <c r="J334" t="str">
        <f>計算表!J334</f>
        <v>獨特</v>
      </c>
      <c r="K334" t="str">
        <f>計算表!K334</f>
        <v>是</v>
      </c>
      <c r="L334">
        <f>計算表!L334</f>
        <v>0</v>
      </c>
      <c r="M334">
        <f>計算表!M334</f>
        <v>0</v>
      </c>
      <c r="N334">
        <f>計算表!N334</f>
        <v>0</v>
      </c>
      <c r="O334">
        <f>計算表!O334</f>
        <v>0</v>
      </c>
      <c r="P334">
        <f>計算表!P334</f>
        <v>0</v>
      </c>
      <c r="Q334">
        <f>計算表!Q334</f>
        <v>0</v>
      </c>
      <c r="R334">
        <f>計算表!R334</f>
        <v>0</v>
      </c>
    </row>
    <row r="335" spans="1:18" x14ac:dyDescent="0.25">
      <c r="A335">
        <f>計算表!A335</f>
        <v>334</v>
      </c>
      <c r="B335" s="2">
        <f>計算表!B335</f>
        <v>0</v>
      </c>
      <c r="C335" t="str">
        <f>計算表!C335</f>
        <v>表-詞條池</v>
      </c>
      <c r="D335" t="str">
        <f>計算表!D335</f>
        <v>合成變異率%</v>
      </c>
      <c r="E335" t="str">
        <f>計算表!E335</f>
        <v>基準值 = (a + a×b×(裝備等級-1)) × 稀有度倍率</v>
      </c>
      <c r="F335" t="str">
        <f>計算表!F335</f>
        <v>a=一級基準 b=每級成長係數 c=出現權重 d=最低稀有度 e=百分比。</v>
      </c>
      <c r="G335">
        <f>計算表!G335</f>
        <v>2.5</v>
      </c>
      <c r="H335">
        <f>計算表!H335</f>
        <v>1.2E-2</v>
      </c>
      <c r="I335">
        <f>計算表!I335</f>
        <v>2</v>
      </c>
      <c r="J335" t="str">
        <f>計算表!J335</f>
        <v>史詩</v>
      </c>
      <c r="K335" t="str">
        <f>計算表!K335</f>
        <v>是</v>
      </c>
      <c r="L335">
        <f>計算表!L335</f>
        <v>0</v>
      </c>
      <c r="M335">
        <f>計算表!M335</f>
        <v>0</v>
      </c>
      <c r="N335">
        <f>計算表!N335</f>
        <v>0</v>
      </c>
      <c r="O335">
        <f>計算表!O335</f>
        <v>0</v>
      </c>
      <c r="P335">
        <f>計算表!P335</f>
        <v>0</v>
      </c>
      <c r="Q335">
        <f>計算表!Q335</f>
        <v>0</v>
      </c>
      <c r="R335">
        <f>計算表!R335</f>
        <v>0</v>
      </c>
    </row>
    <row r="336" spans="1:18" x14ac:dyDescent="0.25">
      <c r="A336">
        <f>計算表!A336</f>
        <v>335</v>
      </c>
      <c r="B336" s="2">
        <f>計算表!B336</f>
        <v>0</v>
      </c>
      <c r="C336" t="str">
        <f>計算表!C336</f>
        <v>表-詞條池</v>
      </c>
      <c r="D336" t="str">
        <f>計算表!D336</f>
        <v>狂暴閾值+</v>
      </c>
      <c r="E336" t="str">
        <f>計算表!E336</f>
        <v>基準值 = (a + a×b×(裝備等級-1)) × 稀有度倍率</v>
      </c>
      <c r="F336" t="str">
        <f>計算表!F336</f>
        <v>a=一級基準 b=每級成長係數 c=出現權重 d=最低稀有度 e=百分比。</v>
      </c>
      <c r="G336">
        <f>計算表!G336</f>
        <v>2</v>
      </c>
      <c r="H336">
        <f>計算表!H336</f>
        <v>0.08</v>
      </c>
      <c r="I336">
        <f>計算表!I336</f>
        <v>2</v>
      </c>
      <c r="J336" t="str">
        <f>計算表!J336</f>
        <v>史詩</v>
      </c>
      <c r="K336" t="str">
        <f>計算表!K336</f>
        <v>否</v>
      </c>
      <c r="L336">
        <f>計算表!L336</f>
        <v>0</v>
      </c>
      <c r="M336">
        <f>計算表!M336</f>
        <v>0</v>
      </c>
      <c r="N336">
        <f>計算表!N336</f>
        <v>0</v>
      </c>
      <c r="O336">
        <f>計算表!O336</f>
        <v>0</v>
      </c>
      <c r="P336">
        <f>計算表!P336</f>
        <v>0</v>
      </c>
      <c r="Q336">
        <f>計算表!Q336</f>
        <v>0</v>
      </c>
      <c r="R336">
        <f>計算表!R336</f>
        <v>0</v>
      </c>
    </row>
    <row r="337" spans="1:18" x14ac:dyDescent="0.25">
      <c r="A337">
        <f>計算表!A337</f>
        <v>336</v>
      </c>
      <c r="B337" s="2">
        <f>計算表!B337</f>
        <v>0</v>
      </c>
      <c r="C337" t="str">
        <f>計算表!C337</f>
        <v>表-詞條池</v>
      </c>
      <c r="D337" t="str">
        <f>計算表!D337</f>
        <v>詞條上限率%</v>
      </c>
      <c r="E337" t="str">
        <f>計算表!E337</f>
        <v>基準值 = (a + a×b×(裝備等級-1)) × 稀有度倍率</v>
      </c>
      <c r="F337" t="str">
        <f>計算表!F337</f>
        <v>a=一級基準 b=每級成長係數 c=出現權重 d=最低稀有度 e=百分比。</v>
      </c>
      <c r="G337">
        <f>計算表!G337</f>
        <v>3</v>
      </c>
      <c r="H337">
        <f>計算表!H337</f>
        <v>1.4999999999999999E-2</v>
      </c>
      <c r="I337">
        <f>計算表!I337</f>
        <v>2</v>
      </c>
      <c r="J337" t="str">
        <f>計算表!J337</f>
        <v>史詩</v>
      </c>
      <c r="K337" t="str">
        <f>計算表!K337</f>
        <v>是（限飾品）</v>
      </c>
      <c r="L337">
        <f>計算表!L337</f>
        <v>0</v>
      </c>
      <c r="M337">
        <f>計算表!M337</f>
        <v>0</v>
      </c>
      <c r="N337">
        <f>計算表!N337</f>
        <v>0</v>
      </c>
      <c r="O337">
        <f>計算表!O337</f>
        <v>0</v>
      </c>
      <c r="P337">
        <f>計算表!P337</f>
        <v>0</v>
      </c>
      <c r="Q337">
        <f>計算表!Q337</f>
        <v>0</v>
      </c>
      <c r="R337">
        <f>計算表!R337</f>
        <v>0</v>
      </c>
    </row>
    <row r="338" spans="1:18" x14ac:dyDescent="0.25">
      <c r="A338">
        <f>計算表!A338</f>
        <v>337</v>
      </c>
      <c r="B338" s="2">
        <f>計算表!B338</f>
        <v>0</v>
      </c>
      <c r="C338" t="str">
        <f>計算表!C338</f>
        <v>表-詞條池</v>
      </c>
      <c r="D338" t="str">
        <f>計算表!D338</f>
        <v>寶石鑲嵌效率%</v>
      </c>
      <c r="E338" t="str">
        <f>計算表!E338</f>
        <v>基準值 = (a + a×b×(裝備等級-1)) × 稀有度倍率</v>
      </c>
      <c r="F338" t="str">
        <f>計算表!F338</f>
        <v>a=一級基準 b=每級成長係數 c=出現權重 d=最低稀有度 e=百分比。</v>
      </c>
      <c r="G338">
        <f>計算表!G338</f>
        <v>5</v>
      </c>
      <c r="H338">
        <f>計算表!H338</f>
        <v>2.5000000000000001E-2</v>
      </c>
      <c r="I338">
        <f>計算表!I338</f>
        <v>2</v>
      </c>
      <c r="J338" t="str">
        <f>計算表!J338</f>
        <v>史詩</v>
      </c>
      <c r="K338" t="str">
        <f>計算表!K338</f>
        <v>是（限飾品）</v>
      </c>
      <c r="L338">
        <f>計算表!L338</f>
        <v>0</v>
      </c>
      <c r="M338">
        <f>計算表!M338</f>
        <v>0</v>
      </c>
      <c r="N338">
        <f>計算表!N338</f>
        <v>0</v>
      </c>
      <c r="O338">
        <f>計算表!O338</f>
        <v>0</v>
      </c>
      <c r="P338">
        <f>計算表!P338</f>
        <v>0</v>
      </c>
      <c r="Q338">
        <f>計算表!Q338</f>
        <v>0</v>
      </c>
      <c r="R338">
        <f>計算表!R338</f>
        <v>0</v>
      </c>
    </row>
    <row r="339" spans="1:18" x14ac:dyDescent="0.25">
      <c r="A339">
        <f>計算表!A339</f>
        <v>338</v>
      </c>
      <c r="B339" s="2">
        <f>計算表!B339</f>
        <v>0</v>
      </c>
      <c r="C339" t="str">
        <f>計算表!C339</f>
        <v>表-特殊被動</v>
      </c>
      <c r="D339" t="str">
        <f>計算表!D339</f>
        <v>破甲</v>
      </c>
      <c r="E339" t="str">
        <f>計算表!E339</f>
        <v>數值 = a + b×(稀有度-2)</v>
      </c>
      <c r="F339" t="str">
        <f>計算表!F339</f>
        <v>a=稀有級基準 b=每高一階 c=多件疊加後上限。稀有級以上才附帶。</v>
      </c>
      <c r="G339">
        <f>計算表!G339</f>
        <v>10</v>
      </c>
      <c r="H339">
        <f>計算表!H339</f>
        <v>2</v>
      </c>
      <c r="I339" t="str">
        <f>計算表!I339</f>
        <v>—</v>
      </c>
      <c r="J339">
        <f>計算表!J339</f>
        <v>0</v>
      </c>
      <c r="K339">
        <f>計算表!K339</f>
        <v>0</v>
      </c>
      <c r="L339">
        <f>計算表!L339</f>
        <v>0</v>
      </c>
      <c r="M339">
        <f>計算表!M339</f>
        <v>0</v>
      </c>
      <c r="N339">
        <f>計算表!N339</f>
        <v>0</v>
      </c>
      <c r="O339">
        <f>計算表!O339</f>
        <v>0</v>
      </c>
      <c r="P339">
        <f>計算表!P339</f>
        <v>0</v>
      </c>
      <c r="Q339">
        <f>計算表!Q339</f>
        <v>0</v>
      </c>
      <c r="R339">
        <f>計算表!R339</f>
        <v>0</v>
      </c>
    </row>
    <row r="340" spans="1:18" x14ac:dyDescent="0.25">
      <c r="A340">
        <f>計算表!A340</f>
        <v>339</v>
      </c>
      <c r="B340" s="2">
        <f>計算表!B340</f>
        <v>0</v>
      </c>
      <c r="C340" t="str">
        <f>計算表!C340</f>
        <v>表-特殊被動</v>
      </c>
      <c r="D340" t="str">
        <f>計算表!D340</f>
        <v>反震</v>
      </c>
      <c r="E340" t="str">
        <f>計算表!E340</f>
        <v>數值 = a + b×(稀有度-2)</v>
      </c>
      <c r="F340" t="str">
        <f>計算表!F340</f>
        <v>a=稀有級基準 b=每高一階 c=多件疊加後上限。稀有級以上才附帶。</v>
      </c>
      <c r="G340">
        <f>計算表!G340</f>
        <v>5</v>
      </c>
      <c r="H340">
        <f>計算表!H340</f>
        <v>1</v>
      </c>
      <c r="I340" t="str">
        <f>計算表!I340</f>
        <v>—</v>
      </c>
      <c r="J340">
        <f>計算表!J340</f>
        <v>0</v>
      </c>
      <c r="K340">
        <f>計算表!K340</f>
        <v>0</v>
      </c>
      <c r="L340">
        <f>計算表!L340</f>
        <v>0</v>
      </c>
      <c r="M340">
        <f>計算表!M340</f>
        <v>0</v>
      </c>
      <c r="N340">
        <f>計算表!N340</f>
        <v>0</v>
      </c>
      <c r="O340">
        <f>計算表!O340</f>
        <v>0</v>
      </c>
      <c r="P340">
        <f>計算表!P340</f>
        <v>0</v>
      </c>
      <c r="Q340">
        <f>計算表!Q340</f>
        <v>0</v>
      </c>
      <c r="R340">
        <f>計算表!R340</f>
        <v>0</v>
      </c>
    </row>
    <row r="341" spans="1:18" x14ac:dyDescent="0.25">
      <c r="A341">
        <f>計算表!A341</f>
        <v>340</v>
      </c>
      <c r="B341" s="2">
        <f>計算表!B341</f>
        <v>0</v>
      </c>
      <c r="C341" t="str">
        <f>計算表!C341</f>
        <v>表-特殊被動</v>
      </c>
      <c r="D341" t="str">
        <f>計算表!D341</f>
        <v>連擊</v>
      </c>
      <c r="E341" t="str">
        <f>計算表!E341</f>
        <v>數值 = a + b×(稀有度-2)</v>
      </c>
      <c r="F341" t="str">
        <f>計算表!F341</f>
        <v>a=稀有級基準 b=每高一階 c=多件疊加後上限。稀有級以上才附帶。</v>
      </c>
      <c r="G341">
        <f>計算表!G341</f>
        <v>10</v>
      </c>
      <c r="H341">
        <f>計算表!H341</f>
        <v>2</v>
      </c>
      <c r="I341">
        <f>計算表!I341</f>
        <v>45</v>
      </c>
      <c r="J341">
        <f>計算表!J341</f>
        <v>0</v>
      </c>
      <c r="K341">
        <f>計算表!K341</f>
        <v>0</v>
      </c>
      <c r="L341">
        <f>計算表!L341</f>
        <v>0</v>
      </c>
      <c r="M341">
        <f>計算表!M341</f>
        <v>0</v>
      </c>
      <c r="N341">
        <f>計算表!N341</f>
        <v>0</v>
      </c>
      <c r="O341">
        <f>計算表!O341</f>
        <v>0</v>
      </c>
      <c r="P341">
        <f>計算表!P341</f>
        <v>0</v>
      </c>
      <c r="Q341">
        <f>計算表!Q341</f>
        <v>0</v>
      </c>
      <c r="R341">
        <f>計算表!R341</f>
        <v>0</v>
      </c>
    </row>
    <row r="342" spans="1:18" x14ac:dyDescent="0.25">
      <c r="A342">
        <f>計算表!A342</f>
        <v>341</v>
      </c>
      <c r="B342" s="2">
        <f>計算表!B342</f>
        <v>0</v>
      </c>
      <c r="C342" t="str">
        <f>計算表!C342</f>
        <v>表-特殊被動</v>
      </c>
      <c r="D342" t="str">
        <f>計算表!D342</f>
        <v>暈眩</v>
      </c>
      <c r="E342" t="str">
        <f>計算表!E342</f>
        <v>數值 = a + b×(稀有度-2)</v>
      </c>
      <c r="F342" t="str">
        <f>計算表!F342</f>
        <v>a=稀有級基準 b=每高一階 c=多件疊加後上限。稀有級以上才附帶。</v>
      </c>
      <c r="G342">
        <f>計算表!G342</f>
        <v>6</v>
      </c>
      <c r="H342">
        <f>計算表!H342</f>
        <v>1.5</v>
      </c>
      <c r="I342">
        <f>計算表!I342</f>
        <v>30</v>
      </c>
      <c r="J342">
        <f>計算表!J342</f>
        <v>0</v>
      </c>
      <c r="K342">
        <f>計算表!K342</f>
        <v>0</v>
      </c>
      <c r="L342">
        <f>計算表!L342</f>
        <v>0</v>
      </c>
      <c r="M342">
        <f>計算表!M342</f>
        <v>0</v>
      </c>
      <c r="N342">
        <f>計算表!N342</f>
        <v>0</v>
      </c>
      <c r="O342">
        <f>計算表!O342</f>
        <v>0</v>
      </c>
      <c r="P342">
        <f>計算表!P342</f>
        <v>0</v>
      </c>
      <c r="Q342">
        <f>計算表!Q342</f>
        <v>0</v>
      </c>
      <c r="R342">
        <f>計算表!R342</f>
        <v>0</v>
      </c>
    </row>
    <row r="343" spans="1:18" x14ac:dyDescent="0.25">
      <c r="A343">
        <f>計算表!A343</f>
        <v>342</v>
      </c>
      <c r="B343" s="2">
        <f>計算表!B343</f>
        <v>0</v>
      </c>
      <c r="C343" t="str">
        <f>計算表!C343</f>
        <v>表-特殊被動</v>
      </c>
      <c r="D343" t="str">
        <f>計算表!D343</f>
        <v>減速</v>
      </c>
      <c r="E343" t="str">
        <f>計算表!E343</f>
        <v>數值 = a + b×(稀有度-2)</v>
      </c>
      <c r="F343" t="str">
        <f>計算表!F343</f>
        <v>a=稀有級基準 b=每高一階 c=多件疊加後上限。稀有級以上才附帶。</v>
      </c>
      <c r="G343">
        <f>計算表!G343</f>
        <v>12</v>
      </c>
      <c r="H343">
        <f>計算表!H343</f>
        <v>3</v>
      </c>
      <c r="I343" t="str">
        <f>計算表!I343</f>
        <v>—</v>
      </c>
      <c r="J343">
        <f>計算表!J343</f>
        <v>0</v>
      </c>
      <c r="K343">
        <f>計算表!K343</f>
        <v>0</v>
      </c>
      <c r="L343">
        <f>計算表!L343</f>
        <v>0</v>
      </c>
      <c r="M343">
        <f>計算表!M343</f>
        <v>0</v>
      </c>
      <c r="N343">
        <f>計算表!N343</f>
        <v>0</v>
      </c>
      <c r="O343">
        <f>計算表!O343</f>
        <v>0</v>
      </c>
      <c r="P343">
        <f>計算表!P343</f>
        <v>0</v>
      </c>
      <c r="Q343">
        <f>計算表!Q343</f>
        <v>0</v>
      </c>
      <c r="R343">
        <f>計算表!R343</f>
        <v>0</v>
      </c>
    </row>
    <row r="344" spans="1:18" x14ac:dyDescent="0.25">
      <c r="A344">
        <f>計算表!A344</f>
        <v>343</v>
      </c>
      <c r="B344" s="2">
        <f>計算表!B344</f>
        <v>0</v>
      </c>
      <c r="C344" t="str">
        <f>計算表!C344</f>
        <v>表-特殊被動</v>
      </c>
      <c r="D344" t="str">
        <f>計算表!D344</f>
        <v>真傷</v>
      </c>
      <c r="E344" t="str">
        <f>計算表!E344</f>
        <v>數值 = a + b×(稀有度-2)</v>
      </c>
      <c r="F344" t="str">
        <f>計算表!F344</f>
        <v>a=稀有級基準 b=每高一階 c=多件疊加後上限。稀有級以上才附帶。</v>
      </c>
      <c r="G344">
        <f>計算表!G344</f>
        <v>6</v>
      </c>
      <c r="H344">
        <f>計算表!H344</f>
        <v>1.5</v>
      </c>
      <c r="I344" t="str">
        <f>計算表!I344</f>
        <v>—</v>
      </c>
      <c r="J344">
        <f>計算表!J344</f>
        <v>0</v>
      </c>
      <c r="K344">
        <f>計算表!K344</f>
        <v>0</v>
      </c>
      <c r="L344">
        <f>計算表!L344</f>
        <v>0</v>
      </c>
      <c r="M344">
        <f>計算表!M344</f>
        <v>0</v>
      </c>
      <c r="N344">
        <f>計算表!N344</f>
        <v>0</v>
      </c>
      <c r="O344">
        <f>計算表!O344</f>
        <v>0</v>
      </c>
      <c r="P344">
        <f>計算表!P344</f>
        <v>0</v>
      </c>
      <c r="Q344">
        <f>計算表!Q344</f>
        <v>0</v>
      </c>
      <c r="R344">
        <f>計算表!R344</f>
        <v>0</v>
      </c>
    </row>
    <row r="345" spans="1:18" x14ac:dyDescent="0.25">
      <c r="A345">
        <f>計算表!A345</f>
        <v>344</v>
      </c>
      <c r="B345" s="2">
        <f>計算表!B345</f>
        <v>0</v>
      </c>
      <c r="C345" t="str">
        <f>計算表!C345</f>
        <v>表-特殊被動</v>
      </c>
      <c r="D345" t="str">
        <f>計算表!D345</f>
        <v>吸魂</v>
      </c>
      <c r="E345" t="str">
        <f>計算表!E345</f>
        <v>數值 = a + b×(稀有度-2)</v>
      </c>
      <c r="F345" t="str">
        <f>計算表!F345</f>
        <v>a=稀有級基準 b=每高一階 c=多件疊加後上限。稀有級以上才附帶。</v>
      </c>
      <c r="G345">
        <f>計算表!G345</f>
        <v>5</v>
      </c>
      <c r="H345">
        <f>計算表!H345</f>
        <v>1.5</v>
      </c>
      <c r="I345" t="str">
        <f>計算表!I345</f>
        <v>—</v>
      </c>
      <c r="J345">
        <f>計算表!J345</f>
        <v>0</v>
      </c>
      <c r="K345">
        <f>計算表!K345</f>
        <v>0</v>
      </c>
      <c r="L345">
        <f>計算表!L345</f>
        <v>0</v>
      </c>
      <c r="M345">
        <f>計算表!M345</f>
        <v>0</v>
      </c>
      <c r="N345">
        <f>計算表!N345</f>
        <v>0</v>
      </c>
      <c r="O345">
        <f>計算表!O345</f>
        <v>0</v>
      </c>
      <c r="P345">
        <f>計算表!P345</f>
        <v>0</v>
      </c>
      <c r="Q345">
        <f>計算表!Q345</f>
        <v>0</v>
      </c>
      <c r="R345">
        <f>計算表!R345</f>
        <v>0</v>
      </c>
    </row>
    <row r="346" spans="1:18" x14ac:dyDescent="0.25">
      <c r="A346">
        <f>計算表!A346</f>
        <v>345</v>
      </c>
      <c r="B346" s="2">
        <f>計算表!B346</f>
        <v>0</v>
      </c>
      <c r="C346" t="str">
        <f>計算表!C346</f>
        <v>表-神鑄特效</v>
      </c>
      <c r="D346" t="str">
        <f>計算表!D346</f>
        <v>龍血</v>
      </c>
      <c r="E346" t="str">
        <f>計算表!E346</f>
        <v>數值 = a × rnd(0.8, 1.2)</v>
      </c>
      <c r="F346" t="str">
        <f>計算表!F346</f>
        <v>生命上限提高 v%（僅神鑄創世裝備，生成必帶 2 條）。</v>
      </c>
      <c r="G346">
        <f>計算表!G346</f>
        <v>25</v>
      </c>
      <c r="H346">
        <f>計算表!H346</f>
        <v>0</v>
      </c>
      <c r="I346">
        <f>計算表!I346</f>
        <v>0</v>
      </c>
      <c r="J346">
        <f>計算表!J346</f>
        <v>0</v>
      </c>
      <c r="K346">
        <f>計算表!K346</f>
        <v>0</v>
      </c>
      <c r="L346">
        <f>計算表!L346</f>
        <v>0</v>
      </c>
      <c r="M346">
        <f>計算表!M346</f>
        <v>0</v>
      </c>
      <c r="N346">
        <f>計算表!N346</f>
        <v>0</v>
      </c>
      <c r="O346">
        <f>計算表!O346</f>
        <v>0</v>
      </c>
      <c r="P346">
        <f>計算表!P346</f>
        <v>0</v>
      </c>
      <c r="Q346">
        <f>計算表!Q346</f>
        <v>0</v>
      </c>
      <c r="R346">
        <f>計算表!R346</f>
        <v>0</v>
      </c>
    </row>
    <row r="347" spans="1:18" x14ac:dyDescent="0.25">
      <c r="A347">
        <f>計算表!A347</f>
        <v>346</v>
      </c>
      <c r="B347" s="2">
        <f>計算表!B347</f>
        <v>0</v>
      </c>
      <c r="C347" t="str">
        <f>計算表!C347</f>
        <v>表-神鑄特效</v>
      </c>
      <c r="D347" t="str">
        <f>計算表!D347</f>
        <v>神力</v>
      </c>
      <c r="E347" t="str">
        <f>計算表!E347</f>
        <v>數值 = a × rnd(0.8, 1.2)</v>
      </c>
      <c r="F347" t="str">
        <f>計算表!F347</f>
        <v>物理與魔法攻擊額外提高 v%（額外乘區）（僅神鑄創世裝備，生成必帶 2 條）。</v>
      </c>
      <c r="G347">
        <f>計算表!G347</f>
        <v>18</v>
      </c>
      <c r="H347">
        <f>計算表!H347</f>
        <v>0</v>
      </c>
      <c r="I347">
        <f>計算表!I347</f>
        <v>0</v>
      </c>
      <c r="J347">
        <f>計算表!J347</f>
        <v>0</v>
      </c>
      <c r="K347">
        <f>計算表!K347</f>
        <v>0</v>
      </c>
      <c r="L347">
        <f>計算表!L347</f>
        <v>0</v>
      </c>
      <c r="M347">
        <f>計算表!M347</f>
        <v>0</v>
      </c>
      <c r="N347">
        <f>計算表!N347</f>
        <v>0</v>
      </c>
      <c r="O347">
        <f>計算表!O347</f>
        <v>0</v>
      </c>
      <c r="P347">
        <f>計算表!P347</f>
        <v>0</v>
      </c>
      <c r="Q347">
        <f>計算表!Q347</f>
        <v>0</v>
      </c>
      <c r="R347">
        <f>計算表!R347</f>
        <v>0</v>
      </c>
    </row>
    <row r="348" spans="1:18" x14ac:dyDescent="0.25">
      <c r="A348">
        <f>計算表!A348</f>
        <v>347</v>
      </c>
      <c r="B348" s="2">
        <f>計算表!B348</f>
        <v>0</v>
      </c>
      <c r="C348" t="str">
        <f>計算表!C348</f>
        <v>表-神鑄特效</v>
      </c>
      <c r="D348" t="str">
        <f>計算表!D348</f>
        <v>神速</v>
      </c>
      <c r="E348" t="str">
        <f>計算表!E348</f>
        <v>數值 = a × rnd(0.8, 1.2)</v>
      </c>
      <c r="F348" t="str">
        <f>計算表!F348</f>
        <v>攻擊速度提高 v%（僅神鑄創世裝備，生成必帶 2 條）。</v>
      </c>
      <c r="G348">
        <f>計算表!G348</f>
        <v>15</v>
      </c>
      <c r="H348">
        <f>計算表!H348</f>
        <v>0</v>
      </c>
      <c r="I348">
        <f>計算表!I348</f>
        <v>0</v>
      </c>
      <c r="J348">
        <f>計算表!J348</f>
        <v>0</v>
      </c>
      <c r="K348">
        <f>計算表!K348</f>
        <v>0</v>
      </c>
      <c r="L348">
        <f>計算表!L348</f>
        <v>0</v>
      </c>
      <c r="M348">
        <f>計算表!M348</f>
        <v>0</v>
      </c>
      <c r="N348">
        <f>計算表!N348</f>
        <v>0</v>
      </c>
      <c r="O348">
        <f>計算表!O348</f>
        <v>0</v>
      </c>
      <c r="P348">
        <f>計算表!P348</f>
        <v>0</v>
      </c>
      <c r="Q348">
        <f>計算表!Q348</f>
        <v>0</v>
      </c>
      <c r="R348">
        <f>計算表!R348</f>
        <v>0</v>
      </c>
    </row>
    <row r="349" spans="1:18" x14ac:dyDescent="0.25">
      <c r="A349">
        <f>計算表!A349</f>
        <v>348</v>
      </c>
      <c r="B349" s="2">
        <f>計算表!B349</f>
        <v>0</v>
      </c>
      <c r="C349" t="str">
        <f>計算表!C349</f>
        <v>表-神鑄特效</v>
      </c>
      <c r="D349" t="str">
        <f>計算表!D349</f>
        <v>屠神</v>
      </c>
      <c r="E349" t="str">
        <f>計算表!E349</f>
        <v>數值 = a × rnd(0.8, 1.2)</v>
      </c>
      <c r="F349" t="str">
        <f>計算表!F349</f>
        <v>對菁英與 BOSS 傷害提高 v%（僅神鑄創世裝備，生成必帶 2 條）。</v>
      </c>
      <c r="G349">
        <f>計算表!G349</f>
        <v>30</v>
      </c>
      <c r="H349">
        <f>計算表!H349</f>
        <v>0</v>
      </c>
      <c r="I349">
        <f>計算表!I349</f>
        <v>0</v>
      </c>
      <c r="J349">
        <f>計算表!J349</f>
        <v>0</v>
      </c>
      <c r="K349">
        <f>計算表!K349</f>
        <v>0</v>
      </c>
      <c r="L349">
        <f>計算表!L349</f>
        <v>0</v>
      </c>
      <c r="M349">
        <f>計算表!M349</f>
        <v>0</v>
      </c>
      <c r="N349">
        <f>計算表!N349</f>
        <v>0</v>
      </c>
      <c r="O349">
        <f>計算表!O349</f>
        <v>0</v>
      </c>
      <c r="P349">
        <f>計算表!P349</f>
        <v>0</v>
      </c>
      <c r="Q349">
        <f>計算表!Q349</f>
        <v>0</v>
      </c>
      <c r="R349">
        <f>計算表!R349</f>
        <v>0</v>
      </c>
    </row>
    <row r="350" spans="1:18" x14ac:dyDescent="0.25">
      <c r="A350">
        <f>計算表!A350</f>
        <v>349</v>
      </c>
      <c r="B350" s="2">
        <f>計算表!B350</f>
        <v>0</v>
      </c>
      <c r="C350" t="str">
        <f>計算表!C350</f>
        <v>表-神鑄特效</v>
      </c>
      <c r="D350" t="str">
        <f>計算表!D350</f>
        <v>貪婪</v>
      </c>
      <c r="E350" t="str">
        <f>計算表!E350</f>
        <v>數值 = a × rnd(0.8, 1.2)</v>
      </c>
      <c r="F350" t="str">
        <f>計算表!F350</f>
        <v>金幣加成與掉寶率提高 v%（僅神鑄創世裝備，生成必帶 2 條）。</v>
      </c>
      <c r="G350">
        <f>計算表!G350</f>
        <v>25</v>
      </c>
      <c r="H350">
        <f>計算表!H350</f>
        <v>0</v>
      </c>
      <c r="I350">
        <f>計算表!I350</f>
        <v>0</v>
      </c>
      <c r="J350">
        <f>計算表!J350</f>
        <v>0</v>
      </c>
      <c r="K350">
        <f>計算表!K350</f>
        <v>0</v>
      </c>
      <c r="L350">
        <f>計算表!L350</f>
        <v>0</v>
      </c>
      <c r="M350">
        <f>計算表!M350</f>
        <v>0</v>
      </c>
      <c r="N350">
        <f>計算表!N350</f>
        <v>0</v>
      </c>
      <c r="O350">
        <f>計算表!O350</f>
        <v>0</v>
      </c>
      <c r="P350">
        <f>計算表!P350</f>
        <v>0</v>
      </c>
      <c r="Q350">
        <f>計算表!Q350</f>
        <v>0</v>
      </c>
      <c r="R350">
        <f>計算表!R350</f>
        <v>0</v>
      </c>
    </row>
    <row r="351" spans="1:18" x14ac:dyDescent="0.25">
      <c r="A351">
        <f>計算表!A351</f>
        <v>350</v>
      </c>
      <c r="B351" s="2">
        <f>計算表!B351</f>
        <v>0</v>
      </c>
      <c r="C351" t="str">
        <f>計算表!C351</f>
        <v>表-神鑄特效</v>
      </c>
      <c r="D351" t="str">
        <f>計算表!D351</f>
        <v>神壁</v>
      </c>
      <c r="E351" t="str">
        <f>計算表!E351</f>
        <v>數值 = a × rnd(0.8, 1.2)</v>
      </c>
      <c r="F351" t="str">
        <f>計算表!F351</f>
        <v>物理與魔法防禦提高 v%（僅神鑄創世裝備，生成必帶 2 條）。</v>
      </c>
      <c r="G351">
        <f>計算表!G351</f>
        <v>25</v>
      </c>
      <c r="H351">
        <f>計算表!H351</f>
        <v>0</v>
      </c>
      <c r="I351">
        <f>計算表!I351</f>
        <v>0</v>
      </c>
      <c r="J351">
        <f>計算表!J351</f>
        <v>0</v>
      </c>
      <c r="K351">
        <f>計算表!K351</f>
        <v>0</v>
      </c>
      <c r="L351">
        <f>計算表!L351</f>
        <v>0</v>
      </c>
      <c r="M351">
        <f>計算表!M351</f>
        <v>0</v>
      </c>
      <c r="N351">
        <f>計算表!N351</f>
        <v>0</v>
      </c>
      <c r="O351">
        <f>計算表!O351</f>
        <v>0</v>
      </c>
      <c r="P351">
        <f>計算表!P351</f>
        <v>0</v>
      </c>
      <c r="Q351">
        <f>計算表!Q351</f>
        <v>0</v>
      </c>
      <c r="R351">
        <f>計算表!R351</f>
        <v>0</v>
      </c>
    </row>
    <row r="352" spans="1:18" x14ac:dyDescent="0.25">
      <c r="A352">
        <f>計算表!A352</f>
        <v>351</v>
      </c>
      <c r="B352" s="2">
        <f>計算表!B352</f>
        <v>0</v>
      </c>
      <c r="C352" t="str">
        <f>計算表!C352</f>
        <v>表-神鑄特效</v>
      </c>
      <c r="D352" t="str">
        <f>計算表!D352</f>
        <v>天罰</v>
      </c>
      <c r="E352" t="str">
        <f>計算表!E352</f>
        <v>數值 = a × rnd(0.8, 1.2)</v>
      </c>
      <c r="F352" t="str">
        <f>計算表!F352</f>
        <v>攻擊時 v% 機率降下神雷（250% 物攻真實傷害）（僅神鑄創世裝備，生成必帶 2 條）。</v>
      </c>
      <c r="G352">
        <f>計算表!G352</f>
        <v>12</v>
      </c>
      <c r="H352">
        <f>計算表!H352</f>
        <v>0</v>
      </c>
      <c r="I352">
        <f>計算表!I352</f>
        <v>0</v>
      </c>
      <c r="J352">
        <f>計算表!J352</f>
        <v>0</v>
      </c>
      <c r="K352">
        <f>計算表!K352</f>
        <v>0</v>
      </c>
      <c r="L352">
        <f>計算表!L352</f>
        <v>0</v>
      </c>
      <c r="M352">
        <f>計算表!M352</f>
        <v>0</v>
      </c>
      <c r="N352">
        <f>計算表!N352</f>
        <v>0</v>
      </c>
      <c r="O352">
        <f>計算表!O352</f>
        <v>0</v>
      </c>
      <c r="P352">
        <f>計算表!P352</f>
        <v>0</v>
      </c>
      <c r="Q352">
        <f>計算表!Q352</f>
        <v>0</v>
      </c>
      <c r="R352">
        <f>計算表!R352</f>
        <v>0</v>
      </c>
    </row>
    <row r="353" spans="1:18" x14ac:dyDescent="0.25">
      <c r="A353">
        <f>計算表!A353</f>
        <v>352</v>
      </c>
      <c r="B353" s="2">
        <f>計算表!B353</f>
        <v>0</v>
      </c>
      <c r="C353" t="str">
        <f>計算表!C353</f>
        <v>表-神鑄特效</v>
      </c>
      <c r="D353" t="str">
        <f>計算表!D353</f>
        <v>破滅</v>
      </c>
      <c r="E353" t="str">
        <f>計算表!E353</f>
        <v>數值 = a × rnd(0.8, 1.2)</v>
      </c>
      <c r="F353" t="str">
        <f>計算表!F353</f>
        <v>暴擊時 v% 機率傷害翻倍（僅神鑄創世裝備，生成必帶 2 條）。</v>
      </c>
      <c r="G353">
        <f>計算表!G353</f>
        <v>15</v>
      </c>
      <c r="H353">
        <f>計算表!H353</f>
        <v>0</v>
      </c>
      <c r="I353">
        <f>計算表!I353</f>
        <v>0</v>
      </c>
      <c r="J353">
        <f>計算表!J353</f>
        <v>0</v>
      </c>
      <c r="K353">
        <f>計算表!K353</f>
        <v>0</v>
      </c>
      <c r="L353">
        <f>計算表!L353</f>
        <v>0</v>
      </c>
      <c r="M353">
        <f>計算表!M353</f>
        <v>0</v>
      </c>
      <c r="N353">
        <f>計算表!N353</f>
        <v>0</v>
      </c>
      <c r="O353">
        <f>計算表!O353</f>
        <v>0</v>
      </c>
      <c r="P353">
        <f>計算表!P353</f>
        <v>0</v>
      </c>
      <c r="Q353">
        <f>計算表!Q353</f>
        <v>0</v>
      </c>
      <c r="R353">
        <f>計算表!R353</f>
        <v>0</v>
      </c>
    </row>
    <row r="354" spans="1:18" x14ac:dyDescent="0.25">
      <c r="A354">
        <f>計算表!A354</f>
        <v>353</v>
      </c>
      <c r="B354" s="2">
        <f>計算表!B354</f>
        <v>0</v>
      </c>
      <c r="C354" t="str">
        <f>計算表!C354</f>
        <v>表-神鑄特效</v>
      </c>
      <c r="D354" t="str">
        <f>計算表!D354</f>
        <v>聖佑</v>
      </c>
      <c r="E354" t="str">
        <f>計算表!E354</f>
        <v>數值 = a × rnd(0.8, 1.2)</v>
      </c>
      <c r="F354" t="str">
        <f>計算表!F354</f>
        <v>受到的所有傷害降低 v%（上限 50%）（僅神鑄創世裝備，生成必帶 2 條）。</v>
      </c>
      <c r="G354">
        <f>計算表!G354</f>
        <v>8</v>
      </c>
      <c r="H354">
        <f>計算表!H354</f>
        <v>0</v>
      </c>
      <c r="I354">
        <f>計算表!I354</f>
        <v>0</v>
      </c>
      <c r="J354">
        <f>計算表!J354</f>
        <v>0</v>
      </c>
      <c r="K354">
        <f>計算表!K354</f>
        <v>0</v>
      </c>
      <c r="L354">
        <f>計算表!L354</f>
        <v>0</v>
      </c>
      <c r="M354">
        <f>計算表!M354</f>
        <v>0</v>
      </c>
      <c r="N354">
        <f>計算表!N354</f>
        <v>0</v>
      </c>
      <c r="O354">
        <f>計算表!O354</f>
        <v>0</v>
      </c>
      <c r="P354">
        <f>計算表!P354</f>
        <v>0</v>
      </c>
      <c r="Q354">
        <f>計算表!Q354</f>
        <v>0</v>
      </c>
      <c r="R354">
        <f>計算表!R354</f>
        <v>0</v>
      </c>
    </row>
    <row r="355" spans="1:18" x14ac:dyDescent="0.25">
      <c r="A355">
        <f>計算表!A355</f>
        <v>354</v>
      </c>
      <c r="B355" s="2">
        <f>計算表!B355</f>
        <v>0</v>
      </c>
      <c r="C355" t="str">
        <f>計算表!C355</f>
        <v>表-神鑄特效</v>
      </c>
      <c r="D355" t="str">
        <f>計算表!D355</f>
        <v>不朽</v>
      </c>
      <c r="E355" t="str">
        <f>計算表!E355</f>
        <v>數值 = a × rnd(0.8, 1.2)</v>
      </c>
      <c r="F355" t="str">
        <f>計算表!F355</f>
        <v>致命時 v% 機率保 1 血並回復 30%（60 秒限一次）（僅神鑄創世裝備，生成必帶 2 條）。</v>
      </c>
      <c r="G355">
        <f>計算表!G355</f>
        <v>30</v>
      </c>
      <c r="H355">
        <f>計算表!H355</f>
        <v>0</v>
      </c>
      <c r="I355">
        <f>計算表!I355</f>
        <v>0</v>
      </c>
      <c r="J355">
        <f>計算表!J355</f>
        <v>0</v>
      </c>
      <c r="K355">
        <f>計算表!K355</f>
        <v>0</v>
      </c>
      <c r="L355">
        <f>計算表!L355</f>
        <v>0</v>
      </c>
      <c r="M355">
        <f>計算表!M355</f>
        <v>0</v>
      </c>
      <c r="N355">
        <f>計算表!N355</f>
        <v>0</v>
      </c>
      <c r="O355">
        <f>計算表!O355</f>
        <v>0</v>
      </c>
      <c r="P355">
        <f>計算表!P355</f>
        <v>0</v>
      </c>
      <c r="Q355">
        <f>計算表!Q355</f>
        <v>0</v>
      </c>
      <c r="R355">
        <f>計算表!R355</f>
        <v>0</v>
      </c>
    </row>
    <row r="356" spans="1:18" x14ac:dyDescent="0.25">
      <c r="A356">
        <f>計算表!A356</f>
        <v>355</v>
      </c>
      <c r="B356" s="2">
        <f>計算表!B356</f>
        <v>0</v>
      </c>
      <c r="C356" t="str">
        <f>計算表!C356</f>
        <v>表-神鑄特效</v>
      </c>
      <c r="D356" t="str">
        <f>計算表!D356</f>
        <v>萬象汲取</v>
      </c>
      <c r="E356" t="str">
        <f>計算表!E356</f>
        <v>數值 = a × rnd(0.8, 1.2)</v>
      </c>
      <c r="F356" t="str">
        <f>計算表!F356</f>
        <v>攻擊時額外回復造成傷害 v% 的生命與法力（僅神鑄創世裝備，生成必帶 2 條）。</v>
      </c>
      <c r="G356">
        <f>計算表!G356</f>
        <v>5</v>
      </c>
      <c r="H356">
        <f>計算表!H356</f>
        <v>0</v>
      </c>
      <c r="I356">
        <f>計算表!I356</f>
        <v>0</v>
      </c>
      <c r="J356">
        <f>計算表!J356</f>
        <v>0</v>
      </c>
      <c r="K356">
        <f>計算表!K356</f>
        <v>0</v>
      </c>
      <c r="L356">
        <f>計算表!L356</f>
        <v>0</v>
      </c>
      <c r="M356">
        <f>計算表!M356</f>
        <v>0</v>
      </c>
      <c r="N356">
        <f>計算表!N356</f>
        <v>0</v>
      </c>
      <c r="O356">
        <f>計算表!O356</f>
        <v>0</v>
      </c>
      <c r="P356">
        <f>計算表!P356</f>
        <v>0</v>
      </c>
      <c r="Q356">
        <f>計算表!Q356</f>
        <v>0</v>
      </c>
      <c r="R356">
        <f>計算表!R356</f>
        <v>0</v>
      </c>
    </row>
    <row r="357" spans="1:18" x14ac:dyDescent="0.25">
      <c r="A357">
        <f>計算表!A357</f>
        <v>356</v>
      </c>
      <c r="B357" s="2">
        <f>計算表!B357</f>
        <v>0</v>
      </c>
      <c r="C357" t="str">
        <f>計算表!C357</f>
        <v>表-神鑄特效</v>
      </c>
      <c r="D357" t="str">
        <f>計算表!D357</f>
        <v>神怒</v>
      </c>
      <c r="E357" t="str">
        <f>計算表!E357</f>
        <v>數值 = a × rnd(0.8, 1.2)</v>
      </c>
      <c r="F357" t="str">
        <f>計算表!F357</f>
        <v>生命低於 30% 時傷害提高 v%（僅神鑄創世裝備，生成必帶 2 條）。</v>
      </c>
      <c r="G357">
        <f>計算表!G357</f>
        <v>35</v>
      </c>
      <c r="H357">
        <f>計算表!H357</f>
        <v>0</v>
      </c>
      <c r="I357">
        <f>計算表!I357</f>
        <v>0</v>
      </c>
      <c r="J357">
        <f>計算表!J357</f>
        <v>0</v>
      </c>
      <c r="K357">
        <f>計算表!K357</f>
        <v>0</v>
      </c>
      <c r="L357">
        <f>計算表!L357</f>
        <v>0</v>
      </c>
      <c r="M357">
        <f>計算表!M357</f>
        <v>0</v>
      </c>
      <c r="N357">
        <f>計算表!N357</f>
        <v>0</v>
      </c>
      <c r="O357">
        <f>計算表!O357</f>
        <v>0</v>
      </c>
      <c r="P357">
        <f>計算表!P357</f>
        <v>0</v>
      </c>
      <c r="Q357">
        <f>計算表!Q357</f>
        <v>0</v>
      </c>
      <c r="R357">
        <f>計算表!R357</f>
        <v>0</v>
      </c>
    </row>
    <row r="358" spans="1:18" x14ac:dyDescent="0.25">
      <c r="A358">
        <f>計算表!A358</f>
        <v>357</v>
      </c>
      <c r="B358" s="2">
        <f>計算表!B358</f>
        <v>0</v>
      </c>
      <c r="C358" t="str">
        <f>計算表!C358</f>
        <v>表-寶石種類</v>
      </c>
      <c r="D358" t="str">
        <f>計算表!D358</f>
        <v>紅寶石</v>
      </c>
      <c r="E358" t="str">
        <f>計算表!E358</f>
        <v>數值 = a × 等級 × (1+0.2×(等級-1))</v>
      </c>
      <c r="F358" t="str">
        <f>計算表!F358</f>
        <v>對應屬性=b。a=一級基準 c=百分比。</v>
      </c>
      <c r="G358">
        <f>計算表!G358</f>
        <v>6</v>
      </c>
      <c r="H358" t="str">
        <f>計算表!H358</f>
        <v>物理攻擊</v>
      </c>
      <c r="I358" t="str">
        <f>計算表!I358</f>
        <v>否</v>
      </c>
      <c r="J358">
        <f>計算表!J358</f>
        <v>0</v>
      </c>
      <c r="K358">
        <f>計算表!K358</f>
        <v>0</v>
      </c>
      <c r="L358">
        <f>計算表!L358</f>
        <v>0</v>
      </c>
      <c r="M358">
        <f>計算表!M358</f>
        <v>0</v>
      </c>
      <c r="N358">
        <f>計算表!N358</f>
        <v>0</v>
      </c>
      <c r="O358">
        <f>計算表!O358</f>
        <v>0</v>
      </c>
      <c r="P358">
        <f>計算表!P358</f>
        <v>0</v>
      </c>
      <c r="Q358">
        <f>計算表!Q358</f>
        <v>0</v>
      </c>
      <c r="R358">
        <f>計算表!R358</f>
        <v>0</v>
      </c>
    </row>
    <row r="359" spans="1:18" x14ac:dyDescent="0.25">
      <c r="A359">
        <f>計算表!A359</f>
        <v>358</v>
      </c>
      <c r="B359" s="2">
        <f>計算表!B359</f>
        <v>0</v>
      </c>
      <c r="C359" t="str">
        <f>計算表!C359</f>
        <v>表-寶石種類</v>
      </c>
      <c r="D359" t="str">
        <f>計算表!D359</f>
        <v>藍寶石</v>
      </c>
      <c r="E359" t="str">
        <f>計算表!E359</f>
        <v>數值 = a × 等級 × (1+0.2×(等級-1))</v>
      </c>
      <c r="F359" t="str">
        <f>計算表!F359</f>
        <v>對應屬性=b。a=一級基準 c=百分比。</v>
      </c>
      <c r="G359">
        <f>計算表!G359</f>
        <v>6</v>
      </c>
      <c r="H359" t="str">
        <f>計算表!H359</f>
        <v>魔法攻擊</v>
      </c>
      <c r="I359" t="str">
        <f>計算表!I359</f>
        <v>否</v>
      </c>
      <c r="J359">
        <f>計算表!J359</f>
        <v>0</v>
      </c>
      <c r="K359">
        <f>計算表!K359</f>
        <v>0</v>
      </c>
      <c r="L359">
        <f>計算表!L359</f>
        <v>0</v>
      </c>
      <c r="M359">
        <f>計算表!M359</f>
        <v>0</v>
      </c>
      <c r="N359">
        <f>計算表!N359</f>
        <v>0</v>
      </c>
      <c r="O359">
        <f>計算表!O359</f>
        <v>0</v>
      </c>
      <c r="P359">
        <f>計算表!P359</f>
        <v>0</v>
      </c>
      <c r="Q359">
        <f>計算表!Q359</f>
        <v>0</v>
      </c>
      <c r="R359">
        <f>計算表!R359</f>
        <v>0</v>
      </c>
    </row>
    <row r="360" spans="1:18" x14ac:dyDescent="0.25">
      <c r="A360">
        <f>計算表!A360</f>
        <v>359</v>
      </c>
      <c r="B360" s="2">
        <f>計算表!B360</f>
        <v>0</v>
      </c>
      <c r="C360" t="str">
        <f>計算表!C360</f>
        <v>表-寶石種類</v>
      </c>
      <c r="D360" t="str">
        <f>計算表!D360</f>
        <v>黃玉</v>
      </c>
      <c r="E360" t="str">
        <f>計算表!E360</f>
        <v>數值 = a × 等級 × (1+0.2×(等級-1))</v>
      </c>
      <c r="F360" t="str">
        <f>計算表!F360</f>
        <v>對應屬性=b。a=一級基準 c=百分比。</v>
      </c>
      <c r="G360">
        <f>計算表!G360</f>
        <v>40</v>
      </c>
      <c r="H360" t="str">
        <f>計算表!H360</f>
        <v>生命值</v>
      </c>
      <c r="I360" t="str">
        <f>計算表!I360</f>
        <v>否</v>
      </c>
      <c r="J360">
        <f>計算表!J360</f>
        <v>0</v>
      </c>
      <c r="K360">
        <f>計算表!K360</f>
        <v>0</v>
      </c>
      <c r="L360">
        <f>計算表!L360</f>
        <v>0</v>
      </c>
      <c r="M360">
        <f>計算表!M360</f>
        <v>0</v>
      </c>
      <c r="N360">
        <f>計算表!N360</f>
        <v>0</v>
      </c>
      <c r="O360">
        <f>計算表!O360</f>
        <v>0</v>
      </c>
      <c r="P360">
        <f>計算表!P360</f>
        <v>0</v>
      </c>
      <c r="Q360">
        <f>計算表!Q360</f>
        <v>0</v>
      </c>
      <c r="R360">
        <f>計算表!R360</f>
        <v>0</v>
      </c>
    </row>
    <row r="361" spans="1:18" x14ac:dyDescent="0.25">
      <c r="A361">
        <f>計算表!A361</f>
        <v>360</v>
      </c>
      <c r="B361" s="2">
        <f>計算表!B361</f>
        <v>0</v>
      </c>
      <c r="C361" t="str">
        <f>計算表!C361</f>
        <v>表-寶石種類</v>
      </c>
      <c r="D361" t="str">
        <f>計算表!D361</f>
        <v>綠寶石</v>
      </c>
      <c r="E361" t="str">
        <f>計算表!E361</f>
        <v>數值 = a × 等級 × (1+0.2×(等級-1))</v>
      </c>
      <c r="F361" t="str">
        <f>計算表!F361</f>
        <v>對應屬性=b。a=一級基準 c=百分比。</v>
      </c>
      <c r="G361">
        <f>計算表!G361</f>
        <v>3</v>
      </c>
      <c r="H361" t="str">
        <f>計算表!H361</f>
        <v>生命恢復/秒</v>
      </c>
      <c r="I361" t="str">
        <f>計算表!I361</f>
        <v>否</v>
      </c>
      <c r="J361">
        <f>計算表!J361</f>
        <v>0</v>
      </c>
      <c r="K361">
        <f>計算表!K361</f>
        <v>0</v>
      </c>
      <c r="L361">
        <f>計算表!L361</f>
        <v>0</v>
      </c>
      <c r="M361">
        <f>計算表!M361</f>
        <v>0</v>
      </c>
      <c r="N361">
        <f>計算表!N361</f>
        <v>0</v>
      </c>
      <c r="O361">
        <f>計算表!O361</f>
        <v>0</v>
      </c>
      <c r="P361">
        <f>計算表!P361</f>
        <v>0</v>
      </c>
      <c r="Q361">
        <f>計算表!Q361</f>
        <v>0</v>
      </c>
      <c r="R361">
        <f>計算表!R361</f>
        <v>0</v>
      </c>
    </row>
    <row r="362" spans="1:18" x14ac:dyDescent="0.25">
      <c r="A362">
        <f>計算表!A362</f>
        <v>361</v>
      </c>
      <c r="B362" s="2">
        <f>計算表!B362</f>
        <v>0</v>
      </c>
      <c r="C362" t="str">
        <f>計算表!C362</f>
        <v>表-寶石種類</v>
      </c>
      <c r="D362" t="str">
        <f>計算表!D362</f>
        <v>鑽石</v>
      </c>
      <c r="E362" t="str">
        <f>計算表!E362</f>
        <v>數值 = a × 等級 × (1+0.2×(等級-1))</v>
      </c>
      <c r="F362" t="str">
        <f>計算表!F362</f>
        <v>對應屬性=b。a=一級基準 c=百分比。</v>
      </c>
      <c r="G362">
        <f>計算表!G362</f>
        <v>5</v>
      </c>
      <c r="H362" t="str">
        <f>計算表!H362</f>
        <v>物理防禦</v>
      </c>
      <c r="I362" t="str">
        <f>計算表!I362</f>
        <v>否</v>
      </c>
      <c r="J362">
        <f>計算表!J362</f>
        <v>0</v>
      </c>
      <c r="K362">
        <f>計算表!K362</f>
        <v>0</v>
      </c>
      <c r="L362">
        <f>計算表!L362</f>
        <v>0</v>
      </c>
      <c r="M362">
        <f>計算表!M362</f>
        <v>0</v>
      </c>
      <c r="N362">
        <f>計算表!N362</f>
        <v>0</v>
      </c>
      <c r="O362">
        <f>計算表!O362</f>
        <v>0</v>
      </c>
      <c r="P362">
        <f>計算表!P362</f>
        <v>0</v>
      </c>
      <c r="Q362">
        <f>計算表!Q362</f>
        <v>0</v>
      </c>
      <c r="R362">
        <f>計算表!R362</f>
        <v>0</v>
      </c>
    </row>
    <row r="363" spans="1:18" x14ac:dyDescent="0.25">
      <c r="A363">
        <f>計算表!A363</f>
        <v>362</v>
      </c>
      <c r="B363" s="2">
        <f>計算表!B363</f>
        <v>0</v>
      </c>
      <c r="C363" t="str">
        <f>計算表!C363</f>
        <v>表-寶石種類</v>
      </c>
      <c r="D363" t="str">
        <f>計算表!D363</f>
        <v>青金石</v>
      </c>
      <c r="E363" t="str">
        <f>計算表!E363</f>
        <v>數值 = a × 等級 × (1+0.2×(等級-1))</v>
      </c>
      <c r="F363" t="str">
        <f>計算表!F363</f>
        <v>對應屬性=b。a=一級基準 c=百分比。</v>
      </c>
      <c r="G363">
        <f>計算表!G363</f>
        <v>5</v>
      </c>
      <c r="H363" t="str">
        <f>計算表!H363</f>
        <v>魔法防禦</v>
      </c>
      <c r="I363" t="str">
        <f>計算表!I363</f>
        <v>否</v>
      </c>
      <c r="J363">
        <f>計算表!J363</f>
        <v>0</v>
      </c>
      <c r="K363">
        <f>計算表!K363</f>
        <v>0</v>
      </c>
      <c r="L363">
        <f>計算表!L363</f>
        <v>0</v>
      </c>
      <c r="M363">
        <f>計算表!M363</f>
        <v>0</v>
      </c>
      <c r="N363">
        <f>計算表!N363</f>
        <v>0</v>
      </c>
      <c r="O363">
        <f>計算表!O363</f>
        <v>0</v>
      </c>
      <c r="P363">
        <f>計算表!P363</f>
        <v>0</v>
      </c>
      <c r="Q363">
        <f>計算表!Q363</f>
        <v>0</v>
      </c>
      <c r="R363">
        <f>計算表!R363</f>
        <v>0</v>
      </c>
    </row>
    <row r="364" spans="1:18" x14ac:dyDescent="0.25">
      <c r="A364">
        <f>計算表!A364</f>
        <v>363</v>
      </c>
      <c r="B364" s="2">
        <f>計算表!B364</f>
        <v>0</v>
      </c>
      <c r="C364" t="str">
        <f>計算表!C364</f>
        <v>表-寶石種類</v>
      </c>
      <c r="D364" t="str">
        <f>計算表!D364</f>
        <v>紫水晶</v>
      </c>
      <c r="E364" t="str">
        <f>計算表!E364</f>
        <v>數值 = a × 等級 × (1+0.2×(等級-1))</v>
      </c>
      <c r="F364" t="str">
        <f>計算表!F364</f>
        <v>對應屬性=b。a=一級基準 c=百分比。</v>
      </c>
      <c r="G364">
        <f>計算表!G364</f>
        <v>1.5</v>
      </c>
      <c r="H364" t="str">
        <f>計算表!H364</f>
        <v>暴擊率%</v>
      </c>
      <c r="I364" t="str">
        <f>計算表!I364</f>
        <v>是</v>
      </c>
      <c r="J364">
        <f>計算表!J364</f>
        <v>0</v>
      </c>
      <c r="K364">
        <f>計算表!K364</f>
        <v>0</v>
      </c>
      <c r="L364">
        <f>計算表!L364</f>
        <v>0</v>
      </c>
      <c r="M364">
        <f>計算表!M364</f>
        <v>0</v>
      </c>
      <c r="N364">
        <f>計算表!N364</f>
        <v>0</v>
      </c>
      <c r="O364">
        <f>計算表!O364</f>
        <v>0</v>
      </c>
      <c r="P364">
        <f>計算表!P364</f>
        <v>0</v>
      </c>
      <c r="Q364">
        <f>計算表!Q364</f>
        <v>0</v>
      </c>
      <c r="R364">
        <f>計算表!R364</f>
        <v>0</v>
      </c>
    </row>
    <row r="365" spans="1:18" x14ac:dyDescent="0.25">
      <c r="A365">
        <f>計算表!A365</f>
        <v>364</v>
      </c>
      <c r="B365" s="2">
        <f>計算表!B365</f>
        <v>0</v>
      </c>
      <c r="C365" t="str">
        <f>計算表!C365</f>
        <v>表-寶石種類</v>
      </c>
      <c r="D365" t="str">
        <f>計算表!D365</f>
        <v>石榴石</v>
      </c>
      <c r="E365" t="str">
        <f>計算表!E365</f>
        <v>數值 = a × 等級 × (1+0.2×(等級-1))</v>
      </c>
      <c r="F365" t="str">
        <f>計算表!F365</f>
        <v>對應屬性=b。a=一級基準 c=百分比。</v>
      </c>
      <c r="G365">
        <f>計算表!G365</f>
        <v>5</v>
      </c>
      <c r="H365" t="str">
        <f>計算表!H365</f>
        <v>暴擊傷害%</v>
      </c>
      <c r="I365" t="str">
        <f>計算表!I365</f>
        <v>是</v>
      </c>
      <c r="J365">
        <f>計算表!J365</f>
        <v>0</v>
      </c>
      <c r="K365">
        <f>計算表!K365</f>
        <v>0</v>
      </c>
      <c r="L365">
        <f>計算表!L365</f>
        <v>0</v>
      </c>
      <c r="M365">
        <f>計算表!M365</f>
        <v>0</v>
      </c>
      <c r="N365">
        <f>計算表!N365</f>
        <v>0</v>
      </c>
      <c r="O365">
        <f>計算表!O365</f>
        <v>0</v>
      </c>
      <c r="P365">
        <f>計算表!P365</f>
        <v>0</v>
      </c>
      <c r="Q365">
        <f>計算表!Q365</f>
        <v>0</v>
      </c>
      <c r="R365">
        <f>計算表!R365</f>
        <v>0</v>
      </c>
    </row>
    <row r="366" spans="1:18" x14ac:dyDescent="0.25">
      <c r="A366">
        <f>計算表!A366</f>
        <v>365</v>
      </c>
      <c r="B366" s="2">
        <f>計算表!B366</f>
        <v>0</v>
      </c>
      <c r="C366" t="str">
        <f>計算表!C366</f>
        <v>表-寶石種類</v>
      </c>
      <c r="D366" t="str">
        <f>計算表!D366</f>
        <v>蛋白石</v>
      </c>
      <c r="E366" t="str">
        <f>計算表!E366</f>
        <v>數值 = a × 等級 × (1+0.2×(等級-1))</v>
      </c>
      <c r="F366" t="str">
        <f>計算表!F366</f>
        <v>對應屬性=b。a=一級基準 c=百分比。</v>
      </c>
      <c r="G366">
        <f>計算表!G366</f>
        <v>1.5</v>
      </c>
      <c r="H366" t="str">
        <f>計算表!H366</f>
        <v>攻擊速度%</v>
      </c>
      <c r="I366" t="str">
        <f>計算表!I366</f>
        <v>是</v>
      </c>
      <c r="J366">
        <f>計算表!J366</f>
        <v>0</v>
      </c>
      <c r="K366">
        <f>計算表!K366</f>
        <v>0</v>
      </c>
      <c r="L366">
        <f>計算表!L366</f>
        <v>0</v>
      </c>
      <c r="M366">
        <f>計算表!M366</f>
        <v>0</v>
      </c>
      <c r="N366">
        <f>計算表!N366</f>
        <v>0</v>
      </c>
      <c r="O366">
        <f>計算表!O366</f>
        <v>0</v>
      </c>
      <c r="P366">
        <f>計算表!P366</f>
        <v>0</v>
      </c>
      <c r="Q366">
        <f>計算表!Q366</f>
        <v>0</v>
      </c>
      <c r="R366">
        <f>計算表!R366</f>
        <v>0</v>
      </c>
    </row>
    <row r="367" spans="1:18" x14ac:dyDescent="0.25">
      <c r="A367">
        <f>計算表!A367</f>
        <v>366</v>
      </c>
      <c r="B367" s="2">
        <f>計算表!B367</f>
        <v>0</v>
      </c>
      <c r="C367" t="str">
        <f>計算表!C367</f>
        <v>表-寶石種類</v>
      </c>
      <c r="D367" t="str">
        <f>計算表!D367</f>
        <v>黑曜石</v>
      </c>
      <c r="E367" t="str">
        <f>計算表!E367</f>
        <v>數值 = a × 等級 × (1+0.2×(等級-1))</v>
      </c>
      <c r="F367" t="str">
        <f>計算表!F367</f>
        <v>對應屬性=b。a=一級基準 c=百分比。</v>
      </c>
      <c r="G367">
        <f>計算表!G367</f>
        <v>1</v>
      </c>
      <c r="H367" t="str">
        <f>計算表!H367</f>
        <v>吸血%</v>
      </c>
      <c r="I367" t="str">
        <f>計算表!I367</f>
        <v>是</v>
      </c>
      <c r="J367">
        <f>計算表!J367</f>
        <v>0</v>
      </c>
      <c r="K367">
        <f>計算表!K367</f>
        <v>0</v>
      </c>
      <c r="L367">
        <f>計算表!L367</f>
        <v>0</v>
      </c>
      <c r="M367">
        <f>計算表!M367</f>
        <v>0</v>
      </c>
      <c r="N367">
        <f>計算表!N367</f>
        <v>0</v>
      </c>
      <c r="O367">
        <f>計算表!O367</f>
        <v>0</v>
      </c>
      <c r="P367">
        <f>計算表!P367</f>
        <v>0</v>
      </c>
      <c r="Q367">
        <f>計算表!Q367</f>
        <v>0</v>
      </c>
      <c r="R367">
        <f>計算表!R367</f>
        <v>0</v>
      </c>
    </row>
    <row r="368" spans="1:18" x14ac:dyDescent="0.25">
      <c r="A368">
        <f>計算表!A368</f>
        <v>367</v>
      </c>
      <c r="B368" s="2">
        <f>計算表!B368</f>
        <v>0</v>
      </c>
      <c r="C368" t="str">
        <f>計算表!C368</f>
        <v>表-寶石種類</v>
      </c>
      <c r="D368" t="str">
        <f>計算表!D368</f>
        <v>月光石</v>
      </c>
      <c r="E368" t="str">
        <f>計算表!E368</f>
        <v>數值 = a × 等級 × (1+0.2×(等級-1))</v>
      </c>
      <c r="F368" t="str">
        <f>計算表!F368</f>
        <v>對應屬性=b。a=一級基準 c=百分比。</v>
      </c>
      <c r="G368">
        <f>計算表!G368</f>
        <v>1</v>
      </c>
      <c r="H368" t="str">
        <f>計算表!H368</f>
        <v>閃避率%</v>
      </c>
      <c r="I368" t="str">
        <f>計算表!I368</f>
        <v>是</v>
      </c>
      <c r="J368">
        <f>計算表!J368</f>
        <v>0</v>
      </c>
      <c r="K368">
        <f>計算表!K368</f>
        <v>0</v>
      </c>
      <c r="L368">
        <f>計算表!L368</f>
        <v>0</v>
      </c>
      <c r="M368">
        <f>計算表!M368</f>
        <v>0</v>
      </c>
      <c r="N368">
        <f>計算表!N368</f>
        <v>0</v>
      </c>
      <c r="O368">
        <f>計算表!O368</f>
        <v>0</v>
      </c>
      <c r="P368">
        <f>計算表!P368</f>
        <v>0</v>
      </c>
      <c r="Q368">
        <f>計算表!Q368</f>
        <v>0</v>
      </c>
      <c r="R368">
        <f>計算表!R368</f>
        <v>0</v>
      </c>
    </row>
    <row r="369" spans="1:18" x14ac:dyDescent="0.25">
      <c r="A369">
        <f>計算表!A369</f>
        <v>368</v>
      </c>
      <c r="B369" s="2">
        <f>計算表!B369</f>
        <v>0</v>
      </c>
      <c r="C369" t="str">
        <f>計算表!C369</f>
        <v>表-寶石種類</v>
      </c>
      <c r="D369" t="str">
        <f>計算表!D369</f>
        <v>太陽石</v>
      </c>
      <c r="E369" t="str">
        <f>計算表!E369</f>
        <v>數值 = a × 等級 × (1+0.2×(等級-1))</v>
      </c>
      <c r="F369" t="str">
        <f>計算表!F369</f>
        <v>對應屬性=b。a=一級基準 c=百分比。</v>
      </c>
      <c r="G369">
        <f>計算表!G369</f>
        <v>1.5</v>
      </c>
      <c r="H369" t="str">
        <f>計算表!H369</f>
        <v>幸運值</v>
      </c>
      <c r="I369" t="str">
        <f>計算表!I369</f>
        <v>否</v>
      </c>
      <c r="J369">
        <f>計算表!J369</f>
        <v>0</v>
      </c>
      <c r="K369">
        <f>計算表!K369</f>
        <v>0</v>
      </c>
      <c r="L369">
        <f>計算表!L369</f>
        <v>0</v>
      </c>
      <c r="M369">
        <f>計算表!M369</f>
        <v>0</v>
      </c>
      <c r="N369">
        <f>計算表!N369</f>
        <v>0</v>
      </c>
      <c r="O369">
        <f>計算表!O369</f>
        <v>0</v>
      </c>
      <c r="P369">
        <f>計算表!P369</f>
        <v>0</v>
      </c>
      <c r="Q369">
        <f>計算表!Q369</f>
        <v>0</v>
      </c>
      <c r="R369">
        <f>計算表!R369</f>
        <v>0</v>
      </c>
    </row>
    <row r="370" spans="1:18" x14ac:dyDescent="0.25">
      <c r="A370">
        <f>計算表!A370</f>
        <v>369</v>
      </c>
      <c r="B370" s="2">
        <f>計算表!B370</f>
        <v>0</v>
      </c>
      <c r="C370" t="str">
        <f>計算表!C370</f>
        <v>表-寶石種類</v>
      </c>
      <c r="D370" t="str">
        <f>計算表!D370</f>
        <v>翡翠</v>
      </c>
      <c r="E370" t="str">
        <f>計算表!E370</f>
        <v>數值 = a × 等級 × (1+0.2×(等級-1))</v>
      </c>
      <c r="F370" t="str">
        <f>計算表!F370</f>
        <v>對應屬性=b。a=一級基準 c=百分比。</v>
      </c>
      <c r="G370">
        <f>計算表!G370</f>
        <v>1.5</v>
      </c>
      <c r="H370" t="str">
        <f>計算表!H370</f>
        <v>韌性%</v>
      </c>
      <c r="I370" t="str">
        <f>計算表!I370</f>
        <v>是</v>
      </c>
      <c r="J370">
        <f>計算表!J370</f>
        <v>0</v>
      </c>
      <c r="K370">
        <f>計算表!K370</f>
        <v>0</v>
      </c>
      <c r="L370">
        <f>計算表!L370</f>
        <v>0</v>
      </c>
      <c r="M370">
        <f>計算表!M370</f>
        <v>0</v>
      </c>
      <c r="N370">
        <f>計算表!N370</f>
        <v>0</v>
      </c>
      <c r="O370">
        <f>計算表!O370</f>
        <v>0</v>
      </c>
      <c r="P370">
        <f>計算表!P370</f>
        <v>0</v>
      </c>
      <c r="Q370">
        <f>計算表!Q370</f>
        <v>0</v>
      </c>
      <c r="R370">
        <f>計算表!R370</f>
        <v>0</v>
      </c>
    </row>
    <row r="371" spans="1:18" x14ac:dyDescent="0.25">
      <c r="A371">
        <f>計算表!A371</f>
        <v>370</v>
      </c>
      <c r="B371" s="2">
        <f>計算表!B371</f>
        <v>0</v>
      </c>
      <c r="C371" t="str">
        <f>計算表!C371</f>
        <v>表-寶石種類</v>
      </c>
      <c r="D371" t="str">
        <f>計算表!D371</f>
        <v>綠松石</v>
      </c>
      <c r="E371" t="str">
        <f>計算表!E371</f>
        <v>數值 = a × 等級 × (1+0.2×(等級-1))</v>
      </c>
      <c r="F371" t="str">
        <f>計算表!F371</f>
        <v>對應屬性=b。a=一級基準 c=百分比。</v>
      </c>
      <c r="G371">
        <f>計算表!G371</f>
        <v>1</v>
      </c>
      <c r="H371" t="str">
        <f>計算表!H371</f>
        <v>格擋率%</v>
      </c>
      <c r="I371" t="str">
        <f>計算表!I371</f>
        <v>是</v>
      </c>
      <c r="J371">
        <f>計算表!J371</f>
        <v>0</v>
      </c>
      <c r="K371">
        <f>計算表!K371</f>
        <v>0</v>
      </c>
      <c r="L371">
        <f>計算表!L371</f>
        <v>0</v>
      </c>
      <c r="M371">
        <f>計算表!M371</f>
        <v>0</v>
      </c>
      <c r="N371">
        <f>計算表!N371</f>
        <v>0</v>
      </c>
      <c r="O371">
        <f>計算表!O371</f>
        <v>0</v>
      </c>
      <c r="P371">
        <f>計算表!P371</f>
        <v>0</v>
      </c>
      <c r="Q371">
        <f>計算表!Q371</f>
        <v>0</v>
      </c>
      <c r="R371">
        <f>計算表!R371</f>
        <v>0</v>
      </c>
    </row>
    <row r="372" spans="1:18" x14ac:dyDescent="0.25">
      <c r="A372">
        <f>計算表!A372</f>
        <v>371</v>
      </c>
      <c r="B372" s="2">
        <f>計算表!B372</f>
        <v>0</v>
      </c>
      <c r="C372" t="str">
        <f>計算表!C372</f>
        <v>表-寶石種類</v>
      </c>
      <c r="D372" t="str">
        <f>計算表!D372</f>
        <v>瑪瑙</v>
      </c>
      <c r="E372" t="str">
        <f>計算表!E372</f>
        <v>數值 = a × 等級 × (1+0.2×(等級-1))</v>
      </c>
      <c r="F372" t="str">
        <f>計算表!F372</f>
        <v>對應屬性=b。a=一級基準 c=百分比。</v>
      </c>
      <c r="G372">
        <f>計算表!G372</f>
        <v>1.5</v>
      </c>
      <c r="H372" t="str">
        <f>計算表!H372</f>
        <v>格擋減傷%</v>
      </c>
      <c r="I372" t="str">
        <f>計算表!I372</f>
        <v>是</v>
      </c>
      <c r="J372">
        <f>計算表!J372</f>
        <v>0</v>
      </c>
      <c r="K372">
        <f>計算表!K372</f>
        <v>0</v>
      </c>
      <c r="L372">
        <f>計算表!L372</f>
        <v>0</v>
      </c>
      <c r="M372">
        <f>計算表!M372</f>
        <v>0</v>
      </c>
      <c r="N372">
        <f>計算表!N372</f>
        <v>0</v>
      </c>
      <c r="O372">
        <f>計算表!O372</f>
        <v>0</v>
      </c>
      <c r="P372">
        <f>計算表!P372</f>
        <v>0</v>
      </c>
      <c r="Q372">
        <f>計算表!Q372</f>
        <v>0</v>
      </c>
      <c r="R372">
        <f>計算表!R372</f>
        <v>0</v>
      </c>
    </row>
    <row r="373" spans="1:18" x14ac:dyDescent="0.25">
      <c r="A373">
        <f>計算表!A373</f>
        <v>372</v>
      </c>
      <c r="B373" s="2">
        <f>計算表!B373</f>
        <v>0</v>
      </c>
      <c r="C373" t="str">
        <f>計算表!C373</f>
        <v>表-寶石種類</v>
      </c>
      <c r="D373" t="str">
        <f>計算表!D373</f>
        <v>珍珠</v>
      </c>
      <c r="E373" t="str">
        <f>計算表!E373</f>
        <v>數值 = a × 等級 × (1+0.2×(等級-1))</v>
      </c>
      <c r="F373" t="str">
        <f>計算表!F373</f>
        <v>對應屬性=b。a=一級基準 c=百分比。</v>
      </c>
      <c r="G373">
        <f>計算表!G373</f>
        <v>2</v>
      </c>
      <c r="H373" t="str">
        <f>計算表!H373</f>
        <v>護盾效率%</v>
      </c>
      <c r="I373" t="str">
        <f>計算表!I373</f>
        <v>是</v>
      </c>
      <c r="J373">
        <f>計算表!J373</f>
        <v>0</v>
      </c>
      <c r="K373">
        <f>計算表!K373</f>
        <v>0</v>
      </c>
      <c r="L373">
        <f>計算表!L373</f>
        <v>0</v>
      </c>
      <c r="M373">
        <f>計算表!M373</f>
        <v>0</v>
      </c>
      <c r="N373">
        <f>計算表!N373</f>
        <v>0</v>
      </c>
      <c r="O373">
        <f>計算表!O373</f>
        <v>0</v>
      </c>
      <c r="P373">
        <f>計算表!P373</f>
        <v>0</v>
      </c>
      <c r="Q373">
        <f>計算表!Q373</f>
        <v>0</v>
      </c>
      <c r="R373">
        <f>計算表!R373</f>
        <v>0</v>
      </c>
    </row>
    <row r="374" spans="1:18" x14ac:dyDescent="0.25">
      <c r="A374">
        <f>計算表!A374</f>
        <v>373</v>
      </c>
      <c r="B374" s="2">
        <f>計算表!B374</f>
        <v>0</v>
      </c>
      <c r="C374" t="str">
        <f>計算表!C374</f>
        <v>表-寶石種類</v>
      </c>
      <c r="D374" t="str">
        <f>計算表!D374</f>
        <v>孔雀石</v>
      </c>
      <c r="E374" t="str">
        <f>計算表!E374</f>
        <v>數值 = a × 等級 × (1+0.2×(等級-1))</v>
      </c>
      <c r="F374" t="str">
        <f>計算表!F374</f>
        <v>對應屬性=b。a=一級基準 c=百分比。</v>
      </c>
      <c r="G374">
        <f>計算表!G374</f>
        <v>0.8</v>
      </c>
      <c r="H374" t="str">
        <f>計算表!H374</f>
        <v>物理抗性%</v>
      </c>
      <c r="I374" t="str">
        <f>計算表!I374</f>
        <v>是</v>
      </c>
      <c r="J374">
        <f>計算表!J374</f>
        <v>0</v>
      </c>
      <c r="K374">
        <f>計算表!K374</f>
        <v>0</v>
      </c>
      <c r="L374">
        <f>計算表!L374</f>
        <v>0</v>
      </c>
      <c r="M374">
        <f>計算表!M374</f>
        <v>0</v>
      </c>
      <c r="N374">
        <f>計算表!N374</f>
        <v>0</v>
      </c>
      <c r="O374">
        <f>計算表!O374</f>
        <v>0</v>
      </c>
      <c r="P374">
        <f>計算表!P374</f>
        <v>0</v>
      </c>
      <c r="Q374">
        <f>計算表!Q374</f>
        <v>0</v>
      </c>
      <c r="R374">
        <f>計算表!R374</f>
        <v>0</v>
      </c>
    </row>
    <row r="375" spans="1:18" x14ac:dyDescent="0.25">
      <c r="A375">
        <f>計算表!A375</f>
        <v>374</v>
      </c>
      <c r="B375" s="2">
        <f>計算表!B375</f>
        <v>0</v>
      </c>
      <c r="C375" t="str">
        <f>計算表!C375</f>
        <v>表-寶石種類</v>
      </c>
      <c r="D375" t="str">
        <f>計算表!D375</f>
        <v>螢石</v>
      </c>
      <c r="E375" t="str">
        <f>計算表!E375</f>
        <v>數值 = a × 等級 × (1+0.2×(等級-1))</v>
      </c>
      <c r="F375" t="str">
        <f>計算表!F375</f>
        <v>對應屬性=b。a=一級基準 c=百分比。</v>
      </c>
      <c r="G375">
        <f>計算表!G375</f>
        <v>0.8</v>
      </c>
      <c r="H375" t="str">
        <f>計算表!H375</f>
        <v>魔法抗性%</v>
      </c>
      <c r="I375" t="str">
        <f>計算表!I375</f>
        <v>是</v>
      </c>
      <c r="J375">
        <f>計算表!J375</f>
        <v>0</v>
      </c>
      <c r="K375">
        <f>計算表!K375</f>
        <v>0</v>
      </c>
      <c r="L375">
        <f>計算表!L375</f>
        <v>0</v>
      </c>
      <c r="M375">
        <f>計算表!M375</f>
        <v>0</v>
      </c>
      <c r="N375">
        <f>計算表!N375</f>
        <v>0</v>
      </c>
      <c r="O375">
        <f>計算表!O375</f>
        <v>0</v>
      </c>
      <c r="P375">
        <f>計算表!P375</f>
        <v>0</v>
      </c>
      <c r="Q375">
        <f>計算表!Q375</f>
        <v>0</v>
      </c>
      <c r="R375">
        <f>計算表!R375</f>
        <v>0</v>
      </c>
    </row>
    <row r="376" spans="1:18" x14ac:dyDescent="0.25">
      <c r="A376">
        <f>計算表!A376</f>
        <v>375</v>
      </c>
      <c r="B376" s="2">
        <f>計算表!B376</f>
        <v>0</v>
      </c>
      <c r="C376" t="str">
        <f>計算表!C376</f>
        <v>表-自動機組零件</v>
      </c>
      <c r="D376" t="str">
        <f>計算表!D376</f>
        <v>加速齒輪</v>
      </c>
      <c r="E376" t="str">
        <f>計算表!E376</f>
        <v>效果值 = a × 階級(T1~T7)</v>
      </c>
      <c r="F376" t="str">
        <f>計算表!F376</f>
        <v>節點=b。分解速度 +v%/階（另固定+50 個百分點）（掉寶類零件效果實際×0.5）。</v>
      </c>
      <c r="G376">
        <f>計算表!G376</f>
        <v>25</v>
      </c>
      <c r="H376" t="str">
        <f>計算表!H376</f>
        <v>salvage</v>
      </c>
      <c r="I376">
        <f>計算表!I376</f>
        <v>0</v>
      </c>
      <c r="J376">
        <f>計算表!J376</f>
        <v>0</v>
      </c>
      <c r="K376">
        <f>計算表!K376</f>
        <v>0</v>
      </c>
      <c r="L376">
        <f>計算表!L376</f>
        <v>0</v>
      </c>
      <c r="M376">
        <f>計算表!M376</f>
        <v>0</v>
      </c>
      <c r="N376">
        <f>計算表!N376</f>
        <v>0</v>
      </c>
      <c r="O376">
        <f>計算表!O376</f>
        <v>0</v>
      </c>
      <c r="P376">
        <f>計算表!P376</f>
        <v>0</v>
      </c>
      <c r="Q376">
        <f>計算表!Q376</f>
        <v>0</v>
      </c>
      <c r="R376">
        <f>計算表!R376</f>
        <v>0</v>
      </c>
    </row>
    <row r="377" spans="1:18" x14ac:dyDescent="0.25">
      <c r="A377">
        <f>計算表!A377</f>
        <v>376</v>
      </c>
      <c r="B377" s="2">
        <f>計算表!B377</f>
        <v>0</v>
      </c>
      <c r="C377" t="str">
        <f>計算表!C377</f>
        <v>表-自動機組零件</v>
      </c>
      <c r="D377" t="str">
        <f>計算表!D377</f>
        <v>碎片熔煉爐</v>
      </c>
      <c r="E377" t="str">
        <f>計算表!E377</f>
        <v>效果值 = a × 階級(T1~T7)</v>
      </c>
      <c r="F377" t="str">
        <f>計算表!F377</f>
        <v>節點=b。分解碎片產量 +v%/階（掉寶類零件效果實際×0.5）。</v>
      </c>
      <c r="G377">
        <f>計算表!G377</f>
        <v>20</v>
      </c>
      <c r="H377" t="str">
        <f>計算表!H377</f>
        <v>salvage</v>
      </c>
      <c r="I377">
        <f>計算表!I377</f>
        <v>0</v>
      </c>
      <c r="J377">
        <f>計算表!J377</f>
        <v>0</v>
      </c>
      <c r="K377">
        <f>計算表!K377</f>
        <v>0</v>
      </c>
      <c r="L377">
        <f>計算表!L377</f>
        <v>0</v>
      </c>
      <c r="M377">
        <f>計算表!M377</f>
        <v>0</v>
      </c>
      <c r="N377">
        <f>計算表!N377</f>
        <v>0</v>
      </c>
      <c r="O377">
        <f>計算表!O377</f>
        <v>0</v>
      </c>
      <c r="P377">
        <f>計算表!P377</f>
        <v>0</v>
      </c>
      <c r="Q377">
        <f>計算表!Q377</f>
        <v>0</v>
      </c>
      <c r="R377">
        <f>計算表!R377</f>
        <v>0</v>
      </c>
    </row>
    <row r="378" spans="1:18" x14ac:dyDescent="0.25">
      <c r="A378">
        <f>計算表!A378</f>
        <v>377</v>
      </c>
      <c r="B378" s="2">
        <f>計算表!B378</f>
        <v>0</v>
      </c>
      <c r="C378" t="str">
        <f>計算表!C378</f>
        <v>表-自動機組零件</v>
      </c>
      <c r="D378" t="str">
        <f>計算表!D378</f>
        <v>淘金濾網</v>
      </c>
      <c r="E378" t="str">
        <f>計算表!E378</f>
        <v>效果值 = a × 階級(T1~T7)</v>
      </c>
      <c r="F378" t="str">
        <f>計算表!F378</f>
        <v>節點=b。分解金幣產量 +v%/階（掉寶類零件效果實際×0.5）。</v>
      </c>
      <c r="G378">
        <f>計算表!G378</f>
        <v>25</v>
      </c>
      <c r="H378" t="str">
        <f>計算表!H378</f>
        <v>salvage</v>
      </c>
      <c r="I378">
        <f>計算表!I378</f>
        <v>0</v>
      </c>
      <c r="J378">
        <f>計算表!J378</f>
        <v>0</v>
      </c>
      <c r="K378">
        <f>計算表!K378</f>
        <v>0</v>
      </c>
      <c r="L378">
        <f>計算表!L378</f>
        <v>0</v>
      </c>
      <c r="M378">
        <f>計算表!M378</f>
        <v>0</v>
      </c>
      <c r="N378">
        <f>計算表!N378</f>
        <v>0</v>
      </c>
      <c r="O378">
        <f>計算表!O378</f>
        <v>0</v>
      </c>
      <c r="P378">
        <f>計算表!P378</f>
        <v>0</v>
      </c>
      <c r="Q378">
        <f>計算表!Q378</f>
        <v>0</v>
      </c>
      <c r="R378">
        <f>計算表!R378</f>
        <v>0</v>
      </c>
    </row>
    <row r="379" spans="1:18" x14ac:dyDescent="0.25">
      <c r="A379">
        <f>計算表!A379</f>
        <v>378</v>
      </c>
      <c r="B379" s="2">
        <f>計算表!B379</f>
        <v>0</v>
      </c>
      <c r="C379" t="str">
        <f>計算表!C379</f>
        <v>表-自動機組零件</v>
      </c>
      <c r="D379" t="str">
        <f>計算表!D379</f>
        <v>精粹透鏡</v>
      </c>
      <c r="E379" t="str">
        <f>計算表!E379</f>
        <v>效果值 = a × 階級(T1~T7)</v>
      </c>
      <c r="F379" t="str">
        <f>計算表!F379</f>
        <v>節點=b。附魔精華拆解產出率 +v%/階（掉寶類零件效果實際×0.5）。</v>
      </c>
      <c r="G379">
        <f>計算表!G379</f>
        <v>20</v>
      </c>
      <c r="H379" t="str">
        <f>計算表!H379</f>
        <v>salvage</v>
      </c>
      <c r="I379">
        <f>計算表!I379</f>
        <v>0</v>
      </c>
      <c r="J379">
        <f>計算表!J379</f>
        <v>0</v>
      </c>
      <c r="K379">
        <f>計算表!K379</f>
        <v>0</v>
      </c>
      <c r="L379">
        <f>計算表!L379</f>
        <v>0</v>
      </c>
      <c r="M379">
        <f>計算表!M379</f>
        <v>0</v>
      </c>
      <c r="N379">
        <f>計算表!N379</f>
        <v>0</v>
      </c>
      <c r="O379">
        <f>計算表!O379</f>
        <v>0</v>
      </c>
      <c r="P379">
        <f>計算表!P379</f>
        <v>0</v>
      </c>
      <c r="Q379">
        <f>計算表!Q379</f>
        <v>0</v>
      </c>
      <c r="R379">
        <f>計算表!R379</f>
        <v>0</v>
      </c>
    </row>
    <row r="380" spans="1:18" x14ac:dyDescent="0.25">
      <c r="A380">
        <f>計算表!A380</f>
        <v>379</v>
      </c>
      <c r="B380" s="2">
        <f>計算表!B380</f>
        <v>0</v>
      </c>
      <c r="C380" t="str">
        <f>計算表!C380</f>
        <v>表-自動機組零件</v>
      </c>
      <c r="D380" t="str">
        <f>計算表!D380</f>
        <v>拓本回收臂</v>
      </c>
      <c r="E380" t="str">
        <f>計算表!E380</f>
        <v>效果值 = a × 階級(T1~T7)</v>
      </c>
      <c r="F380" t="str">
        <f>計算表!F380</f>
        <v>節點=b。分解 v%/階 機率回收 1 本附魔書（掉寶類零件效果實際×0.5）。</v>
      </c>
      <c r="G380">
        <f>計算表!G380</f>
        <v>0.4</v>
      </c>
      <c r="H380" t="str">
        <f>計算表!H380</f>
        <v>salvage</v>
      </c>
      <c r="I380">
        <f>計算表!I380</f>
        <v>0</v>
      </c>
      <c r="J380">
        <f>計算表!J380</f>
        <v>0</v>
      </c>
      <c r="K380">
        <f>計算表!K380</f>
        <v>0</v>
      </c>
      <c r="L380">
        <f>計算表!L380</f>
        <v>0</v>
      </c>
      <c r="M380">
        <f>計算表!M380</f>
        <v>0</v>
      </c>
      <c r="N380">
        <f>計算表!N380</f>
        <v>0</v>
      </c>
      <c r="O380">
        <f>計算表!O380</f>
        <v>0</v>
      </c>
      <c r="P380">
        <f>計算表!P380</f>
        <v>0</v>
      </c>
      <c r="Q380">
        <f>計算表!Q380</f>
        <v>0</v>
      </c>
      <c r="R380">
        <f>計算表!R380</f>
        <v>0</v>
      </c>
    </row>
    <row r="381" spans="1:18" x14ac:dyDescent="0.25">
      <c r="A381">
        <f>計算表!A381</f>
        <v>380</v>
      </c>
      <c r="B381" s="2">
        <f>計算表!B381</f>
        <v>0</v>
      </c>
      <c r="C381" t="str">
        <f>計算表!C381</f>
        <v>表-自動機組零件</v>
      </c>
      <c r="D381" t="str">
        <f>計算表!D381</f>
        <v>複製處理艙</v>
      </c>
      <c r="E381" t="str">
        <f>計算表!E381</f>
        <v>效果值 = a × 階級(T1~T7)</v>
      </c>
      <c r="F381" t="str">
        <f>計算表!F381</f>
        <v>節點=b。分解 v%/階 機率碎片+金幣翻倍（掉寶類零件效果實際×0.5）。</v>
      </c>
      <c r="G381">
        <f>計算表!G381</f>
        <v>3</v>
      </c>
      <c r="H381" t="str">
        <f>計算表!H381</f>
        <v>salvage</v>
      </c>
      <c r="I381">
        <f>計算表!I381</f>
        <v>0</v>
      </c>
      <c r="J381">
        <f>計算表!J381</f>
        <v>0</v>
      </c>
      <c r="K381">
        <f>計算表!K381</f>
        <v>0</v>
      </c>
      <c r="L381">
        <f>計算表!L381</f>
        <v>0</v>
      </c>
      <c r="M381">
        <f>計算表!M381</f>
        <v>0</v>
      </c>
      <c r="N381">
        <f>計算表!N381</f>
        <v>0</v>
      </c>
      <c r="O381">
        <f>計算表!O381</f>
        <v>0</v>
      </c>
      <c r="P381">
        <f>計算表!P381</f>
        <v>0</v>
      </c>
      <c r="Q381">
        <f>計算表!Q381</f>
        <v>0</v>
      </c>
      <c r="R381">
        <f>計算表!R381</f>
        <v>0</v>
      </c>
    </row>
    <row r="382" spans="1:18" x14ac:dyDescent="0.25">
      <c r="A382">
        <f>計算表!A382</f>
        <v>381</v>
      </c>
      <c r="B382" s="2">
        <f>計算表!B382</f>
        <v>0</v>
      </c>
      <c r="C382" t="str">
        <f>計算表!C382</f>
        <v>表-自動機組零件</v>
      </c>
      <c r="D382" t="str">
        <f>計算表!D382</f>
        <v>知識回收器</v>
      </c>
      <c r="E382" t="str">
        <f>計算表!E382</f>
        <v>效果值 = a × 階級(T1~T7)</v>
      </c>
      <c r="F382" t="str">
        <f>計算表!F382</f>
        <v>節點=b。分解 v%/階 機率獲得經驗(裝備等級×25)（掉寶類零件效果實際×0.5）。</v>
      </c>
      <c r="G382">
        <f>計算表!G382</f>
        <v>1.5</v>
      </c>
      <c r="H382" t="str">
        <f>計算表!H382</f>
        <v>salvage</v>
      </c>
      <c r="I382">
        <f>計算表!I382</f>
        <v>0</v>
      </c>
      <c r="J382">
        <f>計算表!J382</f>
        <v>0</v>
      </c>
      <c r="K382">
        <f>計算表!K382</f>
        <v>0</v>
      </c>
      <c r="L382">
        <f>計算表!L382</f>
        <v>0</v>
      </c>
      <c r="M382">
        <f>計算表!M382</f>
        <v>0</v>
      </c>
      <c r="N382">
        <f>計算表!N382</f>
        <v>0</v>
      </c>
      <c r="O382">
        <f>計算表!O382</f>
        <v>0</v>
      </c>
      <c r="P382">
        <f>計算表!P382</f>
        <v>0</v>
      </c>
      <c r="Q382">
        <f>計算表!Q382</f>
        <v>0</v>
      </c>
      <c r="R382">
        <f>計算表!R382</f>
        <v>0</v>
      </c>
    </row>
    <row r="383" spans="1:18" x14ac:dyDescent="0.25">
      <c r="A383">
        <f>計算表!A383</f>
        <v>382</v>
      </c>
      <c r="B383" s="2">
        <f>計算表!B383</f>
        <v>0</v>
      </c>
      <c r="C383" t="str">
        <f>計算表!C383</f>
        <v>表-自動機組零件</v>
      </c>
      <c r="D383" t="str">
        <f>計算表!D383</f>
        <v>探礦核心</v>
      </c>
      <c r="E383" t="str">
        <f>計算表!E383</f>
        <v>效果值 = a × 階級(T1~T7)</v>
      </c>
      <c r="F383" t="str">
        <f>計算表!F383</f>
        <v>節點=b。分解 v%/階 機率額外掉一個零件（掉寶類零件效果實際×0.5）。</v>
      </c>
      <c r="G383">
        <f>計算表!G383</f>
        <v>0.15</v>
      </c>
      <c r="H383" t="str">
        <f>計算表!H383</f>
        <v>salvage</v>
      </c>
      <c r="I383">
        <f>計算表!I383</f>
        <v>0</v>
      </c>
      <c r="J383">
        <f>計算表!J383</f>
        <v>0</v>
      </c>
      <c r="K383">
        <f>計算表!K383</f>
        <v>0</v>
      </c>
      <c r="L383">
        <f>計算表!L383</f>
        <v>0</v>
      </c>
      <c r="M383">
        <f>計算表!M383</f>
        <v>0</v>
      </c>
      <c r="N383">
        <f>計算表!N383</f>
        <v>0</v>
      </c>
      <c r="O383">
        <f>計算表!O383</f>
        <v>0</v>
      </c>
      <c r="P383">
        <f>計算表!P383</f>
        <v>0</v>
      </c>
      <c r="Q383">
        <f>計算表!Q383</f>
        <v>0</v>
      </c>
      <c r="R383">
        <f>計算表!R383</f>
        <v>0</v>
      </c>
    </row>
    <row r="384" spans="1:18" x14ac:dyDescent="0.25">
      <c r="A384">
        <f>計算表!A384</f>
        <v>383</v>
      </c>
      <c r="B384" s="2">
        <f>計算表!B384</f>
        <v>0</v>
      </c>
      <c r="C384" t="str">
        <f>計算表!C384</f>
        <v>表-自動機組零件</v>
      </c>
      <c r="D384" t="str">
        <f>計算表!D384</f>
        <v>幸運晶片</v>
      </c>
      <c r="E384" t="str">
        <f>計算表!E384</f>
        <v>效果值 = a × 階級(T1~T7)</v>
      </c>
      <c r="F384" t="str">
        <f>計算表!F384</f>
        <v>節點=b。分解 v%/階 機率大豐收(碎片/金幣/精華×3)（掉寶類零件效果實際×0.5）。</v>
      </c>
      <c r="G384">
        <f>計算表!G384</f>
        <v>0.5</v>
      </c>
      <c r="H384" t="str">
        <f>計算表!H384</f>
        <v>salvage</v>
      </c>
      <c r="I384">
        <f>計算表!I384</f>
        <v>0</v>
      </c>
      <c r="J384">
        <f>計算表!J384</f>
        <v>0</v>
      </c>
      <c r="K384">
        <f>計算表!K384</f>
        <v>0</v>
      </c>
      <c r="L384">
        <f>計算表!L384</f>
        <v>0</v>
      </c>
      <c r="M384">
        <f>計算表!M384</f>
        <v>0</v>
      </c>
      <c r="N384">
        <f>計算表!N384</f>
        <v>0</v>
      </c>
      <c r="O384">
        <f>計算表!O384</f>
        <v>0</v>
      </c>
      <c r="P384">
        <f>計算表!P384</f>
        <v>0</v>
      </c>
      <c r="Q384">
        <f>計算表!Q384</f>
        <v>0</v>
      </c>
      <c r="R384">
        <f>計算表!R384</f>
        <v>0</v>
      </c>
    </row>
    <row r="385" spans="1:18" x14ac:dyDescent="0.25">
      <c r="A385">
        <f>計算表!A385</f>
        <v>384</v>
      </c>
      <c r="B385" s="2">
        <f>計算表!B385</f>
        <v>0</v>
      </c>
      <c r="C385" t="str">
        <f>計算表!C385</f>
        <v>表-自動機組零件</v>
      </c>
      <c r="D385" t="str">
        <f>計算表!D385</f>
        <v>太古精華萃取器</v>
      </c>
      <c r="E385" t="str">
        <f>計算表!E385</f>
        <v>效果值 = a × 階級(T1~T7)</v>
      </c>
      <c r="F385" t="str">
        <f>計算表!F385</f>
        <v>節點=b。分解太古精華掉落率 +v%/階（掉寶類零件效果實際×0.5）。</v>
      </c>
      <c r="G385">
        <f>計算表!G385</f>
        <v>25</v>
      </c>
      <c r="H385" t="str">
        <f>計算表!H385</f>
        <v>salvage</v>
      </c>
      <c r="I385">
        <f>計算表!I385</f>
        <v>0</v>
      </c>
      <c r="J385">
        <f>計算表!J385</f>
        <v>0</v>
      </c>
      <c r="K385">
        <f>計算表!K385</f>
        <v>0</v>
      </c>
      <c r="L385">
        <f>計算表!L385</f>
        <v>0</v>
      </c>
      <c r="M385">
        <f>計算表!M385</f>
        <v>0</v>
      </c>
      <c r="N385">
        <f>計算表!N385</f>
        <v>0</v>
      </c>
      <c r="O385">
        <f>計算表!O385</f>
        <v>0</v>
      </c>
      <c r="P385">
        <f>計算表!P385</f>
        <v>0</v>
      </c>
      <c r="Q385">
        <f>計算表!Q385</f>
        <v>0</v>
      </c>
      <c r="R385">
        <f>計算表!R385</f>
        <v>0</v>
      </c>
    </row>
    <row r="386" spans="1:18" x14ac:dyDescent="0.25">
      <c r="A386">
        <f>計算表!A386</f>
        <v>385</v>
      </c>
      <c r="B386" s="2">
        <f>計算表!B386</f>
        <v>0</v>
      </c>
      <c r="C386" t="str">
        <f>計算表!C386</f>
        <v>表-自動機組零件</v>
      </c>
      <c r="D386" t="str">
        <f>計算表!D386</f>
        <v>幸運核心</v>
      </c>
      <c r="E386" t="str">
        <f>計算表!E386</f>
        <v>效果值 = a × 階級(T1~T7)</v>
      </c>
      <c r="F386" t="str">
        <f>計算表!F386</f>
        <v>節點=b。合成大成功率 +v%/階（掉寶類零件效果實際×0.5）。</v>
      </c>
      <c r="G386">
        <f>計算表!G386</f>
        <v>8</v>
      </c>
      <c r="H386" t="str">
        <f>計算表!H386</f>
        <v>synth</v>
      </c>
      <c r="I386">
        <f>計算表!I386</f>
        <v>0</v>
      </c>
      <c r="J386">
        <f>計算表!J386</f>
        <v>0</v>
      </c>
      <c r="K386">
        <f>計算表!K386</f>
        <v>0</v>
      </c>
      <c r="L386">
        <f>計算表!L386</f>
        <v>0</v>
      </c>
      <c r="M386">
        <f>計算表!M386</f>
        <v>0</v>
      </c>
      <c r="N386">
        <f>計算表!N386</f>
        <v>0</v>
      </c>
      <c r="O386">
        <f>計算表!O386</f>
        <v>0</v>
      </c>
      <c r="P386">
        <f>計算表!P386</f>
        <v>0</v>
      </c>
      <c r="Q386">
        <f>計算表!Q386</f>
        <v>0</v>
      </c>
      <c r="R386">
        <f>計算表!R386</f>
        <v>0</v>
      </c>
    </row>
    <row r="387" spans="1:18" x14ac:dyDescent="0.25">
      <c r="A387">
        <f>計算表!A387</f>
        <v>386</v>
      </c>
      <c r="B387" s="2">
        <f>計算表!B387</f>
        <v>0</v>
      </c>
      <c r="C387" t="str">
        <f>計算表!C387</f>
        <v>表-自動機組零件</v>
      </c>
      <c r="D387" t="str">
        <f>計算表!D387</f>
        <v>重骰模組</v>
      </c>
      <c r="E387" t="str">
        <f>計算表!E387</f>
        <v>效果值 = a × 階級(T1~T7)</v>
      </c>
      <c r="F387" t="str">
        <f>計算表!F387</f>
        <v>節點=b。合成詞條重骰機率 +v%/階（掉寶類零件效果實際×0.5）。</v>
      </c>
      <c r="G387">
        <f>計算表!G387</f>
        <v>15</v>
      </c>
      <c r="H387" t="str">
        <f>計算表!H387</f>
        <v>synth</v>
      </c>
      <c r="I387">
        <f>計算表!I387</f>
        <v>0</v>
      </c>
      <c r="J387">
        <f>計算表!J387</f>
        <v>0</v>
      </c>
      <c r="K387">
        <f>計算表!K387</f>
        <v>0</v>
      </c>
      <c r="L387">
        <f>計算表!L387</f>
        <v>0</v>
      </c>
      <c r="M387">
        <f>計算表!M387</f>
        <v>0</v>
      </c>
      <c r="N387">
        <f>計算表!N387</f>
        <v>0</v>
      </c>
      <c r="O387">
        <f>計算表!O387</f>
        <v>0</v>
      </c>
      <c r="P387">
        <f>計算表!P387</f>
        <v>0</v>
      </c>
      <c r="Q387">
        <f>計算表!Q387</f>
        <v>0</v>
      </c>
      <c r="R387">
        <f>計算表!R387</f>
        <v>0</v>
      </c>
    </row>
    <row r="388" spans="1:18" x14ac:dyDescent="0.25">
      <c r="A388">
        <f>計算表!A388</f>
        <v>387</v>
      </c>
      <c r="B388" s="2">
        <f>計算表!B388</f>
        <v>0</v>
      </c>
      <c r="C388" t="str">
        <f>計算表!C388</f>
        <v>表-固定參數</v>
      </c>
      <c r="D388" t="str">
        <f>計算表!D388</f>
        <v>出怪間隔</v>
      </c>
      <c r="E388" t="str">
        <f>計算表!E388</f>
        <v>a 秒 × (1-移動速度%)</v>
      </c>
      <c r="F388" t="str">
        <f>計算表!F388</f>
        <v>RESPAWN_DELAY。</v>
      </c>
      <c r="G388">
        <f>計算表!G388</f>
        <v>0.8</v>
      </c>
      <c r="H388">
        <f>計算表!H388</f>
        <v>0</v>
      </c>
      <c r="I388">
        <f>計算表!I388</f>
        <v>0</v>
      </c>
      <c r="J388">
        <f>計算表!J388</f>
        <v>0</v>
      </c>
      <c r="K388">
        <f>計算表!K388</f>
        <v>0</v>
      </c>
      <c r="L388">
        <f>計算表!L388</f>
        <v>0</v>
      </c>
      <c r="M388">
        <f>計算表!M388</f>
        <v>0</v>
      </c>
      <c r="N388">
        <f>計算表!N388</f>
        <v>0</v>
      </c>
      <c r="O388">
        <f>計算表!O388</f>
        <v>0</v>
      </c>
      <c r="P388">
        <f>計算表!P388</f>
        <v>0</v>
      </c>
      <c r="Q388">
        <f>計算表!Q388</f>
        <v>0</v>
      </c>
      <c r="R388">
        <f>計算表!R388</f>
        <v>0</v>
      </c>
    </row>
    <row r="389" spans="1:18" x14ac:dyDescent="0.25">
      <c r="A389">
        <f>計算表!A389</f>
        <v>388</v>
      </c>
      <c r="B389" s="2">
        <f>計算表!B389</f>
        <v>0</v>
      </c>
      <c r="C389" t="str">
        <f>計算表!C389</f>
        <v>表-固定參數</v>
      </c>
      <c r="D389" t="str">
        <f>計算表!D389</f>
        <v>死亡復活時間</v>
      </c>
      <c r="E389" t="str">
        <f>計算表!E389</f>
        <v>a 秒</v>
      </c>
      <c r="F389" t="str">
        <f>計算表!F389</f>
        <v>REVIVE_DELAY。</v>
      </c>
      <c r="G389">
        <f>計算表!G389</f>
        <v>3</v>
      </c>
      <c r="H389">
        <f>計算表!H389</f>
        <v>0</v>
      </c>
      <c r="I389">
        <f>計算表!I389</f>
        <v>0</v>
      </c>
      <c r="J389">
        <f>計算表!J389</f>
        <v>0</v>
      </c>
      <c r="K389">
        <f>計算表!K389</f>
        <v>0</v>
      </c>
      <c r="L389">
        <f>計算表!L389</f>
        <v>0</v>
      </c>
      <c r="M389">
        <f>計算表!M389</f>
        <v>0</v>
      </c>
      <c r="N389">
        <f>計算表!N389</f>
        <v>0</v>
      </c>
      <c r="O389">
        <f>計算表!O389</f>
        <v>0</v>
      </c>
      <c r="P389">
        <f>計算表!P389</f>
        <v>0</v>
      </c>
      <c r="Q389">
        <f>計算表!Q389</f>
        <v>0</v>
      </c>
      <c r="R389">
        <f>計算表!R389</f>
        <v>0</v>
      </c>
    </row>
    <row r="390" spans="1:18" x14ac:dyDescent="0.25">
      <c r="A390">
        <f>計算表!A390</f>
        <v>389</v>
      </c>
      <c r="B390" s="2">
        <f>計算表!B390</f>
        <v>0</v>
      </c>
      <c r="C390" t="str">
        <f>計算表!C390</f>
        <v>表-固定參數</v>
      </c>
      <c r="D390" t="str">
        <f>計算表!D390</f>
        <v>零件階級上限</v>
      </c>
      <c r="E390" t="str">
        <f>計算表!E390</f>
        <v>T a</v>
      </c>
      <c r="F390" t="str">
        <f>計算表!F390</f>
        <v>PART_MAX_TIER。</v>
      </c>
      <c r="G390">
        <f>計算表!G390</f>
        <v>7</v>
      </c>
      <c r="H390">
        <f>計算表!H390</f>
        <v>0</v>
      </c>
      <c r="I390">
        <f>計算表!I390</f>
        <v>0</v>
      </c>
      <c r="J390">
        <f>計算表!J390</f>
        <v>0</v>
      </c>
      <c r="K390">
        <f>計算表!K390</f>
        <v>0</v>
      </c>
      <c r="L390">
        <f>計算表!L390</f>
        <v>0</v>
      </c>
      <c r="M390">
        <f>計算表!M390</f>
        <v>0</v>
      </c>
      <c r="N390">
        <f>計算表!N390</f>
        <v>0</v>
      </c>
      <c r="O390">
        <f>計算表!O390</f>
        <v>0</v>
      </c>
      <c r="P390">
        <f>計算表!P390</f>
        <v>0</v>
      </c>
      <c r="Q390">
        <f>計算表!Q390</f>
        <v>0</v>
      </c>
      <c r="R390">
        <f>計算表!R390</f>
        <v>0</v>
      </c>
    </row>
    <row r="391" spans="1:18" x14ac:dyDescent="0.25">
      <c r="A391">
        <f>計算表!A391</f>
        <v>390</v>
      </c>
      <c r="B391" s="2">
        <f>計算表!B391</f>
        <v>0</v>
      </c>
      <c r="C391" t="str">
        <f>計算表!C391</f>
        <v>表-固定參數</v>
      </c>
      <c r="D391" t="str">
        <f>計算表!D391</f>
        <v>零件庫存保留</v>
      </c>
      <c r="E391" t="str">
        <f>計算表!E391</f>
        <v>每種未安裝最多保留 a 顆</v>
      </c>
      <c r="F391" t="str">
        <f>計算表!F391</f>
        <v>PART_KEEP_PER_KEY，多餘自動分解。</v>
      </c>
      <c r="G391">
        <f>計算表!G391</f>
        <v>10</v>
      </c>
      <c r="H391">
        <f>計算表!H391</f>
        <v>0</v>
      </c>
      <c r="I391">
        <f>計算表!I391</f>
        <v>0</v>
      </c>
      <c r="J391">
        <f>計算表!J391</f>
        <v>0</v>
      </c>
      <c r="K391">
        <f>計算表!K391</f>
        <v>0</v>
      </c>
      <c r="L391">
        <f>計算表!L391</f>
        <v>0</v>
      </c>
      <c r="M391">
        <f>計算表!M391</f>
        <v>0</v>
      </c>
      <c r="N391">
        <f>計算表!N391</f>
        <v>0</v>
      </c>
      <c r="O391">
        <f>計算表!O391</f>
        <v>0</v>
      </c>
      <c r="P391">
        <f>計算表!P391</f>
        <v>0</v>
      </c>
      <c r="Q391">
        <f>計算表!Q391</f>
        <v>0</v>
      </c>
      <c r="R391">
        <f>計算表!R391</f>
        <v>0</v>
      </c>
    </row>
    <row r="392" spans="1:18" x14ac:dyDescent="0.25">
      <c r="A392">
        <f>計算表!A392</f>
        <v>391</v>
      </c>
      <c r="B392" s="2">
        <f>計算表!B392</f>
        <v>0</v>
      </c>
      <c r="C392" t="str">
        <f>計算表!C392</f>
        <v>表-固定參數</v>
      </c>
      <c r="D392" t="str">
        <f>計算表!D392</f>
        <v>合成節點槽位</v>
      </c>
      <c r="E392" t="str">
        <f>計算表!E392</f>
        <v>a 格</v>
      </c>
      <c r="F392" t="str">
        <f>計算表!F392</f>
        <v>分解槽為金幣解鎖 10~20 格。　※合成功能已停用，本列未生效。</v>
      </c>
      <c r="G392">
        <f>計算表!G392</f>
        <v>2</v>
      </c>
      <c r="H392">
        <f>計算表!H392</f>
        <v>0</v>
      </c>
      <c r="I392">
        <f>計算表!I392</f>
        <v>0</v>
      </c>
      <c r="J392">
        <f>計算表!J392</f>
        <v>0</v>
      </c>
      <c r="K392">
        <f>計算表!K392</f>
        <v>0</v>
      </c>
      <c r="L392">
        <f>計算表!L392</f>
        <v>0</v>
      </c>
      <c r="M392">
        <f>計算表!M392</f>
        <v>0</v>
      </c>
      <c r="N392">
        <f>計算表!N392</f>
        <v>0</v>
      </c>
      <c r="O392">
        <f>計算表!O392</f>
        <v>0</v>
      </c>
      <c r="P392">
        <f>計算表!P392</f>
        <v>0</v>
      </c>
      <c r="Q392">
        <f>計算表!Q392</f>
        <v>0</v>
      </c>
      <c r="R392">
        <f>計算表!R392</f>
        <v>0</v>
      </c>
    </row>
    <row r="393" spans="1:18" x14ac:dyDescent="0.25">
      <c r="A393">
        <f>計算表!A393</f>
        <v>392</v>
      </c>
      <c r="B393" s="2">
        <f>計算表!B393</f>
        <v>0</v>
      </c>
      <c r="C393" t="str">
        <f>計算表!C393</f>
        <v>表-固定參數</v>
      </c>
      <c r="D393" t="str">
        <f>計算表!D393</f>
        <v>寶石一般上限 / 神鑄上限</v>
      </c>
      <c r="E393" t="str">
        <f>計算表!E393</f>
        <v>一般 a 階；神鑄可到 b 階</v>
      </c>
      <c r="F393" t="str">
        <f>計算表!F393</f>
        <v>GEM_MAX_LEVEL / GEM_FORGE_MAX_LEVEL。</v>
      </c>
      <c r="G393">
        <f>計算表!G393</f>
        <v>5</v>
      </c>
      <c r="H393">
        <f>計算表!H393</f>
        <v>10</v>
      </c>
      <c r="I393">
        <f>計算表!I393</f>
        <v>0</v>
      </c>
      <c r="J393">
        <f>計算表!J393</f>
        <v>0</v>
      </c>
      <c r="K393">
        <f>計算表!K393</f>
        <v>0</v>
      </c>
      <c r="L393">
        <f>計算表!L393</f>
        <v>0</v>
      </c>
      <c r="M393">
        <f>計算表!M393</f>
        <v>0</v>
      </c>
      <c r="N393">
        <f>計算表!N393</f>
        <v>0</v>
      </c>
      <c r="O393">
        <f>計算表!O393</f>
        <v>0</v>
      </c>
      <c r="P393">
        <f>計算表!P393</f>
        <v>0</v>
      </c>
      <c r="Q393">
        <f>計算表!Q393</f>
        <v>0</v>
      </c>
      <c r="R393">
        <f>計算表!R393</f>
        <v>0</v>
      </c>
    </row>
    <row r="394" spans="1:18" x14ac:dyDescent="0.25">
      <c r="A394">
        <f>計算表!A394</f>
        <v>393</v>
      </c>
      <c r="B394" s="2">
        <f>計算表!B394</f>
        <v>0</v>
      </c>
      <c r="C394" t="str">
        <f>計算表!C394</f>
        <v>表-固定參數</v>
      </c>
      <c r="D394" t="str">
        <f>計算表!D394</f>
        <v>詞條數硬上限</v>
      </c>
      <c r="E394" t="str">
        <f>計算表!E394</f>
        <v>a 條</v>
      </c>
      <c r="F394" t="str">
        <f>計算表!F394</f>
        <v>MAX_AFFIXES = 創世 7 條 + 詞條上限率突破 1 條。單件裝備可堆疊的最大詞條數。</v>
      </c>
      <c r="G394">
        <f>計算表!G394</f>
        <v>8</v>
      </c>
      <c r="H394">
        <f>計算表!H394</f>
        <v>0</v>
      </c>
      <c r="I394">
        <f>計算表!I394</f>
        <v>0</v>
      </c>
      <c r="J394">
        <f>計算表!J394</f>
        <v>0</v>
      </c>
      <c r="K394">
        <f>計算表!K394</f>
        <v>0</v>
      </c>
      <c r="L394">
        <f>計算表!L394</f>
        <v>0</v>
      </c>
      <c r="M394">
        <f>計算表!M394</f>
        <v>0</v>
      </c>
      <c r="N394">
        <f>計算表!N394</f>
        <v>0</v>
      </c>
      <c r="O394">
        <f>計算表!O394</f>
        <v>0</v>
      </c>
      <c r="P394">
        <f>計算表!P394</f>
        <v>0</v>
      </c>
      <c r="Q394">
        <f>計算表!Q394</f>
        <v>0</v>
      </c>
      <c r="R394">
        <f>計算表!R394</f>
        <v>0</v>
      </c>
    </row>
    <row r="395" spans="1:18" x14ac:dyDescent="0.25">
      <c r="A395">
        <f>計算表!A395</f>
        <v>394</v>
      </c>
      <c r="B395" s="2">
        <f>計算表!B395</f>
        <v>0</v>
      </c>
      <c r="C395" t="str">
        <f>計算表!C395</f>
        <v>表-戰力權重</v>
      </c>
      <c r="D395" t="str">
        <f>計算表!D395</f>
        <v>物理攻擊</v>
      </c>
      <c r="E395" t="str">
        <f>計算表!E395</f>
        <v>評分權重 = a</v>
      </c>
      <c r="F395" t="str">
        <f>計算表!F395</f>
        <v>「戰力評分」中該詞條/對應寶石屬性的權重；未列出者以 1 計。</v>
      </c>
      <c r="G395">
        <f>計算表!G395</f>
        <v>1</v>
      </c>
      <c r="H395">
        <f>計算表!H395</f>
        <v>0</v>
      </c>
      <c r="I395">
        <f>計算表!I395</f>
        <v>0</v>
      </c>
      <c r="J395">
        <f>計算表!J395</f>
        <v>0</v>
      </c>
      <c r="K395">
        <f>計算表!K395</f>
        <v>0</v>
      </c>
      <c r="L395">
        <f>計算表!L395</f>
        <v>0</v>
      </c>
      <c r="M395">
        <f>計算表!M395</f>
        <v>0</v>
      </c>
      <c r="N395">
        <f>計算表!N395</f>
        <v>0</v>
      </c>
      <c r="O395">
        <f>計算表!O395</f>
        <v>0</v>
      </c>
      <c r="P395">
        <f>計算表!P395</f>
        <v>0</v>
      </c>
      <c r="Q395">
        <f>計算表!Q395</f>
        <v>0</v>
      </c>
      <c r="R395">
        <f>計算表!R395</f>
        <v>0</v>
      </c>
    </row>
    <row r="396" spans="1:18" x14ac:dyDescent="0.25">
      <c r="A396">
        <f>計算表!A396</f>
        <v>395</v>
      </c>
      <c r="B396" s="2">
        <f>計算表!B396</f>
        <v>0</v>
      </c>
      <c r="C396" t="str">
        <f>計算表!C396</f>
        <v>表-戰力權重</v>
      </c>
      <c r="D396" t="str">
        <f>計算表!D396</f>
        <v>物理攻擊%</v>
      </c>
      <c r="E396" t="str">
        <f>計算表!E396</f>
        <v>評分權重 = a</v>
      </c>
      <c r="F396" t="str">
        <f>計算表!F396</f>
        <v>「戰力評分」中該詞條/對應寶石屬性的權重；未列出者以 1 計。</v>
      </c>
      <c r="G396">
        <f>計算表!G396</f>
        <v>2.6</v>
      </c>
      <c r="H396">
        <f>計算表!H396</f>
        <v>0</v>
      </c>
      <c r="I396">
        <f>計算表!I396</f>
        <v>0</v>
      </c>
      <c r="J396">
        <f>計算表!J396</f>
        <v>0</v>
      </c>
      <c r="K396">
        <f>計算表!K396</f>
        <v>0</v>
      </c>
      <c r="L396">
        <f>計算表!L396</f>
        <v>0</v>
      </c>
      <c r="M396">
        <f>計算表!M396</f>
        <v>0</v>
      </c>
      <c r="N396">
        <f>計算表!N396</f>
        <v>0</v>
      </c>
      <c r="O396">
        <f>計算表!O396</f>
        <v>0</v>
      </c>
      <c r="P396">
        <f>計算表!P396</f>
        <v>0</v>
      </c>
      <c r="Q396">
        <f>計算表!Q396</f>
        <v>0</v>
      </c>
      <c r="R396">
        <f>計算表!R396</f>
        <v>0</v>
      </c>
    </row>
    <row r="397" spans="1:18" x14ac:dyDescent="0.25">
      <c r="A397">
        <f>計算表!A397</f>
        <v>396</v>
      </c>
      <c r="B397" s="2">
        <f>計算表!B397</f>
        <v>0</v>
      </c>
      <c r="C397" t="str">
        <f>計算表!C397</f>
        <v>表-戰力權重</v>
      </c>
      <c r="D397" t="str">
        <f>計算表!D397</f>
        <v>魔法攻擊</v>
      </c>
      <c r="E397" t="str">
        <f>計算表!E397</f>
        <v>評分權重 = a</v>
      </c>
      <c r="F397" t="str">
        <f>計算表!F397</f>
        <v>「戰力評分」中該詞條/對應寶石屬性的權重；未列出者以 1 計。</v>
      </c>
      <c r="G397">
        <f>計算表!G397</f>
        <v>1</v>
      </c>
      <c r="H397">
        <f>計算表!H397</f>
        <v>0</v>
      </c>
      <c r="I397">
        <f>計算表!I397</f>
        <v>0</v>
      </c>
      <c r="J397">
        <f>計算表!J397</f>
        <v>0</v>
      </c>
      <c r="K397">
        <f>計算表!K397</f>
        <v>0</v>
      </c>
      <c r="L397">
        <f>計算表!L397</f>
        <v>0</v>
      </c>
      <c r="M397">
        <f>計算表!M397</f>
        <v>0</v>
      </c>
      <c r="N397">
        <f>計算表!N397</f>
        <v>0</v>
      </c>
      <c r="O397">
        <f>計算表!O397</f>
        <v>0</v>
      </c>
      <c r="P397">
        <f>計算表!P397</f>
        <v>0</v>
      </c>
      <c r="Q397">
        <f>計算表!Q397</f>
        <v>0</v>
      </c>
      <c r="R397">
        <f>計算表!R397</f>
        <v>0</v>
      </c>
    </row>
    <row r="398" spans="1:18" x14ac:dyDescent="0.25">
      <c r="A398">
        <f>計算表!A398</f>
        <v>397</v>
      </c>
      <c r="B398" s="2">
        <f>計算表!B398</f>
        <v>0</v>
      </c>
      <c r="C398" t="str">
        <f>計算表!C398</f>
        <v>表-戰力權重</v>
      </c>
      <c r="D398" t="str">
        <f>計算表!D398</f>
        <v>魔法攻擊%</v>
      </c>
      <c r="E398" t="str">
        <f>計算表!E398</f>
        <v>評分權重 = a</v>
      </c>
      <c r="F398" t="str">
        <f>計算表!F398</f>
        <v>「戰力評分」中該詞條/對應寶石屬性的權重；未列出者以 1 計。</v>
      </c>
      <c r="G398">
        <f>計算表!G398</f>
        <v>2.6</v>
      </c>
      <c r="H398">
        <f>計算表!H398</f>
        <v>0</v>
      </c>
      <c r="I398">
        <f>計算表!I398</f>
        <v>0</v>
      </c>
      <c r="J398">
        <f>計算表!J398</f>
        <v>0</v>
      </c>
      <c r="K398">
        <f>計算表!K398</f>
        <v>0</v>
      </c>
      <c r="L398">
        <f>計算表!L398</f>
        <v>0</v>
      </c>
      <c r="M398">
        <f>計算表!M398</f>
        <v>0</v>
      </c>
      <c r="N398">
        <f>計算表!N398</f>
        <v>0</v>
      </c>
      <c r="O398">
        <f>計算表!O398</f>
        <v>0</v>
      </c>
      <c r="P398">
        <f>計算表!P398</f>
        <v>0</v>
      </c>
      <c r="Q398">
        <f>計算表!Q398</f>
        <v>0</v>
      </c>
      <c r="R398">
        <f>計算表!R398</f>
        <v>0</v>
      </c>
    </row>
    <row r="399" spans="1:18" x14ac:dyDescent="0.25">
      <c r="A399">
        <f>計算表!A399</f>
        <v>398</v>
      </c>
      <c r="B399" s="2">
        <f>計算表!B399</f>
        <v>0</v>
      </c>
      <c r="C399" t="str">
        <f>計算表!C399</f>
        <v>表-戰力權重</v>
      </c>
      <c r="D399" t="str">
        <f>計算表!D399</f>
        <v>生命值</v>
      </c>
      <c r="E399" t="str">
        <f>計算表!E399</f>
        <v>評分權重 = a</v>
      </c>
      <c r="F399" t="str">
        <f>計算表!F399</f>
        <v>「戰力評分」中該詞條/對應寶石屬性的權重；未列出者以 1 計。</v>
      </c>
      <c r="G399">
        <f>計算表!G399</f>
        <v>0.16</v>
      </c>
      <c r="H399">
        <f>計算表!H399</f>
        <v>0</v>
      </c>
      <c r="I399">
        <f>計算表!I399</f>
        <v>0</v>
      </c>
      <c r="J399">
        <f>計算表!J399</f>
        <v>0</v>
      </c>
      <c r="K399">
        <f>計算表!K399</f>
        <v>0</v>
      </c>
      <c r="L399">
        <f>計算表!L399</f>
        <v>0</v>
      </c>
      <c r="M399">
        <f>計算表!M399</f>
        <v>0</v>
      </c>
      <c r="N399">
        <f>計算表!N399</f>
        <v>0</v>
      </c>
      <c r="O399">
        <f>計算表!O399</f>
        <v>0</v>
      </c>
      <c r="P399">
        <f>計算表!P399</f>
        <v>0</v>
      </c>
      <c r="Q399">
        <f>計算表!Q399</f>
        <v>0</v>
      </c>
      <c r="R399">
        <f>計算表!R399</f>
        <v>0</v>
      </c>
    </row>
    <row r="400" spans="1:18" x14ac:dyDescent="0.25">
      <c r="A400">
        <f>計算表!A400</f>
        <v>399</v>
      </c>
      <c r="B400" s="2">
        <f>計算表!B400</f>
        <v>0</v>
      </c>
      <c r="C400" t="str">
        <f>計算表!C400</f>
        <v>表-戰力權重</v>
      </c>
      <c r="D400" t="str">
        <f>計算表!D400</f>
        <v>生命值%</v>
      </c>
      <c r="E400" t="str">
        <f>計算表!E400</f>
        <v>評分權重 = a</v>
      </c>
      <c r="F400" t="str">
        <f>計算表!F400</f>
        <v>「戰力評分」中該詞條/對應寶石屬性的權重；未列出者以 1 計。</v>
      </c>
      <c r="G400">
        <f>計算表!G400</f>
        <v>2.2000000000000002</v>
      </c>
      <c r="H400">
        <f>計算表!H400</f>
        <v>0</v>
      </c>
      <c r="I400">
        <f>計算表!I400</f>
        <v>0</v>
      </c>
      <c r="J400">
        <f>計算表!J400</f>
        <v>0</v>
      </c>
      <c r="K400">
        <f>計算表!K400</f>
        <v>0</v>
      </c>
      <c r="L400">
        <f>計算表!L400</f>
        <v>0</v>
      </c>
      <c r="M400">
        <f>計算表!M400</f>
        <v>0</v>
      </c>
      <c r="N400">
        <f>計算表!N400</f>
        <v>0</v>
      </c>
      <c r="O400">
        <f>計算表!O400</f>
        <v>0</v>
      </c>
      <c r="P400">
        <f>計算表!P400</f>
        <v>0</v>
      </c>
      <c r="Q400">
        <f>計算表!Q400</f>
        <v>0</v>
      </c>
      <c r="R400">
        <f>計算表!R400</f>
        <v>0</v>
      </c>
    </row>
    <row r="401" spans="1:18" x14ac:dyDescent="0.25">
      <c r="A401">
        <f>計算表!A401</f>
        <v>400</v>
      </c>
      <c r="B401" s="2">
        <f>計算表!B401</f>
        <v>0</v>
      </c>
      <c r="C401" t="str">
        <f>計算表!C401</f>
        <v>表-戰力權重</v>
      </c>
      <c r="D401" t="str">
        <f>計算表!D401</f>
        <v>生命恢復/秒</v>
      </c>
      <c r="E401" t="str">
        <f>計算表!E401</f>
        <v>評分權重 = a</v>
      </c>
      <c r="F401" t="str">
        <f>計算表!F401</f>
        <v>「戰力評分」中該詞條/對應寶石屬性的權重；未列出者以 1 計。</v>
      </c>
      <c r="G401">
        <f>計算表!G401</f>
        <v>0.6</v>
      </c>
      <c r="H401">
        <f>計算表!H401</f>
        <v>0</v>
      </c>
      <c r="I401">
        <f>計算表!I401</f>
        <v>0</v>
      </c>
      <c r="J401">
        <f>計算表!J401</f>
        <v>0</v>
      </c>
      <c r="K401">
        <f>計算表!K401</f>
        <v>0</v>
      </c>
      <c r="L401">
        <f>計算表!L401</f>
        <v>0</v>
      </c>
      <c r="M401">
        <f>計算表!M401</f>
        <v>0</v>
      </c>
      <c r="N401">
        <f>計算表!N401</f>
        <v>0</v>
      </c>
      <c r="O401">
        <f>計算表!O401</f>
        <v>0</v>
      </c>
      <c r="P401">
        <f>計算表!P401</f>
        <v>0</v>
      </c>
      <c r="Q401">
        <f>計算表!Q401</f>
        <v>0</v>
      </c>
      <c r="R401">
        <f>計算表!R401</f>
        <v>0</v>
      </c>
    </row>
    <row r="402" spans="1:18" x14ac:dyDescent="0.25">
      <c r="A402">
        <f>計算表!A402</f>
        <v>401</v>
      </c>
      <c r="B402" s="2">
        <f>計算表!B402</f>
        <v>0</v>
      </c>
      <c r="C402" t="str">
        <f>計算表!C402</f>
        <v>表-戰力權重</v>
      </c>
      <c r="D402" t="str">
        <f>計算表!D402</f>
        <v>物理防禦</v>
      </c>
      <c r="E402" t="str">
        <f>計算表!E402</f>
        <v>評分權重 = a</v>
      </c>
      <c r="F402" t="str">
        <f>計算表!F402</f>
        <v>「戰力評分」中該詞條/對應寶石屬性的權重；未列出者以 1 計。</v>
      </c>
      <c r="G402">
        <f>計算表!G402</f>
        <v>0.9</v>
      </c>
      <c r="H402">
        <f>計算表!H402</f>
        <v>0</v>
      </c>
      <c r="I402">
        <f>計算表!I402</f>
        <v>0</v>
      </c>
      <c r="J402">
        <f>計算表!J402</f>
        <v>0</v>
      </c>
      <c r="K402">
        <f>計算表!K402</f>
        <v>0</v>
      </c>
      <c r="L402">
        <f>計算表!L402</f>
        <v>0</v>
      </c>
      <c r="M402">
        <f>計算表!M402</f>
        <v>0</v>
      </c>
      <c r="N402">
        <f>計算表!N402</f>
        <v>0</v>
      </c>
      <c r="O402">
        <f>計算表!O402</f>
        <v>0</v>
      </c>
      <c r="P402">
        <f>計算表!P402</f>
        <v>0</v>
      </c>
      <c r="Q402">
        <f>計算表!Q402</f>
        <v>0</v>
      </c>
      <c r="R402">
        <f>計算表!R402</f>
        <v>0</v>
      </c>
    </row>
    <row r="403" spans="1:18" x14ac:dyDescent="0.25">
      <c r="A403">
        <f>計算表!A403</f>
        <v>402</v>
      </c>
      <c r="B403" s="2">
        <f>計算表!B403</f>
        <v>0</v>
      </c>
      <c r="C403" t="str">
        <f>計算表!C403</f>
        <v>表-戰力權重</v>
      </c>
      <c r="D403" t="str">
        <f>計算表!D403</f>
        <v>物理防禦%</v>
      </c>
      <c r="E403" t="str">
        <f>計算表!E403</f>
        <v>評分權重 = a</v>
      </c>
      <c r="F403" t="str">
        <f>計算表!F403</f>
        <v>「戰力評分」中該詞條/對應寶石屬性的權重；未列出者以 1 計。</v>
      </c>
      <c r="G403">
        <f>計算表!G403</f>
        <v>1.8</v>
      </c>
      <c r="H403">
        <f>計算表!H403</f>
        <v>0</v>
      </c>
      <c r="I403">
        <f>計算表!I403</f>
        <v>0</v>
      </c>
      <c r="J403">
        <f>計算表!J403</f>
        <v>0</v>
      </c>
      <c r="K403">
        <f>計算表!K403</f>
        <v>0</v>
      </c>
      <c r="L403">
        <f>計算表!L403</f>
        <v>0</v>
      </c>
      <c r="M403">
        <f>計算表!M403</f>
        <v>0</v>
      </c>
      <c r="N403">
        <f>計算表!N403</f>
        <v>0</v>
      </c>
      <c r="O403">
        <f>計算表!O403</f>
        <v>0</v>
      </c>
      <c r="P403">
        <f>計算表!P403</f>
        <v>0</v>
      </c>
      <c r="Q403">
        <f>計算表!Q403</f>
        <v>0</v>
      </c>
      <c r="R403">
        <f>計算表!R403</f>
        <v>0</v>
      </c>
    </row>
    <row r="404" spans="1:18" x14ac:dyDescent="0.25">
      <c r="A404">
        <f>計算表!A404</f>
        <v>403</v>
      </c>
      <c r="B404" s="2">
        <f>計算表!B404</f>
        <v>0</v>
      </c>
      <c r="C404" t="str">
        <f>計算表!C404</f>
        <v>表-戰力權重</v>
      </c>
      <c r="D404" t="str">
        <f>計算表!D404</f>
        <v>魔法防禦</v>
      </c>
      <c r="E404" t="str">
        <f>計算表!E404</f>
        <v>評分權重 = a</v>
      </c>
      <c r="F404" t="str">
        <f>計算表!F404</f>
        <v>「戰力評分」中該詞條/對應寶石屬性的權重；未列出者以 1 計。</v>
      </c>
      <c r="G404">
        <f>計算表!G404</f>
        <v>0.9</v>
      </c>
      <c r="H404">
        <f>計算表!H404</f>
        <v>0</v>
      </c>
      <c r="I404">
        <f>計算表!I404</f>
        <v>0</v>
      </c>
      <c r="J404">
        <f>計算表!J404</f>
        <v>0</v>
      </c>
      <c r="K404">
        <f>計算表!K404</f>
        <v>0</v>
      </c>
      <c r="L404">
        <f>計算表!L404</f>
        <v>0</v>
      </c>
      <c r="M404">
        <f>計算表!M404</f>
        <v>0</v>
      </c>
      <c r="N404">
        <f>計算表!N404</f>
        <v>0</v>
      </c>
      <c r="O404">
        <f>計算表!O404</f>
        <v>0</v>
      </c>
      <c r="P404">
        <f>計算表!P404</f>
        <v>0</v>
      </c>
      <c r="Q404">
        <f>計算表!Q404</f>
        <v>0</v>
      </c>
      <c r="R404">
        <f>計算表!R404</f>
        <v>0</v>
      </c>
    </row>
    <row r="405" spans="1:18" x14ac:dyDescent="0.25">
      <c r="A405">
        <f>計算表!A405</f>
        <v>404</v>
      </c>
      <c r="B405" s="2">
        <f>計算表!B405</f>
        <v>0</v>
      </c>
      <c r="C405" t="str">
        <f>計算表!C405</f>
        <v>表-戰力權重</v>
      </c>
      <c r="D405" t="str">
        <f>計算表!D405</f>
        <v>法力值</v>
      </c>
      <c r="E405" t="str">
        <f>計算表!E405</f>
        <v>評分權重 = a</v>
      </c>
      <c r="F405" t="str">
        <f>計算表!F405</f>
        <v>「戰力評分」中該詞條/對應寶石屬性的權重；未列出者以 1 計。</v>
      </c>
      <c r="G405">
        <f>計算表!G405</f>
        <v>0.25</v>
      </c>
      <c r="H405">
        <f>計算表!H405</f>
        <v>0</v>
      </c>
      <c r="I405">
        <f>計算表!I405</f>
        <v>0</v>
      </c>
      <c r="J405">
        <f>計算表!J405</f>
        <v>0</v>
      </c>
      <c r="K405">
        <f>計算表!K405</f>
        <v>0</v>
      </c>
      <c r="L405">
        <f>計算表!L405</f>
        <v>0</v>
      </c>
      <c r="M405">
        <f>計算表!M405</f>
        <v>0</v>
      </c>
      <c r="N405">
        <f>計算表!N405</f>
        <v>0</v>
      </c>
      <c r="O405">
        <f>計算表!O405</f>
        <v>0</v>
      </c>
      <c r="P405">
        <f>計算表!P405</f>
        <v>0</v>
      </c>
      <c r="Q405">
        <f>計算表!Q405</f>
        <v>0</v>
      </c>
      <c r="R405">
        <f>計算表!R405</f>
        <v>0</v>
      </c>
    </row>
    <row r="406" spans="1:18" x14ac:dyDescent="0.25">
      <c r="A406">
        <f>計算表!A406</f>
        <v>405</v>
      </c>
      <c r="B406" s="2">
        <f>計算表!B406</f>
        <v>0</v>
      </c>
      <c r="C406" t="str">
        <f>計算表!C406</f>
        <v>表-戰力權重</v>
      </c>
      <c r="D406" t="str">
        <f>計算表!D406</f>
        <v>法力恢復/秒</v>
      </c>
      <c r="E406" t="str">
        <f>計算表!E406</f>
        <v>評分權重 = a</v>
      </c>
      <c r="F406" t="str">
        <f>計算表!F406</f>
        <v>「戰力評分」中該詞條/對應寶石屬性的權重；未列出者以 1 計。</v>
      </c>
      <c r="G406">
        <f>計算表!G406</f>
        <v>2</v>
      </c>
      <c r="H406">
        <f>計算表!H406</f>
        <v>0</v>
      </c>
      <c r="I406">
        <f>計算表!I406</f>
        <v>0</v>
      </c>
      <c r="J406">
        <f>計算表!J406</f>
        <v>0</v>
      </c>
      <c r="K406">
        <f>計算表!K406</f>
        <v>0</v>
      </c>
      <c r="L406">
        <f>計算表!L406</f>
        <v>0</v>
      </c>
      <c r="M406">
        <f>計算表!M406</f>
        <v>0</v>
      </c>
      <c r="N406">
        <f>計算表!N406</f>
        <v>0</v>
      </c>
      <c r="O406">
        <f>計算表!O406</f>
        <v>0</v>
      </c>
      <c r="P406">
        <f>計算表!P406</f>
        <v>0</v>
      </c>
      <c r="Q406">
        <f>計算表!Q406</f>
        <v>0</v>
      </c>
      <c r="R406">
        <f>計算表!R406</f>
        <v>0</v>
      </c>
    </row>
    <row r="407" spans="1:18" x14ac:dyDescent="0.25">
      <c r="A407">
        <f>計算表!A407</f>
        <v>406</v>
      </c>
      <c r="B407" s="2">
        <f>計算表!B407</f>
        <v>0</v>
      </c>
      <c r="C407" t="str">
        <f>計算表!C407</f>
        <v>表-戰力權重</v>
      </c>
      <c r="D407" t="str">
        <f>計算表!D407</f>
        <v>力量</v>
      </c>
      <c r="E407" t="str">
        <f>計算表!E407</f>
        <v>評分權重 = a</v>
      </c>
      <c r="F407" t="str">
        <f>計算表!F407</f>
        <v>「戰力評分」中該詞條/對應寶石屬性的權重；未列出者以 1 計。</v>
      </c>
      <c r="G407">
        <f>計算表!G407</f>
        <v>1.8</v>
      </c>
      <c r="H407">
        <f>計算表!H407</f>
        <v>0</v>
      </c>
      <c r="I407">
        <f>計算表!I407</f>
        <v>0</v>
      </c>
      <c r="J407">
        <f>計算表!J407</f>
        <v>0</v>
      </c>
      <c r="K407">
        <f>計算表!K407</f>
        <v>0</v>
      </c>
      <c r="L407">
        <f>計算表!L407</f>
        <v>0</v>
      </c>
      <c r="M407">
        <f>計算表!M407</f>
        <v>0</v>
      </c>
      <c r="N407">
        <f>計算表!N407</f>
        <v>0</v>
      </c>
      <c r="O407">
        <f>計算表!O407</f>
        <v>0</v>
      </c>
      <c r="P407">
        <f>計算表!P407</f>
        <v>0</v>
      </c>
      <c r="Q407">
        <f>計算表!Q407</f>
        <v>0</v>
      </c>
      <c r="R407">
        <f>計算表!R407</f>
        <v>0</v>
      </c>
    </row>
    <row r="408" spans="1:18" x14ac:dyDescent="0.25">
      <c r="A408">
        <f>計算表!A408</f>
        <v>407</v>
      </c>
      <c r="B408" s="2">
        <f>計算表!B408</f>
        <v>0</v>
      </c>
      <c r="C408" t="str">
        <f>計算表!C408</f>
        <v>表-戰力權重</v>
      </c>
      <c r="D408" t="str">
        <f>計算表!D408</f>
        <v>敏捷</v>
      </c>
      <c r="E408" t="str">
        <f>計算表!E408</f>
        <v>評分權重 = a</v>
      </c>
      <c r="F408" t="str">
        <f>計算表!F408</f>
        <v>「戰力評分」中該詞條/對應寶石屬性的權重；未列出者以 1 計。</v>
      </c>
      <c r="G408">
        <f>計算表!G408</f>
        <v>1.8</v>
      </c>
      <c r="H408">
        <f>計算表!H408</f>
        <v>0</v>
      </c>
      <c r="I408">
        <f>計算表!I408</f>
        <v>0</v>
      </c>
      <c r="J408">
        <f>計算表!J408</f>
        <v>0</v>
      </c>
      <c r="K408">
        <f>計算表!K408</f>
        <v>0</v>
      </c>
      <c r="L408">
        <f>計算表!L408</f>
        <v>0</v>
      </c>
      <c r="M408">
        <f>計算表!M408</f>
        <v>0</v>
      </c>
      <c r="N408">
        <f>計算表!N408</f>
        <v>0</v>
      </c>
      <c r="O408">
        <f>計算表!O408</f>
        <v>0</v>
      </c>
      <c r="P408">
        <f>計算表!P408</f>
        <v>0</v>
      </c>
      <c r="Q408">
        <f>計算表!Q408</f>
        <v>0</v>
      </c>
      <c r="R408">
        <f>計算表!R408</f>
        <v>0</v>
      </c>
    </row>
    <row r="409" spans="1:18" x14ac:dyDescent="0.25">
      <c r="A409">
        <f>計算表!A409</f>
        <v>408</v>
      </c>
      <c r="B409" s="2">
        <f>計算表!B409</f>
        <v>0</v>
      </c>
      <c r="C409" t="str">
        <f>計算表!C409</f>
        <v>表-戰力權重</v>
      </c>
      <c r="D409" t="str">
        <f>計算表!D409</f>
        <v>智力</v>
      </c>
      <c r="E409" t="str">
        <f>計算表!E409</f>
        <v>評分權重 = a</v>
      </c>
      <c r="F409" t="str">
        <f>計算表!F409</f>
        <v>「戰力評分」中該詞條/對應寶石屬性的權重；未列出者以 1 計。</v>
      </c>
      <c r="G409">
        <f>計算表!G409</f>
        <v>1.8</v>
      </c>
      <c r="H409">
        <f>計算表!H409</f>
        <v>0</v>
      </c>
      <c r="I409">
        <f>計算表!I409</f>
        <v>0</v>
      </c>
      <c r="J409">
        <f>計算表!J409</f>
        <v>0</v>
      </c>
      <c r="K409">
        <f>計算表!K409</f>
        <v>0</v>
      </c>
      <c r="L409">
        <f>計算表!L409</f>
        <v>0</v>
      </c>
      <c r="M409">
        <f>計算表!M409</f>
        <v>0</v>
      </c>
      <c r="N409">
        <f>計算表!N409</f>
        <v>0</v>
      </c>
      <c r="O409">
        <f>計算表!O409</f>
        <v>0</v>
      </c>
      <c r="P409">
        <f>計算表!P409</f>
        <v>0</v>
      </c>
      <c r="Q409">
        <f>計算表!Q409</f>
        <v>0</v>
      </c>
      <c r="R409">
        <f>計算表!R409</f>
        <v>0</v>
      </c>
    </row>
    <row r="410" spans="1:18" x14ac:dyDescent="0.25">
      <c r="A410">
        <f>計算表!A410</f>
        <v>409</v>
      </c>
      <c r="B410" s="2">
        <f>計算表!B410</f>
        <v>0</v>
      </c>
      <c r="C410" t="str">
        <f>計算表!C410</f>
        <v>表-戰力權重</v>
      </c>
      <c r="D410" t="str">
        <f>計算表!D410</f>
        <v>耐力</v>
      </c>
      <c r="E410" t="str">
        <f>計算表!E410</f>
        <v>評分權重 = a</v>
      </c>
      <c r="F410" t="str">
        <f>計算表!F410</f>
        <v>「戰力評分」中該詞條/對應寶石屬性的權重；未列出者以 1 計。</v>
      </c>
      <c r="G410">
        <f>計算表!G410</f>
        <v>1.8</v>
      </c>
      <c r="H410">
        <f>計算表!H410</f>
        <v>0</v>
      </c>
      <c r="I410">
        <f>計算表!I410</f>
        <v>0</v>
      </c>
      <c r="J410">
        <f>計算表!J410</f>
        <v>0</v>
      </c>
      <c r="K410">
        <f>計算表!K410</f>
        <v>0</v>
      </c>
      <c r="L410">
        <f>計算表!L410</f>
        <v>0</v>
      </c>
      <c r="M410">
        <f>計算表!M410</f>
        <v>0</v>
      </c>
      <c r="N410">
        <f>計算表!N410</f>
        <v>0</v>
      </c>
      <c r="O410">
        <f>計算表!O410</f>
        <v>0</v>
      </c>
      <c r="P410">
        <f>計算表!P410</f>
        <v>0</v>
      </c>
      <c r="Q410">
        <f>計算表!Q410</f>
        <v>0</v>
      </c>
      <c r="R410">
        <f>計算表!R410</f>
        <v>0</v>
      </c>
    </row>
    <row r="411" spans="1:18" x14ac:dyDescent="0.25">
      <c r="A411">
        <f>計算表!A411</f>
        <v>410</v>
      </c>
      <c r="B411" s="2">
        <f>計算表!B411</f>
        <v>0</v>
      </c>
      <c r="C411" t="str">
        <f>計算表!C411</f>
        <v>表-戰力權重</v>
      </c>
      <c r="D411" t="str">
        <f>計算表!D411</f>
        <v>攻擊速度%</v>
      </c>
      <c r="E411" t="str">
        <f>計算表!E411</f>
        <v>評分權重 = a</v>
      </c>
      <c r="F411" t="str">
        <f>計算表!F411</f>
        <v>「戰力評分」中該詞條/對應寶石屬性的權重；未列出者以 1 計。</v>
      </c>
      <c r="G411">
        <f>計算表!G411</f>
        <v>2.8</v>
      </c>
      <c r="H411">
        <f>計算表!H411</f>
        <v>0</v>
      </c>
      <c r="I411">
        <f>計算表!I411</f>
        <v>0</v>
      </c>
      <c r="J411">
        <f>計算表!J411</f>
        <v>0</v>
      </c>
      <c r="K411">
        <f>計算表!K411</f>
        <v>0</v>
      </c>
      <c r="L411">
        <f>計算表!L411</f>
        <v>0</v>
      </c>
      <c r="M411">
        <f>計算表!M411</f>
        <v>0</v>
      </c>
      <c r="N411">
        <f>計算表!N411</f>
        <v>0</v>
      </c>
      <c r="O411">
        <f>計算表!O411</f>
        <v>0</v>
      </c>
      <c r="P411">
        <f>計算表!P411</f>
        <v>0</v>
      </c>
      <c r="Q411">
        <f>計算表!Q411</f>
        <v>0</v>
      </c>
      <c r="R411">
        <f>計算表!R411</f>
        <v>0</v>
      </c>
    </row>
    <row r="412" spans="1:18" x14ac:dyDescent="0.25">
      <c r="A412">
        <f>計算表!A412</f>
        <v>411</v>
      </c>
      <c r="B412" s="2">
        <f>計算表!B412</f>
        <v>0</v>
      </c>
      <c r="C412" t="str">
        <f>計算表!C412</f>
        <v>表-戰力權重</v>
      </c>
      <c r="D412" t="str">
        <f>計算表!D412</f>
        <v>暴擊率%</v>
      </c>
      <c r="E412" t="str">
        <f>計算表!E412</f>
        <v>評分權重 = a</v>
      </c>
      <c r="F412" t="str">
        <f>計算表!F412</f>
        <v>「戰力評分」中該詞條/對應寶石屬性的權重；未列出者以 1 計。</v>
      </c>
      <c r="G412">
        <f>計算表!G412</f>
        <v>2.4</v>
      </c>
      <c r="H412">
        <f>計算表!H412</f>
        <v>0</v>
      </c>
      <c r="I412">
        <f>計算表!I412</f>
        <v>0</v>
      </c>
      <c r="J412">
        <f>計算表!J412</f>
        <v>0</v>
      </c>
      <c r="K412">
        <f>計算表!K412</f>
        <v>0</v>
      </c>
      <c r="L412">
        <f>計算表!L412</f>
        <v>0</v>
      </c>
      <c r="M412">
        <f>計算表!M412</f>
        <v>0</v>
      </c>
      <c r="N412">
        <f>計算表!N412</f>
        <v>0</v>
      </c>
      <c r="O412">
        <f>計算表!O412</f>
        <v>0</v>
      </c>
      <c r="P412">
        <f>計算表!P412</f>
        <v>0</v>
      </c>
      <c r="Q412">
        <f>計算表!Q412</f>
        <v>0</v>
      </c>
      <c r="R412">
        <f>計算表!R412</f>
        <v>0</v>
      </c>
    </row>
    <row r="413" spans="1:18" x14ac:dyDescent="0.25">
      <c r="A413">
        <f>計算表!A413</f>
        <v>412</v>
      </c>
      <c r="B413" s="2">
        <f>計算表!B413</f>
        <v>0</v>
      </c>
      <c r="C413" t="str">
        <f>計算表!C413</f>
        <v>表-戰力權重</v>
      </c>
      <c r="D413" t="str">
        <f>計算表!D413</f>
        <v>暴擊傷害%</v>
      </c>
      <c r="E413" t="str">
        <f>計算表!E413</f>
        <v>評分權重 = a</v>
      </c>
      <c r="F413" t="str">
        <f>計算表!F413</f>
        <v>「戰力評分」中該詞條/對應寶石屬性的權重；未列出者以 1 計。</v>
      </c>
      <c r="G413">
        <f>計算表!G413</f>
        <v>0.9</v>
      </c>
      <c r="H413">
        <f>計算表!H413</f>
        <v>0</v>
      </c>
      <c r="I413">
        <f>計算表!I413</f>
        <v>0</v>
      </c>
      <c r="J413">
        <f>計算表!J413</f>
        <v>0</v>
      </c>
      <c r="K413">
        <f>計算表!K413</f>
        <v>0</v>
      </c>
      <c r="L413">
        <f>計算表!L413</f>
        <v>0</v>
      </c>
      <c r="M413">
        <f>計算表!M413</f>
        <v>0</v>
      </c>
      <c r="N413">
        <f>計算表!N413</f>
        <v>0</v>
      </c>
      <c r="O413">
        <f>計算表!O413</f>
        <v>0</v>
      </c>
      <c r="P413">
        <f>計算表!P413</f>
        <v>0</v>
      </c>
      <c r="Q413">
        <f>計算表!Q413</f>
        <v>0</v>
      </c>
      <c r="R413">
        <f>計算表!R413</f>
        <v>0</v>
      </c>
    </row>
    <row r="414" spans="1:18" x14ac:dyDescent="0.25">
      <c r="A414">
        <f>計算表!A414</f>
        <v>413</v>
      </c>
      <c r="B414" s="2">
        <f>計算表!B414</f>
        <v>0</v>
      </c>
      <c r="C414" t="str">
        <f>計算表!C414</f>
        <v>表-戰力權重</v>
      </c>
      <c r="D414" t="str">
        <f>計算表!D414</f>
        <v>物理穿透%</v>
      </c>
      <c r="E414" t="str">
        <f>計算表!E414</f>
        <v>評分權重 = a</v>
      </c>
      <c r="F414" t="str">
        <f>計算表!F414</f>
        <v>「戰力評分」中該詞條/對應寶石屬性的權重；未列出者以 1 計。</v>
      </c>
      <c r="G414">
        <f>計算表!G414</f>
        <v>2.2000000000000002</v>
      </c>
      <c r="H414">
        <f>計算表!H414</f>
        <v>0</v>
      </c>
      <c r="I414">
        <f>計算表!I414</f>
        <v>0</v>
      </c>
      <c r="J414">
        <f>計算表!J414</f>
        <v>0</v>
      </c>
      <c r="K414">
        <f>計算表!K414</f>
        <v>0</v>
      </c>
      <c r="L414">
        <f>計算表!L414</f>
        <v>0</v>
      </c>
      <c r="M414">
        <f>計算表!M414</f>
        <v>0</v>
      </c>
      <c r="N414">
        <f>計算表!N414</f>
        <v>0</v>
      </c>
      <c r="O414">
        <f>計算表!O414</f>
        <v>0</v>
      </c>
      <c r="P414">
        <f>計算表!P414</f>
        <v>0</v>
      </c>
      <c r="Q414">
        <f>計算表!Q414</f>
        <v>0</v>
      </c>
      <c r="R414">
        <f>計算表!R414</f>
        <v>0</v>
      </c>
    </row>
    <row r="415" spans="1:18" x14ac:dyDescent="0.25">
      <c r="A415">
        <f>計算表!A415</f>
        <v>414</v>
      </c>
      <c r="B415" s="2">
        <f>計算表!B415</f>
        <v>0</v>
      </c>
      <c r="C415" t="str">
        <f>計算表!C415</f>
        <v>表-戰力權重</v>
      </c>
      <c r="D415" t="str">
        <f>計算表!D415</f>
        <v>魔法穿透%</v>
      </c>
      <c r="E415" t="str">
        <f>計算表!E415</f>
        <v>評分權重 = a</v>
      </c>
      <c r="F415" t="str">
        <f>計算表!F415</f>
        <v>「戰力評分」中該詞條/對應寶石屬性的權重；未列出者以 1 計。</v>
      </c>
      <c r="G415">
        <f>計算表!G415</f>
        <v>2.2000000000000002</v>
      </c>
      <c r="H415">
        <f>計算表!H415</f>
        <v>0</v>
      </c>
      <c r="I415">
        <f>計算表!I415</f>
        <v>0</v>
      </c>
      <c r="J415">
        <f>計算表!J415</f>
        <v>0</v>
      </c>
      <c r="K415">
        <f>計算表!K415</f>
        <v>0</v>
      </c>
      <c r="L415">
        <f>計算表!L415</f>
        <v>0</v>
      </c>
      <c r="M415">
        <f>計算表!M415</f>
        <v>0</v>
      </c>
      <c r="N415">
        <f>計算表!N415</f>
        <v>0</v>
      </c>
      <c r="O415">
        <f>計算表!O415</f>
        <v>0</v>
      </c>
      <c r="P415">
        <f>計算表!P415</f>
        <v>0</v>
      </c>
      <c r="Q415">
        <f>計算表!Q415</f>
        <v>0</v>
      </c>
      <c r="R415">
        <f>計算表!R415</f>
        <v>0</v>
      </c>
    </row>
    <row r="416" spans="1:18" x14ac:dyDescent="0.25">
      <c r="A416">
        <f>計算表!A416</f>
        <v>415</v>
      </c>
      <c r="B416" s="2">
        <f>計算表!B416</f>
        <v>0</v>
      </c>
      <c r="C416" t="str">
        <f>計算表!C416</f>
        <v>表-戰力權重</v>
      </c>
      <c r="D416" t="str">
        <f>計算表!D416</f>
        <v>命中率%</v>
      </c>
      <c r="E416" t="str">
        <f>計算表!E416</f>
        <v>評分權重 = a</v>
      </c>
      <c r="F416" t="str">
        <f>計算表!F416</f>
        <v>「戰力評分」中該詞條/對應寶石屬性的權重；未列出者以 1 計。</v>
      </c>
      <c r="G416">
        <f>計算表!G416</f>
        <v>1.2</v>
      </c>
      <c r="H416">
        <f>計算表!H416</f>
        <v>0</v>
      </c>
      <c r="I416">
        <f>計算表!I416</f>
        <v>0</v>
      </c>
      <c r="J416">
        <f>計算表!J416</f>
        <v>0</v>
      </c>
      <c r="K416">
        <f>計算表!K416</f>
        <v>0</v>
      </c>
      <c r="L416">
        <f>計算表!L416</f>
        <v>0</v>
      </c>
      <c r="M416">
        <f>計算表!M416</f>
        <v>0</v>
      </c>
      <c r="N416">
        <f>計算表!N416</f>
        <v>0</v>
      </c>
      <c r="O416">
        <f>計算表!O416</f>
        <v>0</v>
      </c>
      <c r="P416">
        <f>計算表!P416</f>
        <v>0</v>
      </c>
      <c r="Q416">
        <f>計算表!Q416</f>
        <v>0</v>
      </c>
      <c r="R416">
        <f>計算表!R416</f>
        <v>0</v>
      </c>
    </row>
    <row r="417" spans="1:18" x14ac:dyDescent="0.25">
      <c r="A417">
        <f>計算表!A417</f>
        <v>416</v>
      </c>
      <c r="B417" s="2">
        <f>計算表!B417</f>
        <v>0</v>
      </c>
      <c r="C417" t="str">
        <f>計算表!C417</f>
        <v>表-戰力權重</v>
      </c>
      <c r="D417" t="str">
        <f>計算表!D417</f>
        <v>冷卻縮減%</v>
      </c>
      <c r="E417" t="str">
        <f>計算表!E417</f>
        <v>評分權重 = a</v>
      </c>
      <c r="F417" t="str">
        <f>計算表!F417</f>
        <v>「戰力評分」中該詞條/對應寶石屬性的權重；未列出者以 1 計。</v>
      </c>
      <c r="G417">
        <f>計算表!G417</f>
        <v>2</v>
      </c>
      <c r="H417">
        <f>計算表!H417</f>
        <v>0</v>
      </c>
      <c r="I417">
        <f>計算表!I417</f>
        <v>0</v>
      </c>
      <c r="J417">
        <f>計算表!J417</f>
        <v>0</v>
      </c>
      <c r="K417">
        <f>計算表!K417</f>
        <v>0</v>
      </c>
      <c r="L417">
        <f>計算表!L417</f>
        <v>0</v>
      </c>
      <c r="M417">
        <f>計算表!M417</f>
        <v>0</v>
      </c>
      <c r="N417">
        <f>計算表!N417</f>
        <v>0</v>
      </c>
      <c r="O417">
        <f>計算表!O417</f>
        <v>0</v>
      </c>
      <c r="P417">
        <f>計算表!P417</f>
        <v>0</v>
      </c>
      <c r="Q417">
        <f>計算表!Q417</f>
        <v>0</v>
      </c>
      <c r="R417">
        <f>計算表!R417</f>
        <v>0</v>
      </c>
    </row>
    <row r="418" spans="1:18" x14ac:dyDescent="0.25">
      <c r="A418">
        <f>計算表!A418</f>
        <v>417</v>
      </c>
      <c r="B418" s="2">
        <f>計算表!B418</f>
        <v>0</v>
      </c>
      <c r="C418" t="str">
        <f>計算表!C418</f>
        <v>表-戰力權重</v>
      </c>
      <c r="D418" t="str">
        <f>計算表!D418</f>
        <v>施法速度%</v>
      </c>
      <c r="E418" t="str">
        <f>計算表!E418</f>
        <v>評分權重 = a</v>
      </c>
      <c r="F418" t="str">
        <f>計算表!F418</f>
        <v>「戰力評分」中該詞條/對應寶石屬性的權重；未列出者以 1 計。</v>
      </c>
      <c r="G418">
        <f>計算表!G418</f>
        <v>1.4</v>
      </c>
      <c r="H418">
        <f>計算表!H418</f>
        <v>0</v>
      </c>
      <c r="I418">
        <f>計算表!I418</f>
        <v>0</v>
      </c>
      <c r="J418">
        <f>計算表!J418</f>
        <v>0</v>
      </c>
      <c r="K418">
        <f>計算表!K418</f>
        <v>0</v>
      </c>
      <c r="L418">
        <f>計算表!L418</f>
        <v>0</v>
      </c>
      <c r="M418">
        <f>計算表!M418</f>
        <v>0</v>
      </c>
      <c r="N418">
        <f>計算表!N418</f>
        <v>0</v>
      </c>
      <c r="O418">
        <f>計算表!O418</f>
        <v>0</v>
      </c>
      <c r="P418">
        <f>計算表!P418</f>
        <v>0</v>
      </c>
      <c r="Q418">
        <f>計算表!Q418</f>
        <v>0</v>
      </c>
      <c r="R418">
        <f>計算表!R418</f>
        <v>0</v>
      </c>
    </row>
    <row r="419" spans="1:18" x14ac:dyDescent="0.25">
      <c r="A419">
        <f>計算表!A419</f>
        <v>418</v>
      </c>
      <c r="B419" s="2">
        <f>計算表!B419</f>
        <v>0</v>
      </c>
      <c r="C419" t="str">
        <f>計算表!C419</f>
        <v>表-戰力權重</v>
      </c>
      <c r="D419" t="str">
        <f>計算表!D419</f>
        <v>吸血%</v>
      </c>
      <c r="E419" t="str">
        <f>計算表!E419</f>
        <v>評分權重 = a</v>
      </c>
      <c r="F419" t="str">
        <f>計算表!F419</f>
        <v>「戰力評分」中該詞條/對應寶石屬性的權重；未列出者以 1 計。</v>
      </c>
      <c r="G419">
        <f>計算表!G419</f>
        <v>2.2000000000000002</v>
      </c>
      <c r="H419">
        <f>計算表!H419</f>
        <v>0</v>
      </c>
      <c r="I419">
        <f>計算表!I419</f>
        <v>0</v>
      </c>
      <c r="J419">
        <f>計算表!J419</f>
        <v>0</v>
      </c>
      <c r="K419">
        <f>計算表!K419</f>
        <v>0</v>
      </c>
      <c r="L419">
        <f>計算表!L419</f>
        <v>0</v>
      </c>
      <c r="M419">
        <f>計算表!M419</f>
        <v>0</v>
      </c>
      <c r="N419">
        <f>計算表!N419</f>
        <v>0</v>
      </c>
      <c r="O419">
        <f>計算表!O419</f>
        <v>0</v>
      </c>
      <c r="P419">
        <f>計算表!P419</f>
        <v>0</v>
      </c>
      <c r="Q419">
        <f>計算表!Q419</f>
        <v>0</v>
      </c>
      <c r="R419">
        <f>計算表!R419</f>
        <v>0</v>
      </c>
    </row>
    <row r="420" spans="1:18" x14ac:dyDescent="0.25">
      <c r="A420">
        <f>計算表!A420</f>
        <v>419</v>
      </c>
      <c r="B420" s="2">
        <f>計算表!B420</f>
        <v>0</v>
      </c>
      <c r="C420" t="str">
        <f>計算表!C420</f>
        <v>表-戰力權重</v>
      </c>
      <c r="D420" t="str">
        <f>計算表!D420</f>
        <v>吸魔%</v>
      </c>
      <c r="E420" t="str">
        <f>計算表!E420</f>
        <v>評分權重 = a</v>
      </c>
      <c r="F420" t="str">
        <f>計算表!F420</f>
        <v>「戰力評分」中該詞條/對應寶石屬性的權重；未列出者以 1 計。</v>
      </c>
      <c r="G420">
        <f>計算表!G420</f>
        <v>1.4</v>
      </c>
      <c r="H420">
        <f>計算表!H420</f>
        <v>0</v>
      </c>
      <c r="I420">
        <f>計算表!I420</f>
        <v>0</v>
      </c>
      <c r="J420">
        <f>計算表!J420</f>
        <v>0</v>
      </c>
      <c r="K420">
        <f>計算表!K420</f>
        <v>0</v>
      </c>
      <c r="L420">
        <f>計算表!L420</f>
        <v>0</v>
      </c>
      <c r="M420">
        <f>計算表!M420</f>
        <v>0</v>
      </c>
      <c r="N420">
        <f>計算表!N420</f>
        <v>0</v>
      </c>
      <c r="O420">
        <f>計算表!O420</f>
        <v>0</v>
      </c>
      <c r="P420">
        <f>計算表!P420</f>
        <v>0</v>
      </c>
      <c r="Q420">
        <f>計算表!Q420</f>
        <v>0</v>
      </c>
      <c r="R420">
        <f>計算表!R420</f>
        <v>0</v>
      </c>
    </row>
    <row r="421" spans="1:18" x14ac:dyDescent="0.25">
      <c r="A421">
        <f>計算表!A421</f>
        <v>420</v>
      </c>
      <c r="B421" s="2">
        <f>計算表!B421</f>
        <v>0</v>
      </c>
      <c r="C421" t="str">
        <f>計算表!C421</f>
        <v>表-戰力權重</v>
      </c>
      <c r="D421" t="str">
        <f>計算表!D421</f>
        <v>對菁英傷害%</v>
      </c>
      <c r="E421" t="str">
        <f>計算表!E421</f>
        <v>評分權重 = a</v>
      </c>
      <c r="F421" t="str">
        <f>計算表!F421</f>
        <v>「戰力評分」中該詞條/對應寶石屬性的權重；未列出者以 1 計。</v>
      </c>
      <c r="G421">
        <f>計算表!G421</f>
        <v>1.2</v>
      </c>
      <c r="H421">
        <f>計算表!H421</f>
        <v>0</v>
      </c>
      <c r="I421">
        <f>計算表!I421</f>
        <v>0</v>
      </c>
      <c r="J421">
        <f>計算表!J421</f>
        <v>0</v>
      </c>
      <c r="K421">
        <f>計算表!K421</f>
        <v>0</v>
      </c>
      <c r="L421">
        <f>計算表!L421</f>
        <v>0</v>
      </c>
      <c r="M421">
        <f>計算表!M421</f>
        <v>0</v>
      </c>
      <c r="N421">
        <f>計算表!N421</f>
        <v>0</v>
      </c>
      <c r="O421">
        <f>計算表!O421</f>
        <v>0</v>
      </c>
      <c r="P421">
        <f>計算表!P421</f>
        <v>0</v>
      </c>
      <c r="Q421">
        <f>計算表!Q421</f>
        <v>0</v>
      </c>
      <c r="R421">
        <f>計算表!R421</f>
        <v>0</v>
      </c>
    </row>
    <row r="422" spans="1:18" x14ac:dyDescent="0.25">
      <c r="A422">
        <f>計算表!A422</f>
        <v>421</v>
      </c>
      <c r="B422" s="2">
        <f>計算表!B422</f>
        <v>0</v>
      </c>
      <c r="C422" t="str">
        <f>計算表!C422</f>
        <v>表-戰力權重</v>
      </c>
      <c r="D422" t="str">
        <f>計算表!D422</f>
        <v>對BOSS傷害%</v>
      </c>
      <c r="E422" t="str">
        <f>計算表!E422</f>
        <v>評分權重 = a</v>
      </c>
      <c r="F422" t="str">
        <f>計算表!F422</f>
        <v>「戰力評分」中該詞條/對應寶石屬性的權重；未列出者以 1 計。</v>
      </c>
      <c r="G422">
        <f>計算表!G422</f>
        <v>1.2</v>
      </c>
      <c r="H422">
        <f>計算表!H422</f>
        <v>0</v>
      </c>
      <c r="I422">
        <f>計算表!I422</f>
        <v>0</v>
      </c>
      <c r="J422">
        <f>計算表!J422</f>
        <v>0</v>
      </c>
      <c r="K422">
        <f>計算表!K422</f>
        <v>0</v>
      </c>
      <c r="L422">
        <f>計算表!L422</f>
        <v>0</v>
      </c>
      <c r="M422">
        <f>計算表!M422</f>
        <v>0</v>
      </c>
      <c r="N422">
        <f>計算表!N422</f>
        <v>0</v>
      </c>
      <c r="O422">
        <f>計算表!O422</f>
        <v>0</v>
      </c>
      <c r="P422">
        <f>計算表!P422</f>
        <v>0</v>
      </c>
      <c r="Q422">
        <f>計算表!Q422</f>
        <v>0</v>
      </c>
      <c r="R422">
        <f>計算表!R422</f>
        <v>0</v>
      </c>
    </row>
    <row r="423" spans="1:18" x14ac:dyDescent="0.25">
      <c r="A423">
        <f>計算表!A423</f>
        <v>422</v>
      </c>
      <c r="B423" s="2">
        <f>計算表!B423</f>
        <v>0</v>
      </c>
      <c r="C423" t="str">
        <f>計算表!C423</f>
        <v>表-戰力權重</v>
      </c>
      <c r="D423" t="str">
        <f>計算表!D423</f>
        <v>範圍傷害%</v>
      </c>
      <c r="E423" t="str">
        <f>計算表!E423</f>
        <v>評分權重 = a</v>
      </c>
      <c r="F423" t="str">
        <f>計算表!F423</f>
        <v>「戰力評分」中該詞條/對應寶石屬性的權重；未列出者以 1 計。</v>
      </c>
      <c r="G423">
        <f>計算表!G423</f>
        <v>1.4</v>
      </c>
      <c r="H423">
        <f>計算表!H423</f>
        <v>0</v>
      </c>
      <c r="I423">
        <f>計算表!I423</f>
        <v>0</v>
      </c>
      <c r="J423">
        <f>計算表!J423</f>
        <v>0</v>
      </c>
      <c r="K423">
        <f>計算表!K423</f>
        <v>0</v>
      </c>
      <c r="L423">
        <f>計算表!L423</f>
        <v>0</v>
      </c>
      <c r="M423">
        <f>計算表!M423</f>
        <v>0</v>
      </c>
      <c r="N423">
        <f>計算表!N423</f>
        <v>0</v>
      </c>
      <c r="O423">
        <f>計算表!O423</f>
        <v>0</v>
      </c>
      <c r="P423">
        <f>計算表!P423</f>
        <v>0</v>
      </c>
      <c r="Q423">
        <f>計算表!Q423</f>
        <v>0</v>
      </c>
      <c r="R423">
        <f>計算表!R423</f>
        <v>0</v>
      </c>
    </row>
    <row r="424" spans="1:18" x14ac:dyDescent="0.25">
      <c r="A424">
        <f>計算表!A424</f>
        <v>423</v>
      </c>
      <c r="B424" s="2">
        <f>計算表!B424</f>
        <v>0</v>
      </c>
      <c r="C424" t="str">
        <f>計算表!C424</f>
        <v>表-戰力權重</v>
      </c>
      <c r="D424" t="str">
        <f>計算表!D424</f>
        <v>全局減傷</v>
      </c>
      <c r="E424" t="str">
        <f>計算表!E424</f>
        <v>評分權重 = a</v>
      </c>
      <c r="F424" t="str">
        <f>計算表!F424</f>
        <v>「戰力評分」中該詞條/對應寶石屬性的權重；未列出者以 1 計。</v>
      </c>
      <c r="G424">
        <f>計算表!G424</f>
        <v>1</v>
      </c>
      <c r="H424">
        <f>計算表!H424</f>
        <v>0</v>
      </c>
      <c r="I424">
        <f>計算表!I424</f>
        <v>0</v>
      </c>
      <c r="J424">
        <f>計算表!J424</f>
        <v>0</v>
      </c>
      <c r="K424">
        <f>計算表!K424</f>
        <v>0</v>
      </c>
      <c r="L424">
        <f>計算表!L424</f>
        <v>0</v>
      </c>
      <c r="M424">
        <f>計算表!M424</f>
        <v>0</v>
      </c>
      <c r="N424">
        <f>計算表!N424</f>
        <v>0</v>
      </c>
      <c r="O424">
        <f>計算表!O424</f>
        <v>0</v>
      </c>
      <c r="P424">
        <f>計算表!P424</f>
        <v>0</v>
      </c>
      <c r="Q424">
        <f>計算表!Q424</f>
        <v>0</v>
      </c>
      <c r="R424">
        <f>計算表!R424</f>
        <v>0</v>
      </c>
    </row>
    <row r="425" spans="1:18" x14ac:dyDescent="0.25">
      <c r="A425">
        <f>計算表!A425</f>
        <v>424</v>
      </c>
      <c r="B425" s="2">
        <f>計算表!B425</f>
        <v>0</v>
      </c>
      <c r="C425" t="str">
        <f>計算表!C425</f>
        <v>表-戰力權重</v>
      </c>
      <c r="D425" t="str">
        <f>計算表!D425</f>
        <v>格擋率%</v>
      </c>
      <c r="E425" t="str">
        <f>計算表!E425</f>
        <v>評分權重 = a</v>
      </c>
      <c r="F425" t="str">
        <f>計算表!F425</f>
        <v>「戰力評分」中該詞條/對應寶石屬性的權重；未列出者以 1 計。</v>
      </c>
      <c r="G425">
        <f>計算表!G425</f>
        <v>2</v>
      </c>
      <c r="H425">
        <f>計算表!H425</f>
        <v>0</v>
      </c>
      <c r="I425">
        <f>計算表!I425</f>
        <v>0</v>
      </c>
      <c r="J425">
        <f>計算表!J425</f>
        <v>0</v>
      </c>
      <c r="K425">
        <f>計算表!K425</f>
        <v>0</v>
      </c>
      <c r="L425">
        <f>計算表!L425</f>
        <v>0</v>
      </c>
      <c r="M425">
        <f>計算表!M425</f>
        <v>0</v>
      </c>
      <c r="N425">
        <f>計算表!N425</f>
        <v>0</v>
      </c>
      <c r="O425">
        <f>計算表!O425</f>
        <v>0</v>
      </c>
      <c r="P425">
        <f>計算表!P425</f>
        <v>0</v>
      </c>
      <c r="Q425">
        <f>計算表!Q425</f>
        <v>0</v>
      </c>
      <c r="R425">
        <f>計算表!R425</f>
        <v>0</v>
      </c>
    </row>
    <row r="426" spans="1:18" x14ac:dyDescent="0.25">
      <c r="A426">
        <f>計算表!A426</f>
        <v>425</v>
      </c>
      <c r="B426" s="2">
        <f>計算表!B426</f>
        <v>0</v>
      </c>
      <c r="C426" t="str">
        <f>計算表!C426</f>
        <v>表-戰力權重</v>
      </c>
      <c r="D426" t="str">
        <f>計算表!D426</f>
        <v>格擋減傷%</v>
      </c>
      <c r="E426" t="str">
        <f>計算表!E426</f>
        <v>評分權重 = a</v>
      </c>
      <c r="F426" t="str">
        <f>計算表!F426</f>
        <v>「戰力評分」中該詞條/對應寶石屬性的權重；未列出者以 1 計。</v>
      </c>
      <c r="G426">
        <f>計算表!G426</f>
        <v>1.2</v>
      </c>
      <c r="H426">
        <f>計算表!H426</f>
        <v>0</v>
      </c>
      <c r="I426">
        <f>計算表!I426</f>
        <v>0</v>
      </c>
      <c r="J426">
        <f>計算表!J426</f>
        <v>0</v>
      </c>
      <c r="K426">
        <f>計算表!K426</f>
        <v>0</v>
      </c>
      <c r="L426">
        <f>計算表!L426</f>
        <v>0</v>
      </c>
      <c r="M426">
        <f>計算表!M426</f>
        <v>0</v>
      </c>
      <c r="N426">
        <f>計算表!N426</f>
        <v>0</v>
      </c>
      <c r="O426">
        <f>計算表!O426</f>
        <v>0</v>
      </c>
      <c r="P426">
        <f>計算表!P426</f>
        <v>0</v>
      </c>
      <c r="Q426">
        <f>計算表!Q426</f>
        <v>0</v>
      </c>
      <c r="R426">
        <f>計算表!R426</f>
        <v>0</v>
      </c>
    </row>
    <row r="427" spans="1:18" x14ac:dyDescent="0.25">
      <c r="A427">
        <f>計算表!A427</f>
        <v>426</v>
      </c>
      <c r="B427" s="2">
        <f>計算表!B427</f>
        <v>0</v>
      </c>
      <c r="C427" t="str">
        <f>計算表!C427</f>
        <v>表-戰力權重</v>
      </c>
      <c r="D427" t="str">
        <f>計算表!D427</f>
        <v>閃避率%</v>
      </c>
      <c r="E427" t="str">
        <f>計算表!E427</f>
        <v>評分權重 = a</v>
      </c>
      <c r="F427" t="str">
        <f>計算表!F427</f>
        <v>「戰力評分」中該詞條/對應寶石屬性的權重；未列出者以 1 計。</v>
      </c>
      <c r="G427">
        <f>計算表!G427</f>
        <v>2.2000000000000002</v>
      </c>
      <c r="H427">
        <f>計算表!H427</f>
        <v>0</v>
      </c>
      <c r="I427">
        <f>計算表!I427</f>
        <v>0</v>
      </c>
      <c r="J427">
        <f>計算表!J427</f>
        <v>0</v>
      </c>
      <c r="K427">
        <f>計算表!K427</f>
        <v>0</v>
      </c>
      <c r="L427">
        <f>計算表!L427</f>
        <v>0</v>
      </c>
      <c r="M427">
        <f>計算表!M427</f>
        <v>0</v>
      </c>
      <c r="N427">
        <f>計算表!N427</f>
        <v>0</v>
      </c>
      <c r="O427">
        <f>計算表!O427</f>
        <v>0</v>
      </c>
      <c r="P427">
        <f>計算表!P427</f>
        <v>0</v>
      </c>
      <c r="Q427">
        <f>計算表!Q427</f>
        <v>0</v>
      </c>
      <c r="R427">
        <f>計算表!R427</f>
        <v>0</v>
      </c>
    </row>
    <row r="428" spans="1:18" x14ac:dyDescent="0.25">
      <c r="A428">
        <f>計算表!A428</f>
        <v>427</v>
      </c>
      <c r="B428" s="2">
        <f>計算表!B428</f>
        <v>0</v>
      </c>
      <c r="C428" t="str">
        <f>計算表!C428</f>
        <v>表-戰力權重</v>
      </c>
      <c r="D428" t="str">
        <f>計算表!D428</f>
        <v>韌性%</v>
      </c>
      <c r="E428" t="str">
        <f>計算表!E428</f>
        <v>評分權重 = a</v>
      </c>
      <c r="F428" t="str">
        <f>計算表!F428</f>
        <v>「戰力評分」中該詞條/對應寶石屬性的權重；未列出者以 1 計。</v>
      </c>
      <c r="G428">
        <f>計算表!G428</f>
        <v>1.2</v>
      </c>
      <c r="H428">
        <f>計算表!H428</f>
        <v>0</v>
      </c>
      <c r="I428">
        <f>計算表!I428</f>
        <v>0</v>
      </c>
      <c r="J428">
        <f>計算表!J428</f>
        <v>0</v>
      </c>
      <c r="K428">
        <f>計算表!K428</f>
        <v>0</v>
      </c>
      <c r="L428">
        <f>計算表!L428</f>
        <v>0</v>
      </c>
      <c r="M428">
        <f>計算表!M428</f>
        <v>0</v>
      </c>
      <c r="N428">
        <f>計算表!N428</f>
        <v>0</v>
      </c>
      <c r="O428">
        <f>計算表!O428</f>
        <v>0</v>
      </c>
      <c r="P428">
        <f>計算表!P428</f>
        <v>0</v>
      </c>
      <c r="Q428">
        <f>計算表!Q428</f>
        <v>0</v>
      </c>
      <c r="R428">
        <f>計算表!R428</f>
        <v>0</v>
      </c>
    </row>
    <row r="429" spans="1:18" x14ac:dyDescent="0.25">
      <c r="A429">
        <f>計算表!A429</f>
        <v>428</v>
      </c>
      <c r="B429" s="2">
        <f>計算表!B429</f>
        <v>0</v>
      </c>
      <c r="C429" t="str">
        <f>計算表!C429</f>
        <v>表-戰力權重</v>
      </c>
      <c r="D429" t="str">
        <f>計算表!D429</f>
        <v>護盾效率%</v>
      </c>
      <c r="E429" t="str">
        <f>計算表!E429</f>
        <v>評分權重 = a</v>
      </c>
      <c r="F429" t="str">
        <f>計算表!F429</f>
        <v>「戰力評分」中該詞條/對應寶石屬性的權重；未列出者以 1 計。</v>
      </c>
      <c r="G429">
        <f>計算表!G429</f>
        <v>1</v>
      </c>
      <c r="H429">
        <f>計算表!H429</f>
        <v>0</v>
      </c>
      <c r="I429">
        <f>計算表!I429</f>
        <v>0</v>
      </c>
      <c r="J429">
        <f>計算表!J429</f>
        <v>0</v>
      </c>
      <c r="K429">
        <f>計算表!K429</f>
        <v>0</v>
      </c>
      <c r="L429">
        <f>計算表!L429</f>
        <v>0</v>
      </c>
      <c r="M429">
        <f>計算表!M429</f>
        <v>0</v>
      </c>
      <c r="N429">
        <f>計算表!N429</f>
        <v>0</v>
      </c>
      <c r="O429">
        <f>計算表!O429</f>
        <v>0</v>
      </c>
      <c r="P429">
        <f>計算表!P429</f>
        <v>0</v>
      </c>
      <c r="Q429">
        <f>計算表!Q429</f>
        <v>0</v>
      </c>
      <c r="R429">
        <f>計算表!R429</f>
        <v>0</v>
      </c>
    </row>
    <row r="430" spans="1:18" x14ac:dyDescent="0.25">
      <c r="A430">
        <f>計算表!A430</f>
        <v>429</v>
      </c>
      <c r="B430" s="2">
        <f>計算表!B430</f>
        <v>0</v>
      </c>
      <c r="C430" t="str">
        <f>計算表!C430</f>
        <v>表-戰力權重</v>
      </c>
      <c r="D430" t="str">
        <f>計算表!D430</f>
        <v>物理抗性%</v>
      </c>
      <c r="E430" t="str">
        <f>計算表!E430</f>
        <v>評分權重 = a</v>
      </c>
      <c r="F430" t="str">
        <f>計算表!F430</f>
        <v>「戰力評分」中該詞條/對應寶石屬性的權重；未列出者以 1 計。</v>
      </c>
      <c r="G430">
        <f>計算表!G430</f>
        <v>2</v>
      </c>
      <c r="H430">
        <f>計算表!H430</f>
        <v>0</v>
      </c>
      <c r="I430">
        <f>計算表!I430</f>
        <v>0</v>
      </c>
      <c r="J430">
        <f>計算表!J430</f>
        <v>0</v>
      </c>
      <c r="K430">
        <f>計算表!K430</f>
        <v>0</v>
      </c>
      <c r="L430">
        <f>計算表!L430</f>
        <v>0</v>
      </c>
      <c r="M430">
        <f>計算表!M430</f>
        <v>0</v>
      </c>
      <c r="N430">
        <f>計算表!N430</f>
        <v>0</v>
      </c>
      <c r="O430">
        <f>計算表!O430</f>
        <v>0</v>
      </c>
      <c r="P430">
        <f>計算表!P430</f>
        <v>0</v>
      </c>
      <c r="Q430">
        <f>計算表!Q430</f>
        <v>0</v>
      </c>
      <c r="R430">
        <f>計算表!R430</f>
        <v>0</v>
      </c>
    </row>
    <row r="431" spans="1:18" x14ac:dyDescent="0.25">
      <c r="A431">
        <f>計算表!A431</f>
        <v>430</v>
      </c>
      <c r="B431" s="2">
        <f>計算表!B431</f>
        <v>0</v>
      </c>
      <c r="C431" t="str">
        <f>計算表!C431</f>
        <v>表-戰力權重</v>
      </c>
      <c r="D431" t="str">
        <f>計算表!D431</f>
        <v>魔法抗性%</v>
      </c>
      <c r="E431" t="str">
        <f>計算表!E431</f>
        <v>評分權重 = a</v>
      </c>
      <c r="F431" t="str">
        <f>計算表!F431</f>
        <v>「戰力評分」中該詞條/對應寶石屬性的權重；未列出者以 1 計。</v>
      </c>
      <c r="G431">
        <f>計算表!G431</f>
        <v>2</v>
      </c>
      <c r="H431">
        <f>計算表!H431</f>
        <v>0</v>
      </c>
      <c r="I431">
        <f>計算表!I431</f>
        <v>0</v>
      </c>
      <c r="J431">
        <f>計算表!J431</f>
        <v>0</v>
      </c>
      <c r="K431">
        <f>計算表!K431</f>
        <v>0</v>
      </c>
      <c r="L431">
        <f>計算表!L431</f>
        <v>0</v>
      </c>
      <c r="M431">
        <f>計算表!M431</f>
        <v>0</v>
      </c>
      <c r="N431">
        <f>計算表!N431</f>
        <v>0</v>
      </c>
      <c r="O431">
        <f>計算表!O431</f>
        <v>0</v>
      </c>
      <c r="P431">
        <f>計算表!P431</f>
        <v>0</v>
      </c>
      <c r="Q431">
        <f>計算表!Q431</f>
        <v>0</v>
      </c>
      <c r="R431">
        <f>計算表!R431</f>
        <v>0</v>
      </c>
    </row>
    <row r="432" spans="1:18" x14ac:dyDescent="0.25">
      <c r="A432">
        <f>計算表!A432</f>
        <v>431</v>
      </c>
      <c r="B432" s="2">
        <f>計算表!B432</f>
        <v>0</v>
      </c>
      <c r="C432" t="str">
        <f>計算表!C432</f>
        <v>表-戰力權重</v>
      </c>
      <c r="D432" t="str">
        <f>計算表!D432</f>
        <v>火焰抗性%</v>
      </c>
      <c r="E432" t="str">
        <f>計算表!E432</f>
        <v>評分權重 = a</v>
      </c>
      <c r="F432" t="str">
        <f>計算表!F432</f>
        <v>「戰力評分」中該詞條/對應寶石屬性的權重；未列出者以 1 計。</v>
      </c>
      <c r="G432">
        <f>計算表!G432</f>
        <v>0.8</v>
      </c>
      <c r="H432">
        <f>計算表!H432</f>
        <v>0</v>
      </c>
      <c r="I432">
        <f>計算表!I432</f>
        <v>0</v>
      </c>
      <c r="J432">
        <f>計算表!J432</f>
        <v>0</v>
      </c>
      <c r="K432">
        <f>計算表!K432</f>
        <v>0</v>
      </c>
      <c r="L432">
        <f>計算表!L432</f>
        <v>0</v>
      </c>
      <c r="M432">
        <f>計算表!M432</f>
        <v>0</v>
      </c>
      <c r="N432">
        <f>計算表!N432</f>
        <v>0</v>
      </c>
      <c r="O432">
        <f>計算表!O432</f>
        <v>0</v>
      </c>
      <c r="P432">
        <f>計算表!P432</f>
        <v>0</v>
      </c>
      <c r="Q432">
        <f>計算表!Q432</f>
        <v>0</v>
      </c>
      <c r="R432">
        <f>計算表!R432</f>
        <v>0</v>
      </c>
    </row>
    <row r="433" spans="1:18" x14ac:dyDescent="0.25">
      <c r="A433">
        <f>計算表!A433</f>
        <v>432</v>
      </c>
      <c r="B433" s="2">
        <f>計算表!B433</f>
        <v>0</v>
      </c>
      <c r="C433" t="str">
        <f>計算表!C433</f>
        <v>表-戰力權重</v>
      </c>
      <c r="D433" t="str">
        <f>計算表!D433</f>
        <v>冰霜抗性%</v>
      </c>
      <c r="E433" t="str">
        <f>計算表!E433</f>
        <v>評分權重 = a</v>
      </c>
      <c r="F433" t="str">
        <f>計算表!F433</f>
        <v>「戰力評分」中該詞條/對應寶石屬性的權重；未列出者以 1 計。</v>
      </c>
      <c r="G433">
        <f>計算表!G433</f>
        <v>0.8</v>
      </c>
      <c r="H433">
        <f>計算表!H433</f>
        <v>0</v>
      </c>
      <c r="I433">
        <f>計算表!I433</f>
        <v>0</v>
      </c>
      <c r="J433">
        <f>計算表!J433</f>
        <v>0</v>
      </c>
      <c r="K433">
        <f>計算表!K433</f>
        <v>0</v>
      </c>
      <c r="L433">
        <f>計算表!L433</f>
        <v>0</v>
      </c>
      <c r="M433">
        <f>計算表!M433</f>
        <v>0</v>
      </c>
      <c r="N433">
        <f>計算表!N433</f>
        <v>0</v>
      </c>
      <c r="O433">
        <f>計算表!O433</f>
        <v>0</v>
      </c>
      <c r="P433">
        <f>計算表!P433</f>
        <v>0</v>
      </c>
      <c r="Q433">
        <f>計算表!Q433</f>
        <v>0</v>
      </c>
      <c r="R433">
        <f>計算表!R433</f>
        <v>0</v>
      </c>
    </row>
    <row r="434" spans="1:18" x14ac:dyDescent="0.25">
      <c r="A434">
        <f>計算表!A434</f>
        <v>433</v>
      </c>
      <c r="B434" s="2">
        <f>計算表!B434</f>
        <v>0</v>
      </c>
      <c r="C434" t="str">
        <f>計算表!C434</f>
        <v>表-戰力權重</v>
      </c>
      <c r="D434" t="str">
        <f>計算表!D434</f>
        <v>雷電抗性%</v>
      </c>
      <c r="E434" t="str">
        <f>計算表!E434</f>
        <v>評分權重 = a</v>
      </c>
      <c r="F434" t="str">
        <f>計算表!F434</f>
        <v>「戰力評分」中該詞條/對應寶石屬性的權重；未列出者以 1 計。</v>
      </c>
      <c r="G434">
        <f>計算表!G434</f>
        <v>0.8</v>
      </c>
      <c r="H434">
        <f>計算表!H434</f>
        <v>0</v>
      </c>
      <c r="I434">
        <f>計算表!I434</f>
        <v>0</v>
      </c>
      <c r="J434">
        <f>計算表!J434</f>
        <v>0</v>
      </c>
      <c r="K434">
        <f>計算表!K434</f>
        <v>0</v>
      </c>
      <c r="L434">
        <f>計算表!L434</f>
        <v>0</v>
      </c>
      <c r="M434">
        <f>計算表!M434</f>
        <v>0</v>
      </c>
      <c r="N434">
        <f>計算表!N434</f>
        <v>0</v>
      </c>
      <c r="O434">
        <f>計算表!O434</f>
        <v>0</v>
      </c>
      <c r="P434">
        <f>計算表!P434</f>
        <v>0</v>
      </c>
      <c r="Q434">
        <f>計算表!Q434</f>
        <v>0</v>
      </c>
      <c r="R434">
        <f>計算表!R434</f>
        <v>0</v>
      </c>
    </row>
    <row r="435" spans="1:18" x14ac:dyDescent="0.25">
      <c r="A435">
        <f>計算表!A435</f>
        <v>434</v>
      </c>
      <c r="B435" s="2">
        <f>計算表!B435</f>
        <v>0</v>
      </c>
      <c r="C435" t="str">
        <f>計算表!C435</f>
        <v>表-戰力權重</v>
      </c>
      <c r="D435" t="str">
        <f>計算表!D435</f>
        <v>劇毒抗性%</v>
      </c>
      <c r="E435" t="str">
        <f>計算表!E435</f>
        <v>評分權重 = a</v>
      </c>
      <c r="F435" t="str">
        <f>計算表!F435</f>
        <v>「戰力評分」中該詞條/對應寶石屬性的權重；未列出者以 1 計。</v>
      </c>
      <c r="G435">
        <f>計算表!G435</f>
        <v>0.8</v>
      </c>
      <c r="H435">
        <f>計算表!H435</f>
        <v>0</v>
      </c>
      <c r="I435">
        <f>計算表!I435</f>
        <v>0</v>
      </c>
      <c r="J435">
        <f>計算表!J435</f>
        <v>0</v>
      </c>
      <c r="K435">
        <f>計算表!K435</f>
        <v>0</v>
      </c>
      <c r="L435">
        <f>計算表!L435</f>
        <v>0</v>
      </c>
      <c r="M435">
        <f>計算表!M435</f>
        <v>0</v>
      </c>
      <c r="N435">
        <f>計算表!N435</f>
        <v>0</v>
      </c>
      <c r="O435">
        <f>計算表!O435</f>
        <v>0</v>
      </c>
      <c r="P435">
        <f>計算表!P435</f>
        <v>0</v>
      </c>
      <c r="Q435">
        <f>計算表!Q435</f>
        <v>0</v>
      </c>
      <c r="R435">
        <f>計算表!R435</f>
        <v>0</v>
      </c>
    </row>
    <row r="436" spans="1:18" x14ac:dyDescent="0.25">
      <c r="A436">
        <f>計算表!A436</f>
        <v>435</v>
      </c>
      <c r="B436" s="2">
        <f>計算表!B436</f>
        <v>0</v>
      </c>
      <c r="C436" t="str">
        <f>計算表!C436</f>
        <v>表-戰力權重</v>
      </c>
      <c r="D436" t="str">
        <f>計算表!D436</f>
        <v>聖光抗性%</v>
      </c>
      <c r="E436" t="str">
        <f>計算表!E436</f>
        <v>評分權重 = a</v>
      </c>
      <c r="F436" t="str">
        <f>計算表!F436</f>
        <v>「戰力評分」中該詞條/對應寶石屬性的權重；未列出者以 1 計。</v>
      </c>
      <c r="G436">
        <f>計算表!G436</f>
        <v>0.8</v>
      </c>
      <c r="H436">
        <f>計算表!H436</f>
        <v>0</v>
      </c>
      <c r="I436">
        <f>計算表!I436</f>
        <v>0</v>
      </c>
      <c r="J436">
        <f>計算表!J436</f>
        <v>0</v>
      </c>
      <c r="K436">
        <f>計算表!K436</f>
        <v>0</v>
      </c>
      <c r="L436">
        <f>計算表!L436</f>
        <v>0</v>
      </c>
      <c r="M436">
        <f>計算表!M436</f>
        <v>0</v>
      </c>
      <c r="N436">
        <f>計算表!N436</f>
        <v>0</v>
      </c>
      <c r="O436">
        <f>計算表!O436</f>
        <v>0</v>
      </c>
      <c r="P436">
        <f>計算表!P436</f>
        <v>0</v>
      </c>
      <c r="Q436">
        <f>計算表!Q436</f>
        <v>0</v>
      </c>
      <c r="R436">
        <f>計算表!R436</f>
        <v>0</v>
      </c>
    </row>
    <row r="437" spans="1:18" x14ac:dyDescent="0.25">
      <c r="A437">
        <f>計算表!A437</f>
        <v>436</v>
      </c>
      <c r="B437" s="2">
        <f>計算表!B437</f>
        <v>0</v>
      </c>
      <c r="C437" t="str">
        <f>計算表!C437</f>
        <v>表-戰力權重</v>
      </c>
      <c r="D437" t="str">
        <f>計算表!D437</f>
        <v>暗影抗性%</v>
      </c>
      <c r="E437" t="str">
        <f>計算表!E437</f>
        <v>評分權重 = a</v>
      </c>
      <c r="F437" t="str">
        <f>計算表!F437</f>
        <v>「戰力評分」中該詞條/對應寶石屬性的權重；未列出者以 1 計。</v>
      </c>
      <c r="G437">
        <f>計算表!G437</f>
        <v>0.8</v>
      </c>
      <c r="H437">
        <f>計算表!H437</f>
        <v>0</v>
      </c>
      <c r="I437">
        <f>計算表!I437</f>
        <v>0</v>
      </c>
      <c r="J437">
        <f>計算表!J437</f>
        <v>0</v>
      </c>
      <c r="K437">
        <f>計算表!K437</f>
        <v>0</v>
      </c>
      <c r="L437">
        <f>計算表!L437</f>
        <v>0</v>
      </c>
      <c r="M437">
        <f>計算表!M437</f>
        <v>0</v>
      </c>
      <c r="N437">
        <f>計算表!N437</f>
        <v>0</v>
      </c>
      <c r="O437">
        <f>計算表!O437</f>
        <v>0</v>
      </c>
      <c r="P437">
        <f>計算表!P437</f>
        <v>0</v>
      </c>
      <c r="Q437">
        <f>計算表!Q437</f>
        <v>0</v>
      </c>
      <c r="R437">
        <f>計算表!R437</f>
        <v>0</v>
      </c>
    </row>
    <row r="438" spans="1:18" x14ac:dyDescent="0.25">
      <c r="A438">
        <f>計算表!A438</f>
        <v>437</v>
      </c>
      <c r="B438" s="2">
        <f>計算表!B438</f>
        <v>0</v>
      </c>
      <c r="C438" t="str">
        <f>計算表!C438</f>
        <v>表-戰力權重</v>
      </c>
      <c r="D438" t="str">
        <f>計算表!D438</f>
        <v>控制時間縮減%</v>
      </c>
      <c r="E438" t="str">
        <f>計算表!E438</f>
        <v>評分權重 = a</v>
      </c>
      <c r="F438" t="str">
        <f>計算表!F438</f>
        <v>「戰力評分」中該詞條/對應寶石屬性的權重；未列出者以 1 計。</v>
      </c>
      <c r="G438">
        <f>計算表!G438</f>
        <v>1.2</v>
      </c>
      <c r="H438">
        <f>計算表!H438</f>
        <v>0</v>
      </c>
      <c r="I438">
        <f>計算表!I438</f>
        <v>0</v>
      </c>
      <c r="J438">
        <f>計算表!J438</f>
        <v>0</v>
      </c>
      <c r="K438">
        <f>計算表!K438</f>
        <v>0</v>
      </c>
      <c r="L438">
        <f>計算表!L438</f>
        <v>0</v>
      </c>
      <c r="M438">
        <f>計算表!M438</f>
        <v>0</v>
      </c>
      <c r="N438">
        <f>計算表!N438</f>
        <v>0</v>
      </c>
      <c r="O438">
        <f>計算表!O438</f>
        <v>0</v>
      </c>
      <c r="P438">
        <f>計算表!P438</f>
        <v>0</v>
      </c>
      <c r="Q438">
        <f>計算表!Q438</f>
        <v>0</v>
      </c>
      <c r="R438">
        <f>計算表!R438</f>
        <v>0</v>
      </c>
    </row>
    <row r="439" spans="1:18" x14ac:dyDescent="0.25">
      <c r="A439">
        <f>計算表!A439</f>
        <v>438</v>
      </c>
      <c r="B439" s="2">
        <f>計算表!B439</f>
        <v>0</v>
      </c>
      <c r="C439" t="str">
        <f>計算表!C439</f>
        <v>表-戰力權重</v>
      </c>
      <c r="D439" t="str">
        <f>計算表!D439</f>
        <v>移動速度%</v>
      </c>
      <c r="E439" t="str">
        <f>計算表!E439</f>
        <v>評分權重 = a</v>
      </c>
      <c r="F439" t="str">
        <f>計算表!F439</f>
        <v>「戰力評分」中該詞條/對應寶石屬性的權重；未列出者以 1 計。</v>
      </c>
      <c r="G439">
        <f>計算表!G439</f>
        <v>1.5</v>
      </c>
      <c r="H439">
        <f>計算表!H439</f>
        <v>0</v>
      </c>
      <c r="I439">
        <f>計算表!I439</f>
        <v>0</v>
      </c>
      <c r="J439">
        <f>計算表!J439</f>
        <v>0</v>
      </c>
      <c r="K439">
        <f>計算表!K439</f>
        <v>0</v>
      </c>
      <c r="L439">
        <f>計算表!L439</f>
        <v>0</v>
      </c>
      <c r="M439">
        <f>計算表!M439</f>
        <v>0</v>
      </c>
      <c r="N439">
        <f>計算表!N439</f>
        <v>0</v>
      </c>
      <c r="O439">
        <f>計算表!O439</f>
        <v>0</v>
      </c>
      <c r="P439">
        <f>計算表!P439</f>
        <v>0</v>
      </c>
      <c r="Q439">
        <f>計算表!Q439</f>
        <v>0</v>
      </c>
      <c r="R439">
        <f>計算表!R439</f>
        <v>0</v>
      </c>
    </row>
    <row r="440" spans="1:18" x14ac:dyDescent="0.25">
      <c r="A440">
        <f>計算表!A440</f>
        <v>439</v>
      </c>
      <c r="B440" s="2">
        <f>計算表!B440</f>
        <v>0</v>
      </c>
      <c r="C440" t="str">
        <f>計算表!C440</f>
        <v>表-戰力權重</v>
      </c>
      <c r="D440" t="str">
        <f>計算表!D440</f>
        <v>掉寶率%</v>
      </c>
      <c r="E440" t="str">
        <f>計算表!E440</f>
        <v>評分權重 = a</v>
      </c>
      <c r="F440" t="str">
        <f>計算表!F440</f>
        <v>「戰力評分」中該詞條/對應寶石屬性的權重；未列出者以 1 計。</v>
      </c>
      <c r="G440">
        <f>計算表!G440</f>
        <v>0.8</v>
      </c>
      <c r="H440">
        <f>計算表!H440</f>
        <v>0</v>
      </c>
      <c r="I440">
        <f>計算表!I440</f>
        <v>0</v>
      </c>
      <c r="J440">
        <f>計算表!J440</f>
        <v>0</v>
      </c>
      <c r="K440">
        <f>計算表!K440</f>
        <v>0</v>
      </c>
      <c r="L440">
        <f>計算表!L440</f>
        <v>0</v>
      </c>
      <c r="M440">
        <f>計算表!M440</f>
        <v>0</v>
      </c>
      <c r="N440">
        <f>計算表!N440</f>
        <v>0</v>
      </c>
      <c r="O440">
        <f>計算表!O440</f>
        <v>0</v>
      </c>
      <c r="P440">
        <f>計算表!P440</f>
        <v>0</v>
      </c>
      <c r="Q440">
        <f>計算表!Q440</f>
        <v>0</v>
      </c>
      <c r="R440">
        <f>計算表!R440</f>
        <v>0</v>
      </c>
    </row>
    <row r="441" spans="1:18" x14ac:dyDescent="0.25">
      <c r="A441">
        <f>計算表!A441</f>
        <v>440</v>
      </c>
      <c r="B441" s="2">
        <f>計算表!B441</f>
        <v>0</v>
      </c>
      <c r="C441" t="str">
        <f>計算表!C441</f>
        <v>表-戰力權重</v>
      </c>
      <c r="D441" t="str">
        <f>計算表!D441</f>
        <v>經驗加成%</v>
      </c>
      <c r="E441" t="str">
        <f>計算表!E441</f>
        <v>評分權重 = a</v>
      </c>
      <c r="F441" t="str">
        <f>計算表!F441</f>
        <v>「戰力評分」中該詞條/對應寶石屬性的權重；未列出者以 1 計。</v>
      </c>
      <c r="G441">
        <f>計算表!G441</f>
        <v>0.8</v>
      </c>
      <c r="H441">
        <f>計算表!H441</f>
        <v>0</v>
      </c>
      <c r="I441">
        <f>計算表!I441</f>
        <v>0</v>
      </c>
      <c r="J441">
        <f>計算表!J441</f>
        <v>0</v>
      </c>
      <c r="K441">
        <f>計算表!K441</f>
        <v>0</v>
      </c>
      <c r="L441">
        <f>計算表!L441</f>
        <v>0</v>
      </c>
      <c r="M441">
        <f>計算表!M441</f>
        <v>0</v>
      </c>
      <c r="N441">
        <f>計算表!N441</f>
        <v>0</v>
      </c>
      <c r="O441">
        <f>計算表!O441</f>
        <v>0</v>
      </c>
      <c r="P441">
        <f>計算表!P441</f>
        <v>0</v>
      </c>
      <c r="Q441">
        <f>計算表!Q441</f>
        <v>0</v>
      </c>
      <c r="R441">
        <f>計算表!R441</f>
        <v>0</v>
      </c>
    </row>
    <row r="442" spans="1:18" x14ac:dyDescent="0.25">
      <c r="A442">
        <f>計算表!A442</f>
        <v>441</v>
      </c>
      <c r="B442" s="2">
        <f>計算表!B442</f>
        <v>0</v>
      </c>
      <c r="C442" t="str">
        <f>計算表!C442</f>
        <v>表-戰力權重</v>
      </c>
      <c r="D442" t="str">
        <f>計算表!D442</f>
        <v>金幣加成%</v>
      </c>
      <c r="E442" t="str">
        <f>計算表!E442</f>
        <v>評分權重 = a</v>
      </c>
      <c r="F442" t="str">
        <f>計算表!F442</f>
        <v>「戰力評分」中該詞條/對應寶石屬性的權重；未列出者以 1 計。</v>
      </c>
      <c r="G442">
        <f>計算表!G442</f>
        <v>0.8</v>
      </c>
      <c r="H442">
        <f>計算表!H442</f>
        <v>0</v>
      </c>
      <c r="I442">
        <f>計算表!I442</f>
        <v>0</v>
      </c>
      <c r="J442">
        <f>計算表!J442</f>
        <v>0</v>
      </c>
      <c r="K442">
        <f>計算表!K442</f>
        <v>0</v>
      </c>
      <c r="L442">
        <f>計算表!L442</f>
        <v>0</v>
      </c>
      <c r="M442">
        <f>計算表!M442</f>
        <v>0</v>
      </c>
      <c r="N442">
        <f>計算表!N442</f>
        <v>0</v>
      </c>
      <c r="O442">
        <f>計算表!O442</f>
        <v>0</v>
      </c>
      <c r="P442">
        <f>計算表!P442</f>
        <v>0</v>
      </c>
      <c r="Q442">
        <f>計算表!Q442</f>
        <v>0</v>
      </c>
      <c r="R442">
        <f>計算表!R442</f>
        <v>0</v>
      </c>
    </row>
    <row r="443" spans="1:18" x14ac:dyDescent="0.25">
      <c r="A443">
        <f>計算表!A443</f>
        <v>442</v>
      </c>
      <c r="B443" s="2">
        <f>計算表!B443</f>
        <v>0</v>
      </c>
      <c r="C443" t="str">
        <f>計算表!C443</f>
        <v>表-戰力權重</v>
      </c>
      <c r="D443" t="str">
        <f>計算表!D443</f>
        <v>幸運值</v>
      </c>
      <c r="E443" t="str">
        <f>計算表!E443</f>
        <v>評分權重 = a</v>
      </c>
      <c r="F443" t="str">
        <f>計算表!F443</f>
        <v>「戰力評分」中該詞條/對應寶石屬性的權重；未列出者以 1 計。</v>
      </c>
      <c r="G443">
        <f>計算表!G443</f>
        <v>1.5</v>
      </c>
      <c r="H443">
        <f>計算表!H443</f>
        <v>0</v>
      </c>
      <c r="I443">
        <f>計算表!I443</f>
        <v>0</v>
      </c>
      <c r="J443">
        <f>計算表!J443</f>
        <v>0</v>
      </c>
      <c r="K443">
        <f>計算表!K443</f>
        <v>0</v>
      </c>
      <c r="L443">
        <f>計算表!L443</f>
        <v>0</v>
      </c>
      <c r="M443">
        <f>計算表!M443</f>
        <v>0</v>
      </c>
      <c r="N443">
        <f>計算表!N443</f>
        <v>0</v>
      </c>
      <c r="O443">
        <f>計算表!O443</f>
        <v>0</v>
      </c>
      <c r="P443">
        <f>計算表!P443</f>
        <v>0</v>
      </c>
      <c r="Q443">
        <f>計算表!Q443</f>
        <v>0</v>
      </c>
      <c r="R443">
        <f>計算表!R443</f>
        <v>0</v>
      </c>
    </row>
    <row r="444" spans="1:18" x14ac:dyDescent="0.25">
      <c r="A444">
        <f>計算表!A444</f>
        <v>443</v>
      </c>
      <c r="B444" s="2">
        <f>計算表!B444</f>
        <v>0</v>
      </c>
      <c r="C444" t="str">
        <f>計算表!C444</f>
        <v>表-戰力權重</v>
      </c>
      <c r="D444" t="str">
        <f>計算表!D444</f>
        <v>負重上限</v>
      </c>
      <c r="E444" t="str">
        <f>計算表!E444</f>
        <v>評分權重 = a</v>
      </c>
      <c r="F444" t="str">
        <f>計算表!F444</f>
        <v>「戰力評分」中該詞條/對應寶石屬性的權重；未列出者以 1 計。</v>
      </c>
      <c r="G444">
        <f>計算表!G444</f>
        <v>0.8</v>
      </c>
      <c r="H444">
        <f>計算表!H444</f>
        <v>0</v>
      </c>
      <c r="I444">
        <f>計算表!I444</f>
        <v>0</v>
      </c>
      <c r="J444">
        <f>計算表!J444</f>
        <v>0</v>
      </c>
      <c r="K444">
        <f>計算表!K444</f>
        <v>0</v>
      </c>
      <c r="L444">
        <f>計算表!L444</f>
        <v>0</v>
      </c>
      <c r="M444">
        <f>計算表!M444</f>
        <v>0</v>
      </c>
      <c r="N444">
        <f>計算表!N444</f>
        <v>0</v>
      </c>
      <c r="O444">
        <f>計算表!O444</f>
        <v>0</v>
      </c>
      <c r="P444">
        <f>計算表!P444</f>
        <v>0</v>
      </c>
      <c r="Q444">
        <f>計算表!Q444</f>
        <v>0</v>
      </c>
      <c r="R444">
        <f>計算表!R444</f>
        <v>0</v>
      </c>
    </row>
    <row r="445" spans="1:18" x14ac:dyDescent="0.25">
      <c r="A445">
        <f>計算表!A445</f>
        <v>444</v>
      </c>
      <c r="B445" s="2">
        <f>計算表!B445</f>
        <v>0</v>
      </c>
      <c r="C445" t="str">
        <f>計算表!C445</f>
        <v>表-戰力權重</v>
      </c>
      <c r="D445" t="str">
        <f>計算表!D445</f>
        <v>強化成功率%</v>
      </c>
      <c r="E445" t="str">
        <f>計算表!E445</f>
        <v>評分權重 = a</v>
      </c>
      <c r="F445" t="str">
        <f>計算表!F445</f>
        <v>「戰力評分」中該詞條/對應寶石屬性的權重；未列出者以 1 計。</v>
      </c>
      <c r="G445">
        <f>計算表!G445</f>
        <v>0.8</v>
      </c>
      <c r="H445">
        <f>計算表!H445</f>
        <v>0</v>
      </c>
      <c r="I445">
        <f>計算表!I445</f>
        <v>0</v>
      </c>
      <c r="J445">
        <f>計算表!J445</f>
        <v>0</v>
      </c>
      <c r="K445">
        <f>計算表!K445</f>
        <v>0</v>
      </c>
      <c r="L445">
        <f>計算表!L445</f>
        <v>0</v>
      </c>
      <c r="M445">
        <f>計算表!M445</f>
        <v>0</v>
      </c>
      <c r="N445">
        <f>計算表!N445</f>
        <v>0</v>
      </c>
      <c r="O445">
        <f>計算表!O445</f>
        <v>0</v>
      </c>
      <c r="P445">
        <f>計算表!P445</f>
        <v>0</v>
      </c>
      <c r="Q445">
        <f>計算表!Q445</f>
        <v>0</v>
      </c>
      <c r="R445">
        <f>計算表!R445</f>
        <v>0</v>
      </c>
    </row>
    <row r="446" spans="1:18" x14ac:dyDescent="0.25">
      <c r="A446">
        <f>計算表!A446</f>
        <v>445</v>
      </c>
      <c r="B446" s="2">
        <f>計算表!B446</f>
        <v>0</v>
      </c>
      <c r="C446" t="str">
        <f>計算表!C446</f>
        <v>表-戰力權重</v>
      </c>
      <c r="D446" t="str">
        <f>計算表!D446</f>
        <v>分解高產率%</v>
      </c>
      <c r="E446" t="str">
        <f>計算表!E446</f>
        <v>評分權重 = a</v>
      </c>
      <c r="F446" t="str">
        <f>計算表!F446</f>
        <v>「戰力評分」中該詞條/對應寶石屬性的權重；未列出者以 1 計。</v>
      </c>
      <c r="G446">
        <f>計算表!G446</f>
        <v>0.8</v>
      </c>
      <c r="H446">
        <f>計算表!H446</f>
        <v>0</v>
      </c>
      <c r="I446">
        <f>計算表!I446</f>
        <v>0</v>
      </c>
      <c r="J446">
        <f>計算表!J446</f>
        <v>0</v>
      </c>
      <c r="K446">
        <f>計算表!K446</f>
        <v>0</v>
      </c>
      <c r="L446">
        <f>計算表!L446</f>
        <v>0</v>
      </c>
      <c r="M446">
        <f>計算表!M446</f>
        <v>0</v>
      </c>
      <c r="N446">
        <f>計算表!N446</f>
        <v>0</v>
      </c>
      <c r="O446">
        <f>計算表!O446</f>
        <v>0</v>
      </c>
      <c r="P446">
        <f>計算表!P446</f>
        <v>0</v>
      </c>
      <c r="Q446">
        <f>計算表!Q446</f>
        <v>0</v>
      </c>
      <c r="R446">
        <f>計算表!R446</f>
        <v>0</v>
      </c>
    </row>
    <row r="447" spans="1:18" x14ac:dyDescent="0.25">
      <c r="A447">
        <f>計算表!A447</f>
        <v>446</v>
      </c>
      <c r="B447" s="2">
        <f>計算表!B447</f>
        <v>0</v>
      </c>
      <c r="C447" t="str">
        <f>計算表!C447</f>
        <v>表-戰力權重</v>
      </c>
      <c r="D447" t="str">
        <f>計算表!D447</f>
        <v>合成變異率%</v>
      </c>
      <c r="E447" t="str">
        <f>計算表!E447</f>
        <v>評分權重 = a</v>
      </c>
      <c r="F447" t="str">
        <f>計算表!F447</f>
        <v>「戰力評分」中該詞條/對應寶石屬性的權重；未列出者以 1 計。</v>
      </c>
      <c r="G447">
        <f>計算表!G447</f>
        <v>1.2</v>
      </c>
      <c r="H447">
        <f>計算表!H447</f>
        <v>0</v>
      </c>
      <c r="I447">
        <f>計算表!I447</f>
        <v>0</v>
      </c>
      <c r="J447">
        <f>計算表!J447</f>
        <v>0</v>
      </c>
      <c r="K447">
        <f>計算表!K447</f>
        <v>0</v>
      </c>
      <c r="L447">
        <f>計算表!L447</f>
        <v>0</v>
      </c>
      <c r="M447">
        <f>計算表!M447</f>
        <v>0</v>
      </c>
      <c r="N447">
        <f>計算表!N447</f>
        <v>0</v>
      </c>
      <c r="O447">
        <f>計算表!O447</f>
        <v>0</v>
      </c>
      <c r="P447">
        <f>計算表!P447</f>
        <v>0</v>
      </c>
      <c r="Q447">
        <f>計算表!Q447</f>
        <v>0</v>
      </c>
      <c r="R447">
        <f>計算表!R447</f>
        <v>0</v>
      </c>
    </row>
    <row r="448" spans="1:18" x14ac:dyDescent="0.25">
      <c r="A448">
        <f>計算表!A448</f>
        <v>447</v>
      </c>
      <c r="B448" s="2">
        <f>計算表!B448</f>
        <v>0</v>
      </c>
      <c r="C448" t="str">
        <f>計算表!C448</f>
        <v>表-戰力權重</v>
      </c>
      <c r="D448" t="str">
        <f>計算表!D448</f>
        <v>狂暴閾值+</v>
      </c>
      <c r="E448" t="str">
        <f>計算表!E448</f>
        <v>評分權重 = a</v>
      </c>
      <c r="F448" t="str">
        <f>計算表!F448</f>
        <v>「戰力評分」中該詞條/對應寶石屬性的權重；未列出者以 1 計。</v>
      </c>
      <c r="G448">
        <f>計算表!G448</f>
        <v>1</v>
      </c>
      <c r="H448">
        <f>計算表!H448</f>
        <v>0</v>
      </c>
      <c r="I448">
        <f>計算表!I448</f>
        <v>0</v>
      </c>
      <c r="J448">
        <f>計算表!J448</f>
        <v>0</v>
      </c>
      <c r="K448">
        <f>計算表!K448</f>
        <v>0</v>
      </c>
      <c r="L448">
        <f>計算表!L448</f>
        <v>0</v>
      </c>
      <c r="M448">
        <f>計算表!M448</f>
        <v>0</v>
      </c>
      <c r="N448">
        <f>計算表!N448</f>
        <v>0</v>
      </c>
      <c r="O448">
        <f>計算表!O448</f>
        <v>0</v>
      </c>
      <c r="P448">
        <f>計算表!P448</f>
        <v>0</v>
      </c>
      <c r="Q448">
        <f>計算表!Q448</f>
        <v>0</v>
      </c>
      <c r="R448">
        <f>計算表!R448</f>
        <v>0</v>
      </c>
    </row>
    <row r="449" spans="1:18" x14ac:dyDescent="0.25">
      <c r="A449">
        <f>計算表!A449</f>
        <v>448</v>
      </c>
      <c r="B449" s="2">
        <f>計算表!B449</f>
        <v>0</v>
      </c>
      <c r="C449" t="str">
        <f>計算表!C449</f>
        <v>表-戰力權重</v>
      </c>
      <c r="D449" t="str">
        <f>計算表!D449</f>
        <v>詞條上限率%</v>
      </c>
      <c r="E449" t="str">
        <f>計算表!E449</f>
        <v>評分權重 = a</v>
      </c>
      <c r="F449" t="str">
        <f>計算表!F449</f>
        <v>「戰力評分」中該詞條/對應寶石屬性的權重；未列出者以 1 計。</v>
      </c>
      <c r="G449">
        <f>計算表!G449</f>
        <v>1.2</v>
      </c>
      <c r="H449">
        <f>計算表!H449</f>
        <v>0</v>
      </c>
      <c r="I449">
        <f>計算表!I449</f>
        <v>0</v>
      </c>
      <c r="J449">
        <f>計算表!J449</f>
        <v>0</v>
      </c>
      <c r="K449">
        <f>計算表!K449</f>
        <v>0</v>
      </c>
      <c r="L449">
        <f>計算表!L449</f>
        <v>0</v>
      </c>
      <c r="M449">
        <f>計算表!M449</f>
        <v>0</v>
      </c>
      <c r="N449">
        <f>計算表!N449</f>
        <v>0</v>
      </c>
      <c r="O449">
        <f>計算表!O449</f>
        <v>0</v>
      </c>
      <c r="P449">
        <f>計算表!P449</f>
        <v>0</v>
      </c>
      <c r="Q449">
        <f>計算表!Q449</f>
        <v>0</v>
      </c>
      <c r="R449">
        <f>計算表!R449</f>
        <v>0</v>
      </c>
    </row>
    <row r="450" spans="1:18" x14ac:dyDescent="0.25">
      <c r="A450">
        <f>計算表!A450</f>
        <v>449</v>
      </c>
      <c r="B450" s="2">
        <f>計算表!B450</f>
        <v>0</v>
      </c>
      <c r="C450" t="str">
        <f>計算表!C450</f>
        <v>表-戰力權重</v>
      </c>
      <c r="D450" t="str">
        <f>計算表!D450</f>
        <v>寶石鑲嵌效率%</v>
      </c>
      <c r="E450" t="str">
        <f>計算表!E450</f>
        <v>評分權重 = a</v>
      </c>
      <c r="F450" t="str">
        <f>計算表!F450</f>
        <v>「戰力評分」中該詞條/對應寶石屬性的權重；未列出者以 1 計。</v>
      </c>
      <c r="G450">
        <f>計算表!G450</f>
        <v>1</v>
      </c>
      <c r="H450">
        <f>計算表!H450</f>
        <v>0</v>
      </c>
      <c r="I450">
        <f>計算表!I450</f>
        <v>0</v>
      </c>
      <c r="J450">
        <f>計算表!J450</f>
        <v>0</v>
      </c>
      <c r="K450">
        <f>計算表!K450</f>
        <v>0</v>
      </c>
      <c r="L450">
        <f>計算表!L450</f>
        <v>0</v>
      </c>
      <c r="M450">
        <f>計算表!M450</f>
        <v>0</v>
      </c>
      <c r="N450">
        <f>計算表!N450</f>
        <v>0</v>
      </c>
      <c r="O450">
        <f>計算表!O450</f>
        <v>0</v>
      </c>
      <c r="P450">
        <f>計算表!P450</f>
        <v>0</v>
      </c>
      <c r="Q450">
        <f>計算表!Q450</f>
        <v>0</v>
      </c>
      <c r="R450">
        <f>計算表!R450</f>
        <v>0</v>
      </c>
    </row>
    <row r="451" spans="1:18" x14ac:dyDescent="0.25">
      <c r="B451" s="2"/>
    </row>
    <row r="452" spans="1:18" x14ac:dyDescent="0.25">
      <c r="B452" s="2"/>
    </row>
    <row r="453" spans="1:18" x14ac:dyDescent="0.25">
      <c r="B453" s="2"/>
    </row>
    <row r="454" spans="1:18" x14ac:dyDescent="0.25">
      <c r="B454" s="2"/>
    </row>
    <row r="455" spans="1:18" x14ac:dyDescent="0.25">
      <c r="B455" s="2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4FB42-4596-4E15-8D43-58FA62307D65}">
  <dimension ref="A1:R450"/>
  <sheetViews>
    <sheetView tabSelected="1" workbookViewId="0">
      <pane xSplit="4" ySplit="1" topLeftCell="E35" activePane="bottomRight" state="frozen"/>
      <selection pane="topRight" activeCell="E1" sqref="E1"/>
      <selection pane="bottomLeft" activeCell="A2" sqref="A2"/>
      <selection pane="bottomRight" activeCell="F59" sqref="F59"/>
    </sheetView>
  </sheetViews>
  <sheetFormatPr defaultRowHeight="14.25" x14ac:dyDescent="0.25"/>
  <cols>
    <col min="1" max="1" width="5.5703125" style="3" customWidth="1"/>
    <col min="2" max="2" width="6" style="3" customWidth="1"/>
    <col min="3" max="3" width="12.7109375" style="3" customWidth="1"/>
    <col min="4" max="4" width="17.85546875" style="3" customWidth="1"/>
    <col min="5" max="5" width="42.28515625" style="3" customWidth="1"/>
    <col min="6" max="6" width="110.42578125" style="3" customWidth="1"/>
    <col min="7" max="7" width="15.42578125" style="3" customWidth="1"/>
    <col min="8" max="8" width="15.140625" style="3" customWidth="1"/>
    <col min="9" max="9" width="15" style="3" customWidth="1"/>
    <col min="10" max="10" width="14.28515625" style="3" bestFit="1" customWidth="1"/>
    <col min="11" max="14" width="15.42578125" style="3" bestFit="1" customWidth="1"/>
    <col min="15" max="16" width="17.5703125" style="3" customWidth="1"/>
    <col min="17" max="16384" width="9.140625" style="3"/>
  </cols>
  <sheetData>
    <row r="1" spans="1:18" x14ac:dyDescent="0.25">
      <c r="A1" s="3" t="s">
        <v>0</v>
      </c>
      <c r="B1" s="3" t="s">
        <v>898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</row>
    <row r="2" spans="1:18" x14ac:dyDescent="0.25">
      <c r="A2" s="3">
        <v>1</v>
      </c>
      <c r="C2" s="3" t="s">
        <v>17</v>
      </c>
      <c r="D2" s="3" t="s">
        <v>18</v>
      </c>
      <c r="E2" s="3" t="s">
        <v>901</v>
      </c>
      <c r="F2" s="3" t="s">
        <v>902</v>
      </c>
      <c r="G2" s="3">
        <v>30</v>
      </c>
      <c r="H2" s="3">
        <v>2.2000000000000002</v>
      </c>
      <c r="I2" s="3">
        <v>40</v>
      </c>
      <c r="J2" s="3">
        <v>9999</v>
      </c>
    </row>
    <row r="3" spans="1:18" x14ac:dyDescent="0.25">
      <c r="A3" s="3">
        <f>A2+1</f>
        <v>2</v>
      </c>
      <c r="C3" s="3" t="s">
        <v>17</v>
      </c>
      <c r="D3" s="3" t="s">
        <v>19</v>
      </c>
      <c r="E3" s="3" t="s">
        <v>20</v>
      </c>
      <c r="F3" s="3" t="s">
        <v>21</v>
      </c>
      <c r="G3" s="3">
        <v>5</v>
      </c>
      <c r="H3" s="3">
        <v>2</v>
      </c>
    </row>
    <row r="4" spans="1:18" x14ac:dyDescent="0.25">
      <c r="A4" s="3">
        <f t="shared" ref="A4:A68" si="0">A3+1</f>
        <v>3</v>
      </c>
      <c r="C4" s="3" t="s">
        <v>17</v>
      </c>
      <c r="D4" s="3" t="s">
        <v>22</v>
      </c>
      <c r="E4" s="3" t="s">
        <v>23</v>
      </c>
      <c r="F4" s="3" t="s">
        <v>24</v>
      </c>
      <c r="G4" s="3">
        <v>2</v>
      </c>
      <c r="H4" s="3">
        <v>1</v>
      </c>
      <c r="I4" s="3">
        <v>10000</v>
      </c>
    </row>
    <row r="5" spans="1:18" x14ac:dyDescent="0.25">
      <c r="A5" s="3">
        <f t="shared" si="0"/>
        <v>4</v>
      </c>
      <c r="C5" s="3" t="s">
        <v>17</v>
      </c>
      <c r="D5" s="3" t="s">
        <v>25</v>
      </c>
      <c r="E5" s="3" t="s">
        <v>26</v>
      </c>
      <c r="F5" s="3" t="s">
        <v>27</v>
      </c>
      <c r="G5" s="3">
        <v>20</v>
      </c>
      <c r="H5" s="3">
        <v>2</v>
      </c>
      <c r="I5" s="3">
        <v>20</v>
      </c>
    </row>
    <row r="6" spans="1:18" x14ac:dyDescent="0.25">
      <c r="A6" s="3">
        <f t="shared" si="0"/>
        <v>5</v>
      </c>
      <c r="C6" s="3" t="s">
        <v>17</v>
      </c>
      <c r="D6" s="3" t="s">
        <v>28</v>
      </c>
      <c r="E6" s="3" t="s">
        <v>29</v>
      </c>
      <c r="F6" s="3" t="s">
        <v>30</v>
      </c>
      <c r="G6" s="3">
        <v>9999</v>
      </c>
      <c r="H6" s="3">
        <v>10</v>
      </c>
    </row>
    <row r="7" spans="1:18" x14ac:dyDescent="0.25">
      <c r="A7" s="3">
        <f t="shared" si="0"/>
        <v>6</v>
      </c>
      <c r="C7" s="3" t="s">
        <v>17</v>
      </c>
      <c r="D7" s="3" t="s">
        <v>31</v>
      </c>
      <c r="E7" s="3" t="s">
        <v>32</v>
      </c>
      <c r="F7" s="3" t="s">
        <v>33</v>
      </c>
      <c r="G7" s="3">
        <v>10</v>
      </c>
    </row>
    <row r="8" spans="1:18" x14ac:dyDescent="0.25">
      <c r="A8" s="3">
        <f t="shared" si="0"/>
        <v>7</v>
      </c>
      <c r="C8" s="3" t="s">
        <v>17</v>
      </c>
      <c r="D8" s="3" t="s">
        <v>34</v>
      </c>
      <c r="E8" s="3" t="s">
        <v>906</v>
      </c>
      <c r="F8" s="3" t="s">
        <v>905</v>
      </c>
      <c r="G8" s="3">
        <v>1</v>
      </c>
      <c r="H8" s="3">
        <v>1</v>
      </c>
    </row>
    <row r="9" spans="1:18" x14ac:dyDescent="0.25">
      <c r="A9" s="3">
        <f t="shared" si="0"/>
        <v>8</v>
      </c>
      <c r="C9" s="3" t="s">
        <v>35</v>
      </c>
      <c r="D9" s="3" t="s">
        <v>36</v>
      </c>
      <c r="E9" s="3" t="s">
        <v>37</v>
      </c>
      <c r="F9" s="3" t="s">
        <v>963</v>
      </c>
      <c r="G9" s="3">
        <v>1</v>
      </c>
      <c r="H9" s="3" t="s">
        <v>38</v>
      </c>
      <c r="I9" s="3">
        <v>0</v>
      </c>
      <c r="J9" s="3" t="s">
        <v>39</v>
      </c>
      <c r="K9" s="3">
        <v>20</v>
      </c>
      <c r="L9" s="3">
        <v>0</v>
      </c>
    </row>
    <row r="10" spans="1:18" x14ac:dyDescent="0.25">
      <c r="A10" s="3">
        <f t="shared" si="0"/>
        <v>9</v>
      </c>
      <c r="C10" s="3" t="s">
        <v>35</v>
      </c>
      <c r="D10" s="3" t="s">
        <v>40</v>
      </c>
      <c r="E10" s="3" t="s">
        <v>37</v>
      </c>
      <c r="F10" s="3" t="s">
        <v>900</v>
      </c>
      <c r="G10" s="3">
        <v>10</v>
      </c>
      <c r="H10" s="3" t="s">
        <v>41</v>
      </c>
      <c r="I10" s="4">
        <v>100000</v>
      </c>
      <c r="J10" s="3" t="s">
        <v>42</v>
      </c>
      <c r="K10" s="3">
        <v>30</v>
      </c>
      <c r="L10" s="3">
        <v>20</v>
      </c>
    </row>
    <row r="11" spans="1:18" x14ac:dyDescent="0.25">
      <c r="A11" s="3">
        <f t="shared" si="0"/>
        <v>10</v>
      </c>
      <c r="C11" s="3" t="s">
        <v>35</v>
      </c>
      <c r="D11" s="3" t="s">
        <v>43</v>
      </c>
      <c r="E11" s="3" t="s">
        <v>37</v>
      </c>
      <c r="F11" s="3" t="s">
        <v>900</v>
      </c>
      <c r="G11" s="3">
        <v>20</v>
      </c>
      <c r="H11" s="3" t="s">
        <v>44</v>
      </c>
      <c r="I11" s="4">
        <f>I10*3</f>
        <v>300000</v>
      </c>
      <c r="J11" s="3" t="s">
        <v>45</v>
      </c>
      <c r="K11" s="3">
        <v>40</v>
      </c>
      <c r="L11" s="3">
        <v>40</v>
      </c>
    </row>
    <row r="12" spans="1:18" x14ac:dyDescent="0.25">
      <c r="A12" s="3">
        <f t="shared" si="0"/>
        <v>11</v>
      </c>
      <c r="C12" s="3" t="s">
        <v>35</v>
      </c>
      <c r="D12" s="3" t="s">
        <v>46</v>
      </c>
      <c r="E12" s="3" t="s">
        <v>37</v>
      </c>
      <c r="F12" s="3" t="s">
        <v>900</v>
      </c>
      <c r="G12" s="3">
        <v>40</v>
      </c>
      <c r="H12" s="3" t="s">
        <v>47</v>
      </c>
      <c r="I12" s="4">
        <f t="shared" ref="I12:I19" si="1">I11*3</f>
        <v>900000</v>
      </c>
      <c r="J12" s="3" t="s">
        <v>48</v>
      </c>
      <c r="K12" s="3">
        <v>50</v>
      </c>
      <c r="L12" s="3">
        <v>60</v>
      </c>
    </row>
    <row r="13" spans="1:18" x14ac:dyDescent="0.25">
      <c r="A13" s="3">
        <f t="shared" si="0"/>
        <v>12</v>
      </c>
      <c r="C13" s="3" t="s">
        <v>35</v>
      </c>
      <c r="D13" s="3" t="s">
        <v>49</v>
      </c>
      <c r="E13" s="3" t="s">
        <v>37</v>
      </c>
      <c r="F13" s="3" t="s">
        <v>900</v>
      </c>
      <c r="G13" s="3">
        <v>80</v>
      </c>
      <c r="H13" s="3" t="s">
        <v>50</v>
      </c>
      <c r="I13" s="4">
        <f t="shared" si="1"/>
        <v>2700000</v>
      </c>
      <c r="J13" s="3" t="s">
        <v>51</v>
      </c>
      <c r="K13" s="3">
        <v>60</v>
      </c>
      <c r="L13" s="3">
        <v>80</v>
      </c>
    </row>
    <row r="14" spans="1:18" x14ac:dyDescent="0.25">
      <c r="A14" s="3">
        <f t="shared" si="0"/>
        <v>13</v>
      </c>
      <c r="C14" s="3" t="s">
        <v>35</v>
      </c>
      <c r="D14" s="3" t="s">
        <v>52</v>
      </c>
      <c r="E14" s="3" t="s">
        <v>37</v>
      </c>
      <c r="F14" s="3" t="s">
        <v>900</v>
      </c>
      <c r="G14" s="3">
        <v>160</v>
      </c>
      <c r="H14" s="3" t="s">
        <v>53</v>
      </c>
      <c r="I14" s="4">
        <f t="shared" si="1"/>
        <v>8100000</v>
      </c>
      <c r="J14" s="3" t="s">
        <v>54</v>
      </c>
      <c r="K14" s="3">
        <v>70</v>
      </c>
      <c r="L14" s="3">
        <v>100</v>
      </c>
    </row>
    <row r="15" spans="1:18" x14ac:dyDescent="0.25">
      <c r="A15" s="3">
        <f t="shared" si="0"/>
        <v>14</v>
      </c>
      <c r="C15" s="3" t="s">
        <v>35</v>
      </c>
      <c r="D15" s="3" t="s">
        <v>55</v>
      </c>
      <c r="E15" s="3" t="s">
        <v>37</v>
      </c>
      <c r="F15" s="3" t="s">
        <v>900</v>
      </c>
      <c r="G15" s="3">
        <v>320</v>
      </c>
      <c r="H15" s="3" t="s">
        <v>56</v>
      </c>
      <c r="I15" s="4">
        <f t="shared" si="1"/>
        <v>24300000</v>
      </c>
      <c r="J15" s="3" t="s">
        <v>57</v>
      </c>
      <c r="K15" s="3">
        <v>80</v>
      </c>
      <c r="L15" s="3">
        <v>120</v>
      </c>
    </row>
    <row r="16" spans="1:18" x14ac:dyDescent="0.25">
      <c r="A16" s="3">
        <f t="shared" si="0"/>
        <v>15</v>
      </c>
      <c r="C16" s="3" t="s">
        <v>35</v>
      </c>
      <c r="D16" s="3" t="s">
        <v>58</v>
      </c>
      <c r="E16" s="3" t="s">
        <v>37</v>
      </c>
      <c r="F16" s="3" t="s">
        <v>900</v>
      </c>
      <c r="G16" s="3">
        <v>640</v>
      </c>
      <c r="H16" s="3" t="s">
        <v>59</v>
      </c>
      <c r="I16" s="4">
        <f t="shared" si="1"/>
        <v>72900000</v>
      </c>
      <c r="J16" s="3" t="s">
        <v>60</v>
      </c>
      <c r="K16" s="3">
        <v>90</v>
      </c>
      <c r="L16" s="3">
        <v>140</v>
      </c>
    </row>
    <row r="17" spans="1:12" x14ac:dyDescent="0.25">
      <c r="A17" s="3">
        <f t="shared" si="0"/>
        <v>16</v>
      </c>
      <c r="C17" s="3" t="s">
        <v>35</v>
      </c>
      <c r="D17" s="3" t="s">
        <v>61</v>
      </c>
      <c r="E17" s="3" t="s">
        <v>37</v>
      </c>
      <c r="F17" s="3" t="s">
        <v>900</v>
      </c>
      <c r="G17" s="3">
        <v>1280</v>
      </c>
      <c r="H17" s="3" t="s">
        <v>62</v>
      </c>
      <c r="I17" s="4">
        <f t="shared" si="1"/>
        <v>218700000</v>
      </c>
      <c r="J17" s="3" t="s">
        <v>63</v>
      </c>
      <c r="K17" s="3">
        <v>100</v>
      </c>
      <c r="L17" s="3">
        <v>160</v>
      </c>
    </row>
    <row r="18" spans="1:12" x14ac:dyDescent="0.25">
      <c r="A18" s="3">
        <f t="shared" si="0"/>
        <v>17</v>
      </c>
      <c r="C18" s="3" t="s">
        <v>35</v>
      </c>
      <c r="D18" s="3" t="s">
        <v>64</v>
      </c>
      <c r="E18" s="3" t="s">
        <v>37</v>
      </c>
      <c r="F18" s="3" t="s">
        <v>900</v>
      </c>
      <c r="G18" s="3">
        <v>2560</v>
      </c>
      <c r="H18" s="3" t="s">
        <v>65</v>
      </c>
      <c r="I18" s="4">
        <f t="shared" si="1"/>
        <v>656100000</v>
      </c>
      <c r="J18" s="3" t="s">
        <v>66</v>
      </c>
      <c r="K18" s="3">
        <v>110</v>
      </c>
      <c r="L18" s="3">
        <v>180</v>
      </c>
    </row>
    <row r="19" spans="1:12" x14ac:dyDescent="0.25">
      <c r="A19" s="3">
        <f t="shared" si="0"/>
        <v>18</v>
      </c>
      <c r="C19" s="3" t="s">
        <v>35</v>
      </c>
      <c r="D19" s="3" t="s">
        <v>67</v>
      </c>
      <c r="E19" s="3" t="s">
        <v>37</v>
      </c>
      <c r="F19" s="3" t="s">
        <v>900</v>
      </c>
      <c r="G19" s="3">
        <v>5120</v>
      </c>
      <c r="H19" s="3" t="s">
        <v>899</v>
      </c>
      <c r="I19" s="4">
        <f t="shared" si="1"/>
        <v>1968300000</v>
      </c>
      <c r="J19" s="3" t="s">
        <v>68</v>
      </c>
      <c r="K19" s="3">
        <v>120</v>
      </c>
      <c r="L19" s="3">
        <v>200</v>
      </c>
    </row>
    <row r="20" spans="1:12" x14ac:dyDescent="0.25">
      <c r="A20" s="3">
        <f t="shared" si="0"/>
        <v>19</v>
      </c>
      <c r="C20" s="3" t="s">
        <v>69</v>
      </c>
      <c r="D20" s="3" t="s">
        <v>70</v>
      </c>
      <c r="E20" s="3" t="s">
        <v>71</v>
      </c>
      <c r="F20" s="3" t="s">
        <v>72</v>
      </c>
      <c r="G20" s="3">
        <v>120</v>
      </c>
      <c r="H20" s="3">
        <v>22</v>
      </c>
      <c r="I20" s="3">
        <v>10</v>
      </c>
    </row>
    <row r="21" spans="1:12" x14ac:dyDescent="0.25">
      <c r="A21" s="3">
        <f t="shared" si="0"/>
        <v>20</v>
      </c>
      <c r="C21" s="3" t="s">
        <v>69</v>
      </c>
      <c r="D21" s="3" t="s">
        <v>73</v>
      </c>
      <c r="E21" s="3" t="s">
        <v>74</v>
      </c>
      <c r="F21" s="3" t="s">
        <v>75</v>
      </c>
      <c r="G21" s="3">
        <v>40</v>
      </c>
      <c r="H21" s="3">
        <v>2</v>
      </c>
    </row>
    <row r="22" spans="1:12" x14ac:dyDescent="0.25">
      <c r="A22" s="3">
        <f t="shared" si="0"/>
        <v>21</v>
      </c>
      <c r="C22" s="3" t="s">
        <v>69</v>
      </c>
      <c r="D22" s="3" t="s">
        <v>76</v>
      </c>
      <c r="E22" s="3" t="s">
        <v>77</v>
      </c>
      <c r="F22" s="3" t="s">
        <v>78</v>
      </c>
      <c r="G22" s="3">
        <v>2</v>
      </c>
      <c r="H22" s="3">
        <v>2E-3</v>
      </c>
    </row>
    <row r="23" spans="1:12" x14ac:dyDescent="0.25">
      <c r="A23" s="3">
        <f t="shared" si="0"/>
        <v>22</v>
      </c>
      <c r="C23" s="3" t="s">
        <v>69</v>
      </c>
      <c r="D23" s="3" t="s">
        <v>79</v>
      </c>
      <c r="E23" s="3" t="s">
        <v>80</v>
      </c>
      <c r="F23" s="3" t="s">
        <v>81</v>
      </c>
      <c r="G23" s="3">
        <v>8</v>
      </c>
      <c r="H23" s="3">
        <v>1.6</v>
      </c>
      <c r="I23" s="3">
        <v>2</v>
      </c>
    </row>
    <row r="24" spans="1:12" x14ac:dyDescent="0.25">
      <c r="A24" s="3">
        <f t="shared" si="0"/>
        <v>23</v>
      </c>
      <c r="C24" s="3" t="s">
        <v>69</v>
      </c>
      <c r="D24" s="3" t="s">
        <v>82</v>
      </c>
      <c r="E24" s="3" t="s">
        <v>83</v>
      </c>
      <c r="F24" s="3" t="s">
        <v>84</v>
      </c>
      <c r="G24" s="3">
        <v>6</v>
      </c>
      <c r="H24" s="3">
        <v>1.2</v>
      </c>
      <c r="I24" s="3">
        <v>2</v>
      </c>
    </row>
    <row r="25" spans="1:12" x14ac:dyDescent="0.25">
      <c r="A25" s="3">
        <f t="shared" si="0"/>
        <v>24</v>
      </c>
      <c r="C25" s="3" t="s">
        <v>69</v>
      </c>
      <c r="D25" s="3" t="s">
        <v>85</v>
      </c>
      <c r="E25" s="3" t="s">
        <v>86</v>
      </c>
      <c r="F25" s="3" t="s">
        <v>87</v>
      </c>
      <c r="G25" s="3">
        <v>4</v>
      </c>
      <c r="H25" s="3">
        <v>1</v>
      </c>
      <c r="I25" s="3">
        <v>0.9</v>
      </c>
    </row>
    <row r="26" spans="1:12" x14ac:dyDescent="0.25">
      <c r="A26" s="3">
        <f t="shared" si="0"/>
        <v>25</v>
      </c>
      <c r="C26" s="3" t="s">
        <v>69</v>
      </c>
      <c r="D26" s="3" t="s">
        <v>991</v>
      </c>
      <c r="E26" s="3" t="s">
        <v>990</v>
      </c>
      <c r="F26" s="3" t="s">
        <v>89</v>
      </c>
      <c r="G26" s="3">
        <v>3</v>
      </c>
      <c r="H26" s="3">
        <v>0.8</v>
      </c>
      <c r="I26" s="3">
        <v>0.7</v>
      </c>
    </row>
    <row r="27" spans="1:12" x14ac:dyDescent="0.25">
      <c r="A27" s="3">
        <f t="shared" si="0"/>
        <v>26</v>
      </c>
      <c r="C27" s="3" t="s">
        <v>69</v>
      </c>
      <c r="D27" s="3" t="s">
        <v>90</v>
      </c>
      <c r="E27" s="3" t="s">
        <v>91</v>
      </c>
      <c r="F27" s="3" t="s">
        <v>92</v>
      </c>
      <c r="G27" s="3">
        <v>5</v>
      </c>
      <c r="H27" s="3">
        <v>1E-4</v>
      </c>
    </row>
    <row r="28" spans="1:12" x14ac:dyDescent="0.25">
      <c r="A28" s="3">
        <f t="shared" si="0"/>
        <v>27</v>
      </c>
      <c r="C28" s="3" t="s">
        <v>69</v>
      </c>
      <c r="D28" s="3" t="s">
        <v>989</v>
      </c>
      <c r="E28" s="3" t="s">
        <v>987</v>
      </c>
      <c r="F28" s="3" t="s">
        <v>988</v>
      </c>
      <c r="G28" s="3">
        <v>0.875</v>
      </c>
      <c r="H28" s="3">
        <v>1.387E-2</v>
      </c>
      <c r="I28" s="3">
        <v>8.6099999999999996E-2</v>
      </c>
    </row>
    <row r="29" spans="1:12" x14ac:dyDescent="0.25">
      <c r="A29" s="3">
        <f t="shared" si="0"/>
        <v>28</v>
      </c>
      <c r="C29" s="3" t="s">
        <v>69</v>
      </c>
      <c r="D29" s="3" t="s">
        <v>93</v>
      </c>
      <c r="E29" s="3" t="s">
        <v>94</v>
      </c>
      <c r="F29" s="3" t="s">
        <v>95</v>
      </c>
      <c r="G29" s="3">
        <v>150</v>
      </c>
    </row>
    <row r="30" spans="1:12" x14ac:dyDescent="0.25">
      <c r="A30" s="3">
        <f t="shared" si="0"/>
        <v>29</v>
      </c>
      <c r="C30" s="3" t="s">
        <v>69</v>
      </c>
      <c r="D30" s="3" t="s">
        <v>96</v>
      </c>
      <c r="E30" s="3" t="s">
        <v>97</v>
      </c>
      <c r="F30" s="3" t="s">
        <v>98</v>
      </c>
      <c r="G30" s="3">
        <v>1</v>
      </c>
      <c r="H30" s="3">
        <v>0</v>
      </c>
    </row>
    <row r="31" spans="1:12" x14ac:dyDescent="0.25">
      <c r="A31" s="3">
        <f t="shared" si="0"/>
        <v>30</v>
      </c>
      <c r="C31" s="3" t="s">
        <v>69</v>
      </c>
      <c r="D31" s="3" t="s">
        <v>99</v>
      </c>
      <c r="E31" s="3" t="s">
        <v>982</v>
      </c>
      <c r="F31" s="3" t="s">
        <v>983</v>
      </c>
      <c r="G31" s="3">
        <v>1E-4</v>
      </c>
    </row>
    <row r="32" spans="1:12" x14ac:dyDescent="0.25">
      <c r="A32" s="3">
        <f t="shared" si="0"/>
        <v>31</v>
      </c>
      <c r="C32" s="3" t="s">
        <v>69</v>
      </c>
      <c r="D32" s="3" t="s">
        <v>100</v>
      </c>
      <c r="E32" s="3" t="s">
        <v>982</v>
      </c>
      <c r="F32" s="3" t="s">
        <v>976</v>
      </c>
      <c r="G32" s="3">
        <v>1E-4</v>
      </c>
    </row>
    <row r="33" spans="1:8" x14ac:dyDescent="0.25">
      <c r="A33" s="3">
        <f t="shared" si="0"/>
        <v>32</v>
      </c>
      <c r="C33" s="3" t="s">
        <v>69</v>
      </c>
      <c r="D33" s="3" t="s">
        <v>101</v>
      </c>
      <c r="E33" s="3" t="s">
        <v>102</v>
      </c>
      <c r="F33" s="3" t="s">
        <v>103</v>
      </c>
      <c r="G33" s="3">
        <v>0.5</v>
      </c>
    </row>
    <row r="34" spans="1:8" x14ac:dyDescent="0.25">
      <c r="A34" s="3">
        <f t="shared" si="0"/>
        <v>33</v>
      </c>
      <c r="C34" s="3" t="s">
        <v>69</v>
      </c>
      <c r="D34" s="3" t="s">
        <v>104</v>
      </c>
      <c r="E34" s="3" t="s">
        <v>105</v>
      </c>
      <c r="F34" s="3" t="s">
        <v>106</v>
      </c>
      <c r="G34" s="3">
        <v>1.5</v>
      </c>
    </row>
    <row r="35" spans="1:8" x14ac:dyDescent="0.25">
      <c r="A35" s="3">
        <f t="shared" si="0"/>
        <v>34</v>
      </c>
      <c r="C35" s="3" t="s">
        <v>69</v>
      </c>
      <c r="D35" s="3" t="s">
        <v>107</v>
      </c>
      <c r="E35" s="3" t="s">
        <v>108</v>
      </c>
      <c r="F35" s="3" t="s">
        <v>109</v>
      </c>
      <c r="G35" s="3">
        <v>100</v>
      </c>
      <c r="H35" s="3">
        <v>10000</v>
      </c>
    </row>
    <row r="36" spans="1:8" x14ac:dyDescent="0.25">
      <c r="A36" s="3">
        <f t="shared" si="0"/>
        <v>35</v>
      </c>
      <c r="C36" s="3" t="s">
        <v>110</v>
      </c>
      <c r="D36" s="3" t="s">
        <v>111</v>
      </c>
      <c r="E36" s="3" t="s">
        <v>112</v>
      </c>
      <c r="F36" s="3" t="s">
        <v>907</v>
      </c>
      <c r="G36" s="3">
        <v>0</v>
      </c>
    </row>
    <row r="37" spans="1:8" x14ac:dyDescent="0.25">
      <c r="A37" s="3">
        <f t="shared" si="0"/>
        <v>36</v>
      </c>
      <c r="C37" s="3" t="s">
        <v>110</v>
      </c>
      <c r="D37" s="3" t="s">
        <v>113</v>
      </c>
      <c r="E37" s="3" t="s">
        <v>112</v>
      </c>
      <c r="F37" s="3" t="s">
        <v>908</v>
      </c>
      <c r="G37" s="3">
        <v>80</v>
      </c>
    </row>
    <row r="38" spans="1:8" x14ac:dyDescent="0.25">
      <c r="A38" s="3">
        <f t="shared" si="0"/>
        <v>37</v>
      </c>
      <c r="C38" s="3" t="s">
        <v>110</v>
      </c>
      <c r="D38" s="3" t="s">
        <v>114</v>
      </c>
      <c r="E38" s="3" t="s">
        <v>112</v>
      </c>
      <c r="F38" s="3" t="s">
        <v>909</v>
      </c>
      <c r="G38" s="3">
        <v>80</v>
      </c>
    </row>
    <row r="39" spans="1:8" x14ac:dyDescent="0.25">
      <c r="A39" s="3">
        <f t="shared" si="0"/>
        <v>38</v>
      </c>
      <c r="C39" s="3" t="s">
        <v>110</v>
      </c>
      <c r="D39" s="3" t="s">
        <v>115</v>
      </c>
      <c r="E39" s="3" t="s">
        <v>112</v>
      </c>
      <c r="F39" s="3" t="s">
        <v>910</v>
      </c>
      <c r="G39" s="3">
        <v>60</v>
      </c>
    </row>
    <row r="40" spans="1:8" x14ac:dyDescent="0.25">
      <c r="A40" s="3">
        <f t="shared" si="0"/>
        <v>39</v>
      </c>
      <c r="C40" s="3" t="s">
        <v>110</v>
      </c>
      <c r="D40" s="3" t="s">
        <v>116</v>
      </c>
      <c r="E40" s="3" t="s">
        <v>112</v>
      </c>
      <c r="F40" s="3" t="s">
        <v>911</v>
      </c>
      <c r="G40" s="3">
        <v>50</v>
      </c>
    </row>
    <row r="41" spans="1:8" x14ac:dyDescent="0.25">
      <c r="A41" s="3">
        <f t="shared" si="0"/>
        <v>40</v>
      </c>
      <c r="C41" s="3" t="s">
        <v>110</v>
      </c>
      <c r="D41" s="3" t="s">
        <v>117</v>
      </c>
      <c r="E41" s="3" t="s">
        <v>112</v>
      </c>
      <c r="F41" s="3" t="s">
        <v>912</v>
      </c>
      <c r="G41" s="3">
        <v>60</v>
      </c>
    </row>
    <row r="42" spans="1:8" x14ac:dyDescent="0.25">
      <c r="A42" s="3">
        <f t="shared" si="0"/>
        <v>41</v>
      </c>
      <c r="C42" s="3" t="s">
        <v>110</v>
      </c>
      <c r="D42" s="3" t="s">
        <v>118</v>
      </c>
      <c r="E42" s="3" t="s">
        <v>112</v>
      </c>
      <c r="F42" s="3" t="s">
        <v>913</v>
      </c>
      <c r="G42" s="3">
        <v>30</v>
      </c>
    </row>
    <row r="43" spans="1:8" x14ac:dyDescent="0.25">
      <c r="A43" s="3">
        <f t="shared" si="0"/>
        <v>42</v>
      </c>
      <c r="C43" s="3" t="s">
        <v>110</v>
      </c>
      <c r="D43" s="3" t="s">
        <v>119</v>
      </c>
      <c r="E43" s="3" t="s">
        <v>112</v>
      </c>
      <c r="F43" s="3" t="s">
        <v>914</v>
      </c>
      <c r="G43" s="3">
        <v>50</v>
      </c>
    </row>
    <row r="44" spans="1:8" x14ac:dyDescent="0.25">
      <c r="A44" s="3">
        <f t="shared" si="0"/>
        <v>43</v>
      </c>
      <c r="C44" s="3" t="s">
        <v>110</v>
      </c>
      <c r="D44" s="3" t="s">
        <v>120</v>
      </c>
      <c r="E44" s="3" t="s">
        <v>112</v>
      </c>
      <c r="F44" s="3" t="s">
        <v>915</v>
      </c>
      <c r="G44" s="3">
        <v>50</v>
      </c>
    </row>
    <row r="45" spans="1:8" x14ac:dyDescent="0.25">
      <c r="A45" s="3">
        <f t="shared" si="0"/>
        <v>44</v>
      </c>
      <c r="C45" s="3" t="s">
        <v>110</v>
      </c>
      <c r="D45" s="3" t="s">
        <v>121</v>
      </c>
      <c r="E45" s="3" t="s">
        <v>112</v>
      </c>
      <c r="F45" s="3" t="s">
        <v>916</v>
      </c>
      <c r="G45" s="3">
        <v>0</v>
      </c>
    </row>
    <row r="46" spans="1:8" x14ac:dyDescent="0.25">
      <c r="A46" s="3">
        <f t="shared" si="0"/>
        <v>45</v>
      </c>
      <c r="C46" s="3" t="s">
        <v>110</v>
      </c>
      <c r="D46" s="3" t="s">
        <v>122</v>
      </c>
      <c r="E46" s="3" t="s">
        <v>112</v>
      </c>
      <c r="F46" s="3" t="s">
        <v>917</v>
      </c>
      <c r="G46" s="3">
        <v>60</v>
      </c>
    </row>
    <row r="47" spans="1:8" x14ac:dyDescent="0.25">
      <c r="A47" s="3">
        <f t="shared" si="0"/>
        <v>46</v>
      </c>
      <c r="C47" s="3" t="s">
        <v>110</v>
      </c>
      <c r="D47" s="3" t="s">
        <v>123</v>
      </c>
      <c r="E47" s="3" t="s">
        <v>112</v>
      </c>
      <c r="F47" s="3" t="s">
        <v>918</v>
      </c>
      <c r="G47" s="3">
        <v>95</v>
      </c>
    </row>
    <row r="48" spans="1:8" x14ac:dyDescent="0.25">
      <c r="A48" s="3">
        <f t="shared" si="0"/>
        <v>47</v>
      </c>
      <c r="C48" s="3" t="s">
        <v>110</v>
      </c>
      <c r="D48" s="3" t="s">
        <v>124</v>
      </c>
      <c r="E48" s="3" t="s">
        <v>112</v>
      </c>
      <c r="F48" s="3" t="s">
        <v>919</v>
      </c>
      <c r="G48" s="3">
        <v>95</v>
      </c>
    </row>
    <row r="49" spans="1:8" x14ac:dyDescent="0.25">
      <c r="A49" s="3">
        <f t="shared" si="0"/>
        <v>48</v>
      </c>
      <c r="C49" s="3" t="s">
        <v>110</v>
      </c>
      <c r="D49" s="3" t="s">
        <v>125</v>
      </c>
      <c r="E49" s="3" t="s">
        <v>112</v>
      </c>
      <c r="F49" s="3" t="s">
        <v>920</v>
      </c>
      <c r="G49" s="3">
        <v>95</v>
      </c>
    </row>
    <row r="50" spans="1:8" x14ac:dyDescent="0.25">
      <c r="A50" s="3">
        <f t="shared" si="0"/>
        <v>49</v>
      </c>
      <c r="C50" s="3" t="s">
        <v>110</v>
      </c>
      <c r="D50" s="3" t="s">
        <v>126</v>
      </c>
      <c r="E50" s="3" t="s">
        <v>112</v>
      </c>
      <c r="F50" s="3" t="s">
        <v>921</v>
      </c>
      <c r="G50" s="3">
        <v>80</v>
      </c>
    </row>
    <row r="51" spans="1:8" x14ac:dyDescent="0.25">
      <c r="A51" s="3">
        <f t="shared" si="0"/>
        <v>50</v>
      </c>
      <c r="C51" s="3" t="s">
        <v>110</v>
      </c>
      <c r="D51" s="3" t="s">
        <v>127</v>
      </c>
      <c r="E51" s="3" t="s">
        <v>112</v>
      </c>
      <c r="F51" s="3" t="s">
        <v>922</v>
      </c>
      <c r="G51" s="3">
        <v>60</v>
      </c>
    </row>
    <row r="52" spans="1:8" x14ac:dyDescent="0.25">
      <c r="A52" s="3">
        <f t="shared" si="0"/>
        <v>51</v>
      </c>
      <c r="C52" s="3" t="s">
        <v>110</v>
      </c>
      <c r="D52" s="3" t="s">
        <v>128</v>
      </c>
      <c r="E52" s="3" t="s">
        <v>112</v>
      </c>
      <c r="F52" s="3" t="s">
        <v>923</v>
      </c>
      <c r="G52" s="3">
        <v>50</v>
      </c>
    </row>
    <row r="53" spans="1:8" x14ac:dyDescent="0.25">
      <c r="A53" s="3">
        <f t="shared" si="0"/>
        <v>52</v>
      </c>
      <c r="C53" s="3" t="s">
        <v>110</v>
      </c>
      <c r="D53" s="3" t="s">
        <v>129</v>
      </c>
      <c r="E53" s="3" t="s">
        <v>112</v>
      </c>
      <c r="F53" s="3" t="s">
        <v>924</v>
      </c>
      <c r="G53" s="3">
        <v>100</v>
      </c>
    </row>
    <row r="54" spans="1:8" x14ac:dyDescent="0.25">
      <c r="A54" s="3">
        <f t="shared" si="0"/>
        <v>53</v>
      </c>
      <c r="C54" s="3" t="s">
        <v>110</v>
      </c>
      <c r="D54" s="3" t="s">
        <v>130</v>
      </c>
      <c r="E54" s="3" t="s">
        <v>112</v>
      </c>
      <c r="F54" s="3" t="s">
        <v>925</v>
      </c>
      <c r="G54" s="3">
        <v>60</v>
      </c>
    </row>
    <row r="55" spans="1:8" x14ac:dyDescent="0.25">
      <c r="A55" s="3">
        <f t="shared" si="0"/>
        <v>54</v>
      </c>
      <c r="C55" s="3" t="s">
        <v>110</v>
      </c>
      <c r="D55" s="3" t="s">
        <v>131</v>
      </c>
      <c r="E55" s="3" t="s">
        <v>112</v>
      </c>
      <c r="F55" s="3" t="s">
        <v>926</v>
      </c>
      <c r="G55" s="3">
        <v>30</v>
      </c>
    </row>
    <row r="56" spans="1:8" x14ac:dyDescent="0.25">
      <c r="A56" s="3">
        <f t="shared" si="0"/>
        <v>55</v>
      </c>
      <c r="C56" s="3" t="s">
        <v>110</v>
      </c>
      <c r="D56" s="3" t="s">
        <v>132</v>
      </c>
      <c r="E56" s="3" t="s">
        <v>112</v>
      </c>
      <c r="F56" s="3" t="s">
        <v>927</v>
      </c>
      <c r="G56" s="3">
        <v>100</v>
      </c>
    </row>
    <row r="57" spans="1:8" x14ac:dyDescent="0.25">
      <c r="A57" s="3">
        <f t="shared" si="0"/>
        <v>56</v>
      </c>
      <c r="C57" s="3" t="s">
        <v>110</v>
      </c>
      <c r="D57" s="3" t="s">
        <v>133</v>
      </c>
      <c r="E57" s="3" t="s">
        <v>112</v>
      </c>
      <c r="F57" s="3" t="s">
        <v>928</v>
      </c>
      <c r="G57" s="3">
        <v>45</v>
      </c>
    </row>
    <row r="58" spans="1:8" x14ac:dyDescent="0.25">
      <c r="A58" s="3">
        <f t="shared" si="0"/>
        <v>57</v>
      </c>
      <c r="C58" s="3" t="s">
        <v>110</v>
      </c>
      <c r="D58" s="3" t="s">
        <v>134</v>
      </c>
      <c r="E58" s="3" t="s">
        <v>112</v>
      </c>
      <c r="F58" s="3" t="s">
        <v>929</v>
      </c>
      <c r="G58" s="3">
        <v>30</v>
      </c>
    </row>
    <row r="59" spans="1:8" x14ac:dyDescent="0.25">
      <c r="A59" s="3">
        <f t="shared" si="0"/>
        <v>58</v>
      </c>
      <c r="B59" s="3" t="s">
        <v>992</v>
      </c>
      <c r="C59" s="3" t="s">
        <v>110</v>
      </c>
      <c r="D59" s="3" t="s">
        <v>135</v>
      </c>
      <c r="E59" s="3" t="s">
        <v>112</v>
      </c>
      <c r="F59" s="5" t="s">
        <v>993</v>
      </c>
      <c r="G59" s="3">
        <v>85</v>
      </c>
    </row>
    <row r="60" spans="1:8" x14ac:dyDescent="0.25">
      <c r="A60" s="3">
        <f t="shared" si="0"/>
        <v>59</v>
      </c>
      <c r="C60" s="3" t="s">
        <v>136</v>
      </c>
      <c r="D60" s="3" t="s">
        <v>137</v>
      </c>
      <c r="E60" s="3" t="s">
        <v>971</v>
      </c>
      <c r="F60" s="3" t="s">
        <v>138</v>
      </c>
      <c r="G60" s="3">
        <v>60</v>
      </c>
      <c r="H60" s="3">
        <v>8</v>
      </c>
    </row>
    <row r="61" spans="1:8" x14ac:dyDescent="0.25">
      <c r="A61" s="3">
        <f t="shared" si="0"/>
        <v>60</v>
      </c>
      <c r="C61" s="3" t="s">
        <v>136</v>
      </c>
      <c r="D61" s="3" t="s">
        <v>139</v>
      </c>
      <c r="E61" s="3" t="s">
        <v>140</v>
      </c>
      <c r="F61" s="3" t="s">
        <v>141</v>
      </c>
      <c r="G61" s="3">
        <v>0.9</v>
      </c>
      <c r="H61" s="3">
        <v>1.1000000000000001</v>
      </c>
    </row>
    <row r="62" spans="1:8" x14ac:dyDescent="0.25">
      <c r="A62" s="3">
        <f t="shared" si="0"/>
        <v>61</v>
      </c>
      <c r="C62" s="3" t="s">
        <v>136</v>
      </c>
      <c r="D62" s="3" t="s">
        <v>142</v>
      </c>
      <c r="E62" s="3" t="s">
        <v>143</v>
      </c>
      <c r="F62" s="3" t="s">
        <v>144</v>
      </c>
      <c r="G62" s="3">
        <v>1</v>
      </c>
    </row>
    <row r="63" spans="1:8" x14ac:dyDescent="0.25">
      <c r="A63" s="3">
        <f t="shared" si="0"/>
        <v>62</v>
      </c>
      <c r="C63" s="3" t="s">
        <v>136</v>
      </c>
      <c r="D63" s="3" t="s">
        <v>145</v>
      </c>
      <c r="E63" s="3" t="s">
        <v>146</v>
      </c>
      <c r="F63" s="3" t="s">
        <v>147</v>
      </c>
      <c r="G63" s="3">
        <v>0.7</v>
      </c>
    </row>
    <row r="64" spans="1:8" x14ac:dyDescent="0.25">
      <c r="A64" s="3">
        <f t="shared" si="0"/>
        <v>63</v>
      </c>
      <c r="C64" s="3" t="s">
        <v>136</v>
      </c>
      <c r="D64" s="3" t="s">
        <v>148</v>
      </c>
      <c r="E64" s="3" t="s">
        <v>149</v>
      </c>
      <c r="F64" s="3" t="s">
        <v>150</v>
      </c>
      <c r="G64" s="3">
        <v>12</v>
      </c>
    </row>
    <row r="65" spans="1:10" x14ac:dyDescent="0.25">
      <c r="A65" s="3">
        <f t="shared" si="0"/>
        <v>64</v>
      </c>
      <c r="C65" s="3" t="s">
        <v>136</v>
      </c>
      <c r="D65" s="3" t="s">
        <v>151</v>
      </c>
      <c r="E65" s="3" t="s">
        <v>152</v>
      </c>
      <c r="F65" s="3" t="s">
        <v>153</v>
      </c>
      <c r="G65" s="3">
        <v>1</v>
      </c>
    </row>
    <row r="66" spans="1:10" x14ac:dyDescent="0.25">
      <c r="A66" s="3">
        <f t="shared" si="0"/>
        <v>65</v>
      </c>
      <c r="C66" s="3" t="s">
        <v>136</v>
      </c>
      <c r="D66" s="3" t="s">
        <v>154</v>
      </c>
      <c r="E66" s="3" t="s">
        <v>155</v>
      </c>
      <c r="F66" s="3" t="s">
        <v>156</v>
      </c>
      <c r="G66" s="3">
        <v>10</v>
      </c>
    </row>
    <row r="67" spans="1:10" x14ac:dyDescent="0.25">
      <c r="A67" s="3">
        <f t="shared" si="0"/>
        <v>66</v>
      </c>
      <c r="C67" s="3" t="s">
        <v>136</v>
      </c>
      <c r="D67" s="3" t="s">
        <v>157</v>
      </c>
      <c r="E67" s="3" t="s">
        <v>149</v>
      </c>
      <c r="F67" s="3" t="s">
        <v>957</v>
      </c>
      <c r="G67" s="3">
        <v>10000</v>
      </c>
    </row>
    <row r="68" spans="1:10" x14ac:dyDescent="0.25">
      <c r="A68" s="3">
        <f t="shared" si="0"/>
        <v>67</v>
      </c>
      <c r="C68" s="3" t="s">
        <v>136</v>
      </c>
      <c r="D68" s="3" t="s">
        <v>158</v>
      </c>
      <c r="E68" s="3" t="s">
        <v>159</v>
      </c>
      <c r="F68" s="3" t="s">
        <v>160</v>
      </c>
      <c r="G68" s="3">
        <v>50</v>
      </c>
    </row>
    <row r="69" spans="1:10" x14ac:dyDescent="0.25">
      <c r="A69" s="3">
        <f t="shared" ref="A69:A135" si="2">A68+1</f>
        <v>68</v>
      </c>
      <c r="C69" s="3" t="s">
        <v>136</v>
      </c>
      <c r="D69" s="3" t="s">
        <v>161</v>
      </c>
      <c r="E69" s="3" t="s">
        <v>162</v>
      </c>
      <c r="F69" s="3" t="s">
        <v>163</v>
      </c>
      <c r="G69" s="3">
        <v>30</v>
      </c>
      <c r="H69" s="3">
        <v>60</v>
      </c>
    </row>
    <row r="70" spans="1:10" x14ac:dyDescent="0.25">
      <c r="A70" s="3">
        <f t="shared" si="2"/>
        <v>69</v>
      </c>
      <c r="C70" s="3" t="s">
        <v>136</v>
      </c>
      <c r="D70" s="3" t="s">
        <v>164</v>
      </c>
      <c r="E70" s="3" t="s">
        <v>165</v>
      </c>
      <c r="F70" s="3" t="s">
        <v>166</v>
      </c>
      <c r="G70" s="3">
        <v>5</v>
      </c>
      <c r="H70" s="3">
        <v>150</v>
      </c>
      <c r="I70" s="3">
        <v>100</v>
      </c>
      <c r="J70" s="3">
        <v>0.75</v>
      </c>
    </row>
    <row r="71" spans="1:10" x14ac:dyDescent="0.25">
      <c r="A71" s="3">
        <f t="shared" si="2"/>
        <v>70</v>
      </c>
      <c r="C71" s="3" t="s">
        <v>167</v>
      </c>
      <c r="D71" s="3" t="s">
        <v>168</v>
      </c>
      <c r="E71" s="3" t="s">
        <v>169</v>
      </c>
      <c r="F71" s="3" t="s">
        <v>170</v>
      </c>
      <c r="G71" s="3">
        <v>15</v>
      </c>
    </row>
    <row r="72" spans="1:10" x14ac:dyDescent="0.25">
      <c r="A72" s="3">
        <f t="shared" si="2"/>
        <v>71</v>
      </c>
      <c r="C72" s="3" t="s">
        <v>167</v>
      </c>
      <c r="D72" s="3" t="s">
        <v>171</v>
      </c>
      <c r="E72" s="3" t="s">
        <v>169</v>
      </c>
      <c r="F72" s="3" t="s">
        <v>172</v>
      </c>
      <c r="G72" s="3">
        <v>10</v>
      </c>
    </row>
    <row r="73" spans="1:10" x14ac:dyDescent="0.25">
      <c r="A73" s="3">
        <f t="shared" si="2"/>
        <v>72</v>
      </c>
      <c r="C73" s="3" t="s">
        <v>167</v>
      </c>
      <c r="D73" s="3" t="s">
        <v>173</v>
      </c>
      <c r="E73" s="3" t="s">
        <v>169</v>
      </c>
      <c r="F73" s="3" t="s">
        <v>174</v>
      </c>
      <c r="G73" s="3">
        <v>25</v>
      </c>
    </row>
    <row r="74" spans="1:10" x14ac:dyDescent="0.25">
      <c r="A74" s="3">
        <f t="shared" si="2"/>
        <v>73</v>
      </c>
      <c r="C74" s="3" t="s">
        <v>167</v>
      </c>
      <c r="D74" s="3" t="s">
        <v>175</v>
      </c>
      <c r="E74" s="3" t="s">
        <v>169</v>
      </c>
      <c r="F74" s="3" t="s">
        <v>176</v>
      </c>
      <c r="G74" s="3">
        <v>20</v>
      </c>
    </row>
    <row r="75" spans="1:10" x14ac:dyDescent="0.25">
      <c r="A75" s="3">
        <f t="shared" si="2"/>
        <v>74</v>
      </c>
      <c r="C75" s="3" t="s">
        <v>167</v>
      </c>
      <c r="D75" s="3" t="s">
        <v>177</v>
      </c>
      <c r="E75" s="3" t="s">
        <v>169</v>
      </c>
      <c r="F75" s="3" t="s">
        <v>949</v>
      </c>
      <c r="G75" s="3">
        <v>100</v>
      </c>
    </row>
    <row r="76" spans="1:10" x14ac:dyDescent="0.25">
      <c r="A76" s="3">
        <f t="shared" si="2"/>
        <v>75</v>
      </c>
      <c r="C76" s="3" t="s">
        <v>178</v>
      </c>
      <c r="D76" s="3" t="s">
        <v>179</v>
      </c>
      <c r="E76" s="3" t="s">
        <v>180</v>
      </c>
      <c r="F76" s="3" t="s">
        <v>181</v>
      </c>
      <c r="G76" s="3">
        <v>30</v>
      </c>
      <c r="H76" s="3">
        <v>8</v>
      </c>
      <c r="I76" s="3">
        <v>1.095</v>
      </c>
    </row>
    <row r="77" spans="1:10" x14ac:dyDescent="0.25">
      <c r="A77" s="3">
        <f t="shared" si="2"/>
        <v>76</v>
      </c>
      <c r="C77" s="3" t="s">
        <v>178</v>
      </c>
      <c r="D77" s="3" t="s">
        <v>182</v>
      </c>
      <c r="E77" s="3" t="s">
        <v>180</v>
      </c>
      <c r="F77" s="3" t="s">
        <v>181</v>
      </c>
      <c r="G77" s="3">
        <v>6</v>
      </c>
      <c r="H77" s="3">
        <v>1.2</v>
      </c>
      <c r="I77" s="3">
        <v>1.1100000000000001</v>
      </c>
    </row>
    <row r="78" spans="1:10" x14ac:dyDescent="0.25">
      <c r="A78" s="3">
        <f t="shared" si="2"/>
        <v>77</v>
      </c>
      <c r="C78" s="3" t="s">
        <v>178</v>
      </c>
      <c r="D78" s="3" t="s">
        <v>85</v>
      </c>
      <c r="E78" s="3" t="s">
        <v>180</v>
      </c>
      <c r="F78" s="3" t="s">
        <v>183</v>
      </c>
      <c r="G78" s="3">
        <v>2</v>
      </c>
      <c r="H78" s="3">
        <v>0.5</v>
      </c>
      <c r="I78" s="3">
        <v>1.08</v>
      </c>
    </row>
    <row r="79" spans="1:10" x14ac:dyDescent="0.25">
      <c r="A79" s="3">
        <f t="shared" si="2"/>
        <v>78</v>
      </c>
      <c r="C79" s="3" t="s">
        <v>178</v>
      </c>
      <c r="D79" s="3" t="s">
        <v>184</v>
      </c>
      <c r="E79" s="3" t="s">
        <v>180</v>
      </c>
      <c r="F79" s="3" t="s">
        <v>181</v>
      </c>
      <c r="G79" s="3">
        <v>20</v>
      </c>
      <c r="H79" s="3">
        <v>1</v>
      </c>
      <c r="I79" s="3">
        <v>1.02</v>
      </c>
    </row>
    <row r="80" spans="1:10" x14ac:dyDescent="0.25">
      <c r="A80" s="3">
        <f t="shared" si="2"/>
        <v>79</v>
      </c>
      <c r="C80" s="3" t="s">
        <v>178</v>
      </c>
      <c r="D80" s="3" t="s">
        <v>185</v>
      </c>
      <c r="E80" s="3" t="s">
        <v>180</v>
      </c>
      <c r="F80" s="3" t="s">
        <v>181</v>
      </c>
      <c r="G80" s="3">
        <v>8</v>
      </c>
      <c r="H80" s="3">
        <v>1</v>
      </c>
      <c r="I80" s="3">
        <v>1.06</v>
      </c>
    </row>
    <row r="81" spans="1:12" x14ac:dyDescent="0.25">
      <c r="A81" s="3">
        <f t="shared" si="2"/>
        <v>80</v>
      </c>
      <c r="C81" s="3" t="s">
        <v>178</v>
      </c>
      <c r="D81" s="3" t="s">
        <v>96</v>
      </c>
      <c r="E81" s="3" t="s">
        <v>186</v>
      </c>
      <c r="F81" s="3" t="s">
        <v>187</v>
      </c>
      <c r="G81" s="3">
        <v>2</v>
      </c>
    </row>
    <row r="82" spans="1:12" x14ac:dyDescent="0.25">
      <c r="A82" s="3">
        <f t="shared" si="2"/>
        <v>81</v>
      </c>
      <c r="C82" s="3" t="s">
        <v>178</v>
      </c>
      <c r="D82" s="3" t="s">
        <v>99</v>
      </c>
      <c r="E82" s="3" t="s">
        <v>972</v>
      </c>
      <c r="F82" s="3" t="s">
        <v>973</v>
      </c>
      <c r="G82" s="3">
        <v>100</v>
      </c>
      <c r="H82" s="3">
        <v>4</v>
      </c>
    </row>
    <row r="83" spans="1:12" x14ac:dyDescent="0.25">
      <c r="A83" s="3">
        <f t="shared" si="2"/>
        <v>82</v>
      </c>
      <c r="C83" s="3" t="s">
        <v>178</v>
      </c>
      <c r="D83" s="3" t="s">
        <v>977</v>
      </c>
      <c r="E83" s="3" t="s">
        <v>978</v>
      </c>
      <c r="F83" s="3" t="s">
        <v>979</v>
      </c>
      <c r="G83" s="3">
        <v>10</v>
      </c>
      <c r="H83" s="3">
        <v>4</v>
      </c>
    </row>
    <row r="84" spans="1:12" x14ac:dyDescent="0.25">
      <c r="A84" s="3">
        <f t="shared" si="2"/>
        <v>83</v>
      </c>
      <c r="C84" s="3" t="s">
        <v>178</v>
      </c>
      <c r="D84" s="3" t="s">
        <v>188</v>
      </c>
      <c r="E84" s="3" t="s">
        <v>189</v>
      </c>
      <c r="F84" s="3" t="s">
        <v>930</v>
      </c>
      <c r="G84" s="3">
        <v>3</v>
      </c>
      <c r="H84" s="3">
        <v>2</v>
      </c>
      <c r="I84" s="3">
        <v>2</v>
      </c>
      <c r="J84" s="3">
        <v>5</v>
      </c>
      <c r="K84" s="3">
        <v>3</v>
      </c>
    </row>
    <row r="85" spans="1:12" x14ac:dyDescent="0.25">
      <c r="A85" s="3">
        <f t="shared" si="2"/>
        <v>84</v>
      </c>
      <c r="C85" s="3" t="s">
        <v>178</v>
      </c>
      <c r="D85" s="3" t="s">
        <v>190</v>
      </c>
      <c r="E85" s="3" t="s">
        <v>191</v>
      </c>
      <c r="F85" s="3" t="s">
        <v>192</v>
      </c>
      <c r="G85" s="3">
        <v>1.3</v>
      </c>
    </row>
    <row r="86" spans="1:12" x14ac:dyDescent="0.25">
      <c r="A86" s="3">
        <f t="shared" si="2"/>
        <v>85</v>
      </c>
      <c r="C86" s="3" t="s">
        <v>193</v>
      </c>
      <c r="D86" s="3" t="s">
        <v>194</v>
      </c>
      <c r="E86" s="3" t="s">
        <v>195</v>
      </c>
      <c r="F86" s="3" t="s">
        <v>196</v>
      </c>
      <c r="G86" s="3">
        <v>60</v>
      </c>
    </row>
    <row r="87" spans="1:12" x14ac:dyDescent="0.25">
      <c r="A87" s="3">
        <f t="shared" si="2"/>
        <v>86</v>
      </c>
      <c r="C87" s="3" t="s">
        <v>193</v>
      </c>
      <c r="D87" s="3" t="s">
        <v>197</v>
      </c>
      <c r="E87" s="3" t="s">
        <v>195</v>
      </c>
      <c r="F87" s="3" t="s">
        <v>196</v>
      </c>
      <c r="G87" s="3">
        <v>25</v>
      </c>
    </row>
    <row r="88" spans="1:12" x14ac:dyDescent="0.25">
      <c r="A88" s="3">
        <f t="shared" si="2"/>
        <v>87</v>
      </c>
      <c r="C88" s="3" t="s">
        <v>193</v>
      </c>
      <c r="D88" s="3" t="s">
        <v>198</v>
      </c>
      <c r="E88" s="3" t="s">
        <v>195</v>
      </c>
      <c r="F88" s="3" t="s">
        <v>196</v>
      </c>
      <c r="G88" s="3">
        <v>10</v>
      </c>
    </row>
    <row r="89" spans="1:12" x14ac:dyDescent="0.25">
      <c r="A89" s="3">
        <f t="shared" si="2"/>
        <v>88</v>
      </c>
      <c r="C89" s="3" t="s">
        <v>193</v>
      </c>
      <c r="D89" s="3" t="s">
        <v>199</v>
      </c>
      <c r="E89" s="3" t="s">
        <v>195</v>
      </c>
      <c r="F89" s="3" t="s">
        <v>196</v>
      </c>
      <c r="G89" s="3">
        <v>5</v>
      </c>
    </row>
    <row r="90" spans="1:12" x14ac:dyDescent="0.25">
      <c r="A90" s="3">
        <f t="shared" si="2"/>
        <v>89</v>
      </c>
      <c r="C90" s="3" t="s">
        <v>200</v>
      </c>
      <c r="D90" s="3" t="s">
        <v>201</v>
      </c>
      <c r="E90" s="3" t="s">
        <v>37</v>
      </c>
      <c r="F90" s="3" t="s">
        <v>931</v>
      </c>
      <c r="G90" s="3">
        <v>1</v>
      </c>
      <c r="H90" s="3">
        <v>1</v>
      </c>
      <c r="I90" s="3">
        <v>1</v>
      </c>
      <c r="J90" s="3">
        <v>1</v>
      </c>
      <c r="K90" s="3">
        <v>1</v>
      </c>
      <c r="L90" s="3" t="s">
        <v>202</v>
      </c>
    </row>
    <row r="91" spans="1:12" x14ac:dyDescent="0.25">
      <c r="A91" s="3">
        <f t="shared" si="2"/>
        <v>90</v>
      </c>
      <c r="C91" s="3" t="s">
        <v>200</v>
      </c>
      <c r="D91" s="3" t="s">
        <v>203</v>
      </c>
      <c r="E91" s="3" t="s">
        <v>37</v>
      </c>
      <c r="F91" s="3" t="s">
        <v>931</v>
      </c>
      <c r="G91" s="3">
        <v>2.2000000000000002</v>
      </c>
      <c r="H91" s="3">
        <v>1.8</v>
      </c>
      <c r="I91" s="3">
        <v>1.6</v>
      </c>
      <c r="J91" s="3">
        <v>1.5</v>
      </c>
      <c r="K91" s="3">
        <v>1.25</v>
      </c>
      <c r="L91" s="3" t="s">
        <v>204</v>
      </c>
    </row>
    <row r="92" spans="1:12" x14ac:dyDescent="0.25">
      <c r="A92" s="3">
        <f t="shared" si="2"/>
        <v>91</v>
      </c>
      <c r="C92" s="3" t="s">
        <v>200</v>
      </c>
      <c r="D92" s="3" t="s">
        <v>205</v>
      </c>
      <c r="E92" s="3" t="s">
        <v>37</v>
      </c>
      <c r="F92" s="3" t="s">
        <v>931</v>
      </c>
      <c r="G92" s="3">
        <v>4</v>
      </c>
      <c r="H92" s="3">
        <v>2.8</v>
      </c>
      <c r="I92" s="3">
        <v>2.4</v>
      </c>
      <c r="J92" s="3">
        <v>2</v>
      </c>
      <c r="K92" s="3">
        <v>1.5</v>
      </c>
      <c r="L92" s="3" t="s">
        <v>206</v>
      </c>
    </row>
    <row r="93" spans="1:12" x14ac:dyDescent="0.25">
      <c r="A93" s="3">
        <f t="shared" si="2"/>
        <v>92</v>
      </c>
      <c r="C93" s="3" t="s">
        <v>207</v>
      </c>
      <c r="D93" s="3" t="s">
        <v>208</v>
      </c>
      <c r="E93" s="3" t="s">
        <v>209</v>
      </c>
      <c r="F93" s="3" t="s">
        <v>210</v>
      </c>
      <c r="G93" s="3">
        <v>4</v>
      </c>
      <c r="H93" s="3">
        <v>5</v>
      </c>
    </row>
    <row r="94" spans="1:12" x14ac:dyDescent="0.25">
      <c r="A94" s="3">
        <f t="shared" si="2"/>
        <v>93</v>
      </c>
      <c r="C94" s="3" t="s">
        <v>207</v>
      </c>
      <c r="D94" s="3" t="s">
        <v>211</v>
      </c>
      <c r="E94" s="3" t="s">
        <v>212</v>
      </c>
      <c r="F94" s="3" t="s">
        <v>213</v>
      </c>
      <c r="G94" s="3">
        <v>3</v>
      </c>
    </row>
    <row r="95" spans="1:12" x14ac:dyDescent="0.25">
      <c r="A95" s="3">
        <f t="shared" si="2"/>
        <v>94</v>
      </c>
      <c r="C95" s="3" t="s">
        <v>207</v>
      </c>
      <c r="D95" s="3" t="s">
        <v>99</v>
      </c>
      <c r="E95" s="3" t="s">
        <v>974</v>
      </c>
      <c r="F95" s="3" t="s">
        <v>975</v>
      </c>
      <c r="G95" s="3">
        <v>200</v>
      </c>
      <c r="H95" s="3">
        <v>20</v>
      </c>
    </row>
    <row r="96" spans="1:12" x14ac:dyDescent="0.25">
      <c r="A96" s="3">
        <f t="shared" si="2"/>
        <v>95</v>
      </c>
      <c r="C96" s="3" t="s">
        <v>207</v>
      </c>
      <c r="D96" s="3" t="s">
        <v>214</v>
      </c>
      <c r="E96" s="3" t="s">
        <v>215</v>
      </c>
      <c r="F96" s="3" t="s">
        <v>216</v>
      </c>
      <c r="G96" s="3">
        <v>100000</v>
      </c>
      <c r="H96" s="3">
        <v>2.6</v>
      </c>
    </row>
    <row r="97" spans="1:10" x14ac:dyDescent="0.25">
      <c r="A97" s="3">
        <f t="shared" si="2"/>
        <v>96</v>
      </c>
      <c r="C97" s="3" t="s">
        <v>207</v>
      </c>
      <c r="D97" s="3" t="s">
        <v>179</v>
      </c>
      <c r="E97" s="3" t="s">
        <v>217</v>
      </c>
      <c r="F97" s="3" t="s">
        <v>218</v>
      </c>
      <c r="G97" s="3">
        <v>20</v>
      </c>
      <c r="H97" s="3">
        <v>20</v>
      </c>
    </row>
    <row r="98" spans="1:10" x14ac:dyDescent="0.25">
      <c r="A98" s="3">
        <f t="shared" si="2"/>
        <v>97</v>
      </c>
      <c r="C98" s="3" t="s">
        <v>207</v>
      </c>
      <c r="D98" s="3" t="s">
        <v>182</v>
      </c>
      <c r="E98" s="3" t="s">
        <v>219</v>
      </c>
      <c r="F98" s="3" t="s">
        <v>218</v>
      </c>
      <c r="G98" s="3">
        <v>3</v>
      </c>
      <c r="H98" s="3">
        <v>5</v>
      </c>
    </row>
    <row r="99" spans="1:10" x14ac:dyDescent="0.25">
      <c r="A99" s="3">
        <f t="shared" si="2"/>
        <v>98</v>
      </c>
      <c r="C99" s="3" t="s">
        <v>207</v>
      </c>
      <c r="D99" s="3" t="s">
        <v>220</v>
      </c>
      <c r="E99" s="3" t="s">
        <v>221</v>
      </c>
      <c r="F99" s="3" t="s">
        <v>222</v>
      </c>
      <c r="G99" s="3">
        <v>10</v>
      </c>
    </row>
    <row r="100" spans="1:10" x14ac:dyDescent="0.25">
      <c r="A100" s="3">
        <f t="shared" si="2"/>
        <v>99</v>
      </c>
      <c r="C100" s="3" t="s">
        <v>207</v>
      </c>
      <c r="D100" s="3" t="s">
        <v>223</v>
      </c>
      <c r="E100" s="3" t="s">
        <v>224</v>
      </c>
      <c r="F100" s="3" t="s">
        <v>225</v>
      </c>
      <c r="G100" s="3">
        <v>5</v>
      </c>
      <c r="H100" s="3">
        <v>70</v>
      </c>
    </row>
    <row r="101" spans="1:10" x14ac:dyDescent="0.25">
      <c r="A101" s="3">
        <f t="shared" si="2"/>
        <v>100</v>
      </c>
      <c r="C101" s="3" t="s">
        <v>207</v>
      </c>
      <c r="D101" s="3" t="s">
        <v>977</v>
      </c>
      <c r="E101" s="3" t="s">
        <v>980</v>
      </c>
      <c r="F101" s="3" t="s">
        <v>981</v>
      </c>
      <c r="G101" s="3">
        <v>20</v>
      </c>
      <c r="H101" s="3">
        <v>10000000</v>
      </c>
      <c r="I101" s="3">
        <v>40</v>
      </c>
    </row>
    <row r="102" spans="1:10" x14ac:dyDescent="0.25">
      <c r="A102" s="3">
        <f t="shared" si="2"/>
        <v>101</v>
      </c>
      <c r="C102" s="3" t="s">
        <v>207</v>
      </c>
      <c r="D102" s="3" t="s">
        <v>226</v>
      </c>
      <c r="E102" s="3" t="s">
        <v>219</v>
      </c>
      <c r="F102" s="3" t="s">
        <v>227</v>
      </c>
      <c r="G102" s="3">
        <v>3</v>
      </c>
      <c r="H102" s="3">
        <v>20</v>
      </c>
    </row>
    <row r="103" spans="1:10" x14ac:dyDescent="0.25">
      <c r="A103" s="3">
        <f t="shared" si="2"/>
        <v>102</v>
      </c>
      <c r="C103" s="3" t="s">
        <v>207</v>
      </c>
      <c r="D103" s="3" t="s">
        <v>185</v>
      </c>
      <c r="E103" s="3" t="s">
        <v>228</v>
      </c>
      <c r="F103" s="3" t="s">
        <v>229</v>
      </c>
      <c r="G103" s="3">
        <v>2</v>
      </c>
    </row>
    <row r="104" spans="1:10" x14ac:dyDescent="0.25">
      <c r="A104" s="3">
        <f t="shared" si="2"/>
        <v>103</v>
      </c>
      <c r="C104" s="3" t="s">
        <v>207</v>
      </c>
      <c r="D104" s="3" t="s">
        <v>230</v>
      </c>
      <c r="E104" s="3" t="s">
        <v>231</v>
      </c>
      <c r="F104" s="3" t="s">
        <v>232</v>
      </c>
      <c r="G104" s="3">
        <v>60</v>
      </c>
      <c r="H104" s="3">
        <v>40</v>
      </c>
      <c r="I104" s="3">
        <v>3</v>
      </c>
      <c r="J104" s="3">
        <v>8</v>
      </c>
    </row>
    <row r="105" spans="1:10" x14ac:dyDescent="0.25">
      <c r="A105" s="3">
        <f t="shared" si="2"/>
        <v>104</v>
      </c>
      <c r="C105" s="3" t="s">
        <v>207</v>
      </c>
      <c r="D105" s="3" t="s">
        <v>233</v>
      </c>
      <c r="E105" s="3" t="s">
        <v>234</v>
      </c>
      <c r="F105" s="3" t="s">
        <v>235</v>
      </c>
      <c r="G105" s="3">
        <v>51</v>
      </c>
      <c r="H105" s="3">
        <v>100</v>
      </c>
    </row>
    <row r="106" spans="1:10" x14ac:dyDescent="0.25">
      <c r="A106" s="3">
        <f t="shared" si="2"/>
        <v>105</v>
      </c>
      <c r="C106" s="3" t="s">
        <v>207</v>
      </c>
      <c r="D106" s="3" t="s">
        <v>236</v>
      </c>
      <c r="E106" s="3" t="s">
        <v>234</v>
      </c>
      <c r="F106" s="3" t="s">
        <v>237</v>
      </c>
      <c r="G106" s="3">
        <v>1</v>
      </c>
      <c r="H106" s="3">
        <v>50</v>
      </c>
    </row>
    <row r="107" spans="1:10" x14ac:dyDescent="0.25">
      <c r="A107" s="3">
        <f t="shared" si="2"/>
        <v>106</v>
      </c>
      <c r="C107" s="3" t="s">
        <v>207</v>
      </c>
      <c r="D107" s="3" t="s">
        <v>238</v>
      </c>
      <c r="E107" s="3" t="s">
        <v>239</v>
      </c>
      <c r="F107" s="3" t="s">
        <v>240</v>
      </c>
      <c r="G107" s="3">
        <v>5</v>
      </c>
      <c r="H107" s="3">
        <v>1</v>
      </c>
    </row>
    <row r="108" spans="1:10" x14ac:dyDescent="0.25">
      <c r="A108" s="3">
        <f t="shared" si="2"/>
        <v>107</v>
      </c>
      <c r="C108" s="3" t="s">
        <v>207</v>
      </c>
      <c r="D108" s="3" t="s">
        <v>241</v>
      </c>
      <c r="E108" s="3" t="s">
        <v>242</v>
      </c>
      <c r="F108" s="3" t="s">
        <v>243</v>
      </c>
      <c r="G108" s="3">
        <v>30</v>
      </c>
      <c r="H108" s="3">
        <v>2</v>
      </c>
      <c r="I108" s="3">
        <v>0.2</v>
      </c>
    </row>
    <row r="109" spans="1:10" x14ac:dyDescent="0.25">
      <c r="A109" s="3">
        <f t="shared" si="2"/>
        <v>108</v>
      </c>
      <c r="C109" s="3" t="s">
        <v>244</v>
      </c>
      <c r="D109" s="3" t="s">
        <v>245</v>
      </c>
      <c r="E109" s="3" t="s">
        <v>246</v>
      </c>
      <c r="F109" s="3" t="s">
        <v>247</v>
      </c>
      <c r="G109" s="3">
        <v>0.5</v>
      </c>
    </row>
    <row r="110" spans="1:10" x14ac:dyDescent="0.25">
      <c r="A110" s="3">
        <f t="shared" si="2"/>
        <v>109</v>
      </c>
      <c r="C110" s="3" t="s">
        <v>244</v>
      </c>
      <c r="D110" s="3" t="s">
        <v>248</v>
      </c>
      <c r="E110" s="3" t="s">
        <v>249</v>
      </c>
      <c r="F110" s="3" t="s">
        <v>250</v>
      </c>
      <c r="G110" s="3">
        <v>50</v>
      </c>
    </row>
    <row r="111" spans="1:10" x14ac:dyDescent="0.25">
      <c r="A111" s="3">
        <f t="shared" si="2"/>
        <v>110</v>
      </c>
      <c r="C111" s="3" t="s">
        <v>244</v>
      </c>
      <c r="D111" s="3" t="s">
        <v>251</v>
      </c>
      <c r="E111" s="3" t="s">
        <v>252</v>
      </c>
      <c r="F111" s="3" t="s">
        <v>950</v>
      </c>
    </row>
    <row r="112" spans="1:10" x14ac:dyDescent="0.25">
      <c r="A112" s="3">
        <f t="shared" si="2"/>
        <v>111</v>
      </c>
      <c r="C112" s="3" t="s">
        <v>253</v>
      </c>
      <c r="D112" s="3" t="s">
        <v>254</v>
      </c>
      <c r="E112" s="3" t="s">
        <v>255</v>
      </c>
      <c r="F112" s="3" t="s">
        <v>256</v>
      </c>
      <c r="G112" s="3">
        <v>200</v>
      </c>
      <c r="H112" s="3">
        <v>6.0000000000000001E-3</v>
      </c>
    </row>
    <row r="113" spans="1:10" x14ac:dyDescent="0.25">
      <c r="A113" s="3">
        <f t="shared" si="2"/>
        <v>112</v>
      </c>
      <c r="C113" s="3" t="s">
        <v>253</v>
      </c>
      <c r="D113" s="3" t="s">
        <v>257</v>
      </c>
      <c r="E113" s="3" t="s">
        <v>258</v>
      </c>
      <c r="F113" s="3" t="s">
        <v>932</v>
      </c>
      <c r="G113" s="3">
        <v>55</v>
      </c>
      <c r="H113" s="3" t="s">
        <v>259</v>
      </c>
      <c r="I113" s="3" t="s">
        <v>260</v>
      </c>
      <c r="J113" s="3" t="s">
        <v>202</v>
      </c>
    </row>
    <row r="114" spans="1:10" x14ac:dyDescent="0.25">
      <c r="A114" s="3">
        <f t="shared" si="2"/>
        <v>113</v>
      </c>
      <c r="C114" s="3" t="s">
        <v>253</v>
      </c>
      <c r="D114" s="3" t="s">
        <v>261</v>
      </c>
      <c r="E114" s="3" t="s">
        <v>258</v>
      </c>
      <c r="F114" s="3" t="s">
        <v>932</v>
      </c>
      <c r="G114" s="3">
        <v>25</v>
      </c>
      <c r="H114" s="3" t="s">
        <v>259</v>
      </c>
      <c r="I114" s="3">
        <v>2</v>
      </c>
      <c r="J114" s="3" t="s">
        <v>202</v>
      </c>
    </row>
    <row r="115" spans="1:10" x14ac:dyDescent="0.25">
      <c r="A115" s="3">
        <f t="shared" si="2"/>
        <v>114</v>
      </c>
      <c r="C115" s="3" t="s">
        <v>253</v>
      </c>
      <c r="D115" s="3" t="s">
        <v>262</v>
      </c>
      <c r="E115" s="3" t="s">
        <v>258</v>
      </c>
      <c r="F115" s="3" t="s">
        <v>932</v>
      </c>
      <c r="G115" s="3">
        <v>12</v>
      </c>
      <c r="H115" s="3" t="s">
        <v>259</v>
      </c>
      <c r="I115" s="3">
        <v>2.5</v>
      </c>
      <c r="J115" s="3" t="s">
        <v>202</v>
      </c>
    </row>
    <row r="116" spans="1:10" x14ac:dyDescent="0.25">
      <c r="A116" s="3">
        <f t="shared" si="2"/>
        <v>115</v>
      </c>
      <c r="C116" s="3" t="s">
        <v>253</v>
      </c>
      <c r="D116" s="3" t="s">
        <v>263</v>
      </c>
      <c r="E116" s="3" t="s">
        <v>258</v>
      </c>
      <c r="F116" s="3" t="s">
        <v>932</v>
      </c>
      <c r="G116" s="3">
        <v>5.5</v>
      </c>
      <c r="H116" s="3" t="s">
        <v>259</v>
      </c>
      <c r="I116" s="3">
        <v>3</v>
      </c>
      <c r="J116" s="3" t="s">
        <v>202</v>
      </c>
    </row>
    <row r="117" spans="1:10" x14ac:dyDescent="0.25">
      <c r="A117" s="3">
        <f t="shared" si="2"/>
        <v>116</v>
      </c>
      <c r="C117" s="3" t="s">
        <v>253</v>
      </c>
      <c r="D117" s="3" t="s">
        <v>264</v>
      </c>
      <c r="E117" s="3" t="s">
        <v>258</v>
      </c>
      <c r="F117" s="3" t="s">
        <v>932</v>
      </c>
      <c r="G117" s="3">
        <v>1.8</v>
      </c>
      <c r="H117" s="3" t="s">
        <v>259</v>
      </c>
      <c r="I117" s="3">
        <v>3.5</v>
      </c>
      <c r="J117" s="3" t="s">
        <v>265</v>
      </c>
    </row>
    <row r="118" spans="1:10" x14ac:dyDescent="0.25">
      <c r="A118" s="3">
        <f t="shared" si="2"/>
        <v>117</v>
      </c>
      <c r="C118" s="3" t="s">
        <v>253</v>
      </c>
      <c r="D118" s="3" t="s">
        <v>266</v>
      </c>
      <c r="E118" s="3" t="s">
        <v>258</v>
      </c>
      <c r="F118" s="3" t="s">
        <v>932</v>
      </c>
      <c r="G118" s="3">
        <v>0.35</v>
      </c>
      <c r="H118" s="3" t="s">
        <v>259</v>
      </c>
      <c r="I118" s="3">
        <v>4</v>
      </c>
      <c r="J118" s="3" t="s">
        <v>267</v>
      </c>
    </row>
    <row r="119" spans="1:10" x14ac:dyDescent="0.25">
      <c r="A119" s="3">
        <f t="shared" si="2"/>
        <v>118</v>
      </c>
      <c r="C119" s="3" t="s">
        <v>253</v>
      </c>
      <c r="D119" s="3" t="s">
        <v>268</v>
      </c>
      <c r="E119" s="3" t="s">
        <v>258</v>
      </c>
      <c r="F119" s="3" t="s">
        <v>932</v>
      </c>
      <c r="G119" s="3">
        <v>0.08</v>
      </c>
      <c r="H119" s="3" t="s">
        <v>259</v>
      </c>
      <c r="I119" s="3">
        <v>4.5</v>
      </c>
      <c r="J119" s="3" t="s">
        <v>269</v>
      </c>
    </row>
    <row r="120" spans="1:10" x14ac:dyDescent="0.25">
      <c r="A120" s="3">
        <f t="shared" si="2"/>
        <v>119</v>
      </c>
      <c r="C120" s="3" t="s">
        <v>253</v>
      </c>
      <c r="D120" s="3" t="s">
        <v>270</v>
      </c>
      <c r="E120" s="3" t="s">
        <v>258</v>
      </c>
      <c r="F120" s="3" t="s">
        <v>932</v>
      </c>
      <c r="G120" s="3">
        <v>1.4999999999999999E-2</v>
      </c>
      <c r="H120" s="3" t="s">
        <v>259</v>
      </c>
      <c r="I120" s="3">
        <v>5</v>
      </c>
      <c r="J120" s="3" t="s">
        <v>271</v>
      </c>
    </row>
    <row r="121" spans="1:10" x14ac:dyDescent="0.25">
      <c r="A121" s="3">
        <f t="shared" si="2"/>
        <v>120</v>
      </c>
      <c r="C121" s="3" t="s">
        <v>272</v>
      </c>
      <c r="D121" s="3" t="s">
        <v>273</v>
      </c>
      <c r="E121" s="3" t="s">
        <v>274</v>
      </c>
      <c r="F121" s="3" t="s">
        <v>275</v>
      </c>
      <c r="G121" s="3" t="s">
        <v>933</v>
      </c>
      <c r="H121" s="3" t="s">
        <v>934</v>
      </c>
      <c r="I121" s="3" t="s">
        <v>935</v>
      </c>
      <c r="J121" s="3" t="s">
        <v>277</v>
      </c>
    </row>
    <row r="122" spans="1:10" x14ac:dyDescent="0.25">
      <c r="A122" s="3">
        <f t="shared" si="2"/>
        <v>121</v>
      </c>
      <c r="C122" s="3" t="s">
        <v>272</v>
      </c>
      <c r="D122" s="3" t="s">
        <v>278</v>
      </c>
      <c r="E122" s="3" t="s">
        <v>274</v>
      </c>
      <c r="F122" s="3" t="s">
        <v>275</v>
      </c>
      <c r="G122" s="3" t="s">
        <v>279</v>
      </c>
      <c r="H122" s="3" t="s">
        <v>280</v>
      </c>
      <c r="I122" s="3" t="s">
        <v>936</v>
      </c>
      <c r="J122" s="3" t="s">
        <v>277</v>
      </c>
    </row>
    <row r="123" spans="1:10" x14ac:dyDescent="0.25">
      <c r="A123" s="3">
        <f t="shared" si="2"/>
        <v>122</v>
      </c>
      <c r="C123" s="3" t="s">
        <v>272</v>
      </c>
      <c r="D123" s="3" t="s">
        <v>281</v>
      </c>
      <c r="E123" s="3" t="s">
        <v>274</v>
      </c>
      <c r="F123" s="3" t="s">
        <v>275</v>
      </c>
      <c r="G123" s="3" t="s">
        <v>282</v>
      </c>
      <c r="H123" s="3" t="s">
        <v>283</v>
      </c>
      <c r="I123" s="3" t="s">
        <v>284</v>
      </c>
      <c r="J123" s="3" t="s">
        <v>277</v>
      </c>
    </row>
    <row r="124" spans="1:10" x14ac:dyDescent="0.25">
      <c r="A124" s="3">
        <f t="shared" si="2"/>
        <v>123</v>
      </c>
      <c r="C124" s="3" t="s">
        <v>272</v>
      </c>
      <c r="D124" s="3" t="s">
        <v>285</v>
      </c>
      <c r="E124" s="3" t="s">
        <v>274</v>
      </c>
      <c r="F124" s="3" t="s">
        <v>275</v>
      </c>
      <c r="G124" s="3" t="s">
        <v>286</v>
      </c>
      <c r="H124" s="3" t="s">
        <v>937</v>
      </c>
      <c r="I124" s="3" t="s">
        <v>938</v>
      </c>
      <c r="J124" s="3" t="s">
        <v>939</v>
      </c>
    </row>
    <row r="125" spans="1:10" x14ac:dyDescent="0.25">
      <c r="A125" s="3">
        <f t="shared" si="2"/>
        <v>124</v>
      </c>
      <c r="C125" s="3" t="s">
        <v>272</v>
      </c>
      <c r="D125" s="3" t="s">
        <v>287</v>
      </c>
      <c r="E125" s="3" t="s">
        <v>274</v>
      </c>
      <c r="F125" s="3" t="s">
        <v>275</v>
      </c>
      <c r="G125" s="3" t="s">
        <v>286</v>
      </c>
      <c r="H125" s="3" t="s">
        <v>288</v>
      </c>
      <c r="I125" s="3" t="s">
        <v>943</v>
      </c>
      <c r="J125" s="3" t="s">
        <v>944</v>
      </c>
    </row>
    <row r="126" spans="1:10" x14ac:dyDescent="0.25">
      <c r="A126" s="3">
        <f t="shared" si="2"/>
        <v>125</v>
      </c>
      <c r="C126" s="3" t="s">
        <v>272</v>
      </c>
      <c r="D126" s="3" t="s">
        <v>289</v>
      </c>
      <c r="E126" s="3" t="s">
        <v>274</v>
      </c>
      <c r="F126" s="3" t="s">
        <v>275</v>
      </c>
      <c r="G126" s="3" t="s">
        <v>286</v>
      </c>
      <c r="H126" s="3" t="s">
        <v>288</v>
      </c>
      <c r="I126" s="3" t="s">
        <v>940</v>
      </c>
      <c r="J126" s="3" t="s">
        <v>941</v>
      </c>
    </row>
    <row r="127" spans="1:10" x14ac:dyDescent="0.25">
      <c r="A127" s="3">
        <f t="shared" si="2"/>
        <v>126</v>
      </c>
      <c r="C127" s="3" t="s">
        <v>272</v>
      </c>
      <c r="D127" s="3" t="s">
        <v>290</v>
      </c>
      <c r="E127" s="3" t="s">
        <v>274</v>
      </c>
      <c r="F127" s="3" t="s">
        <v>275</v>
      </c>
      <c r="G127" s="3" t="s">
        <v>286</v>
      </c>
      <c r="H127" s="3" t="s">
        <v>288</v>
      </c>
      <c r="I127" s="3" t="s">
        <v>276</v>
      </c>
      <c r="J127" s="3" t="s">
        <v>942</v>
      </c>
    </row>
    <row r="128" spans="1:10" x14ac:dyDescent="0.25">
      <c r="A128" s="3">
        <f t="shared" si="2"/>
        <v>127</v>
      </c>
      <c r="C128" s="3" t="s">
        <v>272</v>
      </c>
      <c r="D128" s="3" t="s">
        <v>291</v>
      </c>
      <c r="E128" s="3" t="s">
        <v>274</v>
      </c>
      <c r="F128" s="3" t="s">
        <v>275</v>
      </c>
      <c r="G128" s="3" t="s">
        <v>286</v>
      </c>
      <c r="H128" s="3" t="s">
        <v>288</v>
      </c>
      <c r="I128" s="3" t="s">
        <v>276</v>
      </c>
      <c r="J128" s="3" t="s">
        <v>277</v>
      </c>
    </row>
    <row r="129" spans="1:11" x14ac:dyDescent="0.25">
      <c r="A129" s="3">
        <f t="shared" si="2"/>
        <v>128</v>
      </c>
      <c r="C129" s="3" t="s">
        <v>292</v>
      </c>
      <c r="D129" s="3" t="s">
        <v>293</v>
      </c>
      <c r="E129" s="3" t="s">
        <v>294</v>
      </c>
      <c r="F129" s="3" t="s">
        <v>295</v>
      </c>
      <c r="G129" s="3">
        <v>2</v>
      </c>
      <c r="H129" s="3">
        <v>0.5</v>
      </c>
      <c r="I129" s="3">
        <v>0.2</v>
      </c>
      <c r="J129" s="3">
        <v>0</v>
      </c>
      <c r="K129" s="3">
        <v>0</v>
      </c>
    </row>
    <row r="130" spans="1:11" x14ac:dyDescent="0.25">
      <c r="A130" s="3">
        <f t="shared" si="2"/>
        <v>129</v>
      </c>
      <c r="C130" s="3" t="s">
        <v>292</v>
      </c>
      <c r="D130" s="3" t="s">
        <v>296</v>
      </c>
      <c r="E130" s="3" t="s">
        <v>294</v>
      </c>
      <c r="F130" s="3" t="s">
        <v>295</v>
      </c>
      <c r="G130" s="3">
        <v>4</v>
      </c>
      <c r="H130" s="3">
        <v>0.8</v>
      </c>
      <c r="I130" s="3">
        <v>0.3</v>
      </c>
      <c r="J130" s="3">
        <v>0</v>
      </c>
      <c r="K130" s="3">
        <v>0</v>
      </c>
    </row>
    <row r="131" spans="1:11" x14ac:dyDescent="0.25">
      <c r="A131" s="3">
        <f t="shared" si="2"/>
        <v>130</v>
      </c>
      <c r="C131" s="3" t="s">
        <v>292</v>
      </c>
      <c r="D131" s="3" t="s">
        <v>297</v>
      </c>
      <c r="E131" s="3" t="s">
        <v>294</v>
      </c>
      <c r="F131" s="3" t="s">
        <v>295</v>
      </c>
      <c r="G131" s="3">
        <v>6</v>
      </c>
      <c r="H131" s="3">
        <v>1.1000000000000001</v>
      </c>
      <c r="I131" s="3">
        <v>0.4</v>
      </c>
      <c r="J131" s="3">
        <v>0</v>
      </c>
      <c r="K131" s="3">
        <v>0</v>
      </c>
    </row>
    <row r="132" spans="1:11" x14ac:dyDescent="0.25">
      <c r="A132" s="3">
        <f t="shared" si="2"/>
        <v>131</v>
      </c>
      <c r="C132" s="3" t="s">
        <v>292</v>
      </c>
      <c r="D132" s="3" t="s">
        <v>298</v>
      </c>
      <c r="E132" s="3" t="s">
        <v>294</v>
      </c>
      <c r="F132" s="3" t="s">
        <v>295</v>
      </c>
      <c r="G132" s="3">
        <v>8</v>
      </c>
      <c r="H132" s="3">
        <v>1.4</v>
      </c>
      <c r="I132" s="3">
        <v>0.5</v>
      </c>
      <c r="J132" s="3">
        <v>0.1</v>
      </c>
      <c r="K132" s="3">
        <v>0</v>
      </c>
    </row>
    <row r="133" spans="1:11" x14ac:dyDescent="0.25">
      <c r="A133" s="3">
        <f t="shared" si="2"/>
        <v>132</v>
      </c>
      <c r="C133" s="3" t="s">
        <v>292</v>
      </c>
      <c r="D133" s="3" t="s">
        <v>299</v>
      </c>
      <c r="E133" s="3" t="s">
        <v>294</v>
      </c>
      <c r="F133" s="3" t="s">
        <v>295</v>
      </c>
      <c r="G133" s="3">
        <v>10</v>
      </c>
      <c r="H133" s="3">
        <v>1.7</v>
      </c>
      <c r="I133" s="3">
        <v>0.6</v>
      </c>
      <c r="J133" s="3">
        <v>0.2</v>
      </c>
      <c r="K133" s="3">
        <v>0</v>
      </c>
    </row>
    <row r="134" spans="1:11" x14ac:dyDescent="0.25">
      <c r="A134" s="3">
        <f t="shared" si="2"/>
        <v>133</v>
      </c>
      <c r="C134" s="3" t="s">
        <v>292</v>
      </c>
      <c r="D134" s="3" t="s">
        <v>300</v>
      </c>
      <c r="E134" s="3" t="s">
        <v>294</v>
      </c>
      <c r="F134" s="3" t="s">
        <v>295</v>
      </c>
      <c r="G134" s="3">
        <v>12</v>
      </c>
      <c r="H134" s="3">
        <v>2</v>
      </c>
      <c r="I134" s="3">
        <v>0.7</v>
      </c>
      <c r="J134" s="3">
        <v>0.3</v>
      </c>
      <c r="K134" s="3">
        <v>0.2</v>
      </c>
    </row>
    <row r="135" spans="1:11" x14ac:dyDescent="0.25">
      <c r="A135" s="3">
        <f t="shared" si="2"/>
        <v>134</v>
      </c>
      <c r="C135" s="3" t="s">
        <v>292</v>
      </c>
      <c r="D135" s="3" t="s">
        <v>301</v>
      </c>
      <c r="E135" s="3" t="s">
        <v>294</v>
      </c>
      <c r="F135" s="3" t="s">
        <v>295</v>
      </c>
      <c r="G135" s="3">
        <v>14</v>
      </c>
      <c r="H135" s="3">
        <v>2.2999999999999998</v>
      </c>
      <c r="I135" s="3">
        <v>0.8</v>
      </c>
      <c r="J135" s="3">
        <v>0.4</v>
      </c>
      <c r="K135" s="3">
        <v>0.3</v>
      </c>
    </row>
    <row r="136" spans="1:11" x14ac:dyDescent="0.25">
      <c r="A136" s="3">
        <f t="shared" ref="A136:A200" si="3">A135+1</f>
        <v>135</v>
      </c>
      <c r="C136" s="3" t="s">
        <v>302</v>
      </c>
      <c r="D136" s="3" t="s">
        <v>303</v>
      </c>
      <c r="E136" s="3" t="s">
        <v>304</v>
      </c>
      <c r="F136" s="3" t="s">
        <v>305</v>
      </c>
      <c r="G136" s="3">
        <v>4</v>
      </c>
    </row>
    <row r="137" spans="1:11" x14ac:dyDescent="0.25">
      <c r="A137" s="3">
        <f t="shared" si="3"/>
        <v>136</v>
      </c>
      <c r="C137" s="3" t="s">
        <v>302</v>
      </c>
      <c r="D137" s="3" t="s">
        <v>306</v>
      </c>
      <c r="E137" s="3" t="s">
        <v>307</v>
      </c>
      <c r="F137" s="3" t="s">
        <v>308</v>
      </c>
      <c r="G137" s="3">
        <v>5</v>
      </c>
      <c r="H137" s="3">
        <v>0.1</v>
      </c>
      <c r="I137" s="3">
        <v>150</v>
      </c>
      <c r="J137" s="3">
        <v>0.1</v>
      </c>
    </row>
    <row r="138" spans="1:11" x14ac:dyDescent="0.25">
      <c r="A138" s="3">
        <f t="shared" si="3"/>
        <v>137</v>
      </c>
      <c r="C138" s="3" t="s">
        <v>302</v>
      </c>
      <c r="D138" s="3" t="s">
        <v>309</v>
      </c>
      <c r="E138" s="3" t="s">
        <v>307</v>
      </c>
      <c r="F138" s="3" t="s">
        <v>310</v>
      </c>
      <c r="G138" s="3">
        <v>20</v>
      </c>
      <c r="H138" s="3">
        <v>2</v>
      </c>
      <c r="I138" s="3">
        <v>250</v>
      </c>
      <c r="J138" s="3">
        <v>0.2</v>
      </c>
    </row>
    <row r="139" spans="1:11" x14ac:dyDescent="0.25">
      <c r="A139" s="3">
        <f t="shared" si="3"/>
        <v>138</v>
      </c>
      <c r="C139" s="3" t="s">
        <v>302</v>
      </c>
      <c r="D139" s="3" t="s">
        <v>311</v>
      </c>
      <c r="E139" s="3" t="s">
        <v>312</v>
      </c>
      <c r="F139" s="3" t="s">
        <v>313</v>
      </c>
      <c r="G139" s="3">
        <v>0.5</v>
      </c>
    </row>
    <row r="140" spans="1:11" x14ac:dyDescent="0.25">
      <c r="A140" s="3">
        <f t="shared" si="3"/>
        <v>139</v>
      </c>
      <c r="C140" s="3" t="s">
        <v>314</v>
      </c>
      <c r="D140" s="3" t="s">
        <v>315</v>
      </c>
      <c r="E140" s="3" t="s">
        <v>307</v>
      </c>
      <c r="F140" s="3" t="s">
        <v>316</v>
      </c>
      <c r="G140" s="3">
        <v>3</v>
      </c>
      <c r="H140" s="3">
        <v>1</v>
      </c>
      <c r="I140" s="3">
        <v>250</v>
      </c>
      <c r="J140" s="3">
        <v>0.1</v>
      </c>
    </row>
    <row r="141" spans="1:11" x14ac:dyDescent="0.25">
      <c r="A141" s="3">
        <f t="shared" si="3"/>
        <v>140</v>
      </c>
      <c r="C141" s="3" t="s">
        <v>314</v>
      </c>
      <c r="D141" s="3" t="s">
        <v>317</v>
      </c>
      <c r="E141" s="3" t="s">
        <v>318</v>
      </c>
      <c r="F141" s="3" t="s">
        <v>319</v>
      </c>
      <c r="G141" s="3">
        <v>100</v>
      </c>
      <c r="H141" s="3">
        <v>5</v>
      </c>
      <c r="I141" s="3">
        <v>40</v>
      </c>
      <c r="J141" s="3">
        <v>0.5</v>
      </c>
    </row>
    <row r="142" spans="1:11" x14ac:dyDescent="0.25">
      <c r="A142" s="3">
        <f t="shared" si="3"/>
        <v>141</v>
      </c>
      <c r="C142" s="3" t="s">
        <v>314</v>
      </c>
      <c r="D142" s="3" t="s">
        <v>320</v>
      </c>
      <c r="E142" s="3" t="s">
        <v>318</v>
      </c>
      <c r="F142" s="3" t="s">
        <v>321</v>
      </c>
      <c r="G142" s="3">
        <v>100</v>
      </c>
      <c r="H142" s="3">
        <v>10</v>
      </c>
      <c r="I142" s="3">
        <v>40</v>
      </c>
      <c r="J142" s="3">
        <v>2</v>
      </c>
    </row>
    <row r="143" spans="1:11" x14ac:dyDescent="0.25">
      <c r="A143" s="3">
        <f t="shared" si="3"/>
        <v>142</v>
      </c>
      <c r="C143" s="3" t="s">
        <v>314</v>
      </c>
      <c r="D143" s="3" t="s">
        <v>322</v>
      </c>
      <c r="E143" s="3" t="s">
        <v>323</v>
      </c>
      <c r="F143" s="3" t="s">
        <v>324</v>
      </c>
      <c r="G143" s="3">
        <v>1.35</v>
      </c>
    </row>
    <row r="144" spans="1:11" x14ac:dyDescent="0.25">
      <c r="A144" s="3">
        <f t="shared" si="3"/>
        <v>143</v>
      </c>
      <c r="C144" s="3" t="s">
        <v>325</v>
      </c>
      <c r="D144" s="3" t="s">
        <v>326</v>
      </c>
      <c r="E144" s="3" t="s">
        <v>327</v>
      </c>
      <c r="F144" s="3" t="s">
        <v>328</v>
      </c>
      <c r="G144" s="3">
        <v>4</v>
      </c>
    </row>
    <row r="145" spans="1:13" x14ac:dyDescent="0.25">
      <c r="A145" s="3">
        <f t="shared" si="3"/>
        <v>144</v>
      </c>
      <c r="C145" s="3" t="s">
        <v>325</v>
      </c>
      <c r="D145" s="3" t="s">
        <v>184</v>
      </c>
      <c r="E145" s="3" t="s">
        <v>329</v>
      </c>
      <c r="F145" s="3" t="s">
        <v>330</v>
      </c>
      <c r="G145" s="3">
        <v>200</v>
      </c>
    </row>
    <row r="146" spans="1:13" x14ac:dyDescent="0.25">
      <c r="A146" s="3">
        <f t="shared" si="3"/>
        <v>145</v>
      </c>
      <c r="C146" s="3" t="s">
        <v>325</v>
      </c>
      <c r="D146" s="3" t="s">
        <v>331</v>
      </c>
      <c r="E146" s="3" t="s">
        <v>332</v>
      </c>
      <c r="F146" s="3" t="s">
        <v>333</v>
      </c>
      <c r="G146" s="3">
        <v>4</v>
      </c>
    </row>
    <row r="147" spans="1:13" x14ac:dyDescent="0.25">
      <c r="A147" s="3">
        <f t="shared" si="3"/>
        <v>146</v>
      </c>
      <c r="C147" s="3" t="s">
        <v>325</v>
      </c>
      <c r="D147" s="3" t="s">
        <v>334</v>
      </c>
      <c r="E147" s="3" t="s">
        <v>335</v>
      </c>
      <c r="F147" s="3" t="s">
        <v>336</v>
      </c>
      <c r="G147" s="3">
        <v>3</v>
      </c>
    </row>
    <row r="148" spans="1:13" x14ac:dyDescent="0.25">
      <c r="A148" s="3">
        <f t="shared" si="3"/>
        <v>147</v>
      </c>
      <c r="C148" s="3" t="s">
        <v>325</v>
      </c>
      <c r="D148" s="3" t="s">
        <v>337</v>
      </c>
      <c r="E148" s="3" t="s">
        <v>209</v>
      </c>
      <c r="F148" s="3" t="s">
        <v>338</v>
      </c>
      <c r="G148" s="3">
        <v>4</v>
      </c>
      <c r="H148" s="3">
        <v>5</v>
      </c>
    </row>
    <row r="149" spans="1:13" x14ac:dyDescent="0.25">
      <c r="A149" s="3">
        <f t="shared" si="3"/>
        <v>148</v>
      </c>
      <c r="C149" s="3" t="s">
        <v>339</v>
      </c>
      <c r="D149" s="3" t="s">
        <v>273</v>
      </c>
      <c r="E149" s="3" t="s">
        <v>340</v>
      </c>
      <c r="F149" s="3" t="s">
        <v>341</v>
      </c>
      <c r="G149" s="3" t="s">
        <v>342</v>
      </c>
      <c r="H149" s="3" t="s">
        <v>343</v>
      </c>
      <c r="I149" s="3" t="s">
        <v>344</v>
      </c>
      <c r="J149" s="3" t="s">
        <v>345</v>
      </c>
      <c r="K149" s="3" t="s">
        <v>346</v>
      </c>
      <c r="L149" s="3" t="s">
        <v>347</v>
      </c>
      <c r="M149" s="3" t="s">
        <v>348</v>
      </c>
    </row>
    <row r="150" spans="1:13" x14ac:dyDescent="0.25">
      <c r="A150" s="3">
        <f t="shared" si="3"/>
        <v>149</v>
      </c>
      <c r="C150" s="3" t="s">
        <v>339</v>
      </c>
      <c r="D150" s="3" t="s">
        <v>278</v>
      </c>
      <c r="E150" s="3" t="s">
        <v>340</v>
      </c>
      <c r="F150" s="3" t="s">
        <v>341</v>
      </c>
      <c r="G150" s="3" t="s">
        <v>342</v>
      </c>
      <c r="H150" s="3" t="s">
        <v>343</v>
      </c>
      <c r="I150" s="3" t="s">
        <v>344</v>
      </c>
      <c r="J150" s="3" t="s">
        <v>345</v>
      </c>
      <c r="K150" s="3" t="s">
        <v>346</v>
      </c>
      <c r="L150" s="3" t="s">
        <v>347</v>
      </c>
      <c r="M150" s="3" t="s">
        <v>348</v>
      </c>
    </row>
    <row r="151" spans="1:13" x14ac:dyDescent="0.25">
      <c r="A151" s="3">
        <f t="shared" si="3"/>
        <v>150</v>
      </c>
      <c r="C151" s="3" t="s">
        <v>339</v>
      </c>
      <c r="D151" s="3" t="s">
        <v>281</v>
      </c>
      <c r="E151" s="3" t="s">
        <v>340</v>
      </c>
      <c r="F151" s="3" t="s">
        <v>341</v>
      </c>
      <c r="G151" s="3" t="s">
        <v>349</v>
      </c>
      <c r="H151" s="3" t="s">
        <v>350</v>
      </c>
      <c r="I151" s="3" t="s">
        <v>344</v>
      </c>
      <c r="J151" s="3" t="s">
        <v>345</v>
      </c>
      <c r="K151" s="3" t="s">
        <v>346</v>
      </c>
      <c r="L151" s="3" t="s">
        <v>347</v>
      </c>
      <c r="M151" s="3" t="s">
        <v>348</v>
      </c>
    </row>
    <row r="152" spans="1:13" x14ac:dyDescent="0.25">
      <c r="A152" s="3">
        <f t="shared" si="3"/>
        <v>151</v>
      </c>
      <c r="C152" s="3" t="s">
        <v>339</v>
      </c>
      <c r="D152" s="3" t="s">
        <v>285</v>
      </c>
      <c r="E152" s="3" t="s">
        <v>340</v>
      </c>
      <c r="F152" s="3" t="s">
        <v>341</v>
      </c>
      <c r="G152" s="3" t="s">
        <v>351</v>
      </c>
      <c r="H152" s="3" t="s">
        <v>350</v>
      </c>
      <c r="I152" s="3" t="s">
        <v>352</v>
      </c>
      <c r="J152" s="3" t="s">
        <v>353</v>
      </c>
      <c r="K152" s="3" t="s">
        <v>354</v>
      </c>
      <c r="L152" s="3" t="s">
        <v>355</v>
      </c>
      <c r="M152" s="3" t="s">
        <v>356</v>
      </c>
    </row>
    <row r="153" spans="1:13" x14ac:dyDescent="0.25">
      <c r="A153" s="3">
        <f t="shared" si="3"/>
        <v>152</v>
      </c>
      <c r="C153" s="3" t="s">
        <v>339</v>
      </c>
      <c r="D153" s="3" t="s">
        <v>287</v>
      </c>
      <c r="E153" s="3" t="s">
        <v>340</v>
      </c>
      <c r="F153" s="3" t="s">
        <v>341</v>
      </c>
      <c r="G153" s="3" t="s">
        <v>357</v>
      </c>
      <c r="H153" s="3" t="s">
        <v>358</v>
      </c>
      <c r="I153" s="3" t="s">
        <v>352</v>
      </c>
      <c r="J153" s="3" t="s">
        <v>359</v>
      </c>
      <c r="K153" s="3" t="s">
        <v>360</v>
      </c>
      <c r="L153" s="3" t="s">
        <v>361</v>
      </c>
      <c r="M153" s="3" t="s">
        <v>362</v>
      </c>
    </row>
    <row r="154" spans="1:13" x14ac:dyDescent="0.25">
      <c r="A154" s="3">
        <f t="shared" si="3"/>
        <v>153</v>
      </c>
      <c r="C154" s="3" t="s">
        <v>339</v>
      </c>
      <c r="D154" s="3" t="s">
        <v>289</v>
      </c>
      <c r="E154" s="3" t="s">
        <v>340</v>
      </c>
      <c r="F154" s="3" t="s">
        <v>341</v>
      </c>
      <c r="G154" s="3" t="s">
        <v>363</v>
      </c>
      <c r="H154" s="3" t="s">
        <v>364</v>
      </c>
      <c r="I154" s="3" t="s">
        <v>365</v>
      </c>
      <c r="J154" s="3" t="s">
        <v>366</v>
      </c>
      <c r="K154" s="3" t="s">
        <v>367</v>
      </c>
      <c r="L154" s="3" t="s">
        <v>368</v>
      </c>
      <c r="M154" s="3" t="s">
        <v>369</v>
      </c>
    </row>
    <row r="155" spans="1:13" x14ac:dyDescent="0.25">
      <c r="A155" s="3">
        <f t="shared" si="3"/>
        <v>154</v>
      </c>
      <c r="C155" s="3" t="s">
        <v>339</v>
      </c>
      <c r="D155" s="3" t="s">
        <v>290</v>
      </c>
      <c r="E155" s="3" t="s">
        <v>340</v>
      </c>
      <c r="F155" s="3" t="s">
        <v>341</v>
      </c>
      <c r="G155" s="3" t="s">
        <v>342</v>
      </c>
      <c r="H155" s="3" t="s">
        <v>370</v>
      </c>
      <c r="I155" s="3" t="s">
        <v>371</v>
      </c>
      <c r="J155" s="3" t="s">
        <v>372</v>
      </c>
      <c r="K155" s="3" t="s">
        <v>373</v>
      </c>
      <c r="L155" s="3" t="s">
        <v>374</v>
      </c>
      <c r="M155" s="3" t="s">
        <v>375</v>
      </c>
    </row>
    <row r="156" spans="1:13" x14ac:dyDescent="0.25">
      <c r="A156" s="3">
        <f t="shared" si="3"/>
        <v>155</v>
      </c>
      <c r="C156" s="3" t="s">
        <v>339</v>
      </c>
      <c r="D156" s="3" t="s">
        <v>291</v>
      </c>
      <c r="E156" s="3" t="s">
        <v>340</v>
      </c>
      <c r="F156" s="3" t="s">
        <v>341</v>
      </c>
      <c r="G156" s="3" t="s">
        <v>342</v>
      </c>
      <c r="H156" s="3" t="s">
        <v>343</v>
      </c>
      <c r="I156" s="3" t="s">
        <v>376</v>
      </c>
      <c r="J156" s="3" t="s">
        <v>377</v>
      </c>
      <c r="K156" s="3" t="s">
        <v>378</v>
      </c>
      <c r="L156" s="3" t="s">
        <v>379</v>
      </c>
      <c r="M156" s="3" t="s">
        <v>380</v>
      </c>
    </row>
    <row r="157" spans="1:13" x14ac:dyDescent="0.25">
      <c r="A157" s="3">
        <f t="shared" si="3"/>
        <v>156</v>
      </c>
      <c r="C157" s="3" t="s">
        <v>381</v>
      </c>
      <c r="D157" s="3" t="s">
        <v>382</v>
      </c>
      <c r="E157" s="3" t="s">
        <v>383</v>
      </c>
      <c r="F157" s="3" t="s">
        <v>964</v>
      </c>
    </row>
    <row r="158" spans="1:13" x14ac:dyDescent="0.25">
      <c r="A158" s="3">
        <f t="shared" si="3"/>
        <v>157</v>
      </c>
      <c r="C158" s="3" t="s">
        <v>381</v>
      </c>
      <c r="D158" s="3" t="s">
        <v>384</v>
      </c>
      <c r="E158" s="3" t="s">
        <v>385</v>
      </c>
      <c r="F158" s="3" t="s">
        <v>945</v>
      </c>
      <c r="G158" s="3">
        <v>1.35</v>
      </c>
    </row>
    <row r="159" spans="1:13" x14ac:dyDescent="0.25">
      <c r="A159" s="3">
        <f t="shared" si="3"/>
        <v>158</v>
      </c>
      <c r="C159" s="3" t="s">
        <v>381</v>
      </c>
      <c r="D159" s="3" t="s">
        <v>386</v>
      </c>
      <c r="E159" s="3" t="s">
        <v>387</v>
      </c>
      <c r="F159" s="3" t="s">
        <v>388</v>
      </c>
      <c r="G159" s="3">
        <v>0.05</v>
      </c>
    </row>
    <row r="160" spans="1:13" x14ac:dyDescent="0.25">
      <c r="A160" s="3">
        <f t="shared" si="3"/>
        <v>159</v>
      </c>
      <c r="C160" s="3" t="s">
        <v>381</v>
      </c>
      <c r="D160" s="3" t="s">
        <v>389</v>
      </c>
      <c r="E160" s="3" t="s">
        <v>390</v>
      </c>
      <c r="F160" s="3" t="s">
        <v>965</v>
      </c>
      <c r="G160" s="3">
        <v>2</v>
      </c>
    </row>
    <row r="161" spans="1:15" x14ac:dyDescent="0.25">
      <c r="A161" s="3">
        <f t="shared" si="3"/>
        <v>160</v>
      </c>
      <c r="C161" s="3" t="s">
        <v>381</v>
      </c>
      <c r="D161" s="3" t="s">
        <v>391</v>
      </c>
      <c r="E161" s="3" t="s">
        <v>392</v>
      </c>
      <c r="F161" s="3" t="s">
        <v>966</v>
      </c>
    </row>
    <row r="162" spans="1:15" x14ac:dyDescent="0.25">
      <c r="A162" s="3">
        <f t="shared" si="3"/>
        <v>161</v>
      </c>
      <c r="C162" s="3" t="s">
        <v>381</v>
      </c>
      <c r="D162" s="3" t="s">
        <v>393</v>
      </c>
      <c r="E162" s="3" t="s">
        <v>394</v>
      </c>
      <c r="F162" s="3" t="s">
        <v>395</v>
      </c>
      <c r="G162" s="3">
        <v>5</v>
      </c>
      <c r="H162" s="3">
        <v>1.2</v>
      </c>
      <c r="I162" s="3">
        <v>0.15</v>
      </c>
    </row>
    <row r="163" spans="1:15" x14ac:dyDescent="0.25">
      <c r="A163" s="3">
        <f t="shared" si="3"/>
        <v>162</v>
      </c>
      <c r="C163" s="3" t="s">
        <v>381</v>
      </c>
      <c r="D163" s="3" t="s">
        <v>396</v>
      </c>
      <c r="E163" s="3" t="s">
        <v>397</v>
      </c>
      <c r="F163" s="3" t="s">
        <v>398</v>
      </c>
      <c r="G163" s="3">
        <v>8</v>
      </c>
      <c r="H163" s="3">
        <v>4</v>
      </c>
      <c r="I163" s="3">
        <v>3</v>
      </c>
      <c r="J163" s="3">
        <v>60</v>
      </c>
    </row>
    <row r="164" spans="1:15" x14ac:dyDescent="0.25">
      <c r="A164" s="3">
        <f t="shared" si="3"/>
        <v>163</v>
      </c>
      <c r="C164" s="3" t="s">
        <v>381</v>
      </c>
      <c r="D164" s="3" t="s">
        <v>399</v>
      </c>
      <c r="E164" s="3" t="s">
        <v>400</v>
      </c>
      <c r="F164" s="3" t="s">
        <v>401</v>
      </c>
      <c r="G164" s="3">
        <v>1</v>
      </c>
      <c r="H164" s="3">
        <v>5</v>
      </c>
    </row>
    <row r="165" spans="1:15" x14ac:dyDescent="0.25">
      <c r="A165" s="3">
        <f t="shared" si="3"/>
        <v>164</v>
      </c>
      <c r="C165" s="3" t="s">
        <v>381</v>
      </c>
      <c r="D165" s="3" t="s">
        <v>402</v>
      </c>
      <c r="E165" s="3" t="s">
        <v>403</v>
      </c>
      <c r="F165" s="3" t="s">
        <v>404</v>
      </c>
      <c r="G165" s="3">
        <v>0.15</v>
      </c>
      <c r="H165" s="3">
        <v>0.06</v>
      </c>
    </row>
    <row r="166" spans="1:15" x14ac:dyDescent="0.25">
      <c r="A166" s="3">
        <f t="shared" si="3"/>
        <v>165</v>
      </c>
      <c r="C166" s="3" t="s">
        <v>381</v>
      </c>
      <c r="D166" s="3" t="s">
        <v>405</v>
      </c>
      <c r="E166" s="3" t="s">
        <v>406</v>
      </c>
      <c r="F166" s="3" t="s">
        <v>407</v>
      </c>
      <c r="G166" s="3">
        <v>2</v>
      </c>
      <c r="H166" s="3">
        <v>0.6</v>
      </c>
    </row>
    <row r="167" spans="1:15" x14ac:dyDescent="0.25">
      <c r="A167" s="3">
        <f t="shared" si="3"/>
        <v>166</v>
      </c>
      <c r="C167" s="3" t="s">
        <v>381</v>
      </c>
      <c r="D167" s="3" t="s">
        <v>408</v>
      </c>
      <c r="E167" s="3" t="s">
        <v>409</v>
      </c>
      <c r="F167" s="3" t="s">
        <v>410</v>
      </c>
      <c r="G167" s="3">
        <v>3</v>
      </c>
      <c r="H167" s="3">
        <v>0.5</v>
      </c>
    </row>
    <row r="168" spans="1:15" x14ac:dyDescent="0.25">
      <c r="A168" s="3">
        <f t="shared" si="3"/>
        <v>167</v>
      </c>
      <c r="C168" s="3" t="s">
        <v>411</v>
      </c>
      <c r="D168" s="3" t="s">
        <v>412</v>
      </c>
      <c r="E168" s="3" t="s">
        <v>413</v>
      </c>
      <c r="F168" s="3" t="s">
        <v>414</v>
      </c>
      <c r="G168" s="3">
        <v>0.1</v>
      </c>
      <c r="H168" s="3">
        <v>0.5</v>
      </c>
      <c r="I168" s="3">
        <v>1</v>
      </c>
      <c r="J168" s="3">
        <v>2</v>
      </c>
      <c r="K168" s="3">
        <v>4</v>
      </c>
      <c r="L168" s="3">
        <v>8</v>
      </c>
      <c r="M168" s="3">
        <v>20</v>
      </c>
      <c r="N168" s="3">
        <v>100</v>
      </c>
      <c r="O168" s="3">
        <v>100</v>
      </c>
    </row>
    <row r="169" spans="1:15" x14ac:dyDescent="0.25">
      <c r="A169" s="3">
        <f t="shared" si="3"/>
        <v>168</v>
      </c>
      <c r="C169" s="3" t="s">
        <v>411</v>
      </c>
      <c r="D169" s="3" t="s">
        <v>415</v>
      </c>
      <c r="E169" s="3" t="s">
        <v>416</v>
      </c>
      <c r="F169" s="3" t="s">
        <v>417</v>
      </c>
      <c r="G169" s="3">
        <v>0</v>
      </c>
      <c r="H169" s="3">
        <v>0</v>
      </c>
      <c r="I169" s="3">
        <v>0</v>
      </c>
      <c r="J169" s="3">
        <v>0</v>
      </c>
      <c r="K169" s="3">
        <v>0.5</v>
      </c>
      <c r="L169" s="3">
        <v>1</v>
      </c>
      <c r="M169" s="3">
        <v>10</v>
      </c>
      <c r="N169" s="3">
        <v>100</v>
      </c>
      <c r="O169" s="3">
        <v>100</v>
      </c>
    </row>
    <row r="170" spans="1:15" x14ac:dyDescent="0.25">
      <c r="A170" s="3">
        <f t="shared" si="3"/>
        <v>169</v>
      </c>
      <c r="C170" s="3" t="s">
        <v>418</v>
      </c>
      <c r="D170" s="3" t="s">
        <v>419</v>
      </c>
      <c r="E170" s="3" t="s">
        <v>420</v>
      </c>
      <c r="F170" s="3" t="s">
        <v>421</v>
      </c>
      <c r="G170" s="3">
        <v>5</v>
      </c>
    </row>
    <row r="171" spans="1:15" x14ac:dyDescent="0.25">
      <c r="A171" s="3">
        <f t="shared" si="3"/>
        <v>170</v>
      </c>
      <c r="C171" s="3" t="s">
        <v>418</v>
      </c>
      <c r="D171" s="3" t="s">
        <v>422</v>
      </c>
      <c r="E171" s="3" t="s">
        <v>423</v>
      </c>
      <c r="F171" s="3" t="s">
        <v>424</v>
      </c>
      <c r="G171" s="3">
        <v>55</v>
      </c>
      <c r="H171" s="3">
        <v>40</v>
      </c>
      <c r="I171" s="3">
        <v>25</v>
      </c>
    </row>
    <row r="172" spans="1:15" x14ac:dyDescent="0.25">
      <c r="A172" s="3">
        <f t="shared" si="3"/>
        <v>171</v>
      </c>
      <c r="C172" s="3" t="s">
        <v>418</v>
      </c>
      <c r="D172" s="3" t="s">
        <v>425</v>
      </c>
      <c r="E172" s="3" t="s">
        <v>426</v>
      </c>
      <c r="F172" s="3" t="s">
        <v>427</v>
      </c>
      <c r="G172" s="3">
        <v>5000000</v>
      </c>
      <c r="H172" s="3">
        <v>20000000</v>
      </c>
      <c r="I172" s="3">
        <v>100000000</v>
      </c>
    </row>
    <row r="173" spans="1:15" x14ac:dyDescent="0.25">
      <c r="A173" s="3">
        <f t="shared" si="3"/>
        <v>172</v>
      </c>
      <c r="C173" s="3" t="s">
        <v>418</v>
      </c>
      <c r="D173" s="3" t="s">
        <v>428</v>
      </c>
      <c r="E173" s="3" t="s">
        <v>426</v>
      </c>
      <c r="G173" s="3">
        <v>3</v>
      </c>
      <c r="H173" s="3">
        <v>5</v>
      </c>
      <c r="I173" s="3">
        <v>8</v>
      </c>
    </row>
    <row r="174" spans="1:15" x14ac:dyDescent="0.25">
      <c r="A174" s="3">
        <f t="shared" si="3"/>
        <v>173</v>
      </c>
      <c r="C174" s="3" t="s">
        <v>418</v>
      </c>
      <c r="D174" s="3" t="s">
        <v>429</v>
      </c>
      <c r="E174" s="3" t="s">
        <v>420</v>
      </c>
      <c r="F174" s="3" t="s">
        <v>430</v>
      </c>
      <c r="G174" s="3">
        <v>3</v>
      </c>
    </row>
    <row r="175" spans="1:15" x14ac:dyDescent="0.25">
      <c r="A175" s="3">
        <f t="shared" si="3"/>
        <v>174</v>
      </c>
      <c r="C175" s="3" t="s">
        <v>418</v>
      </c>
      <c r="D175" s="3" t="s">
        <v>431</v>
      </c>
      <c r="E175" s="3" t="s">
        <v>432</v>
      </c>
      <c r="F175" s="3" t="s">
        <v>433</v>
      </c>
      <c r="G175" s="3">
        <v>50</v>
      </c>
      <c r="H175" s="3">
        <v>40</v>
      </c>
      <c r="I175" s="3">
        <v>35</v>
      </c>
      <c r="J175" s="3">
        <v>25</v>
      </c>
      <c r="K175" s="3">
        <v>15</v>
      </c>
    </row>
    <row r="176" spans="1:15" x14ac:dyDescent="0.25">
      <c r="A176" s="3">
        <f t="shared" si="3"/>
        <v>175</v>
      </c>
      <c r="C176" s="3" t="s">
        <v>418</v>
      </c>
      <c r="D176" s="3" t="s">
        <v>434</v>
      </c>
      <c r="E176" s="3" t="s">
        <v>435</v>
      </c>
      <c r="F176" s="3" t="s">
        <v>436</v>
      </c>
      <c r="G176" s="3">
        <v>1000000</v>
      </c>
      <c r="H176" s="3">
        <v>5</v>
      </c>
    </row>
    <row r="177" spans="1:15" x14ac:dyDescent="0.25">
      <c r="A177" s="3">
        <f t="shared" si="3"/>
        <v>176</v>
      </c>
      <c r="C177" s="3" t="s">
        <v>418</v>
      </c>
      <c r="D177" s="3" t="s">
        <v>437</v>
      </c>
      <c r="E177" s="3" t="s">
        <v>438</v>
      </c>
      <c r="G177" s="3">
        <v>2</v>
      </c>
      <c r="H177" s="3">
        <v>3</v>
      </c>
      <c r="I177" s="3">
        <v>4</v>
      </c>
      <c r="J177" s="3">
        <v>5</v>
      </c>
      <c r="K177" s="3">
        <v>6</v>
      </c>
    </row>
    <row r="178" spans="1:15" x14ac:dyDescent="0.25">
      <c r="A178" s="3">
        <f t="shared" si="3"/>
        <v>177</v>
      </c>
      <c r="C178" s="3" t="s">
        <v>418</v>
      </c>
      <c r="D178" s="3" t="s">
        <v>439</v>
      </c>
      <c r="E178" s="3" t="s">
        <v>440</v>
      </c>
      <c r="F178" s="3" t="s">
        <v>441</v>
      </c>
      <c r="G178" s="3">
        <v>3</v>
      </c>
      <c r="H178" s="3">
        <v>3</v>
      </c>
    </row>
    <row r="179" spans="1:15" x14ac:dyDescent="0.25">
      <c r="A179" s="3">
        <f t="shared" si="3"/>
        <v>178</v>
      </c>
      <c r="C179" s="3" t="s">
        <v>418</v>
      </c>
      <c r="D179" s="3" t="s">
        <v>442</v>
      </c>
      <c r="E179" s="3" t="s">
        <v>443</v>
      </c>
      <c r="F179" s="3" t="s">
        <v>444</v>
      </c>
      <c r="G179" s="3">
        <v>6</v>
      </c>
      <c r="H179" s="3">
        <v>6</v>
      </c>
    </row>
    <row r="180" spans="1:15" x14ac:dyDescent="0.25">
      <c r="A180" s="3">
        <f t="shared" si="3"/>
        <v>179</v>
      </c>
      <c r="C180" s="3" t="s">
        <v>445</v>
      </c>
      <c r="D180" s="3" t="s">
        <v>446</v>
      </c>
      <c r="E180" s="3" t="s">
        <v>447</v>
      </c>
      <c r="F180" s="3" t="s">
        <v>448</v>
      </c>
      <c r="G180" s="3">
        <v>30</v>
      </c>
      <c r="H180" s="3">
        <v>6</v>
      </c>
    </row>
    <row r="181" spans="1:15" x14ac:dyDescent="0.25">
      <c r="A181" s="3">
        <f t="shared" si="3"/>
        <v>180</v>
      </c>
      <c r="C181" s="3" t="s">
        <v>445</v>
      </c>
      <c r="D181" s="3" t="s">
        <v>449</v>
      </c>
      <c r="E181" s="3" t="s">
        <v>450</v>
      </c>
      <c r="G181" s="3">
        <v>25</v>
      </c>
      <c r="H181" s="3">
        <v>1.45</v>
      </c>
      <c r="I181" s="3">
        <v>0.08</v>
      </c>
    </row>
    <row r="182" spans="1:15" x14ac:dyDescent="0.25">
      <c r="A182" s="3">
        <f t="shared" si="3"/>
        <v>181</v>
      </c>
      <c r="C182" s="3" t="s">
        <v>445</v>
      </c>
      <c r="D182" s="3" t="s">
        <v>451</v>
      </c>
      <c r="E182" s="3" t="s">
        <v>450</v>
      </c>
      <c r="G182" s="3">
        <v>8</v>
      </c>
      <c r="H182" s="3">
        <v>1.35</v>
      </c>
      <c r="I182" s="3">
        <v>0.04</v>
      </c>
    </row>
    <row r="183" spans="1:15" x14ac:dyDescent="0.25">
      <c r="A183" s="3">
        <f t="shared" si="3"/>
        <v>182</v>
      </c>
      <c r="C183" s="3" t="s">
        <v>445</v>
      </c>
      <c r="D183" s="3" t="s">
        <v>452</v>
      </c>
      <c r="E183" s="3" t="s">
        <v>453</v>
      </c>
      <c r="F183" s="3" t="s">
        <v>951</v>
      </c>
    </row>
    <row r="184" spans="1:15" x14ac:dyDescent="0.25">
      <c r="A184" s="3">
        <f t="shared" si="3"/>
        <v>183</v>
      </c>
      <c r="C184" s="3" t="s">
        <v>454</v>
      </c>
      <c r="D184" s="3" t="s">
        <v>449</v>
      </c>
      <c r="E184" s="3" t="s">
        <v>455</v>
      </c>
      <c r="G184" s="3">
        <v>40</v>
      </c>
      <c r="H184" s="3">
        <v>1.7</v>
      </c>
      <c r="I184" s="3">
        <v>0.15</v>
      </c>
    </row>
    <row r="185" spans="1:15" x14ac:dyDescent="0.25">
      <c r="A185" s="3">
        <f t="shared" si="3"/>
        <v>184</v>
      </c>
      <c r="C185" s="3" t="s">
        <v>454</v>
      </c>
      <c r="D185" s="3" t="s">
        <v>456</v>
      </c>
      <c r="E185" s="3" t="s">
        <v>457</v>
      </c>
      <c r="F185" s="3" t="s">
        <v>458</v>
      </c>
      <c r="G185" s="3">
        <v>9</v>
      </c>
      <c r="H185" s="3">
        <v>14</v>
      </c>
      <c r="I185" s="3">
        <v>20</v>
      </c>
    </row>
    <row r="186" spans="1:15" x14ac:dyDescent="0.25">
      <c r="A186" s="3">
        <f t="shared" si="3"/>
        <v>185</v>
      </c>
      <c r="C186" s="3" t="s">
        <v>454</v>
      </c>
      <c r="D186" s="3" t="s">
        <v>459</v>
      </c>
      <c r="E186" s="3" t="s">
        <v>985</v>
      </c>
      <c r="F186" s="3" t="s">
        <v>460</v>
      </c>
      <c r="G186" s="3">
        <v>30</v>
      </c>
    </row>
    <row r="187" spans="1:15" x14ac:dyDescent="0.25">
      <c r="A187" s="3">
        <f t="shared" si="3"/>
        <v>186</v>
      </c>
      <c r="C187" s="3" t="s">
        <v>454</v>
      </c>
      <c r="D187" s="3" t="s">
        <v>984</v>
      </c>
      <c r="E187" s="3" t="s">
        <v>985</v>
      </c>
      <c r="F187" s="3" t="s">
        <v>986</v>
      </c>
      <c r="G187" s="3">
        <v>1</v>
      </c>
      <c r="H187" s="3">
        <v>1</v>
      </c>
      <c r="I187" s="3">
        <v>1</v>
      </c>
      <c r="J187" s="3">
        <v>1</v>
      </c>
      <c r="K187" s="3">
        <v>1</v>
      </c>
      <c r="L187" s="3">
        <v>1</v>
      </c>
      <c r="M187" s="3">
        <v>2</v>
      </c>
      <c r="N187" s="3">
        <v>3</v>
      </c>
      <c r="O187" s="3">
        <v>4</v>
      </c>
    </row>
    <row r="188" spans="1:15" x14ac:dyDescent="0.25">
      <c r="A188" s="3">
        <f t="shared" si="3"/>
        <v>187</v>
      </c>
      <c r="C188" s="3" t="s">
        <v>461</v>
      </c>
      <c r="D188" s="3" t="s">
        <v>462</v>
      </c>
      <c r="E188" s="3" t="s">
        <v>463</v>
      </c>
      <c r="F188" s="3" t="s">
        <v>464</v>
      </c>
      <c r="G188" s="3">
        <v>5</v>
      </c>
    </row>
    <row r="189" spans="1:15" x14ac:dyDescent="0.25">
      <c r="A189" s="3">
        <f t="shared" si="3"/>
        <v>188</v>
      </c>
      <c r="C189" s="3" t="s">
        <v>461</v>
      </c>
      <c r="D189" s="3" t="s">
        <v>465</v>
      </c>
      <c r="E189" s="3" t="s">
        <v>466</v>
      </c>
      <c r="F189" s="3" t="s">
        <v>958</v>
      </c>
    </row>
    <row r="190" spans="1:15" x14ac:dyDescent="0.25">
      <c r="A190" s="3">
        <f t="shared" si="3"/>
        <v>189</v>
      </c>
      <c r="C190" s="3" t="s">
        <v>461</v>
      </c>
      <c r="D190" s="3" t="s">
        <v>467</v>
      </c>
      <c r="E190" s="3" t="s">
        <v>468</v>
      </c>
      <c r="F190" s="3" t="s">
        <v>959</v>
      </c>
    </row>
    <row r="191" spans="1:15" x14ac:dyDescent="0.25">
      <c r="A191" s="3">
        <f t="shared" si="3"/>
        <v>190</v>
      </c>
      <c r="C191" s="3" t="s">
        <v>461</v>
      </c>
      <c r="D191" s="3" t="s">
        <v>469</v>
      </c>
      <c r="E191" s="3" t="s">
        <v>470</v>
      </c>
      <c r="F191" s="3" t="s">
        <v>960</v>
      </c>
    </row>
    <row r="192" spans="1:15" x14ac:dyDescent="0.25">
      <c r="A192" s="3">
        <f t="shared" si="3"/>
        <v>191</v>
      </c>
      <c r="C192" s="3" t="s">
        <v>471</v>
      </c>
      <c r="D192" s="3" t="s">
        <v>472</v>
      </c>
      <c r="E192" s="3" t="s">
        <v>473</v>
      </c>
      <c r="F192" s="3" t="s">
        <v>946</v>
      </c>
      <c r="G192" s="3">
        <v>2</v>
      </c>
    </row>
    <row r="193" spans="1:11" x14ac:dyDescent="0.25">
      <c r="A193" s="3">
        <f t="shared" si="3"/>
        <v>192</v>
      </c>
      <c r="C193" s="3" t="s">
        <v>474</v>
      </c>
      <c r="D193" s="3" t="s">
        <v>475</v>
      </c>
      <c r="E193" s="3" t="s">
        <v>476</v>
      </c>
      <c r="F193" s="3" t="s">
        <v>477</v>
      </c>
      <c r="G193" s="3">
        <v>10000</v>
      </c>
      <c r="H193" s="3">
        <v>3</v>
      </c>
    </row>
    <row r="194" spans="1:11" x14ac:dyDescent="0.25">
      <c r="A194" s="3">
        <f t="shared" si="3"/>
        <v>193</v>
      </c>
      <c r="C194" s="3" t="s">
        <v>478</v>
      </c>
      <c r="D194" s="3" t="s">
        <v>479</v>
      </c>
      <c r="E194" s="3" t="s">
        <v>480</v>
      </c>
      <c r="F194" s="3" t="s">
        <v>481</v>
      </c>
      <c r="G194" s="3">
        <v>20000</v>
      </c>
    </row>
    <row r="195" spans="1:11" x14ac:dyDescent="0.25">
      <c r="A195" s="3">
        <f t="shared" si="3"/>
        <v>194</v>
      </c>
      <c r="C195" s="3" t="s">
        <v>478</v>
      </c>
      <c r="D195" s="3" t="s">
        <v>482</v>
      </c>
      <c r="E195" s="3" t="s">
        <v>483</v>
      </c>
      <c r="G195" s="3">
        <v>30</v>
      </c>
      <c r="H195" s="3">
        <v>2</v>
      </c>
    </row>
    <row r="196" spans="1:11" x14ac:dyDescent="0.25">
      <c r="A196" s="3">
        <f t="shared" si="3"/>
        <v>195</v>
      </c>
      <c r="C196" s="3" t="s">
        <v>478</v>
      </c>
      <c r="D196" s="3" t="s">
        <v>484</v>
      </c>
      <c r="E196" s="3" t="s">
        <v>485</v>
      </c>
      <c r="F196" s="3" t="s">
        <v>486</v>
      </c>
      <c r="G196" s="3">
        <v>60</v>
      </c>
    </row>
    <row r="197" spans="1:11" x14ac:dyDescent="0.25">
      <c r="A197" s="3">
        <f t="shared" si="3"/>
        <v>196</v>
      </c>
      <c r="C197" s="3" t="s">
        <v>478</v>
      </c>
      <c r="D197" s="3" t="s">
        <v>487</v>
      </c>
      <c r="E197" s="3" t="s">
        <v>488</v>
      </c>
      <c r="F197" s="3" t="s">
        <v>489</v>
      </c>
      <c r="G197" s="3">
        <v>10000</v>
      </c>
    </row>
    <row r="198" spans="1:11" x14ac:dyDescent="0.25">
      <c r="A198" s="3">
        <f t="shared" si="3"/>
        <v>197</v>
      </c>
      <c r="C198" s="3" t="s">
        <v>478</v>
      </c>
      <c r="D198" s="3" t="s">
        <v>490</v>
      </c>
      <c r="E198" s="3" t="s">
        <v>491</v>
      </c>
      <c r="G198" s="3">
        <v>2</v>
      </c>
    </row>
    <row r="199" spans="1:11" x14ac:dyDescent="0.25">
      <c r="A199" s="3">
        <f t="shared" si="3"/>
        <v>198</v>
      </c>
      <c r="C199" s="3" t="s">
        <v>492</v>
      </c>
      <c r="D199" s="3" t="s">
        <v>493</v>
      </c>
      <c r="E199" s="3" t="s">
        <v>494</v>
      </c>
      <c r="F199" s="3" t="s">
        <v>495</v>
      </c>
      <c r="G199" s="3">
        <v>0.2</v>
      </c>
    </row>
    <row r="200" spans="1:11" x14ac:dyDescent="0.25">
      <c r="A200" s="3">
        <f t="shared" si="3"/>
        <v>199</v>
      </c>
      <c r="C200" s="3" t="s">
        <v>492</v>
      </c>
      <c r="D200" s="3" t="s">
        <v>496</v>
      </c>
      <c r="E200" s="3" t="s">
        <v>497</v>
      </c>
      <c r="F200" s="3" t="s">
        <v>498</v>
      </c>
      <c r="G200" s="3">
        <v>2</v>
      </c>
    </row>
    <row r="201" spans="1:11" x14ac:dyDescent="0.25">
      <c r="A201" s="3">
        <f t="shared" ref="A201:A264" si="4">A200+1</f>
        <v>200</v>
      </c>
      <c r="C201" s="3" t="s">
        <v>492</v>
      </c>
      <c r="D201" s="3" t="s">
        <v>499</v>
      </c>
      <c r="E201" s="3" t="s">
        <v>500</v>
      </c>
      <c r="F201" s="3" t="s">
        <v>961</v>
      </c>
      <c r="G201" s="3">
        <v>3</v>
      </c>
    </row>
    <row r="202" spans="1:11" x14ac:dyDescent="0.25">
      <c r="A202" s="3">
        <f t="shared" si="4"/>
        <v>201</v>
      </c>
      <c r="C202" s="3" t="s">
        <v>492</v>
      </c>
      <c r="D202" s="3" t="s">
        <v>501</v>
      </c>
      <c r="E202" s="3" t="s">
        <v>502</v>
      </c>
      <c r="F202" s="3" t="s">
        <v>503</v>
      </c>
    </row>
    <row r="203" spans="1:11" x14ac:dyDescent="0.25">
      <c r="A203" s="3">
        <f t="shared" si="4"/>
        <v>202</v>
      </c>
      <c r="C203" s="3" t="s">
        <v>492</v>
      </c>
      <c r="D203" s="3" t="s">
        <v>504</v>
      </c>
      <c r="E203" s="3" t="s">
        <v>505</v>
      </c>
      <c r="F203" s="3" t="s">
        <v>506</v>
      </c>
      <c r="G203" s="3">
        <v>100</v>
      </c>
      <c r="H203" s="3">
        <v>300</v>
      </c>
      <c r="I203" s="3">
        <v>900</v>
      </c>
      <c r="J203" s="3">
        <v>2700</v>
      </c>
      <c r="K203" s="3">
        <v>8100</v>
      </c>
    </row>
    <row r="204" spans="1:11" x14ac:dyDescent="0.25">
      <c r="A204" s="3">
        <f t="shared" si="4"/>
        <v>203</v>
      </c>
      <c r="C204" s="3" t="s">
        <v>492</v>
      </c>
      <c r="D204" s="3" t="s">
        <v>507</v>
      </c>
      <c r="E204" s="3" t="s">
        <v>508</v>
      </c>
      <c r="F204" s="3" t="s">
        <v>509</v>
      </c>
      <c r="G204" s="3">
        <v>9</v>
      </c>
      <c r="H204" s="3">
        <v>100</v>
      </c>
    </row>
    <row r="205" spans="1:11" x14ac:dyDescent="0.25">
      <c r="A205" s="3">
        <f t="shared" si="4"/>
        <v>204</v>
      </c>
      <c r="C205" s="3" t="s">
        <v>492</v>
      </c>
      <c r="D205" s="3" t="s">
        <v>510</v>
      </c>
      <c r="E205" s="3" t="s">
        <v>511</v>
      </c>
      <c r="F205" s="3" t="s">
        <v>512</v>
      </c>
      <c r="G205" s="3">
        <v>0.7</v>
      </c>
    </row>
    <row r="206" spans="1:11" x14ac:dyDescent="0.25">
      <c r="A206" s="3">
        <f t="shared" si="4"/>
        <v>205</v>
      </c>
      <c r="C206" s="3" t="s">
        <v>492</v>
      </c>
      <c r="D206" s="3" t="s">
        <v>513</v>
      </c>
      <c r="E206" s="3" t="s">
        <v>514</v>
      </c>
      <c r="F206" s="3" t="s">
        <v>947</v>
      </c>
      <c r="G206" s="3">
        <v>0.7</v>
      </c>
    </row>
    <row r="207" spans="1:11" x14ac:dyDescent="0.25">
      <c r="A207" s="3">
        <f t="shared" si="4"/>
        <v>206</v>
      </c>
      <c r="C207" s="3" t="s">
        <v>492</v>
      </c>
      <c r="D207" s="3" t="s">
        <v>515</v>
      </c>
      <c r="E207" s="3" t="s">
        <v>516</v>
      </c>
      <c r="F207" s="3" t="s">
        <v>517</v>
      </c>
      <c r="G207" s="3">
        <v>10</v>
      </c>
      <c r="H207" s="3">
        <v>60</v>
      </c>
      <c r="I207" s="3">
        <v>10</v>
      </c>
    </row>
    <row r="208" spans="1:11" x14ac:dyDescent="0.25">
      <c r="A208" s="3">
        <f t="shared" si="4"/>
        <v>207</v>
      </c>
      <c r="C208" s="3" t="s">
        <v>492</v>
      </c>
      <c r="D208" s="3" t="s">
        <v>518</v>
      </c>
      <c r="E208" s="3" t="s">
        <v>519</v>
      </c>
      <c r="F208" s="3" t="s">
        <v>952</v>
      </c>
    </row>
    <row r="209" spans="1:16" x14ac:dyDescent="0.25">
      <c r="A209" s="3">
        <f t="shared" si="4"/>
        <v>208</v>
      </c>
      <c r="C209" s="3" t="s">
        <v>520</v>
      </c>
      <c r="D209" s="3" t="s">
        <v>521</v>
      </c>
      <c r="E209" s="3" t="s">
        <v>522</v>
      </c>
      <c r="F209" s="3" t="s">
        <v>523</v>
      </c>
      <c r="G209" s="3">
        <v>10000</v>
      </c>
      <c r="H209" s="3">
        <v>3</v>
      </c>
      <c r="I209" s="3">
        <v>4000000</v>
      </c>
    </row>
    <row r="210" spans="1:16" x14ac:dyDescent="0.25">
      <c r="A210" s="3">
        <f t="shared" si="4"/>
        <v>209</v>
      </c>
      <c r="C210" s="3" t="s">
        <v>520</v>
      </c>
      <c r="D210" s="3" t="s">
        <v>524</v>
      </c>
      <c r="E210" s="3" t="s">
        <v>525</v>
      </c>
      <c r="F210" s="3" t="s">
        <v>526</v>
      </c>
      <c r="G210" s="3">
        <v>5000</v>
      </c>
      <c r="H210" s="3">
        <v>2.5</v>
      </c>
    </row>
    <row r="211" spans="1:16" x14ac:dyDescent="0.25">
      <c r="A211" s="3">
        <f t="shared" si="4"/>
        <v>210</v>
      </c>
      <c r="C211" s="3" t="s">
        <v>520</v>
      </c>
      <c r="D211" s="3" t="s">
        <v>527</v>
      </c>
      <c r="E211" s="3" t="s">
        <v>528</v>
      </c>
      <c r="G211" s="3">
        <v>8</v>
      </c>
    </row>
    <row r="212" spans="1:16" x14ac:dyDescent="0.25">
      <c r="A212" s="3">
        <f t="shared" si="4"/>
        <v>211</v>
      </c>
      <c r="C212" s="3" t="s">
        <v>520</v>
      </c>
      <c r="D212" s="3" t="s">
        <v>529</v>
      </c>
      <c r="E212" s="3" t="s">
        <v>530</v>
      </c>
      <c r="F212" s="3" t="s">
        <v>531</v>
      </c>
      <c r="G212" s="4">
        <v>10000</v>
      </c>
      <c r="H212" s="4">
        <v>100000</v>
      </c>
      <c r="I212" s="4">
        <v>500000</v>
      </c>
      <c r="J212" s="4">
        <v>2000000</v>
      </c>
      <c r="K212" s="4">
        <v>10000000</v>
      </c>
      <c r="L212" s="4">
        <v>50000000</v>
      </c>
      <c r="M212" s="4">
        <v>200000000</v>
      </c>
      <c r="N212" s="4">
        <v>1000000000</v>
      </c>
      <c r="O212" s="4">
        <v>10000000000</v>
      </c>
      <c r="P212" s="4">
        <v>1000000000000</v>
      </c>
    </row>
    <row r="213" spans="1:16" x14ac:dyDescent="0.25">
      <c r="A213" s="3">
        <f t="shared" si="4"/>
        <v>212</v>
      </c>
      <c r="C213" s="3" t="s">
        <v>532</v>
      </c>
      <c r="D213" s="3" t="s">
        <v>533</v>
      </c>
      <c r="E213" s="3" t="s">
        <v>534</v>
      </c>
      <c r="F213" s="3" t="s">
        <v>535</v>
      </c>
      <c r="G213" s="3" t="s">
        <v>536</v>
      </c>
      <c r="H213" s="3" t="s">
        <v>537</v>
      </c>
    </row>
    <row r="214" spans="1:16" x14ac:dyDescent="0.25">
      <c r="A214" s="3">
        <f t="shared" si="4"/>
        <v>213</v>
      </c>
      <c r="C214" s="3" t="s">
        <v>532</v>
      </c>
      <c r="D214" s="3" t="s">
        <v>538</v>
      </c>
      <c r="E214" s="3" t="s">
        <v>534</v>
      </c>
      <c r="F214" s="3" t="s">
        <v>535</v>
      </c>
      <c r="G214" s="3" t="s">
        <v>536</v>
      </c>
      <c r="H214" s="3" t="s">
        <v>539</v>
      </c>
      <c r="I214" s="3" t="s">
        <v>540</v>
      </c>
    </row>
    <row r="215" spans="1:16" x14ac:dyDescent="0.25">
      <c r="A215" s="3">
        <f t="shared" si="4"/>
        <v>214</v>
      </c>
      <c r="C215" s="3" t="s">
        <v>532</v>
      </c>
      <c r="D215" s="3" t="s">
        <v>541</v>
      </c>
      <c r="E215" s="3" t="s">
        <v>534</v>
      </c>
      <c r="F215" s="3" t="s">
        <v>535</v>
      </c>
      <c r="G215" s="3" t="s">
        <v>536</v>
      </c>
      <c r="H215" s="3" t="s">
        <v>542</v>
      </c>
      <c r="I215" s="3" t="s">
        <v>540</v>
      </c>
      <c r="J215" s="3" t="s">
        <v>543</v>
      </c>
    </row>
    <row r="216" spans="1:16" x14ac:dyDescent="0.25">
      <c r="A216" s="3">
        <f t="shared" si="4"/>
        <v>215</v>
      </c>
      <c r="C216" s="3" t="s">
        <v>532</v>
      </c>
      <c r="D216" s="3" t="s">
        <v>544</v>
      </c>
      <c r="E216" s="3" t="s">
        <v>534</v>
      </c>
      <c r="F216" s="3" t="s">
        <v>535</v>
      </c>
      <c r="G216" s="3" t="s">
        <v>545</v>
      </c>
      <c r="H216" s="3" t="s">
        <v>542</v>
      </c>
      <c r="I216" s="3" t="s">
        <v>546</v>
      </c>
      <c r="J216" s="3" t="s">
        <v>543</v>
      </c>
    </row>
    <row r="217" spans="1:16" x14ac:dyDescent="0.25">
      <c r="A217" s="3">
        <f t="shared" si="4"/>
        <v>216</v>
      </c>
      <c r="C217" s="3" t="s">
        <v>532</v>
      </c>
      <c r="D217" s="3" t="s">
        <v>547</v>
      </c>
      <c r="E217" s="3" t="s">
        <v>534</v>
      </c>
      <c r="F217" s="3" t="s">
        <v>535</v>
      </c>
      <c r="G217" s="3" t="s">
        <v>548</v>
      </c>
      <c r="H217" s="3" t="s">
        <v>542</v>
      </c>
      <c r="I217" s="3" t="s">
        <v>546</v>
      </c>
      <c r="J217" s="3" t="s">
        <v>549</v>
      </c>
    </row>
    <row r="218" spans="1:16" x14ac:dyDescent="0.25">
      <c r="A218" s="3">
        <f t="shared" si="4"/>
        <v>217</v>
      </c>
      <c r="C218" s="3" t="s">
        <v>532</v>
      </c>
      <c r="D218" s="3" t="s">
        <v>550</v>
      </c>
      <c r="E218" s="3" t="s">
        <v>534</v>
      </c>
      <c r="F218" s="3" t="s">
        <v>535</v>
      </c>
      <c r="G218" s="3" t="s">
        <v>551</v>
      </c>
      <c r="H218" s="3" t="s">
        <v>542</v>
      </c>
      <c r="I218" s="3" t="s">
        <v>546</v>
      </c>
      <c r="J218" s="3" t="s">
        <v>549</v>
      </c>
      <c r="K218" s="3" t="s">
        <v>552</v>
      </c>
    </row>
    <row r="219" spans="1:16" x14ac:dyDescent="0.25">
      <c r="A219" s="3">
        <f t="shared" si="4"/>
        <v>218</v>
      </c>
      <c r="C219" s="3" t="s">
        <v>532</v>
      </c>
      <c r="D219" s="3" t="s">
        <v>553</v>
      </c>
      <c r="E219" s="3" t="s">
        <v>534</v>
      </c>
      <c r="F219" s="3" t="s">
        <v>535</v>
      </c>
      <c r="G219" s="3" t="s">
        <v>554</v>
      </c>
      <c r="H219" s="3" t="s">
        <v>555</v>
      </c>
      <c r="I219" s="3" t="s">
        <v>549</v>
      </c>
      <c r="J219" s="3" t="s">
        <v>556</v>
      </c>
      <c r="K219" s="3" t="s">
        <v>557</v>
      </c>
    </row>
    <row r="220" spans="1:16" x14ac:dyDescent="0.25">
      <c r="A220" s="3">
        <f t="shared" si="4"/>
        <v>219</v>
      </c>
      <c r="C220" s="3" t="s">
        <v>532</v>
      </c>
      <c r="D220" s="3" t="s">
        <v>558</v>
      </c>
      <c r="E220" s="3" t="s">
        <v>534</v>
      </c>
      <c r="F220" s="3" t="s">
        <v>535</v>
      </c>
      <c r="G220" s="3" t="s">
        <v>542</v>
      </c>
      <c r="H220" s="3" t="s">
        <v>555</v>
      </c>
      <c r="I220" s="3" t="s">
        <v>549</v>
      </c>
      <c r="J220" s="3" t="s">
        <v>556</v>
      </c>
      <c r="K220" s="3" t="s">
        <v>559</v>
      </c>
    </row>
    <row r="221" spans="1:16" x14ac:dyDescent="0.25">
      <c r="A221" s="3">
        <f t="shared" si="4"/>
        <v>220</v>
      </c>
      <c r="C221" s="3" t="s">
        <v>532</v>
      </c>
      <c r="D221" s="3" t="s">
        <v>560</v>
      </c>
      <c r="E221" s="3" t="s">
        <v>534</v>
      </c>
      <c r="F221" s="3" t="s">
        <v>535</v>
      </c>
      <c r="G221" s="3" t="s">
        <v>555</v>
      </c>
      <c r="H221" s="3" t="s">
        <v>561</v>
      </c>
      <c r="I221" s="3" t="s">
        <v>556</v>
      </c>
      <c r="J221" s="3" t="s">
        <v>562</v>
      </c>
      <c r="K221" s="3" t="s">
        <v>563</v>
      </c>
    </row>
    <row r="222" spans="1:16" x14ac:dyDescent="0.25">
      <c r="A222" s="3">
        <f t="shared" si="4"/>
        <v>221</v>
      </c>
      <c r="C222" s="3" t="s">
        <v>532</v>
      </c>
      <c r="D222" s="3" t="s">
        <v>564</v>
      </c>
      <c r="E222" s="3" t="s">
        <v>534</v>
      </c>
      <c r="F222" s="3" t="s">
        <v>535</v>
      </c>
      <c r="G222" s="3" t="s">
        <v>561</v>
      </c>
      <c r="H222" s="3" t="s">
        <v>565</v>
      </c>
      <c r="I222" s="3" t="s">
        <v>562</v>
      </c>
      <c r="J222" s="3" t="s">
        <v>566</v>
      </c>
      <c r="K222" s="3" t="s">
        <v>567</v>
      </c>
    </row>
    <row r="223" spans="1:16" x14ac:dyDescent="0.25">
      <c r="A223" s="3">
        <f t="shared" si="4"/>
        <v>222</v>
      </c>
      <c r="C223" s="3" t="s">
        <v>532</v>
      </c>
      <c r="D223" s="3" t="s">
        <v>568</v>
      </c>
      <c r="E223" s="3" t="s">
        <v>534</v>
      </c>
      <c r="F223" s="3" t="s">
        <v>535</v>
      </c>
      <c r="G223" s="3" t="s">
        <v>565</v>
      </c>
      <c r="H223" s="3" t="s">
        <v>569</v>
      </c>
      <c r="I223" s="3" t="s">
        <v>566</v>
      </c>
      <c r="J223" s="3" t="s">
        <v>570</v>
      </c>
      <c r="K223" s="3" t="s">
        <v>571</v>
      </c>
    </row>
    <row r="224" spans="1:16" x14ac:dyDescent="0.25">
      <c r="A224" s="3">
        <f t="shared" si="4"/>
        <v>223</v>
      </c>
      <c r="C224" s="3" t="s">
        <v>532</v>
      </c>
      <c r="D224" s="3" t="s">
        <v>572</v>
      </c>
      <c r="E224" s="3" t="s">
        <v>534</v>
      </c>
      <c r="F224" s="3" t="s">
        <v>535</v>
      </c>
      <c r="G224" s="3" t="s">
        <v>569</v>
      </c>
      <c r="H224" s="3" t="s">
        <v>573</v>
      </c>
      <c r="I224" s="3" t="s">
        <v>570</v>
      </c>
      <c r="J224" s="3" t="s">
        <v>574</v>
      </c>
      <c r="K224" s="3" t="s">
        <v>575</v>
      </c>
    </row>
    <row r="225" spans="1:12" x14ac:dyDescent="0.25">
      <c r="A225" s="3">
        <f t="shared" si="4"/>
        <v>224</v>
      </c>
      <c r="C225" s="3" t="s">
        <v>532</v>
      </c>
      <c r="D225" s="3" t="s">
        <v>576</v>
      </c>
      <c r="E225" s="3" t="s">
        <v>534</v>
      </c>
      <c r="F225" s="3" t="s">
        <v>535</v>
      </c>
      <c r="G225" s="3" t="s">
        <v>573</v>
      </c>
      <c r="H225" s="3" t="s">
        <v>577</v>
      </c>
      <c r="I225" s="3" t="s">
        <v>574</v>
      </c>
      <c r="J225" s="3" t="s">
        <v>578</v>
      </c>
      <c r="K225" s="3" t="s">
        <v>579</v>
      </c>
    </row>
    <row r="226" spans="1:12" x14ac:dyDescent="0.25">
      <c r="A226" s="3">
        <f t="shared" si="4"/>
        <v>225</v>
      </c>
      <c r="C226" s="3" t="s">
        <v>532</v>
      </c>
      <c r="D226" s="3" t="s">
        <v>580</v>
      </c>
      <c r="E226" s="3" t="s">
        <v>534</v>
      </c>
      <c r="F226" s="3" t="s">
        <v>535</v>
      </c>
      <c r="G226" s="3" t="s">
        <v>577</v>
      </c>
      <c r="H226" s="3" t="s">
        <v>581</v>
      </c>
      <c r="I226" s="3" t="s">
        <v>578</v>
      </c>
      <c r="J226" s="3" t="s">
        <v>582</v>
      </c>
      <c r="K226" s="3" t="s">
        <v>583</v>
      </c>
    </row>
    <row r="227" spans="1:12" x14ac:dyDescent="0.25">
      <c r="A227" s="3">
        <f t="shared" si="4"/>
        <v>226</v>
      </c>
      <c r="C227" s="3" t="s">
        <v>532</v>
      </c>
      <c r="D227" s="3" t="s">
        <v>584</v>
      </c>
      <c r="E227" s="3" t="s">
        <v>534</v>
      </c>
      <c r="F227" s="3" t="s">
        <v>535</v>
      </c>
      <c r="G227" s="3" t="s">
        <v>581</v>
      </c>
      <c r="H227" s="3" t="s">
        <v>585</v>
      </c>
      <c r="I227" s="3" t="s">
        <v>582</v>
      </c>
      <c r="J227" s="3" t="s">
        <v>586</v>
      </c>
      <c r="K227" s="3" t="s">
        <v>587</v>
      </c>
    </row>
    <row r="228" spans="1:12" x14ac:dyDescent="0.25">
      <c r="A228" s="3">
        <f t="shared" si="4"/>
        <v>227</v>
      </c>
      <c r="C228" s="3" t="s">
        <v>532</v>
      </c>
      <c r="D228" s="3" t="s">
        <v>588</v>
      </c>
      <c r="E228" s="3" t="s">
        <v>534</v>
      </c>
      <c r="F228" s="3" t="s">
        <v>535</v>
      </c>
      <c r="G228" s="3" t="s">
        <v>585</v>
      </c>
      <c r="H228" s="3" t="s">
        <v>589</v>
      </c>
      <c r="I228" s="3" t="s">
        <v>586</v>
      </c>
      <c r="J228" s="3" t="s">
        <v>590</v>
      </c>
      <c r="K228" s="3" t="s">
        <v>591</v>
      </c>
    </row>
    <row r="229" spans="1:12" x14ac:dyDescent="0.25">
      <c r="A229" s="3">
        <f t="shared" si="4"/>
        <v>228</v>
      </c>
      <c r="C229" s="3" t="s">
        <v>532</v>
      </c>
      <c r="D229" s="3" t="s">
        <v>592</v>
      </c>
      <c r="E229" s="3" t="s">
        <v>534</v>
      </c>
      <c r="F229" s="3" t="s">
        <v>535</v>
      </c>
      <c r="G229" s="3" t="s">
        <v>589</v>
      </c>
      <c r="H229" s="3" t="s">
        <v>593</v>
      </c>
      <c r="I229" s="3" t="s">
        <v>590</v>
      </c>
      <c r="J229" s="3" t="s">
        <v>594</v>
      </c>
      <c r="K229" s="3" t="s">
        <v>595</v>
      </c>
    </row>
    <row r="230" spans="1:12" x14ac:dyDescent="0.25">
      <c r="A230" s="3">
        <f t="shared" si="4"/>
        <v>229</v>
      </c>
      <c r="C230" s="3" t="s">
        <v>532</v>
      </c>
      <c r="D230" s="3" t="s">
        <v>596</v>
      </c>
      <c r="E230" s="3" t="s">
        <v>534</v>
      </c>
      <c r="F230" s="3" t="s">
        <v>535</v>
      </c>
      <c r="G230" s="3" t="s">
        <v>579</v>
      </c>
      <c r="H230" s="3" t="s">
        <v>597</v>
      </c>
      <c r="I230" s="3" t="s">
        <v>598</v>
      </c>
      <c r="J230" s="3" t="s">
        <v>594</v>
      </c>
      <c r="K230" s="3" t="s">
        <v>599</v>
      </c>
      <c r="L230" s="3" t="s">
        <v>600</v>
      </c>
    </row>
    <row r="231" spans="1:12" x14ac:dyDescent="0.25">
      <c r="A231" s="3">
        <f t="shared" si="4"/>
        <v>230</v>
      </c>
      <c r="C231" s="3" t="s">
        <v>532</v>
      </c>
      <c r="D231" s="3" t="s">
        <v>601</v>
      </c>
      <c r="E231" s="3" t="s">
        <v>534</v>
      </c>
      <c r="F231" s="3" t="s">
        <v>535</v>
      </c>
      <c r="G231" s="3" t="s">
        <v>579</v>
      </c>
      <c r="H231" s="3" t="s">
        <v>597</v>
      </c>
      <c r="I231" s="3" t="s">
        <v>598</v>
      </c>
      <c r="J231" s="3" t="s">
        <v>594</v>
      </c>
      <c r="K231" s="3" t="s">
        <v>599</v>
      </c>
      <c r="L231" s="3" t="s">
        <v>600</v>
      </c>
    </row>
    <row r="232" spans="1:12" x14ac:dyDescent="0.25">
      <c r="A232" s="3">
        <f t="shared" si="4"/>
        <v>231</v>
      </c>
      <c r="C232" s="3" t="s">
        <v>532</v>
      </c>
      <c r="D232" s="3" t="s">
        <v>602</v>
      </c>
      <c r="E232" s="3" t="s">
        <v>534</v>
      </c>
      <c r="F232" s="3" t="s">
        <v>535</v>
      </c>
      <c r="G232" s="3" t="s">
        <v>579</v>
      </c>
      <c r="H232" s="3" t="s">
        <v>597</v>
      </c>
      <c r="I232" s="3" t="s">
        <v>598</v>
      </c>
      <c r="J232" s="3" t="s">
        <v>594</v>
      </c>
      <c r="K232" s="3" t="s">
        <v>599</v>
      </c>
      <c r="L232" s="3" t="s">
        <v>600</v>
      </c>
    </row>
    <row r="233" spans="1:12" x14ac:dyDescent="0.25">
      <c r="A233" s="3">
        <f t="shared" si="4"/>
        <v>232</v>
      </c>
      <c r="C233" s="3" t="s">
        <v>603</v>
      </c>
      <c r="D233" s="3" t="s">
        <v>533</v>
      </c>
      <c r="E233" s="3" t="s">
        <v>604</v>
      </c>
      <c r="F233" s="3" t="s">
        <v>605</v>
      </c>
      <c r="G233" s="3" t="s">
        <v>606</v>
      </c>
      <c r="H233" s="3" t="s">
        <v>607</v>
      </c>
      <c r="I233" s="3" t="s">
        <v>608</v>
      </c>
      <c r="J233" s="3" t="s">
        <v>609</v>
      </c>
    </row>
    <row r="234" spans="1:12" x14ac:dyDescent="0.25">
      <c r="A234" s="3">
        <f t="shared" si="4"/>
        <v>233</v>
      </c>
      <c r="C234" s="3" t="s">
        <v>603</v>
      </c>
      <c r="D234" s="3" t="s">
        <v>538</v>
      </c>
      <c r="E234" s="3" t="s">
        <v>604</v>
      </c>
      <c r="F234" s="3" t="s">
        <v>605</v>
      </c>
      <c r="G234" s="3" t="s">
        <v>610</v>
      </c>
      <c r="H234" s="3" t="s">
        <v>607</v>
      </c>
      <c r="I234" s="3" t="s">
        <v>611</v>
      </c>
      <c r="J234" s="3" t="s">
        <v>612</v>
      </c>
    </row>
    <row r="235" spans="1:12" x14ac:dyDescent="0.25">
      <c r="A235" s="3">
        <f t="shared" si="4"/>
        <v>234</v>
      </c>
      <c r="C235" s="3" t="s">
        <v>603</v>
      </c>
      <c r="D235" s="3" t="s">
        <v>541</v>
      </c>
      <c r="E235" s="3" t="s">
        <v>604</v>
      </c>
      <c r="F235" s="3" t="s">
        <v>605</v>
      </c>
      <c r="G235" s="3" t="s">
        <v>613</v>
      </c>
      <c r="H235" s="3" t="s">
        <v>607</v>
      </c>
      <c r="I235" s="3" t="s">
        <v>614</v>
      </c>
      <c r="J235" s="3" t="s">
        <v>615</v>
      </c>
    </row>
    <row r="236" spans="1:12" x14ac:dyDescent="0.25">
      <c r="A236" s="3">
        <f t="shared" si="4"/>
        <v>235</v>
      </c>
      <c r="C236" s="3" t="s">
        <v>603</v>
      </c>
      <c r="D236" s="3" t="s">
        <v>544</v>
      </c>
      <c r="E236" s="3" t="s">
        <v>604</v>
      </c>
      <c r="F236" s="3" t="s">
        <v>605</v>
      </c>
      <c r="G236" s="3" t="s">
        <v>616</v>
      </c>
      <c r="H236" s="3" t="s">
        <v>607</v>
      </c>
      <c r="I236" s="3" t="s">
        <v>614</v>
      </c>
      <c r="J236" s="3" t="s">
        <v>615</v>
      </c>
      <c r="K236" s="3" t="s">
        <v>617</v>
      </c>
    </row>
    <row r="237" spans="1:12" x14ac:dyDescent="0.25">
      <c r="A237" s="3">
        <f t="shared" si="4"/>
        <v>236</v>
      </c>
      <c r="C237" s="3" t="s">
        <v>603</v>
      </c>
      <c r="D237" s="3" t="s">
        <v>547</v>
      </c>
      <c r="E237" s="3" t="s">
        <v>604</v>
      </c>
      <c r="F237" s="3" t="s">
        <v>605</v>
      </c>
      <c r="G237" s="3" t="s">
        <v>618</v>
      </c>
      <c r="H237" s="3" t="s">
        <v>607</v>
      </c>
      <c r="I237" s="3" t="s">
        <v>614</v>
      </c>
      <c r="J237" s="3" t="s">
        <v>619</v>
      </c>
      <c r="K237" s="3" t="s">
        <v>620</v>
      </c>
    </row>
    <row r="238" spans="1:12" x14ac:dyDescent="0.25">
      <c r="A238" s="3">
        <f t="shared" si="4"/>
        <v>237</v>
      </c>
      <c r="C238" s="3" t="s">
        <v>603</v>
      </c>
      <c r="D238" s="3" t="s">
        <v>550</v>
      </c>
      <c r="E238" s="3" t="s">
        <v>604</v>
      </c>
      <c r="F238" s="3" t="s">
        <v>605</v>
      </c>
      <c r="G238" s="3" t="s">
        <v>621</v>
      </c>
      <c r="H238" s="3" t="s">
        <v>607</v>
      </c>
      <c r="I238" s="3" t="s">
        <v>614</v>
      </c>
      <c r="J238" s="3" t="s">
        <v>622</v>
      </c>
      <c r="K238" s="3" t="s">
        <v>623</v>
      </c>
    </row>
    <row r="239" spans="1:12" x14ac:dyDescent="0.25">
      <c r="A239" s="3">
        <f t="shared" si="4"/>
        <v>238</v>
      </c>
      <c r="C239" s="3" t="s">
        <v>603</v>
      </c>
      <c r="D239" s="3" t="s">
        <v>553</v>
      </c>
      <c r="E239" s="3" t="s">
        <v>604</v>
      </c>
      <c r="F239" s="3" t="s">
        <v>605</v>
      </c>
      <c r="G239" s="3" t="s">
        <v>624</v>
      </c>
      <c r="H239" s="3" t="s">
        <v>607</v>
      </c>
      <c r="I239" s="3" t="s">
        <v>625</v>
      </c>
      <c r="J239" s="3" t="s">
        <v>626</v>
      </c>
      <c r="K239" s="3" t="s">
        <v>627</v>
      </c>
    </row>
    <row r="240" spans="1:12" x14ac:dyDescent="0.25">
      <c r="A240" s="3">
        <f t="shared" si="4"/>
        <v>239</v>
      </c>
      <c r="C240" s="3" t="s">
        <v>603</v>
      </c>
      <c r="D240" s="3" t="s">
        <v>558</v>
      </c>
      <c r="E240" s="3" t="s">
        <v>604</v>
      </c>
      <c r="F240" s="3" t="s">
        <v>605</v>
      </c>
      <c r="G240" s="3" t="s">
        <v>628</v>
      </c>
      <c r="H240" s="3" t="s">
        <v>607</v>
      </c>
      <c r="I240" s="3" t="s">
        <v>629</v>
      </c>
      <c r="J240" s="3" t="s">
        <v>630</v>
      </c>
      <c r="K240" s="3" t="s">
        <v>631</v>
      </c>
    </row>
    <row r="241" spans="1:16" x14ac:dyDescent="0.25">
      <c r="A241" s="3">
        <f t="shared" si="4"/>
        <v>240</v>
      </c>
      <c r="C241" s="3" t="s">
        <v>603</v>
      </c>
      <c r="D241" s="3" t="s">
        <v>560</v>
      </c>
      <c r="E241" s="3" t="s">
        <v>604</v>
      </c>
      <c r="F241" s="3" t="s">
        <v>605</v>
      </c>
      <c r="G241" s="3" t="s">
        <v>632</v>
      </c>
      <c r="H241" s="3" t="s">
        <v>607</v>
      </c>
      <c r="I241" s="3" t="s">
        <v>633</v>
      </c>
      <c r="J241" s="3" t="s">
        <v>634</v>
      </c>
      <c r="K241" s="3" t="s">
        <v>635</v>
      </c>
    </row>
    <row r="242" spans="1:16" x14ac:dyDescent="0.25">
      <c r="A242" s="3">
        <f t="shared" si="4"/>
        <v>241</v>
      </c>
      <c r="C242" s="3" t="s">
        <v>603</v>
      </c>
      <c r="D242" s="3" t="s">
        <v>564</v>
      </c>
      <c r="E242" s="3" t="s">
        <v>604</v>
      </c>
      <c r="F242" s="3" t="s">
        <v>605</v>
      </c>
      <c r="G242" s="3" t="s">
        <v>636</v>
      </c>
      <c r="H242" s="3" t="s">
        <v>607</v>
      </c>
      <c r="I242" s="3" t="s">
        <v>633</v>
      </c>
      <c r="J242" s="3" t="s">
        <v>634</v>
      </c>
      <c r="K242" s="3" t="s">
        <v>637</v>
      </c>
      <c r="L242" s="3" t="s">
        <v>638</v>
      </c>
    </row>
    <row r="243" spans="1:16" x14ac:dyDescent="0.25">
      <c r="A243" s="3">
        <f t="shared" si="4"/>
        <v>242</v>
      </c>
      <c r="C243" s="3" t="s">
        <v>603</v>
      </c>
      <c r="D243" s="3" t="s">
        <v>568</v>
      </c>
      <c r="E243" s="3" t="s">
        <v>604</v>
      </c>
      <c r="F243" s="3" t="s">
        <v>605</v>
      </c>
      <c r="G243" s="3" t="s">
        <v>639</v>
      </c>
      <c r="H243" s="3" t="s">
        <v>607</v>
      </c>
      <c r="I243" s="3" t="s">
        <v>633</v>
      </c>
      <c r="J243" s="3" t="s">
        <v>634</v>
      </c>
      <c r="K243" s="3" t="s">
        <v>640</v>
      </c>
      <c r="L243" s="3" t="s">
        <v>641</v>
      </c>
    </row>
    <row r="244" spans="1:16" x14ac:dyDescent="0.25">
      <c r="A244" s="3">
        <f t="shared" si="4"/>
        <v>243</v>
      </c>
      <c r="C244" s="3" t="s">
        <v>603</v>
      </c>
      <c r="D244" s="3" t="s">
        <v>572</v>
      </c>
      <c r="E244" s="3" t="s">
        <v>604</v>
      </c>
      <c r="F244" s="3" t="s">
        <v>605</v>
      </c>
      <c r="G244" s="3" t="s">
        <v>642</v>
      </c>
      <c r="H244" s="3" t="s">
        <v>607</v>
      </c>
      <c r="I244" s="3" t="s">
        <v>643</v>
      </c>
      <c r="J244" s="3" t="s">
        <v>644</v>
      </c>
      <c r="K244" s="3" t="s">
        <v>645</v>
      </c>
      <c r="L244" s="3" t="s">
        <v>646</v>
      </c>
    </row>
    <row r="245" spans="1:16" x14ac:dyDescent="0.25">
      <c r="A245" s="3">
        <f t="shared" si="4"/>
        <v>244</v>
      </c>
      <c r="C245" s="3" t="s">
        <v>603</v>
      </c>
      <c r="D245" s="3" t="s">
        <v>576</v>
      </c>
      <c r="E245" s="3" t="s">
        <v>604</v>
      </c>
      <c r="F245" s="3" t="s">
        <v>605</v>
      </c>
      <c r="G245" s="3" t="s">
        <v>647</v>
      </c>
      <c r="H245" s="3" t="s">
        <v>607</v>
      </c>
      <c r="I245" s="3" t="s">
        <v>643</v>
      </c>
      <c r="J245" s="3" t="s">
        <v>644</v>
      </c>
      <c r="K245" s="3" t="s">
        <v>645</v>
      </c>
      <c r="L245" s="3" t="s">
        <v>648</v>
      </c>
    </row>
    <row r="246" spans="1:16" x14ac:dyDescent="0.25">
      <c r="A246" s="3">
        <f t="shared" si="4"/>
        <v>245</v>
      </c>
      <c r="C246" s="3" t="s">
        <v>603</v>
      </c>
      <c r="D246" s="3" t="s">
        <v>580</v>
      </c>
      <c r="E246" s="3" t="s">
        <v>604</v>
      </c>
      <c r="F246" s="3" t="s">
        <v>605</v>
      </c>
      <c r="G246" s="3" t="s">
        <v>649</v>
      </c>
      <c r="H246" s="3" t="s">
        <v>607</v>
      </c>
      <c r="I246" s="3" t="s">
        <v>643</v>
      </c>
      <c r="J246" s="3" t="s">
        <v>644</v>
      </c>
      <c r="K246" s="3" t="s">
        <v>645</v>
      </c>
      <c r="L246" s="3" t="s">
        <v>650</v>
      </c>
    </row>
    <row r="247" spans="1:16" x14ac:dyDescent="0.25">
      <c r="A247" s="3">
        <f t="shared" si="4"/>
        <v>246</v>
      </c>
      <c r="C247" s="3" t="s">
        <v>603</v>
      </c>
      <c r="D247" s="3" t="s">
        <v>584</v>
      </c>
      <c r="E247" s="3" t="s">
        <v>604</v>
      </c>
      <c r="F247" s="3" t="s">
        <v>605</v>
      </c>
      <c r="G247" s="3" t="s">
        <v>651</v>
      </c>
      <c r="H247" s="3" t="s">
        <v>607</v>
      </c>
      <c r="I247" s="3" t="s">
        <v>643</v>
      </c>
      <c r="J247" s="3" t="s">
        <v>652</v>
      </c>
      <c r="K247" s="3" t="s">
        <v>653</v>
      </c>
      <c r="L247" s="3" t="s">
        <v>646</v>
      </c>
      <c r="M247" s="3" t="s">
        <v>654</v>
      </c>
    </row>
    <row r="248" spans="1:16" x14ac:dyDescent="0.25">
      <c r="A248" s="3">
        <f t="shared" si="4"/>
        <v>247</v>
      </c>
      <c r="C248" s="3" t="s">
        <v>603</v>
      </c>
      <c r="D248" s="3" t="s">
        <v>588</v>
      </c>
      <c r="E248" s="3" t="s">
        <v>604</v>
      </c>
      <c r="F248" s="3" t="s">
        <v>605</v>
      </c>
      <c r="G248" s="3" t="s">
        <v>655</v>
      </c>
      <c r="H248" s="3" t="s">
        <v>607</v>
      </c>
      <c r="I248" s="3" t="s">
        <v>643</v>
      </c>
      <c r="J248" s="3" t="s">
        <v>652</v>
      </c>
      <c r="K248" s="3" t="s">
        <v>653</v>
      </c>
      <c r="L248" s="3" t="s">
        <v>648</v>
      </c>
      <c r="M248" s="3" t="s">
        <v>656</v>
      </c>
    </row>
    <row r="249" spans="1:16" x14ac:dyDescent="0.25">
      <c r="A249" s="3">
        <f t="shared" si="4"/>
        <v>248</v>
      </c>
      <c r="C249" s="3" t="s">
        <v>603</v>
      </c>
      <c r="D249" s="3" t="s">
        <v>592</v>
      </c>
      <c r="E249" s="3" t="s">
        <v>604</v>
      </c>
      <c r="F249" s="3" t="s">
        <v>605</v>
      </c>
      <c r="G249" s="3" t="s">
        <v>657</v>
      </c>
      <c r="H249" s="3" t="s">
        <v>607</v>
      </c>
      <c r="I249" s="3" t="s">
        <v>643</v>
      </c>
      <c r="J249" s="3" t="s">
        <v>652</v>
      </c>
      <c r="K249" s="3" t="s">
        <v>653</v>
      </c>
      <c r="L249" s="3" t="s">
        <v>648</v>
      </c>
      <c r="M249" s="3" t="s">
        <v>658</v>
      </c>
    </row>
    <row r="250" spans="1:16" x14ac:dyDescent="0.25">
      <c r="A250" s="3">
        <f t="shared" si="4"/>
        <v>249</v>
      </c>
      <c r="C250" s="3" t="s">
        <v>603</v>
      </c>
      <c r="D250" s="3" t="s">
        <v>596</v>
      </c>
      <c r="E250" s="3" t="s">
        <v>604</v>
      </c>
      <c r="F250" s="3" t="s">
        <v>605</v>
      </c>
      <c r="G250" s="3" t="s">
        <v>659</v>
      </c>
      <c r="H250" s="3" t="s">
        <v>607</v>
      </c>
      <c r="I250" s="3" t="s">
        <v>643</v>
      </c>
      <c r="J250" s="3" t="s">
        <v>652</v>
      </c>
      <c r="K250" s="3" t="s">
        <v>653</v>
      </c>
      <c r="L250" s="3" t="s">
        <v>648</v>
      </c>
      <c r="M250" s="3" t="s">
        <v>658</v>
      </c>
      <c r="N250" s="3" t="s">
        <v>660</v>
      </c>
    </row>
    <row r="251" spans="1:16" x14ac:dyDescent="0.25">
      <c r="A251" s="3">
        <f t="shared" si="4"/>
        <v>250</v>
      </c>
      <c r="C251" s="3" t="s">
        <v>603</v>
      </c>
      <c r="D251" s="3" t="s">
        <v>601</v>
      </c>
      <c r="E251" s="3" t="s">
        <v>604</v>
      </c>
      <c r="F251" s="3" t="s">
        <v>605</v>
      </c>
      <c r="G251" s="3" t="s">
        <v>661</v>
      </c>
      <c r="H251" s="3" t="s">
        <v>607</v>
      </c>
      <c r="I251" s="3" t="s">
        <v>643</v>
      </c>
      <c r="J251" s="3" t="s">
        <v>652</v>
      </c>
      <c r="K251" s="3" t="s">
        <v>653</v>
      </c>
      <c r="L251" s="3" t="s">
        <v>648</v>
      </c>
      <c r="M251" s="3" t="s">
        <v>658</v>
      </c>
      <c r="N251" s="3" t="s">
        <v>662</v>
      </c>
      <c r="O251" s="3" t="s">
        <v>663</v>
      </c>
    </row>
    <row r="252" spans="1:16" x14ac:dyDescent="0.25">
      <c r="A252" s="3">
        <f t="shared" si="4"/>
        <v>251</v>
      </c>
      <c r="C252" s="3" t="s">
        <v>603</v>
      </c>
      <c r="D252" s="3" t="s">
        <v>602</v>
      </c>
      <c r="E252" s="3" t="s">
        <v>604</v>
      </c>
      <c r="F252" s="3" t="s">
        <v>605</v>
      </c>
      <c r="G252" s="3" t="s">
        <v>664</v>
      </c>
      <c r="H252" s="3" t="s">
        <v>607</v>
      </c>
      <c r="I252" s="3" t="s">
        <v>643</v>
      </c>
      <c r="J252" s="3" t="s">
        <v>652</v>
      </c>
      <c r="K252" s="3" t="s">
        <v>653</v>
      </c>
      <c r="L252" s="3" t="s">
        <v>648</v>
      </c>
      <c r="M252" s="3" t="s">
        <v>658</v>
      </c>
      <c r="N252" s="3" t="s">
        <v>665</v>
      </c>
      <c r="O252" s="3" t="s">
        <v>666</v>
      </c>
      <c r="P252" s="3" t="s">
        <v>667</v>
      </c>
    </row>
    <row r="253" spans="1:16" x14ac:dyDescent="0.25">
      <c r="A253" s="3">
        <f t="shared" si="4"/>
        <v>252</v>
      </c>
      <c r="C253" s="3" t="s">
        <v>668</v>
      </c>
      <c r="D253" s="3" t="s">
        <v>669</v>
      </c>
      <c r="E253" s="3" t="s">
        <v>670</v>
      </c>
      <c r="F253" s="3" t="s">
        <v>671</v>
      </c>
    </row>
    <row r="254" spans="1:16" x14ac:dyDescent="0.25">
      <c r="A254" s="3">
        <f t="shared" si="4"/>
        <v>253</v>
      </c>
      <c r="C254" s="3" t="s">
        <v>668</v>
      </c>
      <c r="D254" s="3" t="s">
        <v>672</v>
      </c>
      <c r="E254" s="3" t="s">
        <v>673</v>
      </c>
      <c r="F254" s="3" t="s">
        <v>674</v>
      </c>
      <c r="G254" s="3">
        <v>0.1</v>
      </c>
    </row>
    <row r="255" spans="1:16" x14ac:dyDescent="0.25">
      <c r="A255" s="3">
        <f t="shared" si="4"/>
        <v>254</v>
      </c>
      <c r="C255" s="3" t="s">
        <v>668</v>
      </c>
      <c r="D255" s="3" t="s">
        <v>675</v>
      </c>
      <c r="E255" s="3" t="s">
        <v>676</v>
      </c>
      <c r="F255" s="3" t="s">
        <v>953</v>
      </c>
    </row>
    <row r="256" spans="1:16" x14ac:dyDescent="0.25">
      <c r="A256" s="3">
        <f t="shared" si="4"/>
        <v>255</v>
      </c>
      <c r="C256" s="3" t="s">
        <v>668</v>
      </c>
      <c r="D256" s="3" t="s">
        <v>677</v>
      </c>
      <c r="E256" s="3" t="s">
        <v>678</v>
      </c>
      <c r="F256" s="3" t="s">
        <v>954</v>
      </c>
    </row>
    <row r="257" spans="1:11" x14ac:dyDescent="0.25">
      <c r="A257" s="3">
        <f t="shared" si="4"/>
        <v>256</v>
      </c>
      <c r="C257" s="3" t="s">
        <v>668</v>
      </c>
      <c r="D257" s="3" t="s">
        <v>679</v>
      </c>
      <c r="E257" s="3" t="s">
        <v>680</v>
      </c>
      <c r="F257" s="3" t="s">
        <v>681</v>
      </c>
      <c r="G257" s="3">
        <v>0.5</v>
      </c>
    </row>
    <row r="258" spans="1:11" x14ac:dyDescent="0.25">
      <c r="A258" s="3">
        <f t="shared" si="4"/>
        <v>257</v>
      </c>
      <c r="C258" s="3" t="s">
        <v>668</v>
      </c>
      <c r="D258" s="3" t="s">
        <v>682</v>
      </c>
      <c r="E258" s="3" t="s">
        <v>683</v>
      </c>
      <c r="G258" s="3">
        <v>0.4</v>
      </c>
    </row>
    <row r="259" spans="1:11" x14ac:dyDescent="0.25">
      <c r="A259" s="3">
        <f t="shared" si="4"/>
        <v>258</v>
      </c>
      <c r="C259" s="3" t="s">
        <v>668</v>
      </c>
      <c r="D259" s="3" t="s">
        <v>521</v>
      </c>
      <c r="E259" s="3" t="s">
        <v>684</v>
      </c>
      <c r="F259" s="3" t="s">
        <v>685</v>
      </c>
      <c r="G259" s="3">
        <v>20000</v>
      </c>
      <c r="H259" s="3">
        <v>20</v>
      </c>
      <c r="I259" s="3">
        <v>10</v>
      </c>
    </row>
    <row r="260" spans="1:11" x14ac:dyDescent="0.25">
      <c r="A260" s="3">
        <f t="shared" si="4"/>
        <v>259</v>
      </c>
      <c r="C260" s="3" t="s">
        <v>668</v>
      </c>
      <c r="D260" s="3" t="s">
        <v>686</v>
      </c>
      <c r="E260" s="3" t="s">
        <v>687</v>
      </c>
      <c r="F260" s="3" t="s">
        <v>688</v>
      </c>
      <c r="G260" s="3">
        <v>3</v>
      </c>
    </row>
    <row r="261" spans="1:11" x14ac:dyDescent="0.25">
      <c r="A261" s="3">
        <f t="shared" si="4"/>
        <v>260</v>
      </c>
      <c r="C261" s="3" t="s">
        <v>668</v>
      </c>
      <c r="D261" s="3" t="s">
        <v>689</v>
      </c>
      <c r="E261" s="3" t="s">
        <v>690</v>
      </c>
      <c r="F261" s="3" t="s">
        <v>955</v>
      </c>
    </row>
    <row r="262" spans="1:11" x14ac:dyDescent="0.25">
      <c r="A262" s="3">
        <f t="shared" si="4"/>
        <v>261</v>
      </c>
      <c r="C262" s="3" t="s">
        <v>668</v>
      </c>
      <c r="D262" s="3" t="s">
        <v>691</v>
      </c>
      <c r="E262" s="3" t="s">
        <v>692</v>
      </c>
      <c r="F262" s="3" t="s">
        <v>693</v>
      </c>
      <c r="G262" s="3">
        <v>30</v>
      </c>
      <c r="H262" s="3">
        <v>10</v>
      </c>
      <c r="I262" s="3">
        <v>0.8</v>
      </c>
      <c r="J262" s="3">
        <v>1.5</v>
      </c>
      <c r="K262" s="3">
        <v>0.3</v>
      </c>
    </row>
    <row r="263" spans="1:11" x14ac:dyDescent="0.25">
      <c r="A263" s="3">
        <f t="shared" si="4"/>
        <v>262</v>
      </c>
      <c r="C263" s="3" t="s">
        <v>694</v>
      </c>
      <c r="D263" s="3" t="s">
        <v>695</v>
      </c>
      <c r="E263" s="3" t="s">
        <v>696</v>
      </c>
      <c r="F263" s="3" t="s">
        <v>697</v>
      </c>
      <c r="G263" s="3">
        <v>0.75</v>
      </c>
    </row>
    <row r="264" spans="1:11" x14ac:dyDescent="0.25">
      <c r="A264" s="3">
        <f t="shared" si="4"/>
        <v>263</v>
      </c>
      <c r="C264" s="3" t="s">
        <v>694</v>
      </c>
      <c r="D264" s="3" t="s">
        <v>698</v>
      </c>
      <c r="E264" s="3" t="s">
        <v>699</v>
      </c>
      <c r="G264" s="3">
        <v>1.25</v>
      </c>
    </row>
    <row r="265" spans="1:11" x14ac:dyDescent="0.25">
      <c r="A265" s="3">
        <f t="shared" ref="A265:A328" si="5">A264+1</f>
        <v>264</v>
      </c>
      <c r="C265" s="3" t="s">
        <v>694</v>
      </c>
      <c r="D265" s="3" t="s">
        <v>700</v>
      </c>
      <c r="E265" s="3" t="s">
        <v>701</v>
      </c>
      <c r="F265" s="3" t="s">
        <v>702</v>
      </c>
      <c r="G265" s="3">
        <v>45</v>
      </c>
      <c r="H265" s="3">
        <v>3</v>
      </c>
    </row>
    <row r="266" spans="1:11" x14ac:dyDescent="0.25">
      <c r="A266" s="3">
        <f t="shared" si="5"/>
        <v>265</v>
      </c>
      <c r="C266" s="3" t="s">
        <v>694</v>
      </c>
      <c r="D266" s="3" t="s">
        <v>703</v>
      </c>
      <c r="E266" s="3" t="s">
        <v>704</v>
      </c>
      <c r="F266" s="3" t="s">
        <v>956</v>
      </c>
    </row>
    <row r="267" spans="1:11" x14ac:dyDescent="0.25">
      <c r="A267" s="3">
        <f t="shared" si="5"/>
        <v>266</v>
      </c>
      <c r="C267" s="3" t="s">
        <v>694</v>
      </c>
      <c r="D267" s="3" t="s">
        <v>705</v>
      </c>
      <c r="E267" s="3" t="s">
        <v>706</v>
      </c>
      <c r="F267" s="3" t="s">
        <v>948</v>
      </c>
      <c r="G267" s="3">
        <v>0.1</v>
      </c>
    </row>
    <row r="268" spans="1:11" x14ac:dyDescent="0.25">
      <c r="A268" s="3">
        <f t="shared" si="5"/>
        <v>267</v>
      </c>
      <c r="C268" s="3" t="s">
        <v>707</v>
      </c>
      <c r="D268" s="3" t="s">
        <v>708</v>
      </c>
      <c r="E268" s="3" t="s">
        <v>709</v>
      </c>
      <c r="F268" s="3" t="s">
        <v>710</v>
      </c>
      <c r="G268" s="3">
        <v>8</v>
      </c>
    </row>
    <row r="269" spans="1:11" x14ac:dyDescent="0.25">
      <c r="A269" s="3">
        <f t="shared" si="5"/>
        <v>268</v>
      </c>
      <c r="C269" s="3" t="s">
        <v>707</v>
      </c>
      <c r="D269" s="3" t="s">
        <v>711</v>
      </c>
      <c r="E269" s="3" t="s">
        <v>712</v>
      </c>
      <c r="F269" s="3" t="s">
        <v>967</v>
      </c>
    </row>
    <row r="270" spans="1:11" x14ac:dyDescent="0.25">
      <c r="A270" s="3">
        <f t="shared" si="5"/>
        <v>269</v>
      </c>
      <c r="C270" s="3" t="s">
        <v>707</v>
      </c>
      <c r="D270" s="3" t="s">
        <v>713</v>
      </c>
      <c r="E270" s="3" t="s">
        <v>714</v>
      </c>
      <c r="F270" s="3" t="s">
        <v>968</v>
      </c>
    </row>
    <row r="271" spans="1:11" x14ac:dyDescent="0.25">
      <c r="A271" s="3">
        <f t="shared" si="5"/>
        <v>270</v>
      </c>
      <c r="C271" s="3" t="s">
        <v>707</v>
      </c>
      <c r="D271" s="3" t="s">
        <v>715</v>
      </c>
      <c r="E271" s="3" t="s">
        <v>716</v>
      </c>
      <c r="F271" s="3" t="s">
        <v>969</v>
      </c>
      <c r="G271" s="3">
        <v>0.8</v>
      </c>
    </row>
    <row r="272" spans="1:11" x14ac:dyDescent="0.25">
      <c r="A272" s="3">
        <f t="shared" si="5"/>
        <v>271</v>
      </c>
      <c r="C272" s="3" t="s">
        <v>707</v>
      </c>
      <c r="D272" s="3" t="s">
        <v>717</v>
      </c>
      <c r="E272" s="3" t="s">
        <v>718</v>
      </c>
      <c r="F272" s="3" t="s">
        <v>719</v>
      </c>
      <c r="G272" s="3">
        <v>0.5</v>
      </c>
      <c r="H272" s="3">
        <v>20000</v>
      </c>
    </row>
    <row r="273" spans="1:12" x14ac:dyDescent="0.25">
      <c r="A273" s="3">
        <f t="shared" si="5"/>
        <v>272</v>
      </c>
      <c r="C273" s="3" t="s">
        <v>707</v>
      </c>
      <c r="D273" s="3" t="s">
        <v>720</v>
      </c>
      <c r="E273" s="3" t="s">
        <v>721</v>
      </c>
      <c r="F273" s="3" t="s">
        <v>970</v>
      </c>
      <c r="G273" s="3">
        <v>30</v>
      </c>
    </row>
    <row r="274" spans="1:12" x14ac:dyDescent="0.25">
      <c r="A274" s="3">
        <f t="shared" si="5"/>
        <v>273</v>
      </c>
      <c r="C274" s="3" t="s">
        <v>722</v>
      </c>
      <c r="D274" s="3" t="s">
        <v>723</v>
      </c>
      <c r="E274" s="3" t="s">
        <v>37</v>
      </c>
      <c r="F274" s="3" t="s">
        <v>724</v>
      </c>
      <c r="G274" s="3">
        <v>1</v>
      </c>
      <c r="H274" s="3">
        <v>1</v>
      </c>
      <c r="I274" s="3">
        <v>2</v>
      </c>
      <c r="J274" s="3">
        <v>1</v>
      </c>
      <c r="K274" s="3">
        <v>1</v>
      </c>
      <c r="L274" s="3">
        <v>1</v>
      </c>
    </row>
    <row r="275" spans="1:12" x14ac:dyDescent="0.25">
      <c r="A275" s="3">
        <f t="shared" si="5"/>
        <v>274</v>
      </c>
      <c r="C275" s="3" t="s">
        <v>722</v>
      </c>
      <c r="D275" s="3" t="s">
        <v>725</v>
      </c>
      <c r="E275" s="3" t="s">
        <v>37</v>
      </c>
      <c r="F275" s="3" t="s">
        <v>724</v>
      </c>
      <c r="G275" s="3">
        <v>1.35</v>
      </c>
      <c r="H275" s="3">
        <v>1</v>
      </c>
      <c r="I275" s="3">
        <v>2</v>
      </c>
      <c r="J275" s="3">
        <v>1</v>
      </c>
      <c r="K275" s="3">
        <v>1</v>
      </c>
      <c r="L275" s="3">
        <v>1.7</v>
      </c>
    </row>
    <row r="276" spans="1:12" x14ac:dyDescent="0.25">
      <c r="A276" s="3">
        <f t="shared" si="5"/>
        <v>275</v>
      </c>
      <c r="C276" s="3" t="s">
        <v>722</v>
      </c>
      <c r="D276" s="3" t="s">
        <v>726</v>
      </c>
      <c r="E276" s="3" t="s">
        <v>37</v>
      </c>
      <c r="F276" s="3" t="s">
        <v>724</v>
      </c>
      <c r="G276" s="3">
        <v>1.75</v>
      </c>
      <c r="H276" s="3">
        <v>2</v>
      </c>
      <c r="I276" s="3">
        <v>3</v>
      </c>
      <c r="J276" s="3">
        <v>2</v>
      </c>
      <c r="K276" s="3">
        <v>1</v>
      </c>
      <c r="L276" s="3">
        <v>2.8</v>
      </c>
    </row>
    <row r="277" spans="1:12" x14ac:dyDescent="0.25">
      <c r="A277" s="3">
        <f t="shared" si="5"/>
        <v>276</v>
      </c>
      <c r="C277" s="3" t="s">
        <v>722</v>
      </c>
      <c r="D277" s="3" t="s">
        <v>727</v>
      </c>
      <c r="E277" s="3" t="s">
        <v>37</v>
      </c>
      <c r="F277" s="3" t="s">
        <v>724</v>
      </c>
      <c r="G277" s="3">
        <v>2.2999999999999998</v>
      </c>
      <c r="H277" s="3">
        <v>3</v>
      </c>
      <c r="I277" s="3">
        <v>4</v>
      </c>
      <c r="J277" s="3">
        <v>2</v>
      </c>
      <c r="K277" s="3">
        <v>2</v>
      </c>
      <c r="L277" s="3">
        <v>4.5</v>
      </c>
    </row>
    <row r="278" spans="1:12" x14ac:dyDescent="0.25">
      <c r="A278" s="3">
        <f t="shared" si="5"/>
        <v>277</v>
      </c>
      <c r="C278" s="3" t="s">
        <v>722</v>
      </c>
      <c r="D278" s="3" t="s">
        <v>728</v>
      </c>
      <c r="E278" s="3" t="s">
        <v>37</v>
      </c>
      <c r="F278" s="3" t="s">
        <v>724</v>
      </c>
      <c r="G278" s="3">
        <v>3</v>
      </c>
      <c r="H278" s="3">
        <v>4</v>
      </c>
      <c r="I278" s="3">
        <v>5</v>
      </c>
      <c r="J278" s="3">
        <v>3</v>
      </c>
      <c r="K278" s="3">
        <v>2</v>
      </c>
      <c r="L278" s="3">
        <v>7.5</v>
      </c>
    </row>
    <row r="279" spans="1:12" x14ac:dyDescent="0.25">
      <c r="A279" s="3">
        <f t="shared" si="5"/>
        <v>278</v>
      </c>
      <c r="C279" s="3" t="s">
        <v>722</v>
      </c>
      <c r="D279" s="3" t="s">
        <v>729</v>
      </c>
      <c r="E279" s="3" t="s">
        <v>37</v>
      </c>
      <c r="F279" s="3" t="s">
        <v>724</v>
      </c>
      <c r="G279" s="3">
        <v>4</v>
      </c>
      <c r="H279" s="3">
        <v>4</v>
      </c>
      <c r="I279" s="3">
        <v>5</v>
      </c>
      <c r="J279" s="3">
        <v>4</v>
      </c>
      <c r="K279" s="3">
        <v>2</v>
      </c>
      <c r="L279" s="3">
        <v>12</v>
      </c>
    </row>
    <row r="280" spans="1:12" x14ac:dyDescent="0.25">
      <c r="A280" s="3">
        <f t="shared" si="5"/>
        <v>279</v>
      </c>
      <c r="C280" s="3" t="s">
        <v>722</v>
      </c>
      <c r="D280" s="3" t="s">
        <v>730</v>
      </c>
      <c r="E280" s="3" t="s">
        <v>37</v>
      </c>
      <c r="F280" s="3" t="s">
        <v>724</v>
      </c>
      <c r="G280" s="3">
        <v>5.2</v>
      </c>
      <c r="H280" s="3">
        <v>6</v>
      </c>
      <c r="I280" s="3">
        <v>6</v>
      </c>
      <c r="J280" s="3">
        <v>5</v>
      </c>
      <c r="K280" s="3">
        <v>3</v>
      </c>
      <c r="L280" s="3">
        <v>19</v>
      </c>
    </row>
    <row r="281" spans="1:12" x14ac:dyDescent="0.25">
      <c r="A281" s="3">
        <f t="shared" si="5"/>
        <v>280</v>
      </c>
      <c r="C281" s="3" t="s">
        <v>722</v>
      </c>
      <c r="D281" s="3" t="s">
        <v>731</v>
      </c>
      <c r="E281" s="3" t="s">
        <v>37</v>
      </c>
      <c r="F281" s="3" t="s">
        <v>724</v>
      </c>
      <c r="G281" s="3">
        <v>6.8</v>
      </c>
      <c r="H281" s="3">
        <v>7</v>
      </c>
      <c r="I281" s="3">
        <v>7</v>
      </c>
      <c r="J281" s="3">
        <v>6</v>
      </c>
      <c r="K281" s="3">
        <v>3</v>
      </c>
      <c r="L281" s="3">
        <v>30</v>
      </c>
    </row>
    <row r="282" spans="1:12" x14ac:dyDescent="0.25">
      <c r="A282" s="3">
        <f t="shared" si="5"/>
        <v>281</v>
      </c>
      <c r="C282" s="3" t="s">
        <v>722</v>
      </c>
      <c r="D282" s="3" t="s">
        <v>732</v>
      </c>
      <c r="E282" s="3" t="s">
        <v>37</v>
      </c>
      <c r="F282" s="3" t="s">
        <v>724</v>
      </c>
      <c r="G282" s="3">
        <v>10.199999999999999</v>
      </c>
      <c r="H282" s="3">
        <v>7</v>
      </c>
      <c r="I282" s="3">
        <v>7</v>
      </c>
      <c r="J282" s="3">
        <v>6</v>
      </c>
      <c r="K282" s="3">
        <v>3</v>
      </c>
      <c r="L282" s="3">
        <v>45</v>
      </c>
    </row>
    <row r="283" spans="1:12" x14ac:dyDescent="0.25">
      <c r="A283" s="3">
        <f t="shared" si="5"/>
        <v>282</v>
      </c>
      <c r="C283" s="3" t="s">
        <v>733</v>
      </c>
      <c r="D283" s="3" t="s">
        <v>79</v>
      </c>
      <c r="E283" s="3" t="s">
        <v>734</v>
      </c>
      <c r="F283" s="3" t="s">
        <v>735</v>
      </c>
      <c r="G283" s="3">
        <v>4</v>
      </c>
      <c r="H283" s="3">
        <v>0.55000000000000004</v>
      </c>
      <c r="I283" s="3">
        <v>11</v>
      </c>
      <c r="J283" s="3" t="s">
        <v>260</v>
      </c>
      <c r="K283" s="3" t="s">
        <v>736</v>
      </c>
    </row>
    <row r="284" spans="1:12" x14ac:dyDescent="0.25">
      <c r="A284" s="3">
        <f t="shared" si="5"/>
        <v>283</v>
      </c>
      <c r="C284" s="3" t="s">
        <v>733</v>
      </c>
      <c r="D284" s="3" t="s">
        <v>737</v>
      </c>
      <c r="E284" s="3" t="s">
        <v>734</v>
      </c>
      <c r="F284" s="3" t="s">
        <v>735</v>
      </c>
      <c r="G284" s="3">
        <v>4</v>
      </c>
      <c r="H284" s="3">
        <v>0.02</v>
      </c>
      <c r="I284" s="3">
        <v>7</v>
      </c>
      <c r="J284" s="3" t="s">
        <v>260</v>
      </c>
      <c r="K284" s="3" t="s">
        <v>738</v>
      </c>
    </row>
    <row r="285" spans="1:12" x14ac:dyDescent="0.25">
      <c r="A285" s="3">
        <f t="shared" si="5"/>
        <v>284</v>
      </c>
      <c r="C285" s="3" t="s">
        <v>733</v>
      </c>
      <c r="D285" s="3" t="s">
        <v>82</v>
      </c>
      <c r="E285" s="3" t="s">
        <v>734</v>
      </c>
      <c r="F285" s="3" t="s">
        <v>735</v>
      </c>
      <c r="G285" s="3">
        <v>4</v>
      </c>
      <c r="H285" s="3">
        <v>0.55000000000000004</v>
      </c>
      <c r="I285" s="3">
        <v>11</v>
      </c>
      <c r="J285" s="3" t="s">
        <v>260</v>
      </c>
      <c r="K285" s="3" t="s">
        <v>736</v>
      </c>
    </row>
    <row r="286" spans="1:12" x14ac:dyDescent="0.25">
      <c r="A286" s="3">
        <f t="shared" si="5"/>
        <v>285</v>
      </c>
      <c r="C286" s="3" t="s">
        <v>733</v>
      </c>
      <c r="D286" s="3" t="s">
        <v>739</v>
      </c>
      <c r="E286" s="3" t="s">
        <v>734</v>
      </c>
      <c r="F286" s="3" t="s">
        <v>735</v>
      </c>
      <c r="G286" s="3">
        <v>4</v>
      </c>
      <c r="H286" s="3">
        <v>0.02</v>
      </c>
      <c r="I286" s="3">
        <v>7</v>
      </c>
      <c r="J286" s="3" t="s">
        <v>260</v>
      </c>
      <c r="K286" s="3" t="s">
        <v>738</v>
      </c>
    </row>
    <row r="287" spans="1:12" x14ac:dyDescent="0.25">
      <c r="A287" s="3">
        <f t="shared" si="5"/>
        <v>286</v>
      </c>
      <c r="C287" s="3" t="s">
        <v>733</v>
      </c>
      <c r="D287" s="3" t="s">
        <v>740</v>
      </c>
      <c r="E287" s="3" t="s">
        <v>734</v>
      </c>
      <c r="F287" s="3" t="s">
        <v>735</v>
      </c>
      <c r="G287" s="3">
        <v>22</v>
      </c>
      <c r="H287" s="3">
        <v>3</v>
      </c>
      <c r="I287" s="3">
        <v>11</v>
      </c>
      <c r="J287" s="3" t="s">
        <v>260</v>
      </c>
      <c r="K287" s="3" t="s">
        <v>736</v>
      </c>
    </row>
    <row r="288" spans="1:12" x14ac:dyDescent="0.25">
      <c r="A288" s="3">
        <f t="shared" si="5"/>
        <v>287</v>
      </c>
      <c r="C288" s="3" t="s">
        <v>733</v>
      </c>
      <c r="D288" s="3" t="s">
        <v>741</v>
      </c>
      <c r="E288" s="3" t="s">
        <v>734</v>
      </c>
      <c r="F288" s="3" t="s">
        <v>735</v>
      </c>
      <c r="G288" s="3">
        <v>5</v>
      </c>
      <c r="H288" s="3">
        <v>0.02</v>
      </c>
      <c r="I288" s="3">
        <v>7</v>
      </c>
      <c r="J288" s="3" t="s">
        <v>260</v>
      </c>
      <c r="K288" s="3" t="s">
        <v>738</v>
      </c>
    </row>
    <row r="289" spans="1:11" x14ac:dyDescent="0.25">
      <c r="A289" s="3">
        <f t="shared" si="5"/>
        <v>288</v>
      </c>
      <c r="C289" s="3" t="s">
        <v>733</v>
      </c>
      <c r="D289" s="3" t="s">
        <v>742</v>
      </c>
      <c r="E289" s="3" t="s">
        <v>734</v>
      </c>
      <c r="F289" s="3" t="s">
        <v>735</v>
      </c>
      <c r="G289" s="3">
        <v>2</v>
      </c>
      <c r="H289" s="3">
        <v>0.5</v>
      </c>
      <c r="I289" s="3">
        <v>5</v>
      </c>
      <c r="J289" s="3" t="s">
        <v>260</v>
      </c>
      <c r="K289" s="3" t="s">
        <v>736</v>
      </c>
    </row>
    <row r="290" spans="1:11" x14ac:dyDescent="0.25">
      <c r="A290" s="3">
        <f t="shared" si="5"/>
        <v>289</v>
      </c>
      <c r="C290" s="3" t="s">
        <v>733</v>
      </c>
      <c r="D290" s="3" t="s">
        <v>743</v>
      </c>
      <c r="E290" s="3" t="s">
        <v>734</v>
      </c>
      <c r="F290" s="3" t="s">
        <v>735</v>
      </c>
      <c r="G290" s="3">
        <v>10</v>
      </c>
      <c r="H290" s="3">
        <v>1.2</v>
      </c>
      <c r="I290" s="3">
        <v>5</v>
      </c>
      <c r="J290" s="3" t="s">
        <v>260</v>
      </c>
      <c r="K290" s="3" t="s">
        <v>736</v>
      </c>
    </row>
    <row r="291" spans="1:11" x14ac:dyDescent="0.25">
      <c r="A291" s="3">
        <f t="shared" si="5"/>
        <v>290</v>
      </c>
      <c r="C291" s="3" t="s">
        <v>733</v>
      </c>
      <c r="D291" s="3" t="s">
        <v>76</v>
      </c>
      <c r="E291" s="3" t="s">
        <v>734</v>
      </c>
      <c r="F291" s="3" t="s">
        <v>735</v>
      </c>
      <c r="G291" s="3">
        <v>0.8</v>
      </c>
      <c r="H291" s="3">
        <v>0.06</v>
      </c>
      <c r="I291" s="3">
        <v>4</v>
      </c>
      <c r="J291" s="3" t="s">
        <v>260</v>
      </c>
      <c r="K291" s="3" t="s">
        <v>736</v>
      </c>
    </row>
    <row r="292" spans="1:11" x14ac:dyDescent="0.25">
      <c r="A292" s="3">
        <f t="shared" si="5"/>
        <v>291</v>
      </c>
      <c r="C292" s="3" t="s">
        <v>733</v>
      </c>
      <c r="D292" s="3" t="s">
        <v>744</v>
      </c>
      <c r="E292" s="3" t="s">
        <v>734</v>
      </c>
      <c r="F292" s="3" t="s">
        <v>735</v>
      </c>
      <c r="G292" s="3">
        <v>3</v>
      </c>
      <c r="H292" s="3">
        <v>0.4</v>
      </c>
      <c r="I292" s="3">
        <v>8</v>
      </c>
      <c r="J292" s="3" t="s">
        <v>260</v>
      </c>
      <c r="K292" s="3" t="s">
        <v>736</v>
      </c>
    </row>
    <row r="293" spans="1:11" x14ac:dyDescent="0.25">
      <c r="A293" s="3">
        <f t="shared" si="5"/>
        <v>292</v>
      </c>
      <c r="C293" s="3" t="s">
        <v>733</v>
      </c>
      <c r="D293" s="3" t="s">
        <v>745</v>
      </c>
      <c r="E293" s="3" t="s">
        <v>734</v>
      </c>
      <c r="F293" s="3" t="s">
        <v>735</v>
      </c>
      <c r="G293" s="3">
        <v>3</v>
      </c>
      <c r="H293" s="3">
        <v>0.4</v>
      </c>
      <c r="I293" s="3">
        <v>8</v>
      </c>
      <c r="J293" s="3" t="s">
        <v>260</v>
      </c>
      <c r="K293" s="3" t="s">
        <v>736</v>
      </c>
    </row>
    <row r="294" spans="1:11" x14ac:dyDescent="0.25">
      <c r="A294" s="3">
        <f t="shared" si="5"/>
        <v>293</v>
      </c>
      <c r="C294" s="3" t="s">
        <v>733</v>
      </c>
      <c r="D294" s="3" t="s">
        <v>746</v>
      </c>
      <c r="E294" s="3" t="s">
        <v>734</v>
      </c>
      <c r="F294" s="3" t="s">
        <v>735</v>
      </c>
      <c r="G294" s="3">
        <v>3</v>
      </c>
      <c r="H294" s="3">
        <v>0.4</v>
      </c>
      <c r="I294" s="3">
        <v>8</v>
      </c>
      <c r="J294" s="3" t="s">
        <v>260</v>
      </c>
      <c r="K294" s="3" t="s">
        <v>736</v>
      </c>
    </row>
    <row r="295" spans="1:11" x14ac:dyDescent="0.25">
      <c r="A295" s="3">
        <f t="shared" si="5"/>
        <v>294</v>
      </c>
      <c r="C295" s="3" t="s">
        <v>733</v>
      </c>
      <c r="D295" s="3" t="s">
        <v>747</v>
      </c>
      <c r="E295" s="3" t="s">
        <v>734</v>
      </c>
      <c r="F295" s="3" t="s">
        <v>735</v>
      </c>
      <c r="G295" s="3">
        <v>3</v>
      </c>
      <c r="H295" s="3">
        <v>0.4</v>
      </c>
      <c r="I295" s="3">
        <v>8</v>
      </c>
      <c r="J295" s="3" t="s">
        <v>260</v>
      </c>
      <c r="K295" s="3" t="s">
        <v>736</v>
      </c>
    </row>
    <row r="296" spans="1:11" x14ac:dyDescent="0.25">
      <c r="A296" s="3">
        <f t="shared" si="5"/>
        <v>295</v>
      </c>
      <c r="C296" s="3" t="s">
        <v>733</v>
      </c>
      <c r="D296" s="3" t="s">
        <v>85</v>
      </c>
      <c r="E296" s="3" t="s">
        <v>734</v>
      </c>
      <c r="F296" s="3" t="s">
        <v>735</v>
      </c>
      <c r="G296" s="3">
        <v>3</v>
      </c>
      <c r="H296" s="3">
        <v>0.35</v>
      </c>
      <c r="I296" s="3">
        <v>9</v>
      </c>
      <c r="J296" s="3" t="s">
        <v>260</v>
      </c>
      <c r="K296" s="3" t="s">
        <v>736</v>
      </c>
    </row>
    <row r="297" spans="1:11" x14ac:dyDescent="0.25">
      <c r="A297" s="3">
        <f t="shared" si="5"/>
        <v>296</v>
      </c>
      <c r="C297" s="3" t="s">
        <v>733</v>
      </c>
      <c r="D297" s="3" t="s">
        <v>748</v>
      </c>
      <c r="E297" s="3" t="s">
        <v>734</v>
      </c>
      <c r="F297" s="3" t="s">
        <v>735</v>
      </c>
      <c r="G297" s="3">
        <v>4</v>
      </c>
      <c r="H297" s="3">
        <v>0.02</v>
      </c>
      <c r="I297" s="3">
        <v>6</v>
      </c>
      <c r="J297" s="3" t="s">
        <v>260</v>
      </c>
      <c r="K297" s="3" t="s">
        <v>738</v>
      </c>
    </row>
    <row r="298" spans="1:11" x14ac:dyDescent="0.25">
      <c r="A298" s="3">
        <f t="shared" si="5"/>
        <v>297</v>
      </c>
      <c r="C298" s="3" t="s">
        <v>733</v>
      </c>
      <c r="D298" s="3" t="s">
        <v>88</v>
      </c>
      <c r="E298" s="3" t="s">
        <v>734</v>
      </c>
      <c r="F298" s="3" t="s">
        <v>735</v>
      </c>
      <c r="G298" s="3">
        <v>3</v>
      </c>
      <c r="H298" s="3">
        <v>0.35</v>
      </c>
      <c r="I298" s="3">
        <v>9</v>
      </c>
      <c r="J298" s="3" t="s">
        <v>260</v>
      </c>
      <c r="K298" s="3" t="s">
        <v>736</v>
      </c>
    </row>
    <row r="299" spans="1:11" x14ac:dyDescent="0.25">
      <c r="A299" s="3">
        <f t="shared" si="5"/>
        <v>298</v>
      </c>
      <c r="C299" s="3" t="s">
        <v>733</v>
      </c>
      <c r="D299" s="3" t="s">
        <v>107</v>
      </c>
      <c r="E299" s="3" t="s">
        <v>734</v>
      </c>
      <c r="F299" s="3" t="s">
        <v>735</v>
      </c>
      <c r="G299" s="3">
        <v>3</v>
      </c>
      <c r="H299" s="3">
        <v>0.35</v>
      </c>
      <c r="I299" s="3">
        <v>9</v>
      </c>
      <c r="J299" s="3" t="s">
        <v>728</v>
      </c>
      <c r="K299" s="3" t="s">
        <v>736</v>
      </c>
    </row>
    <row r="300" spans="1:11" x14ac:dyDescent="0.25">
      <c r="A300" s="3">
        <f t="shared" si="5"/>
        <v>299</v>
      </c>
      <c r="C300" s="3" t="s">
        <v>733</v>
      </c>
      <c r="D300" s="3" t="s">
        <v>749</v>
      </c>
      <c r="E300" s="3" t="s">
        <v>734</v>
      </c>
      <c r="F300" s="3" t="s">
        <v>735</v>
      </c>
      <c r="G300" s="3">
        <v>3</v>
      </c>
      <c r="H300" s="3">
        <v>1.2E-2</v>
      </c>
      <c r="I300" s="3">
        <v>6</v>
      </c>
      <c r="J300" s="3" t="s">
        <v>260</v>
      </c>
      <c r="K300" s="3" t="s">
        <v>738</v>
      </c>
    </row>
    <row r="301" spans="1:11" x14ac:dyDescent="0.25">
      <c r="A301" s="3">
        <f t="shared" si="5"/>
        <v>300</v>
      </c>
      <c r="C301" s="3" t="s">
        <v>733</v>
      </c>
      <c r="D301" s="3" t="s">
        <v>750</v>
      </c>
      <c r="E301" s="3" t="s">
        <v>734</v>
      </c>
      <c r="F301" s="3" t="s">
        <v>735</v>
      </c>
      <c r="G301" s="3">
        <v>2.5</v>
      </c>
      <c r="H301" s="3">
        <v>1.2E-2</v>
      </c>
      <c r="I301" s="3">
        <v>6</v>
      </c>
      <c r="J301" s="3" t="s">
        <v>260</v>
      </c>
      <c r="K301" s="3" t="s">
        <v>738</v>
      </c>
    </row>
    <row r="302" spans="1:11" x14ac:dyDescent="0.25">
      <c r="A302" s="3">
        <f t="shared" si="5"/>
        <v>301</v>
      </c>
      <c r="C302" s="3" t="s">
        <v>733</v>
      </c>
      <c r="D302" s="3" t="s">
        <v>751</v>
      </c>
      <c r="E302" s="3" t="s">
        <v>734</v>
      </c>
      <c r="F302" s="3" t="s">
        <v>735</v>
      </c>
      <c r="G302" s="3">
        <v>8</v>
      </c>
      <c r="H302" s="3">
        <v>0.05</v>
      </c>
      <c r="I302" s="3">
        <v>5</v>
      </c>
      <c r="J302" s="3" t="s">
        <v>260</v>
      </c>
      <c r="K302" s="3" t="s">
        <v>738</v>
      </c>
    </row>
    <row r="303" spans="1:11" x14ac:dyDescent="0.25">
      <c r="A303" s="3">
        <f t="shared" si="5"/>
        <v>302</v>
      </c>
      <c r="C303" s="3" t="s">
        <v>733</v>
      </c>
      <c r="D303" s="3" t="s">
        <v>752</v>
      </c>
      <c r="E303" s="3" t="s">
        <v>734</v>
      </c>
      <c r="F303" s="3" t="s">
        <v>735</v>
      </c>
      <c r="G303" s="3">
        <v>3</v>
      </c>
      <c r="H303" s="3">
        <v>1.4999999999999999E-2</v>
      </c>
      <c r="I303" s="3">
        <v>4</v>
      </c>
      <c r="J303" s="3" t="s">
        <v>725</v>
      </c>
      <c r="K303" s="3" t="s">
        <v>738</v>
      </c>
    </row>
    <row r="304" spans="1:11" x14ac:dyDescent="0.25">
      <c r="A304" s="3">
        <f t="shared" si="5"/>
        <v>303</v>
      </c>
      <c r="C304" s="3" t="s">
        <v>733</v>
      </c>
      <c r="D304" s="3" t="s">
        <v>753</v>
      </c>
      <c r="E304" s="3" t="s">
        <v>734</v>
      </c>
      <c r="F304" s="3" t="s">
        <v>735</v>
      </c>
      <c r="G304" s="3">
        <v>3</v>
      </c>
      <c r="H304" s="3">
        <v>1.4999999999999999E-2</v>
      </c>
      <c r="I304" s="3">
        <v>4</v>
      </c>
      <c r="J304" s="3" t="s">
        <v>725</v>
      </c>
      <c r="K304" s="3" t="s">
        <v>738</v>
      </c>
    </row>
    <row r="305" spans="1:11" x14ac:dyDescent="0.25">
      <c r="A305" s="3">
        <f t="shared" si="5"/>
        <v>304</v>
      </c>
      <c r="C305" s="3" t="s">
        <v>733</v>
      </c>
      <c r="D305" s="3" t="s">
        <v>754</v>
      </c>
      <c r="E305" s="3" t="s">
        <v>734</v>
      </c>
      <c r="F305" s="3" t="s">
        <v>735</v>
      </c>
      <c r="G305" s="3">
        <v>3</v>
      </c>
      <c r="H305" s="3">
        <v>1.4999999999999999E-2</v>
      </c>
      <c r="I305" s="3">
        <v>5</v>
      </c>
      <c r="J305" s="3" t="s">
        <v>260</v>
      </c>
      <c r="K305" s="3" t="s">
        <v>738</v>
      </c>
    </row>
    <row r="306" spans="1:11" x14ac:dyDescent="0.25">
      <c r="A306" s="3">
        <f t="shared" si="5"/>
        <v>305</v>
      </c>
      <c r="C306" s="3" t="s">
        <v>733</v>
      </c>
      <c r="D306" s="3" t="s">
        <v>755</v>
      </c>
      <c r="E306" s="3" t="s">
        <v>734</v>
      </c>
      <c r="F306" s="3" t="s">
        <v>735</v>
      </c>
      <c r="G306" s="3">
        <v>2.5</v>
      </c>
      <c r="H306" s="3">
        <v>0.01</v>
      </c>
      <c r="I306" s="3">
        <v>4</v>
      </c>
      <c r="J306" s="3" t="s">
        <v>726</v>
      </c>
      <c r="K306" s="3" t="s">
        <v>738</v>
      </c>
    </row>
    <row r="307" spans="1:11" x14ac:dyDescent="0.25">
      <c r="A307" s="3">
        <f t="shared" si="5"/>
        <v>306</v>
      </c>
      <c r="C307" s="3" t="s">
        <v>733</v>
      </c>
      <c r="D307" s="3" t="s">
        <v>756</v>
      </c>
      <c r="E307" s="3" t="s">
        <v>734</v>
      </c>
      <c r="F307" s="3" t="s">
        <v>735</v>
      </c>
      <c r="G307" s="3">
        <v>3</v>
      </c>
      <c r="H307" s="3">
        <v>1.2E-2</v>
      </c>
      <c r="I307" s="3">
        <v>4</v>
      </c>
      <c r="J307" s="3" t="s">
        <v>726</v>
      </c>
      <c r="K307" s="3" t="s">
        <v>738</v>
      </c>
    </row>
    <row r="308" spans="1:11" x14ac:dyDescent="0.25">
      <c r="A308" s="3">
        <f t="shared" si="5"/>
        <v>307</v>
      </c>
      <c r="C308" s="3" t="s">
        <v>733</v>
      </c>
      <c r="D308" s="3" t="s">
        <v>757</v>
      </c>
      <c r="E308" s="3" t="s">
        <v>734</v>
      </c>
      <c r="F308" s="3" t="s">
        <v>735</v>
      </c>
      <c r="G308" s="3">
        <v>1.5</v>
      </c>
      <c r="H308" s="3">
        <v>8.0000000000000002E-3</v>
      </c>
      <c r="I308" s="3">
        <v>4</v>
      </c>
      <c r="J308" s="3" t="s">
        <v>260</v>
      </c>
      <c r="K308" s="3" t="s">
        <v>738</v>
      </c>
    </row>
    <row r="309" spans="1:11" x14ac:dyDescent="0.25">
      <c r="A309" s="3">
        <f t="shared" si="5"/>
        <v>308</v>
      </c>
      <c r="C309" s="3" t="s">
        <v>733</v>
      </c>
      <c r="D309" s="3" t="s">
        <v>758</v>
      </c>
      <c r="E309" s="3" t="s">
        <v>734</v>
      </c>
      <c r="F309" s="3" t="s">
        <v>735</v>
      </c>
      <c r="G309" s="3">
        <v>1.2</v>
      </c>
      <c r="H309" s="3">
        <v>6.0000000000000001E-3</v>
      </c>
      <c r="I309" s="3">
        <v>3</v>
      </c>
      <c r="J309" s="3" t="s">
        <v>726</v>
      </c>
      <c r="K309" s="3" t="s">
        <v>738</v>
      </c>
    </row>
    <row r="310" spans="1:11" x14ac:dyDescent="0.25">
      <c r="A310" s="3">
        <f t="shared" si="5"/>
        <v>309</v>
      </c>
      <c r="C310" s="3" t="s">
        <v>733</v>
      </c>
      <c r="D310" s="3" t="s">
        <v>759</v>
      </c>
      <c r="E310" s="3" t="s">
        <v>734</v>
      </c>
      <c r="F310" s="3" t="s">
        <v>735</v>
      </c>
      <c r="G310" s="3">
        <v>4</v>
      </c>
      <c r="H310" s="3">
        <v>0.02</v>
      </c>
      <c r="I310" s="3">
        <v>4</v>
      </c>
      <c r="J310" s="3" t="s">
        <v>726</v>
      </c>
      <c r="K310" s="3" t="s">
        <v>738</v>
      </c>
    </row>
    <row r="311" spans="1:11" x14ac:dyDescent="0.25">
      <c r="A311" s="3">
        <f t="shared" si="5"/>
        <v>310</v>
      </c>
      <c r="C311" s="3" t="s">
        <v>733</v>
      </c>
      <c r="D311" s="3" t="s">
        <v>760</v>
      </c>
      <c r="E311" s="3" t="s">
        <v>734</v>
      </c>
      <c r="F311" s="3" t="s">
        <v>735</v>
      </c>
      <c r="G311" s="3">
        <v>4</v>
      </c>
      <c r="H311" s="3">
        <v>0.02</v>
      </c>
      <c r="I311" s="3">
        <v>4</v>
      </c>
      <c r="J311" s="3" t="s">
        <v>726</v>
      </c>
      <c r="K311" s="3" t="s">
        <v>738</v>
      </c>
    </row>
    <row r="312" spans="1:11" x14ac:dyDescent="0.25">
      <c r="A312" s="3">
        <f t="shared" si="5"/>
        <v>311</v>
      </c>
      <c r="C312" s="3" t="s">
        <v>733</v>
      </c>
      <c r="D312" s="3" t="s">
        <v>761</v>
      </c>
      <c r="E312" s="3" t="s">
        <v>734</v>
      </c>
      <c r="F312" s="3" t="s">
        <v>735</v>
      </c>
      <c r="G312" s="3">
        <v>4</v>
      </c>
      <c r="H312" s="3">
        <v>0.02</v>
      </c>
      <c r="I312" s="3">
        <v>4</v>
      </c>
      <c r="J312" s="3" t="s">
        <v>726</v>
      </c>
      <c r="K312" s="3" t="s">
        <v>738</v>
      </c>
    </row>
    <row r="313" spans="1:11" x14ac:dyDescent="0.25">
      <c r="A313" s="3">
        <f t="shared" si="5"/>
        <v>312</v>
      </c>
      <c r="C313" s="3" t="s">
        <v>733</v>
      </c>
      <c r="D313" s="3" t="s">
        <v>762</v>
      </c>
      <c r="E313" s="3" t="s">
        <v>734</v>
      </c>
      <c r="F313" s="3" t="s">
        <v>735</v>
      </c>
      <c r="G313" s="3">
        <v>2.5</v>
      </c>
      <c r="H313" s="3">
        <v>1.2E-2</v>
      </c>
      <c r="I313" s="3">
        <v>4</v>
      </c>
      <c r="J313" s="3" t="s">
        <v>260</v>
      </c>
      <c r="K313" s="3" t="s">
        <v>738</v>
      </c>
    </row>
    <row r="314" spans="1:11" x14ac:dyDescent="0.25">
      <c r="A314" s="3">
        <f t="shared" si="5"/>
        <v>313</v>
      </c>
      <c r="C314" s="3" t="s">
        <v>733</v>
      </c>
      <c r="D314" s="3" t="s">
        <v>763</v>
      </c>
      <c r="E314" s="3" t="s">
        <v>734</v>
      </c>
      <c r="F314" s="3" t="s">
        <v>735</v>
      </c>
      <c r="G314" s="3">
        <v>4</v>
      </c>
      <c r="H314" s="3">
        <v>0.02</v>
      </c>
      <c r="I314" s="3">
        <v>3</v>
      </c>
      <c r="J314" s="3" t="s">
        <v>726</v>
      </c>
      <c r="K314" s="3" t="s">
        <v>738</v>
      </c>
    </row>
    <row r="315" spans="1:11" x14ac:dyDescent="0.25">
      <c r="A315" s="3">
        <f t="shared" si="5"/>
        <v>314</v>
      </c>
      <c r="C315" s="3" t="s">
        <v>733</v>
      </c>
      <c r="D315" s="3" t="s">
        <v>764</v>
      </c>
      <c r="E315" s="3" t="s">
        <v>734</v>
      </c>
      <c r="F315" s="3" t="s">
        <v>735</v>
      </c>
      <c r="G315" s="3">
        <v>2</v>
      </c>
      <c r="H315" s="3">
        <v>0.01</v>
      </c>
      <c r="I315" s="3">
        <v>4</v>
      </c>
      <c r="J315" s="3" t="s">
        <v>260</v>
      </c>
      <c r="K315" s="3" t="s">
        <v>738</v>
      </c>
    </row>
    <row r="316" spans="1:11" x14ac:dyDescent="0.25">
      <c r="A316" s="3">
        <f t="shared" si="5"/>
        <v>315</v>
      </c>
      <c r="C316" s="3" t="s">
        <v>733</v>
      </c>
      <c r="D316" s="3" t="s">
        <v>765</v>
      </c>
      <c r="E316" s="3" t="s">
        <v>734</v>
      </c>
      <c r="F316" s="3" t="s">
        <v>735</v>
      </c>
      <c r="G316" s="3">
        <v>4</v>
      </c>
      <c r="H316" s="3">
        <v>0.02</v>
      </c>
      <c r="I316" s="3">
        <v>3</v>
      </c>
      <c r="J316" s="3" t="s">
        <v>726</v>
      </c>
      <c r="K316" s="3" t="s">
        <v>738</v>
      </c>
    </row>
    <row r="317" spans="1:11" x14ac:dyDescent="0.25">
      <c r="A317" s="3">
        <f t="shared" si="5"/>
        <v>316</v>
      </c>
      <c r="C317" s="3" t="s">
        <v>733</v>
      </c>
      <c r="D317" s="3" t="s">
        <v>766</v>
      </c>
      <c r="E317" s="3" t="s">
        <v>734</v>
      </c>
      <c r="F317" s="3" t="s">
        <v>735</v>
      </c>
      <c r="G317" s="3">
        <v>5</v>
      </c>
      <c r="H317" s="3">
        <v>2.5000000000000001E-2</v>
      </c>
      <c r="I317" s="3">
        <v>3</v>
      </c>
      <c r="J317" s="3" t="s">
        <v>727</v>
      </c>
      <c r="K317" s="3" t="s">
        <v>738</v>
      </c>
    </row>
    <row r="318" spans="1:11" x14ac:dyDescent="0.25">
      <c r="A318" s="3">
        <f t="shared" si="5"/>
        <v>317</v>
      </c>
      <c r="C318" s="3" t="s">
        <v>733</v>
      </c>
      <c r="D318" s="3" t="s">
        <v>767</v>
      </c>
      <c r="E318" s="3" t="s">
        <v>734</v>
      </c>
      <c r="F318" s="3" t="s">
        <v>735</v>
      </c>
      <c r="G318" s="3">
        <v>2</v>
      </c>
      <c r="H318" s="3">
        <v>8.0000000000000002E-3</v>
      </c>
      <c r="I318" s="3">
        <v>3</v>
      </c>
      <c r="J318" s="3" t="s">
        <v>727</v>
      </c>
      <c r="K318" s="3" t="s">
        <v>738</v>
      </c>
    </row>
    <row r="319" spans="1:11" x14ac:dyDescent="0.25">
      <c r="A319" s="3">
        <f t="shared" si="5"/>
        <v>318</v>
      </c>
      <c r="C319" s="3" t="s">
        <v>733</v>
      </c>
      <c r="D319" s="3" t="s">
        <v>768</v>
      </c>
      <c r="E319" s="3" t="s">
        <v>734</v>
      </c>
      <c r="F319" s="3" t="s">
        <v>735</v>
      </c>
      <c r="G319" s="3">
        <v>2</v>
      </c>
      <c r="H319" s="3">
        <v>8.0000000000000002E-3</v>
      </c>
      <c r="I319" s="3">
        <v>3</v>
      </c>
      <c r="J319" s="3" t="s">
        <v>727</v>
      </c>
      <c r="K319" s="3" t="s">
        <v>738</v>
      </c>
    </row>
    <row r="320" spans="1:11" x14ac:dyDescent="0.25">
      <c r="A320" s="3">
        <f t="shared" si="5"/>
        <v>319</v>
      </c>
      <c r="C320" s="3" t="s">
        <v>733</v>
      </c>
      <c r="D320" s="3" t="s">
        <v>769</v>
      </c>
      <c r="E320" s="3" t="s">
        <v>734</v>
      </c>
      <c r="F320" s="3" t="s">
        <v>735</v>
      </c>
      <c r="G320" s="3">
        <v>4</v>
      </c>
      <c r="H320" s="3">
        <v>0.02</v>
      </c>
      <c r="I320" s="3">
        <v>3</v>
      </c>
      <c r="J320" s="3" t="s">
        <v>725</v>
      </c>
      <c r="K320" s="3" t="s">
        <v>738</v>
      </c>
    </row>
    <row r="321" spans="1:11" x14ac:dyDescent="0.25">
      <c r="A321" s="3">
        <f t="shared" si="5"/>
        <v>320</v>
      </c>
      <c r="C321" s="3" t="s">
        <v>733</v>
      </c>
      <c r="D321" s="3" t="s">
        <v>770</v>
      </c>
      <c r="E321" s="3" t="s">
        <v>734</v>
      </c>
      <c r="F321" s="3" t="s">
        <v>735</v>
      </c>
      <c r="G321" s="3">
        <v>4</v>
      </c>
      <c r="H321" s="3">
        <v>0.02</v>
      </c>
      <c r="I321" s="3">
        <v>3</v>
      </c>
      <c r="J321" s="3" t="s">
        <v>725</v>
      </c>
      <c r="K321" s="3" t="s">
        <v>738</v>
      </c>
    </row>
    <row r="322" spans="1:11" x14ac:dyDescent="0.25">
      <c r="A322" s="3">
        <f t="shared" si="5"/>
        <v>321</v>
      </c>
      <c r="C322" s="3" t="s">
        <v>733</v>
      </c>
      <c r="D322" s="3" t="s">
        <v>771</v>
      </c>
      <c r="E322" s="3" t="s">
        <v>734</v>
      </c>
      <c r="F322" s="3" t="s">
        <v>735</v>
      </c>
      <c r="G322" s="3">
        <v>4</v>
      </c>
      <c r="H322" s="3">
        <v>0.02</v>
      </c>
      <c r="I322" s="3">
        <v>3</v>
      </c>
      <c r="J322" s="3" t="s">
        <v>725</v>
      </c>
      <c r="K322" s="3" t="s">
        <v>738</v>
      </c>
    </row>
    <row r="323" spans="1:11" x14ac:dyDescent="0.25">
      <c r="A323" s="3">
        <f t="shared" si="5"/>
        <v>322</v>
      </c>
      <c r="C323" s="3" t="s">
        <v>733</v>
      </c>
      <c r="D323" s="3" t="s">
        <v>772</v>
      </c>
      <c r="E323" s="3" t="s">
        <v>734</v>
      </c>
      <c r="F323" s="3" t="s">
        <v>735</v>
      </c>
      <c r="G323" s="3">
        <v>4</v>
      </c>
      <c r="H323" s="3">
        <v>0.02</v>
      </c>
      <c r="I323" s="3">
        <v>3</v>
      </c>
      <c r="J323" s="3" t="s">
        <v>725</v>
      </c>
      <c r="K323" s="3" t="s">
        <v>738</v>
      </c>
    </row>
    <row r="324" spans="1:11" x14ac:dyDescent="0.25">
      <c r="A324" s="3">
        <f t="shared" si="5"/>
        <v>323</v>
      </c>
      <c r="C324" s="3" t="s">
        <v>733</v>
      </c>
      <c r="D324" s="3" t="s">
        <v>773</v>
      </c>
      <c r="E324" s="3" t="s">
        <v>734</v>
      </c>
      <c r="F324" s="3" t="s">
        <v>735</v>
      </c>
      <c r="G324" s="3">
        <v>4</v>
      </c>
      <c r="H324" s="3">
        <v>0.02</v>
      </c>
      <c r="I324" s="3">
        <v>3</v>
      </c>
      <c r="J324" s="3" t="s">
        <v>725</v>
      </c>
      <c r="K324" s="3" t="s">
        <v>738</v>
      </c>
    </row>
    <row r="325" spans="1:11" x14ac:dyDescent="0.25">
      <c r="A325" s="3">
        <f t="shared" si="5"/>
        <v>324</v>
      </c>
      <c r="C325" s="3" t="s">
        <v>733</v>
      </c>
      <c r="D325" s="3" t="s">
        <v>774</v>
      </c>
      <c r="E325" s="3" t="s">
        <v>734</v>
      </c>
      <c r="F325" s="3" t="s">
        <v>735</v>
      </c>
      <c r="G325" s="3">
        <v>4</v>
      </c>
      <c r="H325" s="3">
        <v>0.02</v>
      </c>
      <c r="I325" s="3">
        <v>3</v>
      </c>
      <c r="J325" s="3" t="s">
        <v>725</v>
      </c>
      <c r="K325" s="3" t="s">
        <v>738</v>
      </c>
    </row>
    <row r="326" spans="1:11" x14ac:dyDescent="0.25">
      <c r="A326" s="3">
        <f t="shared" si="5"/>
        <v>325</v>
      </c>
      <c r="C326" s="3" t="s">
        <v>733</v>
      </c>
      <c r="D326" s="3" t="s">
        <v>775</v>
      </c>
      <c r="E326" s="3" t="s">
        <v>734</v>
      </c>
      <c r="F326" s="3" t="s">
        <v>735</v>
      </c>
      <c r="G326" s="3">
        <v>4</v>
      </c>
      <c r="H326" s="3">
        <v>0.02</v>
      </c>
      <c r="I326" s="3">
        <v>3</v>
      </c>
      <c r="J326" s="3" t="s">
        <v>727</v>
      </c>
      <c r="K326" s="3" t="s">
        <v>738</v>
      </c>
    </row>
    <row r="327" spans="1:11" x14ac:dyDescent="0.25">
      <c r="A327" s="3">
        <f t="shared" si="5"/>
        <v>326</v>
      </c>
      <c r="C327" s="3" t="s">
        <v>733</v>
      </c>
      <c r="D327" s="3" t="s">
        <v>776</v>
      </c>
      <c r="E327" s="3" t="s">
        <v>734</v>
      </c>
      <c r="F327" s="3" t="s">
        <v>735</v>
      </c>
      <c r="G327" s="3">
        <v>3</v>
      </c>
      <c r="H327" s="3">
        <v>1.2E-2</v>
      </c>
      <c r="I327" s="3">
        <v>4</v>
      </c>
      <c r="J327" s="3" t="s">
        <v>260</v>
      </c>
      <c r="K327" s="3" t="s">
        <v>738</v>
      </c>
    </row>
    <row r="328" spans="1:11" x14ac:dyDescent="0.25">
      <c r="A328" s="3">
        <f t="shared" si="5"/>
        <v>327</v>
      </c>
      <c r="C328" s="3" t="s">
        <v>733</v>
      </c>
      <c r="D328" s="3" t="s">
        <v>777</v>
      </c>
      <c r="E328" s="3" t="s">
        <v>734</v>
      </c>
      <c r="F328" s="3" t="s">
        <v>735</v>
      </c>
      <c r="G328" s="3">
        <v>3</v>
      </c>
      <c r="H328" s="3">
        <v>1.4999999999999999E-2</v>
      </c>
      <c r="I328" s="3">
        <v>4</v>
      </c>
      <c r="J328" s="3" t="s">
        <v>260</v>
      </c>
      <c r="K328" s="3" t="s">
        <v>738</v>
      </c>
    </row>
    <row r="329" spans="1:11" x14ac:dyDescent="0.25">
      <c r="A329" s="3">
        <f t="shared" ref="A329:A392" si="6">A328+1</f>
        <v>328</v>
      </c>
      <c r="C329" s="3" t="s">
        <v>733</v>
      </c>
      <c r="D329" s="3" t="s">
        <v>778</v>
      </c>
      <c r="E329" s="3" t="s">
        <v>734</v>
      </c>
      <c r="F329" s="3" t="s">
        <v>735</v>
      </c>
      <c r="G329" s="3">
        <v>4</v>
      </c>
      <c r="H329" s="3">
        <v>0.02</v>
      </c>
      <c r="I329" s="3">
        <v>4</v>
      </c>
      <c r="J329" s="3" t="s">
        <v>260</v>
      </c>
      <c r="K329" s="3" t="s">
        <v>779</v>
      </c>
    </row>
    <row r="330" spans="1:11" x14ac:dyDescent="0.25">
      <c r="A330" s="3">
        <f t="shared" si="6"/>
        <v>329</v>
      </c>
      <c r="C330" s="3" t="s">
        <v>733</v>
      </c>
      <c r="D330" s="3" t="s">
        <v>780</v>
      </c>
      <c r="E330" s="3" t="s">
        <v>734</v>
      </c>
      <c r="F330" s="3" t="s">
        <v>735</v>
      </c>
      <c r="G330" s="3">
        <v>5</v>
      </c>
      <c r="H330" s="3">
        <v>2.5000000000000001E-2</v>
      </c>
      <c r="I330" s="3">
        <v>4</v>
      </c>
      <c r="J330" s="3" t="s">
        <v>260</v>
      </c>
      <c r="K330" s="3" t="s">
        <v>779</v>
      </c>
    </row>
    <row r="331" spans="1:11" x14ac:dyDescent="0.25">
      <c r="A331" s="3">
        <f t="shared" si="6"/>
        <v>330</v>
      </c>
      <c r="C331" s="3" t="s">
        <v>733</v>
      </c>
      <c r="D331" s="3" t="s">
        <v>781</v>
      </c>
      <c r="E331" s="3" t="s">
        <v>734</v>
      </c>
      <c r="F331" s="3" t="s">
        <v>735</v>
      </c>
      <c r="G331" s="3">
        <v>2</v>
      </c>
      <c r="H331" s="3">
        <v>0.1</v>
      </c>
      <c r="I331" s="3">
        <v>3</v>
      </c>
      <c r="J331" s="3" t="s">
        <v>727</v>
      </c>
      <c r="K331" s="3" t="s">
        <v>782</v>
      </c>
    </row>
    <row r="332" spans="1:11" x14ac:dyDescent="0.25">
      <c r="A332" s="3">
        <f t="shared" si="6"/>
        <v>331</v>
      </c>
      <c r="C332" s="3" t="s">
        <v>733</v>
      </c>
      <c r="D332" s="3" t="s">
        <v>101</v>
      </c>
      <c r="E332" s="3" t="s">
        <v>734</v>
      </c>
      <c r="F332" s="3" t="s">
        <v>735</v>
      </c>
      <c r="G332" s="3">
        <v>2</v>
      </c>
      <c r="H332" s="3">
        <v>0.3</v>
      </c>
      <c r="I332" s="3">
        <v>3</v>
      </c>
      <c r="J332" s="3" t="s">
        <v>260</v>
      </c>
      <c r="K332" s="3" t="s">
        <v>782</v>
      </c>
    </row>
    <row r="333" spans="1:11" x14ac:dyDescent="0.25">
      <c r="A333" s="3">
        <f t="shared" si="6"/>
        <v>332</v>
      </c>
      <c r="C333" s="3" t="s">
        <v>733</v>
      </c>
      <c r="D333" s="3" t="s">
        <v>783</v>
      </c>
      <c r="E333" s="3" t="s">
        <v>734</v>
      </c>
      <c r="F333" s="3" t="s">
        <v>735</v>
      </c>
      <c r="G333" s="3">
        <v>3</v>
      </c>
      <c r="H333" s="3">
        <v>1.4999999999999999E-2</v>
      </c>
      <c r="I333" s="3">
        <v>3</v>
      </c>
      <c r="J333" s="3" t="s">
        <v>727</v>
      </c>
      <c r="K333" s="3" t="s">
        <v>738</v>
      </c>
    </row>
    <row r="334" spans="1:11" x14ac:dyDescent="0.25">
      <c r="A334" s="3">
        <f t="shared" si="6"/>
        <v>333</v>
      </c>
      <c r="C334" s="3" t="s">
        <v>733</v>
      </c>
      <c r="D334" s="3" t="s">
        <v>784</v>
      </c>
      <c r="E334" s="3" t="s">
        <v>734</v>
      </c>
      <c r="F334" s="3" t="s">
        <v>735</v>
      </c>
      <c r="G334" s="3">
        <v>3</v>
      </c>
      <c r="H334" s="3">
        <v>1.4999999999999999E-2</v>
      </c>
      <c r="I334" s="3">
        <v>3</v>
      </c>
      <c r="J334" s="3" t="s">
        <v>727</v>
      </c>
      <c r="K334" s="3" t="s">
        <v>738</v>
      </c>
    </row>
    <row r="335" spans="1:11" x14ac:dyDescent="0.25">
      <c r="A335" s="3">
        <f t="shared" si="6"/>
        <v>334</v>
      </c>
      <c r="C335" s="3" t="s">
        <v>733</v>
      </c>
      <c r="D335" s="3" t="s">
        <v>785</v>
      </c>
      <c r="E335" s="3" t="s">
        <v>734</v>
      </c>
      <c r="F335" s="3" t="s">
        <v>735</v>
      </c>
      <c r="G335" s="3">
        <v>2.5</v>
      </c>
      <c r="H335" s="3">
        <v>1.2E-2</v>
      </c>
      <c r="I335" s="3">
        <v>2</v>
      </c>
      <c r="J335" s="3" t="s">
        <v>728</v>
      </c>
      <c r="K335" s="3" t="s">
        <v>738</v>
      </c>
    </row>
    <row r="336" spans="1:11" x14ac:dyDescent="0.25">
      <c r="A336" s="3">
        <f t="shared" si="6"/>
        <v>335</v>
      </c>
      <c r="C336" s="3" t="s">
        <v>733</v>
      </c>
      <c r="D336" s="3" t="s">
        <v>786</v>
      </c>
      <c r="E336" s="3" t="s">
        <v>734</v>
      </c>
      <c r="F336" s="3" t="s">
        <v>735</v>
      </c>
      <c r="G336" s="3">
        <v>2</v>
      </c>
      <c r="H336" s="3">
        <v>0.08</v>
      </c>
      <c r="I336" s="3">
        <v>2</v>
      </c>
      <c r="J336" s="3" t="s">
        <v>728</v>
      </c>
      <c r="K336" s="3" t="s">
        <v>736</v>
      </c>
    </row>
    <row r="337" spans="1:11" x14ac:dyDescent="0.25">
      <c r="A337" s="3">
        <f t="shared" si="6"/>
        <v>336</v>
      </c>
      <c r="C337" s="3" t="s">
        <v>733</v>
      </c>
      <c r="D337" s="3" t="s">
        <v>787</v>
      </c>
      <c r="E337" s="3" t="s">
        <v>734</v>
      </c>
      <c r="F337" s="3" t="s">
        <v>735</v>
      </c>
      <c r="G337" s="3">
        <v>3</v>
      </c>
      <c r="H337" s="3">
        <v>1.4999999999999999E-2</v>
      </c>
      <c r="I337" s="3">
        <v>2</v>
      </c>
      <c r="J337" s="3" t="s">
        <v>728</v>
      </c>
      <c r="K337" s="3" t="s">
        <v>779</v>
      </c>
    </row>
    <row r="338" spans="1:11" x14ac:dyDescent="0.25">
      <c r="A338" s="3">
        <f t="shared" si="6"/>
        <v>337</v>
      </c>
      <c r="C338" s="3" t="s">
        <v>733</v>
      </c>
      <c r="D338" s="3" t="s">
        <v>788</v>
      </c>
      <c r="E338" s="3" t="s">
        <v>734</v>
      </c>
      <c r="F338" s="3" t="s">
        <v>735</v>
      </c>
      <c r="G338" s="3">
        <v>5</v>
      </c>
      <c r="H338" s="3">
        <v>2.5000000000000001E-2</v>
      </c>
      <c r="I338" s="3">
        <v>2</v>
      </c>
      <c r="J338" s="3" t="s">
        <v>728</v>
      </c>
      <c r="K338" s="3" t="s">
        <v>779</v>
      </c>
    </row>
    <row r="339" spans="1:11" x14ac:dyDescent="0.25">
      <c r="A339" s="3">
        <f t="shared" si="6"/>
        <v>338</v>
      </c>
      <c r="C339" s="3" t="s">
        <v>789</v>
      </c>
      <c r="D339" s="3" t="s">
        <v>790</v>
      </c>
      <c r="E339" s="3" t="s">
        <v>791</v>
      </c>
      <c r="F339" s="3" t="s">
        <v>792</v>
      </c>
      <c r="G339" s="3">
        <v>10</v>
      </c>
      <c r="H339" s="3">
        <v>2</v>
      </c>
      <c r="I339" s="3" t="s">
        <v>202</v>
      </c>
    </row>
    <row r="340" spans="1:11" x14ac:dyDescent="0.25">
      <c r="A340" s="3">
        <f t="shared" si="6"/>
        <v>339</v>
      </c>
      <c r="C340" s="3" t="s">
        <v>789</v>
      </c>
      <c r="D340" s="3" t="s">
        <v>793</v>
      </c>
      <c r="E340" s="3" t="s">
        <v>791</v>
      </c>
      <c r="F340" s="3" t="s">
        <v>792</v>
      </c>
      <c r="G340" s="3">
        <v>5</v>
      </c>
      <c r="H340" s="3">
        <v>1</v>
      </c>
      <c r="I340" s="3" t="s">
        <v>202</v>
      </c>
    </row>
    <row r="341" spans="1:11" x14ac:dyDescent="0.25">
      <c r="A341" s="3">
        <f t="shared" si="6"/>
        <v>340</v>
      </c>
      <c r="C341" s="3" t="s">
        <v>789</v>
      </c>
      <c r="D341" s="3" t="s">
        <v>794</v>
      </c>
      <c r="E341" s="3" t="s">
        <v>791</v>
      </c>
      <c r="F341" s="3" t="s">
        <v>792</v>
      </c>
      <c r="G341" s="3">
        <v>10</v>
      </c>
      <c r="H341" s="3">
        <v>2</v>
      </c>
      <c r="I341" s="3">
        <v>45</v>
      </c>
    </row>
    <row r="342" spans="1:11" x14ac:dyDescent="0.25">
      <c r="A342" s="3">
        <f t="shared" si="6"/>
        <v>341</v>
      </c>
      <c r="C342" s="3" t="s">
        <v>789</v>
      </c>
      <c r="D342" s="3" t="s">
        <v>795</v>
      </c>
      <c r="E342" s="3" t="s">
        <v>791</v>
      </c>
      <c r="F342" s="3" t="s">
        <v>792</v>
      </c>
      <c r="G342" s="3">
        <v>6</v>
      </c>
      <c r="H342" s="3">
        <v>1.5</v>
      </c>
      <c r="I342" s="3">
        <v>30</v>
      </c>
    </row>
    <row r="343" spans="1:11" x14ac:dyDescent="0.25">
      <c r="A343" s="3">
        <f t="shared" si="6"/>
        <v>342</v>
      </c>
      <c r="C343" s="3" t="s">
        <v>789</v>
      </c>
      <c r="D343" s="3" t="s">
        <v>796</v>
      </c>
      <c r="E343" s="3" t="s">
        <v>791</v>
      </c>
      <c r="F343" s="3" t="s">
        <v>792</v>
      </c>
      <c r="G343" s="3">
        <v>12</v>
      </c>
      <c r="H343" s="3">
        <v>3</v>
      </c>
      <c r="I343" s="3" t="s">
        <v>202</v>
      </c>
    </row>
    <row r="344" spans="1:11" x14ac:dyDescent="0.25">
      <c r="A344" s="3">
        <f t="shared" si="6"/>
        <v>343</v>
      </c>
      <c r="C344" s="3" t="s">
        <v>789</v>
      </c>
      <c r="D344" s="3" t="s">
        <v>797</v>
      </c>
      <c r="E344" s="3" t="s">
        <v>791</v>
      </c>
      <c r="F344" s="3" t="s">
        <v>792</v>
      </c>
      <c r="G344" s="3">
        <v>6</v>
      </c>
      <c r="H344" s="3">
        <v>1.5</v>
      </c>
      <c r="I344" s="3" t="s">
        <v>202</v>
      </c>
    </row>
    <row r="345" spans="1:11" x14ac:dyDescent="0.25">
      <c r="A345" s="3">
        <f t="shared" si="6"/>
        <v>344</v>
      </c>
      <c r="C345" s="3" t="s">
        <v>789</v>
      </c>
      <c r="D345" s="3" t="s">
        <v>798</v>
      </c>
      <c r="E345" s="3" t="s">
        <v>791</v>
      </c>
      <c r="F345" s="3" t="s">
        <v>792</v>
      </c>
      <c r="G345" s="3">
        <v>5</v>
      </c>
      <c r="H345" s="3">
        <v>1.5</v>
      </c>
      <c r="I345" s="3" t="s">
        <v>202</v>
      </c>
    </row>
    <row r="346" spans="1:11" x14ac:dyDescent="0.25">
      <c r="A346" s="3">
        <f t="shared" si="6"/>
        <v>345</v>
      </c>
      <c r="C346" s="3" t="s">
        <v>799</v>
      </c>
      <c r="D346" s="3" t="s">
        <v>800</v>
      </c>
      <c r="E346" s="3" t="s">
        <v>801</v>
      </c>
      <c r="F346" s="3" t="s">
        <v>802</v>
      </c>
      <c r="G346" s="3">
        <v>25</v>
      </c>
    </row>
    <row r="347" spans="1:11" x14ac:dyDescent="0.25">
      <c r="A347" s="3">
        <f t="shared" si="6"/>
        <v>346</v>
      </c>
      <c r="C347" s="3" t="s">
        <v>799</v>
      </c>
      <c r="D347" s="3" t="s">
        <v>803</v>
      </c>
      <c r="E347" s="3" t="s">
        <v>801</v>
      </c>
      <c r="F347" s="3" t="s">
        <v>804</v>
      </c>
      <c r="G347" s="3">
        <v>18</v>
      </c>
    </row>
    <row r="348" spans="1:11" x14ac:dyDescent="0.25">
      <c r="A348" s="3">
        <f t="shared" si="6"/>
        <v>347</v>
      </c>
      <c r="C348" s="3" t="s">
        <v>799</v>
      </c>
      <c r="D348" s="3" t="s">
        <v>805</v>
      </c>
      <c r="E348" s="3" t="s">
        <v>801</v>
      </c>
      <c r="F348" s="3" t="s">
        <v>806</v>
      </c>
      <c r="G348" s="3">
        <v>15</v>
      </c>
    </row>
    <row r="349" spans="1:11" x14ac:dyDescent="0.25">
      <c r="A349" s="3">
        <f t="shared" si="6"/>
        <v>348</v>
      </c>
      <c r="C349" s="3" t="s">
        <v>799</v>
      </c>
      <c r="D349" s="3" t="s">
        <v>807</v>
      </c>
      <c r="E349" s="3" t="s">
        <v>801</v>
      </c>
      <c r="F349" s="3" t="s">
        <v>808</v>
      </c>
      <c r="G349" s="3">
        <v>30</v>
      </c>
    </row>
    <row r="350" spans="1:11" x14ac:dyDescent="0.25">
      <c r="A350" s="3">
        <f t="shared" si="6"/>
        <v>349</v>
      </c>
      <c r="C350" s="3" t="s">
        <v>799</v>
      </c>
      <c r="D350" s="3" t="s">
        <v>809</v>
      </c>
      <c r="E350" s="3" t="s">
        <v>801</v>
      </c>
      <c r="F350" s="3" t="s">
        <v>810</v>
      </c>
      <c r="G350" s="3">
        <v>25</v>
      </c>
    </row>
    <row r="351" spans="1:11" x14ac:dyDescent="0.25">
      <c r="A351" s="3">
        <f t="shared" si="6"/>
        <v>350</v>
      </c>
      <c r="C351" s="3" t="s">
        <v>799</v>
      </c>
      <c r="D351" s="3" t="s">
        <v>811</v>
      </c>
      <c r="E351" s="3" t="s">
        <v>801</v>
      </c>
      <c r="F351" s="3" t="s">
        <v>812</v>
      </c>
      <c r="G351" s="3">
        <v>25</v>
      </c>
    </row>
    <row r="352" spans="1:11" x14ac:dyDescent="0.25">
      <c r="A352" s="3">
        <f t="shared" si="6"/>
        <v>351</v>
      </c>
      <c r="C352" s="3" t="s">
        <v>799</v>
      </c>
      <c r="D352" s="3" t="s">
        <v>813</v>
      </c>
      <c r="E352" s="3" t="s">
        <v>801</v>
      </c>
      <c r="F352" s="3" t="s">
        <v>814</v>
      </c>
      <c r="G352" s="3">
        <v>12</v>
      </c>
    </row>
    <row r="353" spans="1:9" x14ac:dyDescent="0.25">
      <c r="A353" s="3">
        <f t="shared" si="6"/>
        <v>352</v>
      </c>
      <c r="C353" s="3" t="s">
        <v>799</v>
      </c>
      <c r="D353" s="3" t="s">
        <v>815</v>
      </c>
      <c r="E353" s="3" t="s">
        <v>801</v>
      </c>
      <c r="F353" s="3" t="s">
        <v>816</v>
      </c>
      <c r="G353" s="3">
        <v>15</v>
      </c>
    </row>
    <row r="354" spans="1:9" x14ac:dyDescent="0.25">
      <c r="A354" s="3">
        <f t="shared" si="6"/>
        <v>353</v>
      </c>
      <c r="C354" s="3" t="s">
        <v>799</v>
      </c>
      <c r="D354" s="3" t="s">
        <v>817</v>
      </c>
      <c r="E354" s="3" t="s">
        <v>801</v>
      </c>
      <c r="F354" s="3" t="s">
        <v>818</v>
      </c>
      <c r="G354" s="3">
        <v>8</v>
      </c>
    </row>
    <row r="355" spans="1:9" x14ac:dyDescent="0.25">
      <c r="A355" s="3">
        <f t="shared" si="6"/>
        <v>354</v>
      </c>
      <c r="C355" s="3" t="s">
        <v>799</v>
      </c>
      <c r="D355" s="3" t="s">
        <v>819</v>
      </c>
      <c r="E355" s="3" t="s">
        <v>801</v>
      </c>
      <c r="F355" s="3" t="s">
        <v>820</v>
      </c>
      <c r="G355" s="3">
        <v>30</v>
      </c>
    </row>
    <row r="356" spans="1:9" x14ac:dyDescent="0.25">
      <c r="A356" s="3">
        <f t="shared" si="6"/>
        <v>355</v>
      </c>
      <c r="C356" s="3" t="s">
        <v>799</v>
      </c>
      <c r="D356" s="3" t="s">
        <v>821</v>
      </c>
      <c r="E356" s="3" t="s">
        <v>801</v>
      </c>
      <c r="F356" s="3" t="s">
        <v>822</v>
      </c>
      <c r="G356" s="3">
        <v>5</v>
      </c>
    </row>
    <row r="357" spans="1:9" x14ac:dyDescent="0.25">
      <c r="A357" s="3">
        <f t="shared" si="6"/>
        <v>356</v>
      </c>
      <c r="C357" s="3" t="s">
        <v>799</v>
      </c>
      <c r="D357" s="3" t="s">
        <v>823</v>
      </c>
      <c r="E357" s="3" t="s">
        <v>801</v>
      </c>
      <c r="F357" s="3" t="s">
        <v>824</v>
      </c>
      <c r="G357" s="3">
        <v>35</v>
      </c>
    </row>
    <row r="358" spans="1:9" x14ac:dyDescent="0.25">
      <c r="A358" s="3">
        <f t="shared" si="6"/>
        <v>357</v>
      </c>
      <c r="C358" s="3" t="s">
        <v>825</v>
      </c>
      <c r="D358" s="3" t="s">
        <v>826</v>
      </c>
      <c r="E358" s="3" t="s">
        <v>827</v>
      </c>
      <c r="F358" s="3" t="s">
        <v>828</v>
      </c>
      <c r="G358" s="3">
        <v>6</v>
      </c>
      <c r="H358" s="3" t="s">
        <v>79</v>
      </c>
      <c r="I358" s="3" t="s">
        <v>736</v>
      </c>
    </row>
    <row r="359" spans="1:9" x14ac:dyDescent="0.25">
      <c r="A359" s="3">
        <f t="shared" si="6"/>
        <v>358</v>
      </c>
      <c r="C359" s="3" t="s">
        <v>825</v>
      </c>
      <c r="D359" s="3" t="s">
        <v>829</v>
      </c>
      <c r="E359" s="3" t="s">
        <v>827</v>
      </c>
      <c r="F359" s="3" t="s">
        <v>828</v>
      </c>
      <c r="G359" s="3">
        <v>6</v>
      </c>
      <c r="H359" s="3" t="s">
        <v>82</v>
      </c>
      <c r="I359" s="3" t="s">
        <v>736</v>
      </c>
    </row>
    <row r="360" spans="1:9" x14ac:dyDescent="0.25">
      <c r="A360" s="3">
        <f t="shared" si="6"/>
        <v>359</v>
      </c>
      <c r="C360" s="3" t="s">
        <v>825</v>
      </c>
      <c r="D360" s="3" t="s">
        <v>830</v>
      </c>
      <c r="E360" s="3" t="s">
        <v>827</v>
      </c>
      <c r="F360" s="3" t="s">
        <v>828</v>
      </c>
      <c r="G360" s="3">
        <v>40</v>
      </c>
      <c r="H360" s="3" t="s">
        <v>740</v>
      </c>
      <c r="I360" s="3" t="s">
        <v>736</v>
      </c>
    </row>
    <row r="361" spans="1:9" x14ac:dyDescent="0.25">
      <c r="A361" s="3">
        <f t="shared" si="6"/>
        <v>360</v>
      </c>
      <c r="C361" s="3" t="s">
        <v>825</v>
      </c>
      <c r="D361" s="3" t="s">
        <v>831</v>
      </c>
      <c r="E361" s="3" t="s">
        <v>827</v>
      </c>
      <c r="F361" s="3" t="s">
        <v>828</v>
      </c>
      <c r="G361" s="3">
        <v>3</v>
      </c>
      <c r="H361" s="3" t="s">
        <v>742</v>
      </c>
      <c r="I361" s="3" t="s">
        <v>736</v>
      </c>
    </row>
    <row r="362" spans="1:9" x14ac:dyDescent="0.25">
      <c r="A362" s="3">
        <f t="shared" si="6"/>
        <v>361</v>
      </c>
      <c r="C362" s="3" t="s">
        <v>825</v>
      </c>
      <c r="D362" s="3" t="s">
        <v>832</v>
      </c>
      <c r="E362" s="3" t="s">
        <v>827</v>
      </c>
      <c r="F362" s="3" t="s">
        <v>828</v>
      </c>
      <c r="G362" s="3">
        <v>5</v>
      </c>
      <c r="H362" s="3" t="s">
        <v>85</v>
      </c>
      <c r="I362" s="3" t="s">
        <v>736</v>
      </c>
    </row>
    <row r="363" spans="1:9" x14ac:dyDescent="0.25">
      <c r="A363" s="3">
        <f t="shared" si="6"/>
        <v>362</v>
      </c>
      <c r="C363" s="3" t="s">
        <v>825</v>
      </c>
      <c r="D363" s="3" t="s">
        <v>833</v>
      </c>
      <c r="E363" s="3" t="s">
        <v>827</v>
      </c>
      <c r="F363" s="3" t="s">
        <v>828</v>
      </c>
      <c r="G363" s="3">
        <v>5</v>
      </c>
      <c r="H363" s="3" t="s">
        <v>88</v>
      </c>
      <c r="I363" s="3" t="s">
        <v>736</v>
      </c>
    </row>
    <row r="364" spans="1:9" x14ac:dyDescent="0.25">
      <c r="A364" s="3">
        <f t="shared" si="6"/>
        <v>363</v>
      </c>
      <c r="C364" s="3" t="s">
        <v>825</v>
      </c>
      <c r="D364" s="3" t="s">
        <v>834</v>
      </c>
      <c r="E364" s="3" t="s">
        <v>827</v>
      </c>
      <c r="F364" s="3" t="s">
        <v>828</v>
      </c>
      <c r="G364" s="3">
        <v>1.5</v>
      </c>
      <c r="H364" s="3" t="s">
        <v>750</v>
      </c>
      <c r="I364" s="3" t="s">
        <v>738</v>
      </c>
    </row>
    <row r="365" spans="1:9" x14ac:dyDescent="0.25">
      <c r="A365" s="3">
        <f t="shared" si="6"/>
        <v>364</v>
      </c>
      <c r="C365" s="3" t="s">
        <v>825</v>
      </c>
      <c r="D365" s="3" t="s">
        <v>835</v>
      </c>
      <c r="E365" s="3" t="s">
        <v>827</v>
      </c>
      <c r="F365" s="3" t="s">
        <v>828</v>
      </c>
      <c r="G365" s="3">
        <v>5</v>
      </c>
      <c r="H365" s="3" t="s">
        <v>751</v>
      </c>
      <c r="I365" s="3" t="s">
        <v>738</v>
      </c>
    </row>
    <row r="366" spans="1:9" x14ac:dyDescent="0.25">
      <c r="A366" s="3">
        <f t="shared" si="6"/>
        <v>365</v>
      </c>
      <c r="C366" s="3" t="s">
        <v>825</v>
      </c>
      <c r="D366" s="3" t="s">
        <v>836</v>
      </c>
      <c r="E366" s="3" t="s">
        <v>827</v>
      </c>
      <c r="F366" s="3" t="s">
        <v>828</v>
      </c>
      <c r="G366" s="3">
        <v>1.5</v>
      </c>
      <c r="H366" s="3" t="s">
        <v>749</v>
      </c>
      <c r="I366" s="3" t="s">
        <v>738</v>
      </c>
    </row>
    <row r="367" spans="1:9" x14ac:dyDescent="0.25">
      <c r="A367" s="3">
        <f t="shared" si="6"/>
        <v>366</v>
      </c>
      <c r="C367" s="3" t="s">
        <v>825</v>
      </c>
      <c r="D367" s="3" t="s">
        <v>837</v>
      </c>
      <c r="E367" s="3" t="s">
        <v>827</v>
      </c>
      <c r="F367" s="3" t="s">
        <v>828</v>
      </c>
      <c r="G367" s="3">
        <v>1</v>
      </c>
      <c r="H367" s="3" t="s">
        <v>757</v>
      </c>
      <c r="I367" s="3" t="s">
        <v>738</v>
      </c>
    </row>
    <row r="368" spans="1:9" x14ac:dyDescent="0.25">
      <c r="A368" s="3">
        <f t="shared" si="6"/>
        <v>367</v>
      </c>
      <c r="C368" s="3" t="s">
        <v>825</v>
      </c>
      <c r="D368" s="3" t="s">
        <v>838</v>
      </c>
      <c r="E368" s="3" t="s">
        <v>827</v>
      </c>
      <c r="F368" s="3" t="s">
        <v>828</v>
      </c>
      <c r="G368" s="3">
        <v>1</v>
      </c>
      <c r="H368" s="3" t="s">
        <v>764</v>
      </c>
      <c r="I368" s="3" t="s">
        <v>738</v>
      </c>
    </row>
    <row r="369" spans="1:9" x14ac:dyDescent="0.25">
      <c r="A369" s="3">
        <f t="shared" si="6"/>
        <v>368</v>
      </c>
      <c r="C369" s="3" t="s">
        <v>825</v>
      </c>
      <c r="D369" s="3" t="s">
        <v>839</v>
      </c>
      <c r="E369" s="3" t="s">
        <v>827</v>
      </c>
      <c r="F369" s="3" t="s">
        <v>828</v>
      </c>
      <c r="G369" s="3">
        <v>1.5</v>
      </c>
      <c r="H369" s="3" t="s">
        <v>781</v>
      </c>
      <c r="I369" s="3" t="s">
        <v>736</v>
      </c>
    </row>
    <row r="370" spans="1:9" x14ac:dyDescent="0.25">
      <c r="A370" s="3">
        <f t="shared" si="6"/>
        <v>369</v>
      </c>
      <c r="C370" s="3" t="s">
        <v>825</v>
      </c>
      <c r="D370" s="3" t="s">
        <v>840</v>
      </c>
      <c r="E370" s="3" t="s">
        <v>827</v>
      </c>
      <c r="F370" s="3" t="s">
        <v>828</v>
      </c>
      <c r="G370" s="3">
        <v>1.5</v>
      </c>
      <c r="H370" s="3" t="s">
        <v>765</v>
      </c>
      <c r="I370" s="3" t="s">
        <v>738</v>
      </c>
    </row>
    <row r="371" spans="1:9" x14ac:dyDescent="0.25">
      <c r="A371" s="3">
        <f t="shared" si="6"/>
        <v>370</v>
      </c>
      <c r="C371" s="3" t="s">
        <v>825</v>
      </c>
      <c r="D371" s="3" t="s">
        <v>841</v>
      </c>
      <c r="E371" s="3" t="s">
        <v>827</v>
      </c>
      <c r="F371" s="3" t="s">
        <v>828</v>
      </c>
      <c r="G371" s="3">
        <v>1</v>
      </c>
      <c r="H371" s="3" t="s">
        <v>762</v>
      </c>
      <c r="I371" s="3" t="s">
        <v>738</v>
      </c>
    </row>
    <row r="372" spans="1:9" x14ac:dyDescent="0.25">
      <c r="A372" s="3">
        <f t="shared" si="6"/>
        <v>371</v>
      </c>
      <c r="C372" s="3" t="s">
        <v>825</v>
      </c>
      <c r="D372" s="3" t="s">
        <v>842</v>
      </c>
      <c r="E372" s="3" t="s">
        <v>827</v>
      </c>
      <c r="F372" s="3" t="s">
        <v>828</v>
      </c>
      <c r="G372" s="3">
        <v>1.5</v>
      </c>
      <c r="H372" s="3" t="s">
        <v>763</v>
      </c>
      <c r="I372" s="3" t="s">
        <v>738</v>
      </c>
    </row>
    <row r="373" spans="1:9" x14ac:dyDescent="0.25">
      <c r="A373" s="3">
        <f t="shared" si="6"/>
        <v>372</v>
      </c>
      <c r="C373" s="3" t="s">
        <v>825</v>
      </c>
      <c r="D373" s="3" t="s">
        <v>843</v>
      </c>
      <c r="E373" s="3" t="s">
        <v>827</v>
      </c>
      <c r="F373" s="3" t="s">
        <v>828</v>
      </c>
      <c r="G373" s="3">
        <v>2</v>
      </c>
      <c r="H373" s="3" t="s">
        <v>766</v>
      </c>
      <c r="I373" s="3" t="s">
        <v>738</v>
      </c>
    </row>
    <row r="374" spans="1:9" x14ac:dyDescent="0.25">
      <c r="A374" s="3">
        <f t="shared" si="6"/>
        <v>373</v>
      </c>
      <c r="C374" s="3" t="s">
        <v>825</v>
      </c>
      <c r="D374" s="3" t="s">
        <v>844</v>
      </c>
      <c r="E374" s="3" t="s">
        <v>827</v>
      </c>
      <c r="F374" s="3" t="s">
        <v>828</v>
      </c>
      <c r="G374" s="3">
        <v>0.8</v>
      </c>
      <c r="H374" s="3" t="s">
        <v>767</v>
      </c>
      <c r="I374" s="3" t="s">
        <v>738</v>
      </c>
    </row>
    <row r="375" spans="1:9" x14ac:dyDescent="0.25">
      <c r="A375" s="3">
        <f t="shared" si="6"/>
        <v>374</v>
      </c>
      <c r="C375" s="3" t="s">
        <v>825</v>
      </c>
      <c r="D375" s="3" t="s">
        <v>845</v>
      </c>
      <c r="E375" s="3" t="s">
        <v>827</v>
      </c>
      <c r="F375" s="3" t="s">
        <v>828</v>
      </c>
      <c r="G375" s="3">
        <v>0.8</v>
      </c>
      <c r="H375" s="3" t="s">
        <v>768</v>
      </c>
      <c r="I375" s="3" t="s">
        <v>738</v>
      </c>
    </row>
    <row r="376" spans="1:9" x14ac:dyDescent="0.25">
      <c r="A376" s="3">
        <f t="shared" si="6"/>
        <v>375</v>
      </c>
      <c r="C376" s="3" t="s">
        <v>846</v>
      </c>
      <c r="D376" s="3" t="s">
        <v>847</v>
      </c>
      <c r="E376" s="3" t="s">
        <v>848</v>
      </c>
      <c r="F376" s="3" t="s">
        <v>849</v>
      </c>
      <c r="G376" s="3">
        <v>25</v>
      </c>
      <c r="H376" s="3" t="s">
        <v>850</v>
      </c>
    </row>
    <row r="377" spans="1:9" x14ac:dyDescent="0.25">
      <c r="A377" s="3">
        <f t="shared" si="6"/>
        <v>376</v>
      </c>
      <c r="C377" s="3" t="s">
        <v>846</v>
      </c>
      <c r="D377" s="3" t="s">
        <v>851</v>
      </c>
      <c r="E377" s="3" t="s">
        <v>848</v>
      </c>
      <c r="F377" s="3" t="s">
        <v>852</v>
      </c>
      <c r="G377" s="3">
        <v>20</v>
      </c>
      <c r="H377" s="3" t="s">
        <v>850</v>
      </c>
    </row>
    <row r="378" spans="1:9" x14ac:dyDescent="0.25">
      <c r="A378" s="3">
        <f t="shared" si="6"/>
        <v>377</v>
      </c>
      <c r="C378" s="3" t="s">
        <v>846</v>
      </c>
      <c r="D378" s="3" t="s">
        <v>853</v>
      </c>
      <c r="E378" s="3" t="s">
        <v>848</v>
      </c>
      <c r="F378" s="3" t="s">
        <v>854</v>
      </c>
      <c r="G378" s="3">
        <v>25</v>
      </c>
      <c r="H378" s="3" t="s">
        <v>850</v>
      </c>
    </row>
    <row r="379" spans="1:9" x14ac:dyDescent="0.25">
      <c r="A379" s="3">
        <f t="shared" si="6"/>
        <v>378</v>
      </c>
      <c r="C379" s="3" t="s">
        <v>846</v>
      </c>
      <c r="D379" s="3" t="s">
        <v>855</v>
      </c>
      <c r="E379" s="3" t="s">
        <v>848</v>
      </c>
      <c r="F379" s="3" t="s">
        <v>856</v>
      </c>
      <c r="G379" s="3">
        <v>20</v>
      </c>
      <c r="H379" s="3" t="s">
        <v>850</v>
      </c>
    </row>
    <row r="380" spans="1:9" x14ac:dyDescent="0.25">
      <c r="A380" s="3">
        <f t="shared" si="6"/>
        <v>379</v>
      </c>
      <c r="C380" s="3" t="s">
        <v>846</v>
      </c>
      <c r="D380" s="3" t="s">
        <v>857</v>
      </c>
      <c r="E380" s="3" t="s">
        <v>848</v>
      </c>
      <c r="F380" s="3" t="s">
        <v>858</v>
      </c>
      <c r="G380" s="3">
        <v>0.4</v>
      </c>
      <c r="H380" s="3" t="s">
        <v>850</v>
      </c>
    </row>
    <row r="381" spans="1:9" x14ac:dyDescent="0.25">
      <c r="A381" s="3">
        <f t="shared" si="6"/>
        <v>380</v>
      </c>
      <c r="C381" s="3" t="s">
        <v>846</v>
      </c>
      <c r="D381" s="3" t="s">
        <v>859</v>
      </c>
      <c r="E381" s="3" t="s">
        <v>848</v>
      </c>
      <c r="F381" s="3" t="s">
        <v>860</v>
      </c>
      <c r="G381" s="3">
        <v>3</v>
      </c>
      <c r="H381" s="3" t="s">
        <v>850</v>
      </c>
    </row>
    <row r="382" spans="1:9" x14ac:dyDescent="0.25">
      <c r="A382" s="3">
        <f t="shared" si="6"/>
        <v>381</v>
      </c>
      <c r="C382" s="3" t="s">
        <v>846</v>
      </c>
      <c r="D382" s="3" t="s">
        <v>861</v>
      </c>
      <c r="E382" s="3" t="s">
        <v>848</v>
      </c>
      <c r="F382" s="3" t="s">
        <v>862</v>
      </c>
      <c r="G382" s="3">
        <v>1.5</v>
      </c>
      <c r="H382" s="3" t="s">
        <v>850</v>
      </c>
    </row>
    <row r="383" spans="1:9" x14ac:dyDescent="0.25">
      <c r="A383" s="3">
        <f t="shared" si="6"/>
        <v>382</v>
      </c>
      <c r="C383" s="3" t="s">
        <v>846</v>
      </c>
      <c r="D383" s="3" t="s">
        <v>863</v>
      </c>
      <c r="E383" s="3" t="s">
        <v>848</v>
      </c>
      <c r="F383" s="3" t="s">
        <v>864</v>
      </c>
      <c r="G383" s="3">
        <v>0.15</v>
      </c>
      <c r="H383" s="3" t="s">
        <v>850</v>
      </c>
    </row>
    <row r="384" spans="1:9" x14ac:dyDescent="0.25">
      <c r="A384" s="3">
        <f t="shared" si="6"/>
        <v>383</v>
      </c>
      <c r="C384" s="3" t="s">
        <v>846</v>
      </c>
      <c r="D384" s="3" t="s">
        <v>865</v>
      </c>
      <c r="E384" s="3" t="s">
        <v>848</v>
      </c>
      <c r="F384" s="3" t="s">
        <v>866</v>
      </c>
      <c r="G384" s="3">
        <v>0.5</v>
      </c>
      <c r="H384" s="3" t="s">
        <v>850</v>
      </c>
    </row>
    <row r="385" spans="1:8" x14ac:dyDescent="0.25">
      <c r="A385" s="3">
        <f t="shared" si="6"/>
        <v>384</v>
      </c>
      <c r="C385" s="3" t="s">
        <v>846</v>
      </c>
      <c r="D385" s="3" t="s">
        <v>867</v>
      </c>
      <c r="E385" s="3" t="s">
        <v>848</v>
      </c>
      <c r="F385" s="3" t="s">
        <v>868</v>
      </c>
      <c r="G385" s="3">
        <v>25</v>
      </c>
      <c r="H385" s="3" t="s">
        <v>850</v>
      </c>
    </row>
    <row r="386" spans="1:8" x14ac:dyDescent="0.25">
      <c r="A386" s="3">
        <f t="shared" si="6"/>
        <v>385</v>
      </c>
      <c r="C386" s="3" t="s">
        <v>846</v>
      </c>
      <c r="D386" s="3" t="s">
        <v>869</v>
      </c>
      <c r="E386" s="3" t="s">
        <v>848</v>
      </c>
      <c r="F386" s="3" t="s">
        <v>870</v>
      </c>
      <c r="G386" s="3">
        <v>8</v>
      </c>
      <c r="H386" s="3" t="s">
        <v>871</v>
      </c>
    </row>
    <row r="387" spans="1:8" x14ac:dyDescent="0.25">
      <c r="A387" s="3">
        <f t="shared" si="6"/>
        <v>386</v>
      </c>
      <c r="C387" s="3" t="s">
        <v>846</v>
      </c>
      <c r="D387" s="3" t="s">
        <v>872</v>
      </c>
      <c r="E387" s="3" t="s">
        <v>848</v>
      </c>
      <c r="F387" s="3" t="s">
        <v>873</v>
      </c>
      <c r="G387" s="3">
        <v>15</v>
      </c>
      <c r="H387" s="3" t="s">
        <v>871</v>
      </c>
    </row>
    <row r="388" spans="1:8" x14ac:dyDescent="0.25">
      <c r="A388" s="3">
        <f t="shared" si="6"/>
        <v>387</v>
      </c>
      <c r="C388" s="3" t="s">
        <v>874</v>
      </c>
      <c r="D388" s="3" t="s">
        <v>875</v>
      </c>
      <c r="E388" s="3" t="s">
        <v>876</v>
      </c>
      <c r="F388" s="3" t="s">
        <v>877</v>
      </c>
      <c r="G388" s="3">
        <v>0.8</v>
      </c>
    </row>
    <row r="389" spans="1:8" x14ac:dyDescent="0.25">
      <c r="A389" s="3">
        <f t="shared" si="6"/>
        <v>388</v>
      </c>
      <c r="C389" s="3" t="s">
        <v>874</v>
      </c>
      <c r="D389" s="3" t="s">
        <v>878</v>
      </c>
      <c r="E389" s="3" t="s">
        <v>879</v>
      </c>
      <c r="F389" s="3" t="s">
        <v>880</v>
      </c>
      <c r="G389" s="3">
        <v>3</v>
      </c>
    </row>
    <row r="390" spans="1:8" x14ac:dyDescent="0.25">
      <c r="A390" s="3">
        <f t="shared" si="6"/>
        <v>389</v>
      </c>
      <c r="C390" s="3" t="s">
        <v>874</v>
      </c>
      <c r="D390" s="3" t="s">
        <v>881</v>
      </c>
      <c r="E390" s="3" t="s">
        <v>882</v>
      </c>
      <c r="F390" s="3" t="s">
        <v>883</v>
      </c>
      <c r="G390" s="3">
        <v>7</v>
      </c>
    </row>
    <row r="391" spans="1:8" x14ac:dyDescent="0.25">
      <c r="A391" s="3">
        <f t="shared" si="6"/>
        <v>390</v>
      </c>
      <c r="C391" s="3" t="s">
        <v>874</v>
      </c>
      <c r="D391" s="3" t="s">
        <v>884</v>
      </c>
      <c r="E391" s="3" t="s">
        <v>885</v>
      </c>
      <c r="F391" s="3" t="s">
        <v>886</v>
      </c>
      <c r="G391" s="3">
        <v>10</v>
      </c>
    </row>
    <row r="392" spans="1:8" x14ac:dyDescent="0.25">
      <c r="A392" s="3">
        <f t="shared" si="6"/>
        <v>391</v>
      </c>
      <c r="C392" s="3" t="s">
        <v>874</v>
      </c>
      <c r="D392" s="3" t="s">
        <v>887</v>
      </c>
      <c r="E392" s="3" t="s">
        <v>888</v>
      </c>
      <c r="F392" s="3" t="s">
        <v>962</v>
      </c>
      <c r="G392" s="3">
        <v>2</v>
      </c>
    </row>
    <row r="393" spans="1:8" x14ac:dyDescent="0.25">
      <c r="A393" s="3">
        <f t="shared" ref="A393:A450" si="7">A392+1</f>
        <v>392</v>
      </c>
      <c r="C393" s="3" t="s">
        <v>874</v>
      </c>
      <c r="D393" s="3" t="s">
        <v>889</v>
      </c>
      <c r="E393" s="3" t="s">
        <v>890</v>
      </c>
      <c r="F393" s="3" t="s">
        <v>891</v>
      </c>
      <c r="G393" s="3">
        <v>5</v>
      </c>
      <c r="H393" s="3">
        <v>10</v>
      </c>
    </row>
    <row r="394" spans="1:8" x14ac:dyDescent="0.25">
      <c r="A394" s="3">
        <f t="shared" si="7"/>
        <v>393</v>
      </c>
      <c r="C394" s="3" t="s">
        <v>874</v>
      </c>
      <c r="D394" s="3" t="s">
        <v>892</v>
      </c>
      <c r="E394" s="3" t="s">
        <v>893</v>
      </c>
      <c r="F394" s="3" t="s">
        <v>894</v>
      </c>
      <c r="G394" s="3">
        <v>8</v>
      </c>
    </row>
    <row r="395" spans="1:8" x14ac:dyDescent="0.25">
      <c r="A395" s="3">
        <f t="shared" si="7"/>
        <v>394</v>
      </c>
      <c r="C395" s="3" t="s">
        <v>895</v>
      </c>
      <c r="D395" s="3" t="s">
        <v>79</v>
      </c>
      <c r="E395" s="3" t="s">
        <v>896</v>
      </c>
      <c r="F395" s="3" t="s">
        <v>897</v>
      </c>
      <c r="G395" s="3">
        <v>1</v>
      </c>
    </row>
    <row r="396" spans="1:8" x14ac:dyDescent="0.25">
      <c r="A396" s="3">
        <f t="shared" si="7"/>
        <v>395</v>
      </c>
      <c r="C396" s="3" t="s">
        <v>895</v>
      </c>
      <c r="D396" s="3" t="s">
        <v>737</v>
      </c>
      <c r="E396" s="3" t="s">
        <v>896</v>
      </c>
      <c r="F396" s="3" t="s">
        <v>897</v>
      </c>
      <c r="G396" s="3">
        <v>2.6</v>
      </c>
    </row>
    <row r="397" spans="1:8" x14ac:dyDescent="0.25">
      <c r="A397" s="3">
        <f t="shared" si="7"/>
        <v>396</v>
      </c>
      <c r="C397" s="3" t="s">
        <v>895</v>
      </c>
      <c r="D397" s="3" t="s">
        <v>82</v>
      </c>
      <c r="E397" s="3" t="s">
        <v>896</v>
      </c>
      <c r="F397" s="3" t="s">
        <v>897</v>
      </c>
      <c r="G397" s="3">
        <v>1</v>
      </c>
    </row>
    <row r="398" spans="1:8" x14ac:dyDescent="0.25">
      <c r="A398" s="3">
        <f t="shared" si="7"/>
        <v>397</v>
      </c>
      <c r="C398" s="3" t="s">
        <v>895</v>
      </c>
      <c r="D398" s="3" t="s">
        <v>739</v>
      </c>
      <c r="E398" s="3" t="s">
        <v>896</v>
      </c>
      <c r="F398" s="3" t="s">
        <v>897</v>
      </c>
      <c r="G398" s="3">
        <v>2.6</v>
      </c>
    </row>
    <row r="399" spans="1:8" x14ac:dyDescent="0.25">
      <c r="A399" s="3">
        <f t="shared" si="7"/>
        <v>398</v>
      </c>
      <c r="C399" s="3" t="s">
        <v>895</v>
      </c>
      <c r="D399" s="3" t="s">
        <v>740</v>
      </c>
      <c r="E399" s="3" t="s">
        <v>896</v>
      </c>
      <c r="F399" s="3" t="s">
        <v>897</v>
      </c>
      <c r="G399" s="3">
        <v>0.16</v>
      </c>
    </row>
    <row r="400" spans="1:8" x14ac:dyDescent="0.25">
      <c r="A400" s="3">
        <f t="shared" si="7"/>
        <v>399</v>
      </c>
      <c r="C400" s="3" t="s">
        <v>895</v>
      </c>
      <c r="D400" s="3" t="s">
        <v>741</v>
      </c>
      <c r="E400" s="3" t="s">
        <v>896</v>
      </c>
      <c r="F400" s="3" t="s">
        <v>897</v>
      </c>
      <c r="G400" s="3">
        <v>2.2000000000000002</v>
      </c>
    </row>
    <row r="401" spans="1:7" x14ac:dyDescent="0.25">
      <c r="A401" s="3">
        <f t="shared" si="7"/>
        <v>400</v>
      </c>
      <c r="C401" s="3" t="s">
        <v>895</v>
      </c>
      <c r="D401" s="3" t="s">
        <v>742</v>
      </c>
      <c r="E401" s="3" t="s">
        <v>896</v>
      </c>
      <c r="F401" s="3" t="s">
        <v>897</v>
      </c>
      <c r="G401" s="3">
        <v>0.6</v>
      </c>
    </row>
    <row r="402" spans="1:7" x14ac:dyDescent="0.25">
      <c r="A402" s="3">
        <f t="shared" si="7"/>
        <v>401</v>
      </c>
      <c r="C402" s="3" t="s">
        <v>895</v>
      </c>
      <c r="D402" s="3" t="s">
        <v>85</v>
      </c>
      <c r="E402" s="3" t="s">
        <v>896</v>
      </c>
      <c r="F402" s="3" t="s">
        <v>897</v>
      </c>
      <c r="G402" s="3">
        <v>0.9</v>
      </c>
    </row>
    <row r="403" spans="1:7" x14ac:dyDescent="0.25">
      <c r="A403" s="3">
        <f t="shared" si="7"/>
        <v>402</v>
      </c>
      <c r="C403" s="3" t="s">
        <v>895</v>
      </c>
      <c r="D403" s="3" t="s">
        <v>748</v>
      </c>
      <c r="E403" s="3" t="s">
        <v>896</v>
      </c>
      <c r="F403" s="3" t="s">
        <v>897</v>
      </c>
      <c r="G403" s="3">
        <v>1.8</v>
      </c>
    </row>
    <row r="404" spans="1:7" x14ac:dyDescent="0.25">
      <c r="A404" s="3">
        <f t="shared" si="7"/>
        <v>403</v>
      </c>
      <c r="C404" s="3" t="s">
        <v>895</v>
      </c>
      <c r="D404" s="3" t="s">
        <v>88</v>
      </c>
      <c r="E404" s="3" t="s">
        <v>896</v>
      </c>
      <c r="F404" s="3" t="s">
        <v>897</v>
      </c>
      <c r="G404" s="3">
        <v>0.9</v>
      </c>
    </row>
    <row r="405" spans="1:7" x14ac:dyDescent="0.25">
      <c r="A405" s="3">
        <f t="shared" si="7"/>
        <v>404</v>
      </c>
      <c r="C405" s="3" t="s">
        <v>895</v>
      </c>
      <c r="D405" s="3" t="s">
        <v>743</v>
      </c>
      <c r="E405" s="3" t="s">
        <v>896</v>
      </c>
      <c r="F405" s="3" t="s">
        <v>897</v>
      </c>
      <c r="G405" s="3">
        <v>0.25</v>
      </c>
    </row>
    <row r="406" spans="1:7" x14ac:dyDescent="0.25">
      <c r="A406" s="3">
        <f t="shared" si="7"/>
        <v>405</v>
      </c>
      <c r="C406" s="3" t="s">
        <v>895</v>
      </c>
      <c r="D406" s="3" t="s">
        <v>76</v>
      </c>
      <c r="E406" s="3" t="s">
        <v>896</v>
      </c>
      <c r="F406" s="3" t="s">
        <v>897</v>
      </c>
      <c r="G406" s="3">
        <v>2</v>
      </c>
    </row>
    <row r="407" spans="1:7" x14ac:dyDescent="0.25">
      <c r="A407" s="3">
        <f t="shared" si="7"/>
        <v>406</v>
      </c>
      <c r="C407" s="3" t="s">
        <v>895</v>
      </c>
      <c r="D407" s="3" t="s">
        <v>744</v>
      </c>
      <c r="E407" s="3" t="s">
        <v>896</v>
      </c>
      <c r="F407" s="3" t="s">
        <v>897</v>
      </c>
      <c r="G407" s="3">
        <v>1.8</v>
      </c>
    </row>
    <row r="408" spans="1:7" x14ac:dyDescent="0.25">
      <c r="A408" s="3">
        <f t="shared" si="7"/>
        <v>407</v>
      </c>
      <c r="C408" s="3" t="s">
        <v>895</v>
      </c>
      <c r="D408" s="3" t="s">
        <v>745</v>
      </c>
      <c r="E408" s="3" t="s">
        <v>896</v>
      </c>
      <c r="F408" s="3" t="s">
        <v>897</v>
      </c>
      <c r="G408" s="3">
        <v>1.8</v>
      </c>
    </row>
    <row r="409" spans="1:7" x14ac:dyDescent="0.25">
      <c r="A409" s="3">
        <f t="shared" si="7"/>
        <v>408</v>
      </c>
      <c r="C409" s="3" t="s">
        <v>895</v>
      </c>
      <c r="D409" s="3" t="s">
        <v>746</v>
      </c>
      <c r="E409" s="3" t="s">
        <v>896</v>
      </c>
      <c r="F409" s="3" t="s">
        <v>897</v>
      </c>
      <c r="G409" s="3">
        <v>1.8</v>
      </c>
    </row>
    <row r="410" spans="1:7" x14ac:dyDescent="0.25">
      <c r="A410" s="3">
        <f t="shared" si="7"/>
        <v>409</v>
      </c>
      <c r="C410" s="3" t="s">
        <v>895</v>
      </c>
      <c r="D410" s="3" t="s">
        <v>747</v>
      </c>
      <c r="E410" s="3" t="s">
        <v>896</v>
      </c>
      <c r="F410" s="3" t="s">
        <v>897</v>
      </c>
      <c r="G410" s="3">
        <v>1.8</v>
      </c>
    </row>
    <row r="411" spans="1:7" x14ac:dyDescent="0.25">
      <c r="A411" s="3">
        <f t="shared" si="7"/>
        <v>410</v>
      </c>
      <c r="C411" s="3" t="s">
        <v>895</v>
      </c>
      <c r="D411" s="3" t="s">
        <v>749</v>
      </c>
      <c r="E411" s="3" t="s">
        <v>896</v>
      </c>
      <c r="F411" s="3" t="s">
        <v>897</v>
      </c>
      <c r="G411" s="3">
        <v>2.8</v>
      </c>
    </row>
    <row r="412" spans="1:7" x14ac:dyDescent="0.25">
      <c r="A412" s="3">
        <f t="shared" si="7"/>
        <v>411</v>
      </c>
      <c r="C412" s="3" t="s">
        <v>895</v>
      </c>
      <c r="D412" s="3" t="s">
        <v>750</v>
      </c>
      <c r="E412" s="3" t="s">
        <v>896</v>
      </c>
      <c r="F412" s="3" t="s">
        <v>897</v>
      </c>
      <c r="G412" s="3">
        <v>2.4</v>
      </c>
    </row>
    <row r="413" spans="1:7" x14ac:dyDescent="0.25">
      <c r="A413" s="3">
        <f t="shared" si="7"/>
        <v>412</v>
      </c>
      <c r="C413" s="3" t="s">
        <v>895</v>
      </c>
      <c r="D413" s="3" t="s">
        <v>751</v>
      </c>
      <c r="E413" s="3" t="s">
        <v>896</v>
      </c>
      <c r="F413" s="3" t="s">
        <v>897</v>
      </c>
      <c r="G413" s="3">
        <v>0.9</v>
      </c>
    </row>
    <row r="414" spans="1:7" x14ac:dyDescent="0.25">
      <c r="A414" s="3">
        <f t="shared" si="7"/>
        <v>413</v>
      </c>
      <c r="C414" s="3" t="s">
        <v>895</v>
      </c>
      <c r="D414" s="3" t="s">
        <v>752</v>
      </c>
      <c r="E414" s="3" t="s">
        <v>896</v>
      </c>
      <c r="F414" s="3" t="s">
        <v>897</v>
      </c>
      <c r="G414" s="3">
        <v>2.2000000000000002</v>
      </c>
    </row>
    <row r="415" spans="1:7" x14ac:dyDescent="0.25">
      <c r="A415" s="3">
        <f t="shared" si="7"/>
        <v>414</v>
      </c>
      <c r="C415" s="3" t="s">
        <v>895</v>
      </c>
      <c r="D415" s="3" t="s">
        <v>753</v>
      </c>
      <c r="E415" s="3" t="s">
        <v>896</v>
      </c>
      <c r="F415" s="3" t="s">
        <v>897</v>
      </c>
      <c r="G415" s="3">
        <v>2.2000000000000002</v>
      </c>
    </row>
    <row r="416" spans="1:7" x14ac:dyDescent="0.25">
      <c r="A416" s="3">
        <f t="shared" si="7"/>
        <v>415</v>
      </c>
      <c r="C416" s="3" t="s">
        <v>895</v>
      </c>
      <c r="D416" s="3" t="s">
        <v>754</v>
      </c>
      <c r="E416" s="3" t="s">
        <v>896</v>
      </c>
      <c r="F416" s="3" t="s">
        <v>897</v>
      </c>
      <c r="G416" s="3">
        <v>1.2</v>
      </c>
    </row>
    <row r="417" spans="1:7" x14ac:dyDescent="0.25">
      <c r="A417" s="3">
        <f t="shared" si="7"/>
        <v>416</v>
      </c>
      <c r="C417" s="3" t="s">
        <v>895</v>
      </c>
      <c r="D417" s="3" t="s">
        <v>755</v>
      </c>
      <c r="E417" s="3" t="s">
        <v>896</v>
      </c>
      <c r="F417" s="3" t="s">
        <v>897</v>
      </c>
      <c r="G417" s="3">
        <v>2</v>
      </c>
    </row>
    <row r="418" spans="1:7" x14ac:dyDescent="0.25">
      <c r="A418" s="3">
        <f t="shared" si="7"/>
        <v>417</v>
      </c>
      <c r="C418" s="3" t="s">
        <v>895</v>
      </c>
      <c r="D418" s="3" t="s">
        <v>756</v>
      </c>
      <c r="E418" s="3" t="s">
        <v>896</v>
      </c>
      <c r="F418" s="3" t="s">
        <v>897</v>
      </c>
      <c r="G418" s="3">
        <v>1.4</v>
      </c>
    </row>
    <row r="419" spans="1:7" x14ac:dyDescent="0.25">
      <c r="A419" s="3">
        <f t="shared" si="7"/>
        <v>418</v>
      </c>
      <c r="C419" s="3" t="s">
        <v>895</v>
      </c>
      <c r="D419" s="3" t="s">
        <v>757</v>
      </c>
      <c r="E419" s="3" t="s">
        <v>896</v>
      </c>
      <c r="F419" s="3" t="s">
        <v>897</v>
      </c>
      <c r="G419" s="3">
        <v>2.2000000000000002</v>
      </c>
    </row>
    <row r="420" spans="1:7" x14ac:dyDescent="0.25">
      <c r="A420" s="3">
        <f t="shared" si="7"/>
        <v>419</v>
      </c>
      <c r="C420" s="3" t="s">
        <v>895</v>
      </c>
      <c r="D420" s="3" t="s">
        <v>758</v>
      </c>
      <c r="E420" s="3" t="s">
        <v>896</v>
      </c>
      <c r="F420" s="3" t="s">
        <v>897</v>
      </c>
      <c r="G420" s="3">
        <v>1.4</v>
      </c>
    </row>
    <row r="421" spans="1:7" x14ac:dyDescent="0.25">
      <c r="A421" s="3">
        <f t="shared" si="7"/>
        <v>420</v>
      </c>
      <c r="C421" s="3" t="s">
        <v>895</v>
      </c>
      <c r="D421" s="3" t="s">
        <v>759</v>
      </c>
      <c r="E421" s="3" t="s">
        <v>896</v>
      </c>
      <c r="F421" s="3" t="s">
        <v>897</v>
      </c>
      <c r="G421" s="3">
        <v>1.2</v>
      </c>
    </row>
    <row r="422" spans="1:7" x14ac:dyDescent="0.25">
      <c r="A422" s="3">
        <f t="shared" si="7"/>
        <v>421</v>
      </c>
      <c r="C422" s="3" t="s">
        <v>895</v>
      </c>
      <c r="D422" s="3" t="s">
        <v>760</v>
      </c>
      <c r="E422" s="3" t="s">
        <v>896</v>
      </c>
      <c r="F422" s="3" t="s">
        <v>897</v>
      </c>
      <c r="G422" s="3">
        <v>1.2</v>
      </c>
    </row>
    <row r="423" spans="1:7" x14ac:dyDescent="0.25">
      <c r="A423" s="3">
        <f t="shared" si="7"/>
        <v>422</v>
      </c>
      <c r="C423" s="3" t="s">
        <v>895</v>
      </c>
      <c r="D423" s="3" t="s">
        <v>761</v>
      </c>
      <c r="E423" s="3" t="s">
        <v>896</v>
      </c>
      <c r="F423" s="3" t="s">
        <v>897</v>
      </c>
      <c r="G423" s="3">
        <v>1.4</v>
      </c>
    </row>
    <row r="424" spans="1:7" x14ac:dyDescent="0.25">
      <c r="A424" s="3">
        <f t="shared" si="7"/>
        <v>423</v>
      </c>
      <c r="C424" s="3" t="s">
        <v>895</v>
      </c>
      <c r="D424" s="3" t="s">
        <v>107</v>
      </c>
      <c r="E424" s="3" t="s">
        <v>896</v>
      </c>
      <c r="F424" s="3" t="s">
        <v>897</v>
      </c>
      <c r="G424" s="3">
        <v>1</v>
      </c>
    </row>
    <row r="425" spans="1:7" x14ac:dyDescent="0.25">
      <c r="A425" s="3">
        <f t="shared" si="7"/>
        <v>424</v>
      </c>
      <c r="C425" s="3" t="s">
        <v>895</v>
      </c>
      <c r="D425" s="3" t="s">
        <v>762</v>
      </c>
      <c r="E425" s="3" t="s">
        <v>896</v>
      </c>
      <c r="F425" s="3" t="s">
        <v>897</v>
      </c>
      <c r="G425" s="3">
        <v>2</v>
      </c>
    </row>
    <row r="426" spans="1:7" x14ac:dyDescent="0.25">
      <c r="A426" s="3">
        <f t="shared" si="7"/>
        <v>425</v>
      </c>
      <c r="C426" s="3" t="s">
        <v>895</v>
      </c>
      <c r="D426" s="3" t="s">
        <v>763</v>
      </c>
      <c r="E426" s="3" t="s">
        <v>896</v>
      </c>
      <c r="F426" s="3" t="s">
        <v>897</v>
      </c>
      <c r="G426" s="3">
        <v>1.2</v>
      </c>
    </row>
    <row r="427" spans="1:7" x14ac:dyDescent="0.25">
      <c r="A427" s="3">
        <f t="shared" si="7"/>
        <v>426</v>
      </c>
      <c r="C427" s="3" t="s">
        <v>895</v>
      </c>
      <c r="D427" s="3" t="s">
        <v>764</v>
      </c>
      <c r="E427" s="3" t="s">
        <v>896</v>
      </c>
      <c r="F427" s="3" t="s">
        <v>897</v>
      </c>
      <c r="G427" s="3">
        <v>2.2000000000000002</v>
      </c>
    </row>
    <row r="428" spans="1:7" x14ac:dyDescent="0.25">
      <c r="A428" s="3">
        <f t="shared" si="7"/>
        <v>427</v>
      </c>
      <c r="C428" s="3" t="s">
        <v>895</v>
      </c>
      <c r="D428" s="3" t="s">
        <v>765</v>
      </c>
      <c r="E428" s="3" t="s">
        <v>896</v>
      </c>
      <c r="F428" s="3" t="s">
        <v>897</v>
      </c>
      <c r="G428" s="3">
        <v>1.2</v>
      </c>
    </row>
    <row r="429" spans="1:7" x14ac:dyDescent="0.25">
      <c r="A429" s="3">
        <f t="shared" si="7"/>
        <v>428</v>
      </c>
      <c r="C429" s="3" t="s">
        <v>895</v>
      </c>
      <c r="D429" s="3" t="s">
        <v>766</v>
      </c>
      <c r="E429" s="3" t="s">
        <v>896</v>
      </c>
      <c r="F429" s="3" t="s">
        <v>897</v>
      </c>
      <c r="G429" s="3">
        <v>1</v>
      </c>
    </row>
    <row r="430" spans="1:7" x14ac:dyDescent="0.25">
      <c r="A430" s="3">
        <f t="shared" si="7"/>
        <v>429</v>
      </c>
      <c r="C430" s="3" t="s">
        <v>895</v>
      </c>
      <c r="D430" s="3" t="s">
        <v>767</v>
      </c>
      <c r="E430" s="3" t="s">
        <v>896</v>
      </c>
      <c r="F430" s="3" t="s">
        <v>897</v>
      </c>
      <c r="G430" s="3">
        <v>2</v>
      </c>
    </row>
    <row r="431" spans="1:7" x14ac:dyDescent="0.25">
      <c r="A431" s="3">
        <f t="shared" si="7"/>
        <v>430</v>
      </c>
      <c r="C431" s="3" t="s">
        <v>895</v>
      </c>
      <c r="D431" s="3" t="s">
        <v>768</v>
      </c>
      <c r="E431" s="3" t="s">
        <v>896</v>
      </c>
      <c r="F431" s="3" t="s">
        <v>897</v>
      </c>
      <c r="G431" s="3">
        <v>2</v>
      </c>
    </row>
    <row r="432" spans="1:7" x14ac:dyDescent="0.25">
      <c r="A432" s="3">
        <f t="shared" si="7"/>
        <v>431</v>
      </c>
      <c r="C432" s="3" t="s">
        <v>895</v>
      </c>
      <c r="D432" s="3" t="s">
        <v>769</v>
      </c>
      <c r="E432" s="3" t="s">
        <v>896</v>
      </c>
      <c r="F432" s="3" t="s">
        <v>897</v>
      </c>
      <c r="G432" s="3">
        <v>0.8</v>
      </c>
    </row>
    <row r="433" spans="1:7" x14ac:dyDescent="0.25">
      <c r="A433" s="3">
        <f t="shared" si="7"/>
        <v>432</v>
      </c>
      <c r="C433" s="3" t="s">
        <v>895</v>
      </c>
      <c r="D433" s="3" t="s">
        <v>770</v>
      </c>
      <c r="E433" s="3" t="s">
        <v>896</v>
      </c>
      <c r="F433" s="3" t="s">
        <v>897</v>
      </c>
      <c r="G433" s="3">
        <v>0.8</v>
      </c>
    </row>
    <row r="434" spans="1:7" x14ac:dyDescent="0.25">
      <c r="A434" s="3">
        <f t="shared" si="7"/>
        <v>433</v>
      </c>
      <c r="C434" s="3" t="s">
        <v>895</v>
      </c>
      <c r="D434" s="3" t="s">
        <v>771</v>
      </c>
      <c r="E434" s="3" t="s">
        <v>896</v>
      </c>
      <c r="F434" s="3" t="s">
        <v>897</v>
      </c>
      <c r="G434" s="3">
        <v>0.8</v>
      </c>
    </row>
    <row r="435" spans="1:7" x14ac:dyDescent="0.25">
      <c r="A435" s="3">
        <f t="shared" si="7"/>
        <v>434</v>
      </c>
      <c r="C435" s="3" t="s">
        <v>895</v>
      </c>
      <c r="D435" s="3" t="s">
        <v>772</v>
      </c>
      <c r="E435" s="3" t="s">
        <v>896</v>
      </c>
      <c r="F435" s="3" t="s">
        <v>897</v>
      </c>
      <c r="G435" s="3">
        <v>0.8</v>
      </c>
    </row>
    <row r="436" spans="1:7" x14ac:dyDescent="0.25">
      <c r="A436" s="3">
        <f t="shared" si="7"/>
        <v>435</v>
      </c>
      <c r="C436" s="3" t="s">
        <v>895</v>
      </c>
      <c r="D436" s="3" t="s">
        <v>773</v>
      </c>
      <c r="E436" s="3" t="s">
        <v>896</v>
      </c>
      <c r="F436" s="3" t="s">
        <v>897</v>
      </c>
      <c r="G436" s="3">
        <v>0.8</v>
      </c>
    </row>
    <row r="437" spans="1:7" x14ac:dyDescent="0.25">
      <c r="A437" s="3">
        <f t="shared" si="7"/>
        <v>436</v>
      </c>
      <c r="C437" s="3" t="s">
        <v>895</v>
      </c>
      <c r="D437" s="3" t="s">
        <v>774</v>
      </c>
      <c r="E437" s="3" t="s">
        <v>896</v>
      </c>
      <c r="F437" s="3" t="s">
        <v>897</v>
      </c>
      <c r="G437" s="3">
        <v>0.8</v>
      </c>
    </row>
    <row r="438" spans="1:7" x14ac:dyDescent="0.25">
      <c r="A438" s="3">
        <f t="shared" si="7"/>
        <v>437</v>
      </c>
      <c r="C438" s="3" t="s">
        <v>895</v>
      </c>
      <c r="D438" s="3" t="s">
        <v>775</v>
      </c>
      <c r="E438" s="3" t="s">
        <v>896</v>
      </c>
      <c r="F438" s="3" t="s">
        <v>897</v>
      </c>
      <c r="G438" s="3">
        <v>1.2</v>
      </c>
    </row>
    <row r="439" spans="1:7" x14ac:dyDescent="0.25">
      <c r="A439" s="3">
        <f t="shared" si="7"/>
        <v>438</v>
      </c>
      <c r="C439" s="3" t="s">
        <v>895</v>
      </c>
      <c r="D439" s="3" t="s">
        <v>776</v>
      </c>
      <c r="E439" s="3" t="s">
        <v>896</v>
      </c>
      <c r="F439" s="3" t="s">
        <v>897</v>
      </c>
      <c r="G439" s="3">
        <v>1.5</v>
      </c>
    </row>
    <row r="440" spans="1:7" x14ac:dyDescent="0.25">
      <c r="A440" s="3">
        <f t="shared" si="7"/>
        <v>439</v>
      </c>
      <c r="C440" s="3" t="s">
        <v>895</v>
      </c>
      <c r="D440" s="3" t="s">
        <v>777</v>
      </c>
      <c r="E440" s="3" t="s">
        <v>896</v>
      </c>
      <c r="F440" s="3" t="s">
        <v>897</v>
      </c>
      <c r="G440" s="3">
        <v>0.8</v>
      </c>
    </row>
    <row r="441" spans="1:7" x14ac:dyDescent="0.25">
      <c r="A441" s="3">
        <f t="shared" si="7"/>
        <v>440</v>
      </c>
      <c r="C441" s="3" t="s">
        <v>895</v>
      </c>
      <c r="D441" s="3" t="s">
        <v>778</v>
      </c>
      <c r="E441" s="3" t="s">
        <v>896</v>
      </c>
      <c r="F441" s="3" t="s">
        <v>897</v>
      </c>
      <c r="G441" s="3">
        <v>0.8</v>
      </c>
    </row>
    <row r="442" spans="1:7" x14ac:dyDescent="0.25">
      <c r="A442" s="3">
        <f t="shared" si="7"/>
        <v>441</v>
      </c>
      <c r="C442" s="3" t="s">
        <v>895</v>
      </c>
      <c r="D442" s="3" t="s">
        <v>780</v>
      </c>
      <c r="E442" s="3" t="s">
        <v>896</v>
      </c>
      <c r="F442" s="3" t="s">
        <v>897</v>
      </c>
      <c r="G442" s="3">
        <v>0.8</v>
      </c>
    </row>
    <row r="443" spans="1:7" x14ac:dyDescent="0.25">
      <c r="A443" s="3">
        <f t="shared" si="7"/>
        <v>442</v>
      </c>
      <c r="C443" s="3" t="s">
        <v>895</v>
      </c>
      <c r="D443" s="3" t="s">
        <v>781</v>
      </c>
      <c r="E443" s="3" t="s">
        <v>896</v>
      </c>
      <c r="F443" s="3" t="s">
        <v>897</v>
      </c>
      <c r="G443" s="3">
        <v>1.5</v>
      </c>
    </row>
    <row r="444" spans="1:7" x14ac:dyDescent="0.25">
      <c r="A444" s="3">
        <f t="shared" si="7"/>
        <v>443</v>
      </c>
      <c r="C444" s="3" t="s">
        <v>895</v>
      </c>
      <c r="D444" s="3" t="s">
        <v>101</v>
      </c>
      <c r="E444" s="3" t="s">
        <v>896</v>
      </c>
      <c r="F444" s="3" t="s">
        <v>897</v>
      </c>
      <c r="G444" s="3">
        <v>0.8</v>
      </c>
    </row>
    <row r="445" spans="1:7" x14ac:dyDescent="0.25">
      <c r="A445" s="3">
        <f t="shared" si="7"/>
        <v>444</v>
      </c>
      <c r="C445" s="3" t="s">
        <v>895</v>
      </c>
      <c r="D445" s="3" t="s">
        <v>783</v>
      </c>
      <c r="E445" s="3" t="s">
        <v>896</v>
      </c>
      <c r="F445" s="3" t="s">
        <v>897</v>
      </c>
      <c r="G445" s="3">
        <v>0.8</v>
      </c>
    </row>
    <row r="446" spans="1:7" x14ac:dyDescent="0.25">
      <c r="A446" s="3">
        <f t="shared" si="7"/>
        <v>445</v>
      </c>
      <c r="C446" s="3" t="s">
        <v>895</v>
      </c>
      <c r="D446" s="3" t="s">
        <v>784</v>
      </c>
      <c r="E446" s="3" t="s">
        <v>896</v>
      </c>
      <c r="F446" s="3" t="s">
        <v>897</v>
      </c>
      <c r="G446" s="3">
        <v>0.8</v>
      </c>
    </row>
    <row r="447" spans="1:7" x14ac:dyDescent="0.25">
      <c r="A447" s="3">
        <f t="shared" si="7"/>
        <v>446</v>
      </c>
      <c r="C447" s="3" t="s">
        <v>895</v>
      </c>
      <c r="D447" s="3" t="s">
        <v>785</v>
      </c>
      <c r="E447" s="3" t="s">
        <v>896</v>
      </c>
      <c r="F447" s="3" t="s">
        <v>897</v>
      </c>
      <c r="G447" s="3">
        <v>1.2</v>
      </c>
    </row>
    <row r="448" spans="1:7" x14ac:dyDescent="0.25">
      <c r="A448" s="3">
        <f t="shared" si="7"/>
        <v>447</v>
      </c>
      <c r="C448" s="3" t="s">
        <v>895</v>
      </c>
      <c r="D448" s="3" t="s">
        <v>786</v>
      </c>
      <c r="E448" s="3" t="s">
        <v>896</v>
      </c>
      <c r="F448" s="3" t="s">
        <v>897</v>
      </c>
      <c r="G448" s="3">
        <v>1</v>
      </c>
    </row>
    <row r="449" spans="1:7" x14ac:dyDescent="0.25">
      <c r="A449" s="3">
        <f t="shared" si="7"/>
        <v>448</v>
      </c>
      <c r="C449" s="3" t="s">
        <v>895</v>
      </c>
      <c r="D449" s="3" t="s">
        <v>787</v>
      </c>
      <c r="E449" s="3" t="s">
        <v>896</v>
      </c>
      <c r="F449" s="3" t="s">
        <v>897</v>
      </c>
      <c r="G449" s="3">
        <v>1.2</v>
      </c>
    </row>
    <row r="450" spans="1:7" x14ac:dyDescent="0.25">
      <c r="A450" s="3">
        <f t="shared" si="7"/>
        <v>449</v>
      </c>
      <c r="C450" s="3" t="s">
        <v>895</v>
      </c>
      <c r="D450" s="3" t="s">
        <v>788</v>
      </c>
      <c r="E450" s="3" t="s">
        <v>896</v>
      </c>
      <c r="F450" s="3" t="s">
        <v>897</v>
      </c>
      <c r="G450" s="3">
        <v>1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KOF</dc:creator>
  <cp:lastModifiedBy>心情好 王任</cp:lastModifiedBy>
  <dcterms:created xsi:type="dcterms:W3CDTF">2015-06-05T18:19:34Z</dcterms:created>
  <dcterms:modified xsi:type="dcterms:W3CDTF">2026-07-16T06:43:38Z</dcterms:modified>
</cp:coreProperties>
</file>
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F63A2138-A6E3-4ED4-974C-09909B5692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214" i="2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1" i="2"/>
  <c r="A3" i="2"/>
  <c r="A4" i="2" l="1"/>
  <c r="I12" i="2"/>
  <c r="I13" i="2" l="1"/>
  <c r="A5" i="2"/>
  <c r="I14" i="2" l="1"/>
  <c r="A6" i="2"/>
  <c r="I15" i="2" l="1"/>
  <c r="A7" i="2"/>
  <c r="I16" i="2" l="1"/>
  <c r="A8" i="2"/>
  <c r="I17" i="2" l="1"/>
  <c r="A9" i="2"/>
  <c r="I18" i="2" l="1"/>
  <c r="A10" i="2"/>
  <c r="I19" i="2" l="1"/>
  <c r="A11" i="2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</calcChain>
</file>

<file path=xl/sharedStrings.xml><?xml version="1.0" encoding="utf-8"?>
<sst xmlns="http://schemas.openxmlformats.org/spreadsheetml/2006/main" count="1865" uniqueCount="973">
  <si>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</si>
  <si>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</si>
  <si>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</si>
  <si>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</si>
  <si>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</si>
  <si>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</si>
  <si>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</si>
  <si>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</si>
  <si>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</si>
  <si>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</si>
  <si>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</si>
  <si>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</si>
  <si>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</si>
  <si>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</si>
  <si>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</si>
  <si>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</si>
  <si>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</si>
  <si>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</si>
  <si>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</si>
  <si>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</si>
  <si>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</si>
  <si>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</si>
  <si>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</si>
  <si>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</si>
  <si>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</si>
  <si>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</si>
  <si>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</si>
  <si>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</si>
  <si>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</si>
  <si>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</si>
  <si>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</si>
  <si>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</si>
  <si>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</si>
  <si>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</si>
  <si>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</si>
  <si>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</si>
  <si>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</si>
  <si>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</si>
  <si>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</si>
  <si>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</si>
  <si>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</si>
  <si>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</si>
  <si>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</si>
  <si>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</si>
  <si>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</si>
  <si>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</si>
  <si>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</si>
  <si>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</si>
  <si>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</si>
  <si>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</si>
  <si>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</si>
  <si>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</si>
  <si>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</si>
  <si>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</si>
  <si>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</si>
  <si>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</si>
  <si>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</si>
  <si>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</si>
  <si>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</si>
  <si>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</si>
  <si>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</si>
  <si>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</si>
  <si>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</si>
  <si>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</si>
  <si>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</si>
  <si>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</si>
  <si>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</si>
  <si>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</si>
  <si>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</si>
  <si>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</si>
  <si>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</si>
  <si>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</si>
  <si>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</si>
  <si>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</si>
  <si>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</si>
  <si>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</si>
  <si>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</si>
  <si>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</si>
  <si>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</si>
  <si>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</si>
  <si>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</si>
  <si>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</si>
  <si>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</si>
  <si>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</si>
  <si>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</si>
  <si>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</si>
  <si>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</si>
  <si>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</si>
  <si>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</si>
  <si>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</si>
  <si>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</si>
  <si>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</si>
  <si>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</si>
  <si>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</si>
  <si>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</si>
  <si>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</si>
  <si>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</si>
  <si>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</si>
  <si>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</si>
  <si>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</si>
  <si>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</si>
  <si>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</si>
  <si>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</si>
  <si>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</si>
  <si>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</si>
  <si>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</si>
  <si>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</si>
  <si>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</si>
  <si>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</si>
  <si>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</si>
  <si>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</si>
  <si>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</si>
  <si>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</si>
  <si>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</si>
  <si>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</si>
  <si>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</si>
  <si>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</si>
  <si>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</si>
  <si>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</si>
  <si>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</si>
  <si>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</si>
  <si>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</si>
  <si>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</si>
  <si>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</si>
  <si>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</si>
  <si>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</si>
  <si>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</si>
  <si>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</si>
  <si>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</si>
  <si>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</si>
  <si>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</si>
  <si>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</si>
  <si>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</si>
  <si>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</si>
  <si>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</si>
  <si>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</si>
  <si>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</si>
  <si>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</si>
  <si>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</si>
  <si>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</si>
  <si>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</si>
  <si>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</si>
  <si>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</si>
  <si>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</si>
  <si>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</si>
  <si>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</si>
  <si>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</si>
  <si>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</si>
  <si>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</si>
  <si>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</si>
  <si>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</si>
  <si>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</si>
  <si>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</si>
  <si>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</si>
  <si>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</si>
  <si>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</si>
  <si>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</si>
  <si>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</si>
  <si>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</si>
  <si>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</si>
  <si>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</si>
  <si>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</si>
  <si>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</si>
  <si>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</si>
  <si>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</si>
  <si>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</si>
  <si>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</si>
  <si>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</si>
  <si>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</si>
  <si>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</si>
  <si>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</si>
  <si>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</si>
  <si>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</si>
  <si>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</si>
  <si>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</si>
  <si>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</si>
  <si>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</si>
  <si>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</si>
  <si>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</si>
  <si>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</si>
  <si>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</si>
  <si>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</si>
  <si>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</si>
  <si>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</si>
  <si>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</si>
  <si>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</si>
  <si>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</si>
  <si>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</si>
  <si>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</si>
  <si>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</si>
  <si>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</si>
  <si>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</si>
  <si>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</si>
  <si>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</si>
  <si>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</si>
  <si>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</si>
  <si>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</si>
  <si>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</si>
  <si>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</si>
  <si>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</si>
  <si>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</si>
  <si>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</si>
  <si>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</si>
  <si>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</si>
  <si>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</si>
  <si>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</si>
  <si>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</si>
  <si>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</si>
  <si>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</si>
  <si>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</si>
  <si>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</si>
  <si>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</si>
  <si>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</si>
  <si>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</si>
  <si>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</si>
  <si>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</si>
  <si>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</si>
  <si>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</si>
  <si>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</si>
  <si>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</si>
  <si>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</si>
  <si>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</si>
  <si>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</si>
  <si>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</si>
  <si>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</si>
  <si>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</si>
  <si>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</si>
  <si>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</si>
  <si>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</si>
  <si>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</si>
  <si>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</si>
  <si>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</si>
  <si>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</si>
  <si>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</si>
  <si>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</si>
  <si>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</si>
  <si>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</si>
  <si>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</si>
  <si>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</si>
  <si>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</si>
  <si>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</si>
  <si>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</si>
  <si>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</si>
  <si>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</si>
  <si>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</si>
  <si>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</si>
  <si>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</si>
  <si>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</si>
  <si>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</si>
  <si>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</si>
  <si>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</si>
  <si>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</si>
  <si>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</si>
  <si>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</si>
  <si>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</si>
  <si>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</si>
  <si>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</si>
  <si>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</si>
  <si>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</si>
  <si>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</si>
  <si>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</si>
  <si>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</si>
  <si>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</si>
  <si>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</si>
  <si>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</si>
  <si>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</si>
  <si>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</si>
  <si>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</si>
  <si>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</si>
  <si>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</si>
  <si>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</si>
  <si>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</si>
  <si>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</si>
  <si>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</si>
  <si>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</si>
  <si>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</si>
  <si>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</si>
  <si>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</si>
  <si>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</si>
  <si>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</si>
  <si>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</si>
  <si>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</si>
  <si>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</si>
  <si>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</si>
  <si>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</si>
  <si>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</si>
  <si>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</si>
  <si>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</si>
  <si>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</si>
  <si>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</si>
  <si>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</si>
  <si>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</si>
  <si>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</si>
  <si>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</si>
  <si>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</si>
  <si>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</si>
  <si>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</si>
  <si>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</si>
  <si>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</si>
  <si>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</si>
  <si>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</si>
  <si>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</si>
  <si>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</si>
  <si>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</si>
  <si>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</si>
  <si>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</si>
  <si>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</si>
  <si>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</si>
  <si>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</si>
  <si>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</si>
  <si>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</si>
  <si>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</si>
  <si>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</si>
  <si>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</si>
  <si>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</si>
  <si>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</si>
  <si>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</si>
  <si>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</si>
  <si>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</si>
  <si>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</si>
  <si>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</si>
  <si>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</si>
  <si>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</si>
  <si>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</si>
  <si>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</si>
  <si>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</si>
  <si>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</si>
  <si>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</si>
  <si>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</si>
  <si>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</si>
  <si>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</si>
  <si>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</si>
  <si>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</si>
  <si>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</si>
  <si>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</si>
  <si>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</si>
  <si>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</si>
  <si>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</si>
  <si>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</si>
  <si>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</si>
  <si>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</si>
  <si>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</si>
  <si>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</si>
  <si>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</si>
  <si>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</si>
  <si>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</si>
  <si>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</si>
  <si>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</si>
  <si>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</si>
  <si>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</si>
  <si>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</si>
  <si>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</si>
  <si>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</si>
  <si>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</si>
  <si>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</si>
  <si>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</si>
  <si>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</si>
  <si>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</si>
  <si>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</si>
  <si>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</si>
  <si>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</si>
  <si>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</si>
  <si>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</si>
  <si>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</si>
  <si>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</si>
  <si>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</si>
  <si>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</si>
  <si>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</si>
  <si>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</si>
  <si>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</si>
  <si>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</si>
  <si>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</si>
  <si>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</si>
  <si>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</si>
  <si>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</si>
  <si>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</si>
  <si>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</si>
  <si>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</si>
  <si>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</si>
  <si>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</si>
  <si>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</si>
  <si>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</si>
  <si>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</si>
  <si>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</si>
  <si>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</si>
  <si>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</si>
  <si>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</si>
  <si>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</si>
  <si>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</si>
  <si>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</si>
  <si>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</si>
  <si>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</si>
  <si>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</si>
  <si>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</si>
  <si>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</si>
  <si>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</si>
  <si>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</si>
  <si>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</si>
  <si>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</si>
  <si>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</si>
  <si>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</si>
  <si>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</si>
  <si>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</si>
  <si>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</si>
  <si>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</si>
  <si>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</si>
  <si>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</si>
  <si>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</si>
  <si>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</si>
  <si>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</si>
  <si>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</si>
  <si>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</si>
  <si>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</si>
  <si>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</si>
  <si>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</si>
  <si>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</si>
  <si>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</si>
  <si>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</si>
  <si>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</si>
  <si>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</si>
  <si>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</si>
  <si>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</si>
  <si>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</si>
  <si>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</si>
  <si>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</si>
  <si>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</si>
  <si>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</si>
  <si>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</si>
  <si>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</si>
  <si>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</si>
  <si>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</si>
  <si>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</si>
  <si>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</si>
  <si>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</si>
  <si>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</si>
  <si>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</si>
  <si>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</si>
  <si>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</si>
  <si>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</si>
  <si>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</si>
  <si>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</si>
  <si>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</si>
  <si>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</si>
  <si>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</si>
  <si>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</si>
  <si>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</si>
  <si>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</si>
  <si>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</si>
  <si>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</si>
  <si>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</si>
  <si>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</si>
  <si>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</si>
  <si>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</si>
  <si>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</si>
  <si>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</si>
  <si>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</si>
  <si>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</si>
  <si>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</si>
  <si>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</si>
  <si>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</si>
  <si>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</si>
  <si>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</si>
  <si>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</si>
  <si>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</si>
  <si>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</si>
  <si>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</si>
  <si>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</si>
  <si>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</si>
  <si>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</si>
  <si>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</si>
  <si>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</si>
  <si>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</si>
  <si>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</si>
  <si>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</si>
  <si>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</si>
  <si>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</si>
  <si>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</si>
  <si>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</si>
  <si>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</si>
  <si>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</si>
  <si>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</si>
  <si>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</si>
  <si>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</si>
  <si>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</si>
  <si>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</si>
  <si>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</si>
  <si>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</si>
  <si>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</si>
  <si>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</si>
  <si>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</si>
  <si>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</si>
  <si>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</si>
  <si>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</si>
  <si>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</si>
  <si>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</si>
  <si>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</si>
  <si>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</si>
  <si>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</si>
  <si>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</si>
  <si>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</si>
  <si>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</si>
  <si>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</si>
  <si>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</si>
  <si>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</si>
  <si>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</si>
  <si>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</si>
  <si>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</si>
  <si>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</si>
  <si>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</si>
  <si>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</si>
  <si>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</si>
  <si>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</si>
  <si>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</si>
  <si>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</si>
  <si>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</si>
  <si>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</si>
  <si>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</si>
  <si>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</si>
  <si>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</si>
  <si>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</si>
  <si>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</si>
  <si>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</si>
  <si>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</si>
  <si>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</si>
  <si>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</si>
  <si>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</si>
  <si>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</si>
  <si>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背包擴充費用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</si>
  <si>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</si>
  <si>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</si>
  <si>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</si>
  <si>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</si>
  <si>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</si>
  <si>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</si>
  <si>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</si>
  <si>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</si>
  <si>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</si>
  <si>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</si>
  <si>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</si>
  <si>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</si>
  <si>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</si>
  <si>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</si>
  <si>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</si>
  <si>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</si>
  <si>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</si>
  <si>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</si>
  <si>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</si>
  <si>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</si>
  <si>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</si>
  <si>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</si>
  <si>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</si>
  <si>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</si>
  <si>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</si>
  <si>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</si>
  <si>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</si>
  <si>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</si>
  <si>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</si>
  <si>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</si>
  <si>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</si>
  <si>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</si>
  <si>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</si>
  <si>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</si>
  <si>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</si>
  <si>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</si>
  <si>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</si>
  <si>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</si>
  <si>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</si>
  <si>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</si>
  <si>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</si>
  <si>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</si>
  <si>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</si>
  <si>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</si>
  <si>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</si>
  <si>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</si>
  <si>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</si>
  <si>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</si>
  <si>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</si>
  <si>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</si>
  <si>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</si>
  <si>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</si>
  <si>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</si>
  <si>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</si>
  <si>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</si>
  <si>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</si>
  <si>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</si>
  <si>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</si>
  <si>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</si>
  <si>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</si>
  <si>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</si>
  <si>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</si>
  <si>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</si>
  <si>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</si>
  <si>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</si>
  <si>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</si>
  <si>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</si>
  <si>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</si>
  <si>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</si>
  <si>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</si>
  <si>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</si>
  <si>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</si>
  <si>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</si>
  <si>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</si>
  <si>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</si>
  <si>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</si>
  <si>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</si>
  <si>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</si>
  <si>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</si>
  <si>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</si>
  <si>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</si>
  <si>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</si>
  <si>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</si>
  <si>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</si>
  <si>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</si>
  <si>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</si>
  <si>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</si>
  <si>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</si>
  <si>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</si>
  <si>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</si>
  <si>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</si>
  <si>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</si>
  <si>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</si>
  <si>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</si>
  <si>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</si>
  <si>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</si>
  <si>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</si>
  <si>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</si>
  <si>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</si>
  <si>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</si>
  <si>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</si>
  <si>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</si>
  <si>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</si>
  <si>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</si>
  <si>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</si>
  <si>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</si>
  <si>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</si>
  <si>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</si>
  <si>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</si>
  <si>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</si>
  <si>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</si>
  <si>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</si>
  <si>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</si>
  <si>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</si>
  <si>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</si>
  <si>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</si>
  <si>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</si>
  <si>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</si>
  <si>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</si>
  <si>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</si>
  <si>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</si>
  <si>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</si>
  <si>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</si>
  <si>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</si>
  <si>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</si>
  <si>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</si>
  <si>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</si>
  <si>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</si>
  <si>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</si>
  <si>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</si>
  <si>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</si>
  <si>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</si>
  <si>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</si>
  <si>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</si>
  <si>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</si>
  <si>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</si>
  <si>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</si>
  <si>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</si>
  <si>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</si>
  <si>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</si>
  <si>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</si>
  <si>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</si>
  <si>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</si>
  <si>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</si>
  <si>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</si>
  <si>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</si>
  <si>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</si>
  <si>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</si>
  <si>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</si>
  <si>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</si>
  <si>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</si>
  <si>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</si>
  <si>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</si>
  <si>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</si>
  <si>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</si>
  <si>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</si>
  <si>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</si>
  <si>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</si>
  <si>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</si>
  <si>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</si>
  <si>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</si>
  <si>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</si>
  <si>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</si>
  <si>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</si>
  <si>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</si>
  <si>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</si>
  <si>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</si>
  <si>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</si>
  <si>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</si>
  <si>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</si>
  <si>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</si>
  <si>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</si>
  <si>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</si>
  <si>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</si>
  <si>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</si>
  <si>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</si>
  <si>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</si>
  <si>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</si>
  <si>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</si>
  <si>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</si>
  <si>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</si>
  <si>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</si>
  <si>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</si>
  <si>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</si>
  <si>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</si>
  <si>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</si>
  <si>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</si>
  <si>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</si>
  <si>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</si>
  <si>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</si>
  <si>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</si>
  <si>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</si>
  <si>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</si>
  <si>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</si>
  <si>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</si>
  <si>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</si>
  <si>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</si>
  <si>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</si>
  <si>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</si>
  <si>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</si>
  <si>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</si>
  <si>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</si>
  <si>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</si>
  <si>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</si>
  <si>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</si>
  <si>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</si>
  <si>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</si>
  <si>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</si>
  <si>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</si>
  <si>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</si>
  <si>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</si>
  <si>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</si>
  <si>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</si>
  <si>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</si>
  <si>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</si>
  <si>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</si>
  <si>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</si>
  <si>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</si>
  <si>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</si>
  <si>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</si>
  <si>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</si>
  <si>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</si>
  <si>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</si>
  <si>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</si>
  <si>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</si>
  <si>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</si>
  <si>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</si>
  <si>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</si>
  <si>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</si>
  <si>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</si>
  <si>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</si>
  <si>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</si>
  <si>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</si>
  <si>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</si>
  <si>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</si>
  <si>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</si>
  <si>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</si>
  <si>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</si>
  <si>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</si>
  <si>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</si>
  <si>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物理攻擊%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</si>
  <si>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</si>
  <si>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</si>
  <si>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</si>
  <si>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</si>
  <si>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</si>
  <si>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</si>
  <si>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</si>
  <si>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</si>
  <si>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</si>
  <si>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</si>
  <si>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</si>
  <si>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</si>
  <si>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</si>
  <si>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</si>
  <si>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</si>
  <si>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</si>
  <si>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</si>
  <si>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</si>
  <si>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</si>
  <si>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</si>
  <si>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</si>
  <si>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</si>
  <si>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</si>
  <si>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</si>
  <si>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</si>
  <si>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</si>
  <si>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</si>
  <si>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</si>
  <si>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</si>
  <si>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</si>
  <si>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</si>
  <si>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</si>
  <si>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</si>
  <si>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</si>
  <si>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</si>
  <si>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</si>
  <si>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</si>
  <si>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</si>
  <si>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</si>
  <si>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</si>
  <si>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</si>
  <si>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</si>
  <si>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</si>
  <si>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</si>
  <si>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金幣加成%</t>
  </si>
  <si>
    <t>幸運值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</si>
  <si>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</si>
  <si>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</si>
  <si>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</si>
  <si>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</si>
  <si>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</si>
  <si>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</si>
  <si>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</si>
  <si>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</si>
  <si>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</si>
  <si>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</si>
  <si>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</si>
  <si>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</si>
  <si>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</si>
  <si>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</si>
  <si>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</si>
  <si>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</si>
  <si>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</si>
  <si>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</si>
  <si>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</si>
  <si>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</si>
  <si>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</si>
  <si>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</si>
  <si>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</si>
  <si>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</si>
  <si>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</si>
  <si>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</si>
  <si>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</si>
  <si>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</si>
  <si>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</si>
  <si>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</si>
  <si>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</si>
  <si>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</si>
  <si>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</si>
  <si>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</si>
  <si>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</si>
  <si>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</si>
  <si>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</si>
  <si>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</si>
  <si>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</si>
  <si>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</si>
  <si>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</si>
  <si>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</si>
  <si>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</si>
  <si>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</si>
  <si>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</si>
  <si>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</si>
  <si>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</si>
  <si>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</si>
  <si>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</si>
  <si>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</si>
  <si>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</si>
  <si>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</si>
  <si>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</si>
  <si>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</si>
  <si>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</si>
  <si>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</si>
  <si>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</si>
  <si>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</si>
  <si>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</si>
  <si>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</si>
  <si>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</si>
  <si>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</si>
  <si>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</si>
  <si>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</si>
  <si>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</si>
  <si>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</si>
  <si>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</si>
  <si>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</si>
  <si>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</si>
  <si>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</si>
  <si>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</si>
  <si>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</si>
  <si>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</si>
  <si>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</si>
  <si>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</si>
  <si>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</si>
  <si>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</si>
  <si>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</si>
  <si>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</si>
  <si>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</si>
  <si>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</si>
  <si>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</si>
  <si>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</si>
  <si>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</si>
  <si>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</si>
  <si>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</si>
  <si>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</si>
  <si>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</si>
  <si>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</si>
  <si>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</si>
  <si>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</si>
  <si>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</si>
  <si>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a~j = 1~10轉的經驗倍數</t>
    <phoneticPr fontId="4" type="noConversion"/>
  </si>
  <si>
    <t>每次轉生升級經驗需求為上一次轉生經驗的 a 倍。</t>
    <phoneticPr fontId="4" type="noConversion"/>
  </si>
  <si>
    <t>{50~99=35}</t>
  </si>
  <si>
    <t>{100~149=40}</t>
  </si>
  <si>
    <t>{150~199=50}</t>
  </si>
  <si>
    <t>{200~249=50}</t>
  </si>
  <si>
    <t>{250~299=50}</t>
  </si>
  <si>
    <t>{300+=50}</t>
  </si>
  <si>
    <t>{50~99=20}</t>
  </si>
  <si>
    <t>{100~149=30}</t>
  </si>
  <si>
    <t>{150~199=40}</t>
  </si>
  <si>
    <t>{200~249=40}</t>
  </si>
  <si>
    <t>{250~299=40}</t>
  </si>
  <si>
    <t>{300+=40}</t>
  </si>
  <si>
    <t>{50~99=8}</t>
  </si>
  <si>
    <t>{100~149=15}</t>
  </si>
  <si>
    <t>{150~199=30}</t>
  </si>
  <si>
    <t>{200~249=30}</t>
  </si>
  <si>
    <t>{250~299=30}</t>
  </si>
  <si>
    <t>{300+=30}</t>
  </si>
  <si>
    <t>{50~99=4}</t>
  </si>
  <si>
    <t>{100~149=10}</t>
  </si>
  <si>
    <t>{150~199=10}</t>
  </si>
  <si>
    <t>{200~249=15}</t>
  </si>
  <si>
    <t>{250~299=15}</t>
  </si>
  <si>
    <t>{300+=20}</t>
  </si>
  <si>
    <t>{50~99=0.5}</t>
  </si>
  <si>
    <t>{100~149=2.5}</t>
  </si>
  <si>
    <t>{150~199=5}</t>
  </si>
  <si>
    <t>{200~249=6}</t>
  </si>
  <si>
    <t>{250~299=7}</t>
  </si>
  <si>
    <t>{300+=8}</t>
  </si>
  <si>
    <t>{50~99=0}</t>
  </si>
  <si>
    <t>{100~149=1}</t>
  </si>
  <si>
    <t>{150~199=2}</t>
  </si>
  <si>
    <t>{200~249=3}</t>
  </si>
  <si>
    <t>{250~299=3.5}</t>
  </si>
  <si>
    <t>{300+=4}</t>
  </si>
  <si>
    <t>{100~149=0}</t>
  </si>
  <si>
    <t>{150~199=0.05}</t>
  </si>
  <si>
    <t>{200~249=0.1}</t>
  </si>
  <si>
    <t>{250~299=0.15}</t>
  </si>
  <si>
    <t>{300+=0.2}</t>
  </si>
  <si>
    <t>{150~199=0}</t>
  </si>
  <si>
    <t>{200~249=0}</t>
  </si>
  <si>
    <t>{250~299=0}</t>
  </si>
  <si>
    <t>{300+=0}</t>
  </si>
  <si>
    <t>{1~49=0.5}</t>
    <phoneticPr fontId="4" type="noConversion"/>
  </si>
  <si>
    <t>{50~99=0.75}</t>
    <phoneticPr fontId="4" type="noConversion"/>
  </si>
  <si>
    <t>{100~149=1}</t>
    <phoneticPr fontId="4" type="noConversion"/>
  </si>
  <si>
    <t>{150~199=1.5}</t>
    <phoneticPr fontId="4" type="noConversion"/>
  </si>
  <si>
    <t>{200+=2}</t>
    <phoneticPr fontId="4" type="noConversion"/>
  </si>
  <si>
    <t>{150~199=2}</t>
    <phoneticPr fontId="4" type="noConversion"/>
  </si>
  <si>
    <t>{200~299=2.5}</t>
    <phoneticPr fontId="4" type="noConversion"/>
  </si>
  <si>
    <t>{300+=3}</t>
    <phoneticPr fontId="4" type="noConversion"/>
  </si>
  <si>
    <t>魔種(煉獄之塔)</t>
  </si>
  <si>
    <t>min(a%, b% + (BOSS層數-101)×c%)</t>
  </si>
  <si>
    <t>煉獄之塔 101~150 層 BOSS 額外掉落魔種；每場獨立判定。</t>
  </si>
  <si>
    <t>調整</t>
    <phoneticPr fontId="4" type="noConversion"/>
  </si>
  <si>
    <t>a=初始格數 b為上限值；滿了自動分解新進裝備。</t>
    <phoneticPr fontId="4" type="noConversion"/>
  </si>
  <si>
    <t>a + b × c^購買次數</t>
    <phoneticPr fontId="4" type="noConversion"/>
  </si>
  <si>
    <t>a + 背包擴充上限次數b</t>
    <phoneticPr fontId="4" type="noConversion"/>
  </si>
  <si>
    <t>a=基值值 b=擴充倍數 c=指數底；達上限後不可再擴充。</t>
    <phoneticPr fontId="4" type="noConversion"/>
  </si>
  <si>
    <t>{1~50,a=10000,b=1.8}</t>
    <phoneticPr fontId="4" type="noConversion"/>
  </si>
  <si>
    <t>{51~100,a=50000,b=2}</t>
    <phoneticPr fontId="4" type="noConversion"/>
  </si>
  <si>
    <t>{101~150,a=100000,b=2.2}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</si>
</sst>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77"/>
  <sheetViews>
    <sheetView tabSelected="1" topLeftCell="A313" workbookViewId="0">
      <selection activeCell="F329" sqref="F329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a~j = 1~10轉的經驗倍數</v>
      </c>
      <c r="F7" t="str">
        <f>計算表!F7</f>
        <v>每次轉生升級經驗需求為上一次轉生經驗的 a 倍。</v>
      </c>
      <c r="G7">
        <f>計算表!G7</f>
        <v>10</v>
      </c>
      <c r="H7">
        <f>計算表!H7</f>
        <v>10</v>
      </c>
      <c r="I7">
        <f>計算表!I7</f>
        <v>10</v>
      </c>
      <c r="J7">
        <f>計算表!J7</f>
        <v>10</v>
      </c>
      <c r="K7">
        <f>計算表!K7</f>
        <v>10</v>
      </c>
      <c r="L7">
        <f>計算表!L7</f>
        <v>10</v>
      </c>
      <c r="M7">
        <f>計算表!M7</f>
        <v>10</v>
      </c>
      <c r="N7">
        <f>計算表!N7</f>
        <v>10</v>
      </c>
      <c r="O7">
        <f>計算表!O7</f>
        <v>10</v>
      </c>
      <c r="P7">
        <f>計算表!P7</f>
        <v>100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2.5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2.5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2.4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2.4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125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16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 t="str">
        <f>計算表!H83</f>
        <v>{1~49=0.5}</v>
      </c>
      <c r="I83" t="str">
        <f>計算表!I83</f>
        <v>{50~99=0.75}</v>
      </c>
      <c r="J83" t="str">
        <f>計算表!J83</f>
        <v>{100~149=1}</v>
      </c>
      <c r="K83" t="str">
        <f>計算表!K83</f>
        <v>{150~199=2}</v>
      </c>
      <c r="L83" t="str">
        <f>計算表!L83</f>
        <v>{200~299=2.5}</v>
      </c>
      <c r="M83" t="str">
        <f>計算表!M83</f>
        <v>{300+=3}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5</v>
      </c>
      <c r="H84" t="str">
        <f>計算表!H84</f>
        <v>{1~49=0.5}</v>
      </c>
      <c r="I84" t="str">
        <f>計算表!I84</f>
        <v>{50~99=0.75}</v>
      </c>
      <c r="J84" t="str">
        <f>計算表!J84</f>
        <v>{100~149=1}</v>
      </c>
      <c r="K84" t="str">
        <f>計算表!K84</f>
        <v>{150~199=1.5}</v>
      </c>
      <c r="L84" t="str">
        <f>計算表!L84</f>
        <v>{200+=2}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 t="str">
        <f>計算表!B97</f>
        <v>調整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 t="str">
        <f>計算表!G97</f>
        <v>{1~50,a=10000,b=1.8}</v>
      </c>
      <c r="H97" t="str">
        <f>計算表!H97</f>
        <v>{51~100,a=50000,b=2}</v>
      </c>
      <c r="I97" t="str">
        <f>計算表!I97</f>
        <v>{101~150,a=100000,b=2.2}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魔種(煉獄之塔)</v>
      </c>
      <c r="E109" t="str">
        <f>計算表!E109</f>
        <v>min(a%, b% + (BOSS層數-101)×c%)</v>
      </c>
      <c r="F109" t="str">
        <f>計算表!F109</f>
        <v>煉獄之塔 101~150 層 BOSS 額外掉落魔種；每場獨立判定。</v>
      </c>
      <c r="G109">
        <f>計算表!G109</f>
        <v>100</v>
      </c>
      <c r="H109">
        <f>計算表!H109</f>
        <v>10</v>
      </c>
      <c r="I109">
        <f>計算表!I109</f>
        <v>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高塔 BOSS 魔塵</v>
      </c>
      <c r="E110" t="str">
        <f>計算表!E110</f>
        <v>min(a%, b% + 樓層×c%)</v>
      </c>
      <c r="F110" t="str">
        <f>計算表!F110</f>
        <v>a=上限 b=基礎 c=每層。</v>
      </c>
      <c r="G110">
        <f>計算表!G110</f>
        <v>30</v>
      </c>
      <c r="H110">
        <f>計算表!H110</f>
        <v>2</v>
      </c>
      <c r="I110">
        <f>計算表!I110</f>
        <v>0.2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4-高塔BOSS</v>
      </c>
      <c r="D111" t="str">
        <f>計算表!D111</f>
        <v>試練之塔範圍</v>
      </c>
      <c r="E111" t="str">
        <f>計算表!E111</f>
        <v>{試煉之塔：第a~b層}{地獄之塔：第a~b層}{煉獄之塔：第a~b層}</v>
      </c>
      <c r="F111" t="str">
        <f>計算表!F111</f>
        <v>a=起始層 b=結束層。</v>
      </c>
      <c r="G111" t="str">
        <f>計算表!G111</f>
        <v>{1~50}</v>
      </c>
      <c r="H111" t="str">
        <f>計算表!H111</f>
        <v>{51~100}</v>
      </c>
      <c r="I111" t="str">
        <f>計算表!I111</f>
        <v>{101~150}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掉寶率效果折半</v>
      </c>
      <c r="E112" t="str">
        <f>計算表!E112</f>
        <v>有效掉寶率 = 來源合計×a</v>
      </c>
      <c r="F112" t="str">
        <f>計算表!F112</f>
        <v>裝備詞條/附魔/神鑄貪婪/技能尋寶/相關分解零件的掉寶率效果統一×a。</v>
      </c>
      <c r="G112">
        <f>計算表!G112</f>
        <v>0.5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加速齒輪固定加成</v>
      </c>
      <c r="E113" t="str">
        <f>計算表!E113</f>
        <v>實際加成 = 每階×階級 + a</v>
      </c>
      <c r="F113" t="str">
        <f>計算表!F113</f>
        <v>a=分解速度固定加成（個百分點）。</v>
      </c>
      <c r="G113">
        <f>計算表!G113</f>
        <v>50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5-掉落通則</v>
      </c>
      <c r="D114" t="str">
        <f>計算表!D114</f>
        <v>掉落件數規則(&gt;100%)</v>
      </c>
      <c r="E114" t="str">
        <f>計算表!E114</f>
        <v>⌊機率/100⌋ + (餘數% 再 1 件)</v>
      </c>
      <c r="F114" t="str">
        <f>計算表!F114</f>
        <v>每品質獨立擲骰；實際機率 = 表值×(1+有效掉寶率%)，野外菁英再×1.5。　※規則寫死：機率整數部分必掉，餘數再擲一次。</v>
      </c>
      <c r="G114">
        <f>計算表!G114</f>
        <v>0</v>
      </c>
      <c r="H114">
        <f>計算表!H114</f>
        <v>0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權重加成 b</v>
      </c>
      <c r="E115" t="str">
        <f>計算表!E115</f>
        <v>b = 1 + 有效掉寶加成/a + 階段×c</v>
      </c>
      <c r="F115" t="str">
        <f>計算表!F115</f>
        <v>a=掉寶除數 c=每階加成。</v>
      </c>
      <c r="G115">
        <f>計算表!G115</f>
        <v>200</v>
      </c>
      <c r="H115">
        <f>計算表!H115</f>
        <v>6.0000000000000001E-3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普通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55</v>
      </c>
      <c r="H116" t="str">
        <f>計算表!H116</f>
        <v>b</v>
      </c>
      <c r="I116" t="str">
        <f>計算表!I116</f>
        <v>-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精良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25</v>
      </c>
      <c r="H117" t="str">
        <f>計算表!H117</f>
        <v>b</v>
      </c>
      <c r="I117">
        <f>計算表!I117</f>
        <v>2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稀有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12</v>
      </c>
      <c r="H118" t="str">
        <f>計算表!H118</f>
        <v>b</v>
      </c>
      <c r="I118">
        <f>計算表!I118</f>
        <v>2.5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獨特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5.5</v>
      </c>
      <c r="H119" t="str">
        <f>計算表!H119</f>
        <v>b</v>
      </c>
      <c r="I119">
        <f>計算表!I119</f>
        <v>3</v>
      </c>
      <c r="J119" t="str">
        <f>計算表!J119</f>
        <v>—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史詩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1.8</v>
      </c>
      <c r="H120" t="str">
        <f>計算表!H120</f>
        <v>b</v>
      </c>
      <c r="I120">
        <f>計算表!I120</f>
        <v>3.5</v>
      </c>
      <c r="J120" t="str">
        <f>計算表!J120</f>
        <v>階段 8+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傳說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0.35</v>
      </c>
      <c r="H121" t="str">
        <f>計算表!H121</f>
        <v>b</v>
      </c>
      <c r="I121">
        <f>計算表!I121</f>
        <v>4</v>
      </c>
      <c r="J121" t="str">
        <f>計算表!J121</f>
        <v>階段 15+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神話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0.08</v>
      </c>
      <c r="H122" t="str">
        <f>計算表!H122</f>
        <v>b</v>
      </c>
      <c r="I122">
        <f>計算表!I122</f>
        <v>4.5</v>
      </c>
      <c r="J122" t="str">
        <f>計算表!J122</f>
        <v>階段 25+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5-稀有度擲骰</v>
      </c>
      <c r="D123" t="str">
        <f>計算表!D123</f>
        <v>創世 權重</v>
      </c>
      <c r="E123" t="str">
        <f>計算表!E123</f>
        <v>權重 = a×min(b, c)</v>
      </c>
      <c r="F123" t="str">
        <f>計算表!F123</f>
        <v>a=基礎權重 b=權重加成 c=加成上限 d=出現門檻。普通無加成。神鑄創世不參與此擲骰。(目前裝備合成功能關閉中)</v>
      </c>
      <c r="G123">
        <f>計算表!G123</f>
        <v>1.4999999999999999E-2</v>
      </c>
      <c r="H123" t="str">
        <f>計算表!H123</f>
        <v>b</v>
      </c>
      <c r="I123">
        <f>計算表!I123</f>
        <v>5</v>
      </c>
      <c r="J123" t="str">
        <f>計算表!J123</f>
        <v>階段 40+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普通裝備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{1~49=15}</v>
      </c>
      <c r="H124" t="str">
        <f>計算表!H124</f>
        <v>{50~99=35}</v>
      </c>
      <c r="I124" t="str">
        <f>計算表!I124</f>
        <v>{100~149=40}</v>
      </c>
      <c r="J124" t="str">
        <f>計算表!J124</f>
        <v>{150~199=50}</v>
      </c>
      <c r="K124" t="str">
        <f>計算表!K124</f>
        <v>{200~249=50}</v>
      </c>
      <c r="L124" t="str">
        <f>計算表!L124</f>
        <v>{250~299=50}</v>
      </c>
      <c r="M124" t="str">
        <f>計算表!M124</f>
        <v>{300+=50}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精良裝備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{1~49=10}</v>
      </c>
      <c r="H125" t="str">
        <f>計算表!H125</f>
        <v>{50~99=20}</v>
      </c>
      <c r="I125" t="str">
        <f>計算表!I125</f>
        <v>{100~149=30}</v>
      </c>
      <c r="J125" t="str">
        <f>計算表!J125</f>
        <v>{150~199=40}</v>
      </c>
      <c r="K125" t="str">
        <f>計算表!K125</f>
        <v>{200~249=40}</v>
      </c>
      <c r="L125" t="str">
        <f>計算表!L125</f>
        <v>{250~299=40}</v>
      </c>
      <c r="M125" t="str">
        <f>計算表!M125</f>
        <v>{300+=40}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稀有裝備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{1~49=5}</v>
      </c>
      <c r="H126" t="str">
        <f>計算表!H126</f>
        <v>{50~99=8}</v>
      </c>
      <c r="I126" t="str">
        <f>計算表!I126</f>
        <v>{100~149=15}</v>
      </c>
      <c r="J126" t="str">
        <f>計算表!J126</f>
        <v>{150~199=30}</v>
      </c>
      <c r="K126" t="str">
        <f>計算表!K126</f>
        <v>{200~249=30}</v>
      </c>
      <c r="L126" t="str">
        <f>計算表!L126</f>
        <v>{250~299=30}</v>
      </c>
      <c r="M126" t="str">
        <f>計算表!M126</f>
        <v>{300+=30}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獨特裝備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{50~99=4}</v>
      </c>
      <c r="I127" t="str">
        <f>計算表!I127</f>
        <v>{100~149=10}</v>
      </c>
      <c r="J127" t="str">
        <f>計算表!J127</f>
        <v>{150~199=10}</v>
      </c>
      <c r="K127" t="str">
        <f>計算表!K127</f>
        <v>{200~249=15}</v>
      </c>
      <c r="L127" t="str">
        <f>計算表!L127</f>
        <v>{250~299=15}</v>
      </c>
      <c r="M127" t="str">
        <f>計算表!M127</f>
        <v>{300+=20}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史詩裝備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{50~99=0.5}</v>
      </c>
      <c r="I128" t="str">
        <f>計算表!I128</f>
        <v>{100~149=2.5}</v>
      </c>
      <c r="J128" t="str">
        <f>計算表!J128</f>
        <v>{150~199=5}</v>
      </c>
      <c r="K128" t="str">
        <f>計算表!K128</f>
        <v>{200~249=6}</v>
      </c>
      <c r="L128" t="str">
        <f>計算表!L128</f>
        <v>{250~299=7}</v>
      </c>
      <c r="M128" t="str">
        <f>計算表!M128</f>
        <v>{300+=8}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傳說裝備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{100~149=1}</v>
      </c>
      <c r="J129" t="str">
        <f>計算表!J129</f>
        <v>{150~199=2}</v>
      </c>
      <c r="K129" t="str">
        <f>計算表!K129</f>
        <v>{200~249=3}</v>
      </c>
      <c r="L129" t="str">
        <f>計算表!L129</f>
        <v>{250~299=3.5}</v>
      </c>
      <c r="M129" t="str">
        <f>計算表!M129</f>
        <v>{300+=4}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神話裝備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{100~149=0}</v>
      </c>
      <c r="J130" t="str">
        <f>計算表!J130</f>
        <v>{150~199=0.05}</v>
      </c>
      <c r="K130" t="str">
        <f>計算表!K130</f>
        <v>{200~249=0.1}</v>
      </c>
      <c r="L130" t="str">
        <f>計算表!L130</f>
        <v>{250~299=0.15}</v>
      </c>
      <c r="M130" t="str">
        <f>計算表!M130</f>
        <v>{300+=0.2}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5-野外裝備掉落</v>
      </c>
      <c r="D131" t="str">
        <f>計算表!D131</f>
        <v>創世裝備</v>
      </c>
      <c r="E131" t="str">
        <f>計算表!E131</f>
        <v>各怪物等級區間掉落率%（{等級下限~上限=機率}）</v>
      </c>
      <c r="F131" t="str">
        <f>計算表!F131</f>
        <v>每品質獨立擲骰。實際機率 = 表值×(1+有效掉寶率%)，菁英再×1.5；場景倍率不作用於裝備。</v>
      </c>
      <c r="G131" t="str">
        <f>計算表!G131</f>
        <v>{1~49=0}</v>
      </c>
      <c r="H131" t="str">
        <f>計算表!H131</f>
        <v>{50~99=0}</v>
      </c>
      <c r="I131" t="str">
        <f>計算表!I131</f>
        <v>{100~149=0}</v>
      </c>
      <c r="J131" t="str">
        <f>計算表!J131</f>
        <v>{150~199=0}</v>
      </c>
      <c r="K131" t="str">
        <f>計算表!K131</f>
        <v>{200~249=0}</v>
      </c>
      <c r="L131" t="str">
        <f>計算表!L131</f>
        <v>{250~299=0}</v>
      </c>
      <c r="M131" t="str">
        <f>計算表!M131</f>
        <v>{300+=0}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1~50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2</v>
      </c>
      <c r="H132">
        <f>計算表!H132</f>
        <v>0.5</v>
      </c>
      <c r="I132">
        <f>計算表!I132</f>
        <v>0.2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51~100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4</v>
      </c>
      <c r="H133">
        <f>計算表!H133</f>
        <v>0.8</v>
      </c>
      <c r="I133">
        <f>計算表!I133</f>
        <v>0.3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101~150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6</v>
      </c>
      <c r="H134">
        <f>計算表!H134</f>
        <v>1.1000000000000001</v>
      </c>
      <c r="I134">
        <f>計算表!I134</f>
        <v>0.4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151~200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8</v>
      </c>
      <c r="H135">
        <f>計算表!H135</f>
        <v>1.4</v>
      </c>
      <c r="I135">
        <f>計算表!I135</f>
        <v>0.5</v>
      </c>
      <c r="J135">
        <f>計算表!J135</f>
        <v>0.1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201~250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10</v>
      </c>
      <c r="H136">
        <f>計算表!H136</f>
        <v>1.7</v>
      </c>
      <c r="I136">
        <f>計算表!I136</f>
        <v>0.6</v>
      </c>
      <c r="J136">
        <f>計算表!J136</f>
        <v>0.2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251~300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12</v>
      </c>
      <c r="H137">
        <f>計算表!H137</f>
        <v>2</v>
      </c>
      <c r="I137">
        <f>計算表!I137</f>
        <v>0.7</v>
      </c>
      <c r="J137">
        <f>計算表!J137</f>
        <v>0.3</v>
      </c>
      <c r="K137">
        <f>計算表!K137</f>
        <v>0.2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5-野外寶石掉落</v>
      </c>
      <c r="D138" t="str">
        <f>計算表!D138</f>
        <v>怪物等級 301+</v>
      </c>
      <c r="E138" t="str">
        <f>計算表!E138</f>
        <v>各階級獨立判定機率%</v>
      </c>
      <c r="F138" t="str">
        <f>計算表!F138</f>
        <v>a=1級 b=2級 c=3級 d=4級 e=5級。實際機率 ×(1+掉寶率%)×場景倍率。</v>
      </c>
      <c r="G138">
        <f>計算表!G138</f>
        <v>14</v>
      </c>
      <c r="H138">
        <f>計算表!H138</f>
        <v>2.2999999999999998</v>
      </c>
      <c r="I138">
        <f>計算表!I138</f>
        <v>0.8</v>
      </c>
      <c r="J138">
        <f>計算表!J138</f>
        <v>0.4</v>
      </c>
      <c r="K138">
        <f>計算表!K138</f>
        <v>0.3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附魔書</v>
      </c>
      <c r="E139" t="str">
        <f>計算表!E139</f>
        <v>a% × (1+掉寶率%) × 場景倍率</v>
      </c>
      <c r="F139" t="str">
        <f>計算表!F139</f>
        <v>階段 8+，隨機一種。</v>
      </c>
      <c r="G139">
        <f>計算表!G139</f>
        <v>4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魔塵</v>
      </c>
      <c r="E140" t="str">
        <f>計算表!E140</f>
        <v>min(a%, b% + (敵人等級-c)×d%)</v>
      </c>
      <c r="F140" t="str">
        <f>計算表!F140</f>
        <v>敵人等級 150+，每次成功固定 1 顆；不受掉寶率與場景倍率影響。</v>
      </c>
      <c r="G140">
        <f>計算表!G140</f>
        <v>5</v>
      </c>
      <c r="H140">
        <f>計算表!H140</f>
        <v>1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太古精華</v>
      </c>
      <c r="E141" t="str">
        <f>計算表!E141</f>
        <v>min(a%, b% + (敵人等級-c)×d%)</v>
      </c>
      <c r="F141" t="str">
        <f>計算表!F141</f>
        <v>敵人等級 250+，每隻獨立判定 1 顆；不受掉寶率與場景倍率影響。</v>
      </c>
      <c r="G141">
        <f>計算表!G141</f>
        <v>10</v>
      </c>
      <c r="H141">
        <f>計算表!H141</f>
        <v>1</v>
      </c>
      <c r="I141">
        <f>計算表!I141</f>
        <v>49</v>
      </c>
      <c r="J141">
        <f>計算表!J141</f>
        <v>0.1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5-野外材料</v>
      </c>
      <c r="D142" t="str">
        <f>計算表!D142</f>
        <v>自動機組零件</v>
      </c>
      <c r="E142" t="str">
        <f>計算表!E142</f>
        <v>機率a%（菁英×1.5）</v>
      </c>
      <c r="F142" t="str">
        <f>計算表!F142</f>
        <v>階段 5+。階級 = clamp(1+⌊階段/12⌋+(菁英?1:0), 1, 7)。</v>
      </c>
      <c r="G142">
        <f>計算表!G142</f>
        <v>0.5</v>
      </c>
      <c r="H142">
        <f>計算表!H142</f>
        <v>0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野外太古詞條機率</v>
      </c>
      <c r="E143" t="str">
        <f>計算表!E143</f>
        <v>min(a%, b% + (敵人等級-c)×d%)</v>
      </c>
      <c r="F143" t="str">
        <f>計算表!F143</f>
        <v>等級≥200 且史詩以上裝備逐詞條判定；敵人等級&lt;250 時維持基礎 b%。</v>
      </c>
      <c r="G143">
        <f>計算表!G143</f>
        <v>3</v>
      </c>
      <c r="H143">
        <f>計算表!H143</f>
        <v>1</v>
      </c>
      <c r="I143">
        <f>計算表!I143</f>
        <v>250</v>
      </c>
      <c r="J143">
        <f>計算表!J143</f>
        <v>0.1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高塔太古詞條機率</v>
      </c>
      <c r="E144" t="str">
        <f>計算表!E144</f>
        <v>min(a%, b% + (樓層-c)×d%)</v>
      </c>
      <c r="F144" t="str">
        <f>計算表!F144</f>
        <v>以樓層計算；樓層&lt;40 時為 0。裝備等級≥200 且史詩以上逐詞條判定。</v>
      </c>
      <c r="G144">
        <f>計算表!G144</f>
        <v>100</v>
      </c>
      <c r="H144">
        <f>計算表!H144</f>
        <v>5</v>
      </c>
      <c r="I144">
        <f>計算表!I144</f>
        <v>40</v>
      </c>
      <c r="J144">
        <f>計算表!J144</f>
        <v>0.5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高塔太古精華機率</v>
      </c>
      <c r="E145" t="str">
        <f>計算表!E145</f>
        <v>min(a%, b% + (樓層-c)×d%)</v>
      </c>
      <c r="F145" t="str">
        <f>計算表!F145</f>
        <v>以樓層計算；每場獨立判定 1 顆。</v>
      </c>
      <c r="G145">
        <f>計算表!G145</f>
        <v>100</v>
      </c>
      <c r="H145">
        <f>計算表!H145</f>
        <v>10</v>
      </c>
      <c r="I145">
        <f>計算表!I145</f>
        <v>40</v>
      </c>
      <c r="J145">
        <f>計算表!J145</f>
        <v>2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5-太古詞條</v>
      </c>
      <c r="D146" t="str">
        <f>計算表!D146</f>
        <v>太古詞條數值倍率</v>
      </c>
      <c r="E146" t="str">
        <f>計算表!E146</f>
        <v>原詞條上限 × a</v>
      </c>
      <c r="F146" t="str">
        <f>計算表!F146</f>
        <v>a=太古詞條強度倍率（上限已含×1.2，再×a）。</v>
      </c>
      <c r="G146">
        <f>計算表!G146</f>
        <v>1.35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零件階級</v>
      </c>
      <c r="E147" t="str">
        <f>計算表!E147</f>
        <v>clamp(1+⌊(樓層-1)/a⌋, 1, 7)</v>
      </c>
      <c r="F147" t="str">
        <f>計算表!F147</f>
        <v>首通必得、重複通關 30%。</v>
      </c>
      <c r="G147">
        <f>計算表!G147</f>
        <v>4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金幣</v>
      </c>
      <c r="E148" t="str">
        <f>計算表!E148</f>
        <v>a×樓層（首通×2）</v>
      </c>
      <c r="F148" t="str">
        <f>計算表!F148</f>
        <v>a=每層金幣。</v>
      </c>
      <c r="G148">
        <f>計算表!G148</f>
        <v>200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寶石</v>
      </c>
      <c r="E149" t="str">
        <f>計算表!E149</f>
        <v>clamp(1+⌊樓層/a⌋, 1, 5)，隨機種類×2 顆</v>
      </c>
      <c r="F149" t="str">
        <f>計算表!F149</f>
        <v>a=樓層除數。</v>
      </c>
      <c r="G149">
        <f>計算表!G149</f>
        <v>4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附魔精華</v>
      </c>
      <c r="E150" t="str">
        <f>計算表!E150</f>
        <v>a+樓層</v>
      </c>
      <c r="F150" t="str">
        <f>計算表!F150</f>
        <v>a=常數（另附魔書×2）。</v>
      </c>
      <c r="G150">
        <f>計算表!G150</f>
        <v>3</v>
      </c>
      <c r="H150">
        <f>計算表!H150</f>
        <v>0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5-高塔獎勵</v>
      </c>
      <c r="D151" t="str">
        <f>計算表!D151</f>
        <v>裝備戰利品等級</v>
      </c>
      <c r="E151" t="str">
        <f>計算表!E151</f>
        <v>a+樓層×b</v>
      </c>
      <c r="F151" t="str">
        <f>計算表!F151</f>
        <v>依 BOSS 掉落表擲骰。</v>
      </c>
      <c r="G151">
        <f>計算表!G151</f>
        <v>4</v>
      </c>
      <c r="H151">
        <f>計算表!H151</f>
        <v>5</v>
      </c>
      <c r="I151">
        <f>計算表!I151</f>
        <v>0</v>
      </c>
      <c r="J151">
        <f>計算表!J151</f>
        <v>0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普通裝備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精良裝備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{1~5=0}</v>
      </c>
      <c r="H153" t="str">
        <f>計算表!H153</f>
        <v>{6~10=0}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稀有裝備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{1~5=100}</v>
      </c>
      <c r="H154" t="str">
        <f>計算表!H154</f>
        <v>{6~10=100}</v>
      </c>
      <c r="I154" t="str">
        <f>計算表!I154</f>
        <v>{11~15=0}</v>
      </c>
      <c r="J154" t="str">
        <f>計算表!J154</f>
        <v>{16~20=0}</v>
      </c>
      <c r="K154" t="str">
        <f>計算表!K154</f>
        <v>{21~25=0}</v>
      </c>
      <c r="L154" t="str">
        <f>計算表!L154</f>
        <v>{26~30=0}</v>
      </c>
      <c r="M154" t="str">
        <f>計算表!M154</f>
        <v>{31+=0}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獨特裝備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{1~5=50}</v>
      </c>
      <c r="H155" t="str">
        <f>計算表!H155</f>
        <v>{6~10=100}</v>
      </c>
      <c r="I155" t="str">
        <f>計算表!I155</f>
        <v>{11~15=100}</v>
      </c>
      <c r="J155" t="str">
        <f>計算表!J155</f>
        <v>{16~20=150}</v>
      </c>
      <c r="K155" t="str">
        <f>計算表!K155</f>
        <v>{21~25=250}</v>
      </c>
      <c r="L155" t="str">
        <f>計算表!L155</f>
        <v>{26~30=300}</v>
      </c>
      <c r="M155" t="str">
        <f>計算表!M155</f>
        <v>{31+=300}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史詩裝備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{1~5=10}</v>
      </c>
      <c r="H156" t="str">
        <f>計算表!H156</f>
        <v>{6~10=20}</v>
      </c>
      <c r="I156" t="str">
        <f>計算表!I156</f>
        <v>{11~15=100}</v>
      </c>
      <c r="J156" t="str">
        <f>計算表!J156</f>
        <v>{16~20=100}</v>
      </c>
      <c r="K156" t="str">
        <f>計算表!K156</f>
        <v>{21~25=150}</v>
      </c>
      <c r="L156" t="str">
        <f>計算表!L156</f>
        <v>{26~30=200}</v>
      </c>
      <c r="M156" t="str">
        <f>計算表!M156</f>
        <v>{31+=200}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傳說裝備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{1~5=5}</v>
      </c>
      <c r="H157" t="str">
        <f>計算表!H157</f>
        <v>{6~10=10}</v>
      </c>
      <c r="I157" t="str">
        <f>計算表!I157</f>
        <v>{11~15=50}</v>
      </c>
      <c r="J157" t="str">
        <f>計算表!J157</f>
        <v>{16~20=50}</v>
      </c>
      <c r="K157" t="str">
        <f>計算表!K157</f>
        <v>{21~25=100}</v>
      </c>
      <c r="L157" t="str">
        <f>計算表!L157</f>
        <v>{26~30=150}</v>
      </c>
      <c r="M157" t="str">
        <f>計算表!M157</f>
        <v>{31+=150}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神話裝備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{6~10=2}</v>
      </c>
      <c r="I158" t="str">
        <f>計算表!I158</f>
        <v>{11~15=5}</v>
      </c>
      <c r="J158" t="str">
        <f>計算表!J158</f>
        <v>{16~20=20}</v>
      </c>
      <c r="K158" t="str">
        <f>計算表!K158</f>
        <v>{21~25=33}</v>
      </c>
      <c r="L158" t="str">
        <f>計算表!L158</f>
        <v>{26~30=40}</v>
      </c>
      <c r="M158" t="str">
        <f>計算表!M158</f>
        <v>{31+=50}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5-高塔裝備掉落</v>
      </c>
      <c r="D159" t="str">
        <f>計算表!D159</f>
        <v>創世裝備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{1~5=0}</v>
      </c>
      <c r="H159" t="str">
        <f>計算表!H159</f>
        <v>{6~10=0}</v>
      </c>
      <c r="I159" t="str">
        <f>計算表!I159</f>
        <v>{11~15=1}</v>
      </c>
      <c r="J159" t="str">
        <f>計算表!J159</f>
        <v>{16~20=2.5}</v>
      </c>
      <c r="K159" t="str">
        <f>計算表!K159</f>
        <v>{21~25=5}</v>
      </c>
      <c r="L159" t="str">
        <f>計算表!L159</f>
        <v>{26~30=10}</v>
      </c>
      <c r="M159" t="str">
        <f>計算表!M159</f>
        <v>{31+=15}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詞條數值</v>
      </c>
      <c r="E160" t="str">
        <f>計算表!E160</f>
        <v>(base+base×lv係數×(裝備等級-1))×稀有度倍率×rnd(0.8,1.2)</v>
      </c>
      <c r="F160" t="str">
        <f>計算表!F160</f>
        <v>base/lv係數見「詞條池」；稀有度倍率見「稀有度表」。　※指標列：base/lv 見「表-詞條池」，稀有度倍率見「表-稀有度」。</v>
      </c>
      <c r="G160">
        <f>計算表!G160</f>
        <v>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太古詞條數值</v>
      </c>
      <c r="E161" t="str">
        <f>計算表!E161</f>
        <v>基準值×1.2×a</v>
      </c>
      <c r="F161" t="str">
        <f>計算表!F161</f>
        <v>a=太古倍率（=原上限的 135%）。　※實際由「5-太古詞條/太古詞條數值倍率」控制，本列不生效。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強化倍率</v>
      </c>
      <c r="E162" t="str">
        <f>計算表!E162</f>
        <v>1 + a×強化等級</v>
      </c>
      <c r="F162" t="str">
        <f>計算表!F162</f>
        <v>裝備每 +1，全詞條數值 +5%。</v>
      </c>
      <c r="G162">
        <f>計算表!G162</f>
        <v>0.05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特殊被動數值</v>
      </c>
      <c r="E163" t="str">
        <f>計算表!E163</f>
        <v>base + perR×(稀有度-a)</v>
      </c>
      <c r="F163" t="str">
        <f>計算表!F163</f>
        <v>a=稀有級索引（稀有=基準）。base/perR 見「特殊被動表」。　※指標列：base/perR 見「表-特殊被動」。</v>
      </c>
      <c r="G163">
        <f>計算表!G163</f>
        <v>2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神鑄特效數值</v>
      </c>
      <c r="E164" t="str">
        <f>計算表!E164</f>
        <v>base × rnd(0.8, 1.2)</v>
      </c>
      <c r="F164" t="str">
        <f>計算表!F164</f>
        <v>base 見「神鑄特效表」。神力為額外乘區、彼此相乘。　※指標列：base 見「表-神鑄特效」。</v>
      </c>
      <c r="G164">
        <f>計算表!G164</f>
        <v>0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附魔-攻擊類</v>
      </c>
      <c r="E165" t="str">
        <f>計算表!E165</f>
        <v>(a+裝備等級×b)×稀有度倍率×(1+c×寶石等級)</v>
      </c>
      <c r="F165" t="str">
        <f>計算表!F165</f>
        <v>火焰附魔再×1.25。寶石等級只在混合合成帶入。</v>
      </c>
      <c r="G165">
        <f>計算表!G165</f>
        <v>5</v>
      </c>
      <c r="H165">
        <f>計算表!H165</f>
        <v>1.2</v>
      </c>
      <c r="I165">
        <f>計算表!I165</f>
        <v>0.15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附魔-防禦/功能類</v>
      </c>
      <c r="E166" t="str">
        <f>計算表!E166</f>
        <v>min(a + 稀有度×b + 寶石等級×c, d)</v>
      </c>
      <c r="F166" t="str">
        <f>計算表!F166</f>
        <v>a=基礎 b=每階 c=每寶石等級 d=上限%。</v>
      </c>
      <c r="G166">
        <f>計算表!G166</f>
        <v>8</v>
      </c>
      <c r="H166">
        <f>計算表!H166</f>
        <v>4</v>
      </c>
      <c r="I166">
        <f>計算表!I166</f>
        <v>3</v>
      </c>
      <c r="J166">
        <f>計算表!J166</f>
        <v>60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手動附魔費用</v>
      </c>
      <c r="E167" t="str">
        <f>計算表!E167</f>
        <v>a 本附魔書 + b 附魔精華</v>
      </c>
      <c r="F167" t="str">
        <f>計算表!F167</f>
        <v>取下返還書、不退精華。</v>
      </c>
      <c r="G167">
        <f>計算表!G167</f>
        <v>1</v>
      </c>
      <c r="H167">
        <f>計算表!H167</f>
        <v>1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戰力評分</v>
      </c>
      <c r="E168" t="str">
        <f>計算表!E168</f>
        <v>Σ(詞條×權重×強化)+Σ(寶石×權重) →被動×1.15 →神鑄特效×(1+a×件數) →+Σ(附魔×1.2攻/×2防) →×(1+稀有度×b)</v>
      </c>
      <c r="F168" t="str">
        <f>計算表!F168</f>
        <v>詞條/寶石權重見「戰力權重表」。a=每條神鑄特效加成 b=稀有度加成。自動換裝門檻：新評分&gt;舊×1.02。</v>
      </c>
      <c r="G168">
        <f>計算表!G168</f>
        <v>0.15</v>
      </c>
      <c r="H168">
        <f>計算表!H168</f>
        <v>0.06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分解-碎片</v>
      </c>
      <c r="E169" t="str">
        <f>計算表!E169</f>
        <v>max(1, (a+裝備等級×b)×分解係數×rnd(0.85,1.15))</v>
      </c>
      <c r="F169" t="str">
        <f>計算表!F169</f>
        <v>分解係數見「稀有度表」salv 欄。</v>
      </c>
      <c r="G169">
        <f>計算表!G169</f>
        <v>2</v>
      </c>
      <c r="H169">
        <f>計算表!H169</f>
        <v>0.6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6-裝備</v>
      </c>
      <c r="D170" t="str">
        <f>計算表!D170</f>
        <v>分解-金幣</v>
      </c>
      <c r="E170" t="str">
        <f>計算表!E170</f>
        <v>(a+裝備等級)×分解係數×b</v>
      </c>
      <c r="F170" t="str">
        <f>計算表!F170</f>
        <v>a=常數 b=金幣係數。</v>
      </c>
      <c r="G170">
        <f>計算表!G170</f>
        <v>3</v>
      </c>
      <c r="H170">
        <f>計算表!H170</f>
        <v>0.5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附魔精華拆解機率</v>
      </c>
      <c r="E171" t="str">
        <f>計算表!E171</f>
        <v>稀有度基礎機率 × (1+精粹透鏡加成/100)</v>
      </c>
      <c r="F171" t="str">
        <f>計算表!F171</f>
        <v>一列列出各稀有度基礎機率%。&gt;100% 採必得+餘數。</v>
      </c>
      <c r="G171">
        <f>計算表!G171</f>
        <v>5</v>
      </c>
      <c r="H171">
        <f>計算表!H171</f>
        <v>7.5</v>
      </c>
      <c r="I171">
        <f>計算表!I171</f>
        <v>10</v>
      </c>
      <c r="J171">
        <f>計算表!J171</f>
        <v>15</v>
      </c>
      <c r="K171">
        <f>計算表!K171</f>
        <v>20</v>
      </c>
      <c r="L171">
        <f>計算表!L171</f>
        <v>25</v>
      </c>
      <c r="M171">
        <f>計算表!M171</f>
        <v>30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6-分解精華機率</v>
      </c>
      <c r="D172" t="str">
        <f>計算表!D172</f>
        <v>太古精華拆解機率(依稀有度)</v>
      </c>
      <c r="E172" t="str">
        <f>計算表!E172</f>
        <v>基礎機率×太古萃取器倍率；另每條太古詞條 50% 判定</v>
      </c>
      <c r="F172" t="str">
        <f>計算表!F172</f>
        <v>史詩0.5 傳說1 神話10 創世100 神鑄100（普通~獨特不掉）。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0.1</v>
      </c>
      <c r="K172">
        <f>計算表!K172</f>
        <v>0.5</v>
      </c>
      <c r="L172">
        <f>計算表!L172</f>
        <v>1</v>
      </c>
      <c r="M172">
        <f>計算表!M172</f>
        <v>10</v>
      </c>
      <c r="N172">
        <f>計算表!N172</f>
        <v>100</v>
      </c>
      <c r="O172">
        <f>計算表!O172</f>
        <v>100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裝備神鑄成功率</v>
      </c>
      <c r="E173" t="str">
        <f>計算表!E173</f>
        <v>clamp(基礎 + 魔塵數×a, 0, 100)</v>
      </c>
      <c r="F173" t="str">
        <f>計算表!F173</f>
        <v>基礎：傳說55 神話40 創世25。a=每魔塵加成%。</v>
      </c>
      <c r="G173">
        <f>計算表!G173</f>
        <v>5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裝備神鑄基礎成功率</v>
      </c>
      <c r="E174" t="str">
        <f>計算表!E174</f>
        <v>傳說a 神話b 創世c（%）</v>
      </c>
      <c r="F174" t="str">
        <f>計算表!F174</f>
        <v>依素材品質。</v>
      </c>
      <c r="G174">
        <f>計算表!G174</f>
        <v>55</v>
      </c>
      <c r="H174">
        <f>計算表!H174</f>
        <v>40</v>
      </c>
      <c r="I174">
        <f>計算表!I174</f>
        <v>25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裝備神鑄金幣</v>
      </c>
      <c r="E175" t="str">
        <f>計算表!E175</f>
        <v>傳說a 神話b 創世c</v>
      </c>
      <c r="F175" t="str">
        <f>計算表!F175</f>
        <v>單次金幣消耗。</v>
      </c>
      <c r="G175">
        <f>計算表!G175</f>
        <v>5000000</v>
      </c>
      <c r="H175">
        <f>計算表!H175</f>
        <v>20000000</v>
      </c>
      <c r="I175">
        <f>計算表!I175</f>
        <v>100000000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裝備神鑄時間(秒)</v>
      </c>
      <c r="E176" t="str">
        <f>計算表!E176</f>
        <v>傳說a 神話b 創世c</v>
      </c>
      <c r="F176">
        <f>計算表!F176</f>
        <v>0</v>
      </c>
      <c r="G176">
        <f>計算表!G176</f>
        <v>3</v>
      </c>
      <c r="H176">
        <f>計算表!H176</f>
        <v>5</v>
      </c>
      <c r="I176">
        <f>計算表!I176</f>
        <v>8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寶石神鑄成功率</v>
      </c>
      <c r="E177" t="str">
        <f>計算表!E177</f>
        <v>clamp(基礎 + 魔塵數×a, 0, 100)</v>
      </c>
      <c r="F177" t="str">
        <f>計算表!F177</f>
        <v>基礎：5階45 6階35 7階25 8階15 9階5。a=每魔塵加成%。</v>
      </c>
      <c r="G177">
        <f>計算表!G177</f>
        <v>3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寶石神鑄基礎成功率</v>
      </c>
      <c r="E178" t="str">
        <f>計算表!E178</f>
        <v>5階a 6階b 7階c 8階d 9階e（%）</v>
      </c>
      <c r="F178" t="str">
        <f>計算表!F178</f>
        <v>依素材階級。</v>
      </c>
      <c r="G178">
        <f>計算表!G178</f>
        <v>50</v>
      </c>
      <c r="H178">
        <f>計算表!H178</f>
        <v>40</v>
      </c>
      <c r="I178">
        <f>計算表!I178</f>
        <v>35</v>
      </c>
      <c r="J178">
        <f>計算表!J178</f>
        <v>25</v>
      </c>
      <c r="K178">
        <f>計算表!K178</f>
        <v>15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寶石神鑄金幣</v>
      </c>
      <c r="E179" t="str">
        <f>計算表!E179</f>
        <v>a + (素材階級-b)×a</v>
      </c>
      <c r="F179" t="str">
        <f>計算表!F179</f>
        <v>a=基礎 b=起始階級。</v>
      </c>
      <c r="G179">
        <f>計算表!G179</f>
        <v>1000000</v>
      </c>
      <c r="H179">
        <f>計算表!H179</f>
        <v>5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寶石神鑄時間(秒)</v>
      </c>
      <c r="E180" t="str">
        <f>計算表!E180</f>
        <v>5階a 6階b 7階c 8階d 9階e</v>
      </c>
      <c r="F180">
        <f>計算表!F180</f>
        <v>0</v>
      </c>
      <c r="G180">
        <f>計算表!G180</f>
        <v>1</v>
      </c>
      <c r="H180">
        <f>計算表!H180</f>
        <v>2</v>
      </c>
      <c r="I180">
        <f>計算表!I180</f>
        <v>3</v>
      </c>
      <c r="J180">
        <f>計算表!J180</f>
        <v>4</v>
      </c>
      <c r="K180">
        <f>計算表!K180</f>
        <v>6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神鑄失敗</v>
      </c>
      <c r="E181" t="str">
        <f>計算表!E181</f>
        <v>裝備消耗a件退b件；寶石消耗a顆退b顆；每次失敗得魔塵1</v>
      </c>
      <c r="F181" t="str">
        <f>計算表!F181</f>
        <v>a=消耗 b=退回。</v>
      </c>
      <c r="G181">
        <f>計算表!G181</f>
        <v>3</v>
      </c>
      <c r="H181">
        <f>計算表!H181</f>
        <v>3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6-神鑄</v>
      </c>
      <c r="D182" t="str">
        <f>計算表!D182</f>
        <v>神鑄槽位 / 魔塵上限</v>
      </c>
      <c r="E182" t="str">
        <f>計算表!E182</f>
        <v>法陣a格；魔塵最多b個</v>
      </c>
      <c r="F182" t="str">
        <f>計算表!F182</f>
        <v>a=槽位 b=魔塵上限。</v>
      </c>
      <c r="G182">
        <f>計算表!G182</f>
        <v>6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基礎成功率</v>
      </c>
      <c r="E183" t="str">
        <f>計算表!E183</f>
        <v>+5 以內 100%；之後 max(a%, 100% - (目標等級-5)×b%)</v>
      </c>
      <c r="F183" t="str">
        <f>計算表!F183</f>
        <v>a=下限 b=每級遞減。實際=基礎+強化成功率屬性。</v>
      </c>
      <c r="G183">
        <f>計算表!G183</f>
        <v>30</v>
      </c>
      <c r="H183">
        <f>計算表!H183</f>
        <v>6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金幣費用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25</v>
      </c>
      <c r="H184">
        <f>計算表!H184</f>
        <v>1.45</v>
      </c>
      <c r="I184">
        <f>計算表!I184</f>
        <v>0.08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碎片費用</v>
      </c>
      <c r="E185" t="str">
        <f>計算表!E185</f>
        <v>a × b^目前強化等級 × (1+裝備等級×c)</v>
      </c>
      <c r="F185">
        <f>計算表!F185</f>
        <v>0</v>
      </c>
      <c r="G185">
        <f>計算表!G185</f>
        <v>8</v>
      </c>
      <c r="H185">
        <f>計算表!H185</f>
        <v>1.35</v>
      </c>
      <c r="I185">
        <f>計算表!I185</f>
        <v>0.04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7-強化</v>
      </c>
      <c r="D186" t="str">
        <f>計算表!D186</f>
        <v>失敗懲罰</v>
      </c>
      <c r="E186" t="str">
        <f>計算表!E186</f>
        <v>消耗半數費用，強化等級不變</v>
      </c>
      <c r="F186" t="str">
        <f>計算表!F186</f>
        <v>寫死：失敗消耗半數費用。</v>
      </c>
      <c r="G186">
        <f>計算表!G186</f>
        <v>0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金幣費用</v>
      </c>
      <c r="E187" t="str">
        <f>計算表!E187</f>
        <v>a × b^稀有度 × (1+裝備等級×c)</v>
      </c>
      <c r="F187">
        <f>計算表!F187</f>
        <v>0</v>
      </c>
      <c r="G187">
        <f>計算表!G187</f>
        <v>40</v>
      </c>
      <c r="H187">
        <f>計算表!H187</f>
        <v>1.7</v>
      </c>
      <c r="I187">
        <f>計算表!I187</f>
        <v>0.15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精華費用</v>
      </c>
      <c r="E188" t="str">
        <f>計算表!E188</f>
        <v>普通~傳說 1+稀有度；神話a 創世b 神鑄c</v>
      </c>
      <c r="F188" t="str">
        <f>計算表!F188</f>
        <v>a/b/c=神話/創世/神鑄創世固定值。</v>
      </c>
      <c r="G188">
        <f>計算表!G188</f>
        <v>9</v>
      </c>
      <c r="H188">
        <f>計算表!H188</f>
        <v>14</v>
      </c>
      <c r="I188">
        <f>計算表!I188</f>
        <v>20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</v>
      </c>
      <c r="E189" t="str">
        <f>計算表!E189</f>
        <v>勾選後根據裝備品質消耗，本次每詞條 a% 成為太古</v>
      </c>
      <c r="F189" t="str">
        <f>計算表!F189</f>
        <v>a=太古機率。</v>
      </c>
      <c r="G189">
        <f>計算表!G189</f>
        <v>30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7-洗煉</v>
      </c>
      <c r="D190" t="str">
        <f>計算表!D190</f>
        <v>太古精華洗煉消耗</v>
      </c>
      <c r="E190" t="str">
        <f>計算表!E190</f>
        <v>勾選後根據裝備品質消耗，本次每詞條 a% 成為太古</v>
      </c>
      <c r="F190" t="str">
        <f>計算表!F190</f>
        <v>根據裝備品質每次使用太古精華的消耗數量，a=普通 b=精良 c=稀有 d=獨特 e=史詩 f=傳說 g=神話 h=創世 i=神鑄創世 的消耗數量</v>
      </c>
      <c r="G190">
        <f>計算表!G190</f>
        <v>1</v>
      </c>
      <c r="H190">
        <f>計算表!H190</f>
        <v>1</v>
      </c>
      <c r="I190">
        <f>計算表!I190</f>
        <v>1</v>
      </c>
      <c r="J190">
        <f>計算表!J190</f>
        <v>1</v>
      </c>
      <c r="K190">
        <f>計算表!K190</f>
        <v>1</v>
      </c>
      <c r="L190">
        <f>計算表!L190</f>
        <v>1</v>
      </c>
      <c r="M190">
        <f>計算表!M190</f>
        <v>2</v>
      </c>
      <c r="N190">
        <f>計算表!N190</f>
        <v>3</v>
      </c>
      <c r="O190">
        <f>計算表!O190</f>
        <v>4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大成功率</v>
      </c>
      <c r="E191" t="str">
        <f>計算表!E191</f>
        <v>a% + 幸運核心×每階8% + 幸運值/2</v>
      </c>
      <c r="F191" t="str">
        <f>計算表!F191</f>
        <v>a=基礎%。</v>
      </c>
      <c r="G191">
        <f>計算表!G191</f>
        <v>5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品質合成</v>
      </c>
      <c r="E192" t="str">
        <f>計算表!E192</f>
        <v>3 件同稀有度 → 1 件高一階（等級=平均）；大成功再+1 階</v>
      </c>
      <c r="F192" t="str">
        <f>計算表!F192</f>
        <v>合成功能已停用(SYNTHESIS_ENABLED=false)，本列未生效。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混合合成</v>
      </c>
      <c r="E193" t="str">
        <f>計算表!E193</f>
        <v>1 裝備+1 寶石+1 附魔書 → 附魔（威力吃寶石等級）；大成功稀有度+1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7-合成</v>
      </c>
      <c r="D194" t="str">
        <f>計算表!D194</f>
        <v>合成變異</v>
      </c>
      <c r="E194" t="str">
        <f>計算表!E194</f>
        <v>機率=合成變異率屬性（上限60%）；附魔威力×1.5 並追加 1 條詞條</v>
      </c>
      <c r="F194" t="str">
        <f>計算表!F194</f>
        <v>合成功能已停用，本列未生效。</v>
      </c>
      <c r="G194">
        <f>計算表!G194</f>
        <v>0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7-分解速度</v>
      </c>
      <c r="D195" t="str">
        <f>計算表!D195</f>
        <v>分解處理速度</v>
      </c>
      <c r="E195" t="str">
        <f>計算表!E195</f>
        <v>間隔 = a 秒 ÷ (1+加速加成)</v>
      </c>
      <c r="F195" t="str">
        <f>計算表!F195</f>
        <v>加速齒輪每階+25%，另固定+50 個百分點。　※＝生產線處理間隔，由「7-容量/生產線處理間隔」控制，本列不生效。</v>
      </c>
      <c r="G195">
        <f>計算表!G195</f>
        <v>2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7-分解槽</v>
      </c>
      <c r="D196" t="str">
        <f>計算表!D196</f>
        <v>分解槽解鎖費用</v>
      </c>
      <c r="E196" t="str">
        <f>計算表!E196</f>
        <v>a × b^(目標格數-1)</v>
      </c>
      <c r="F196" t="str">
        <f>計算表!F196</f>
        <v>初始 10 格、上限 20 格。</v>
      </c>
      <c r="G196">
        <f>計算表!G196</f>
        <v>10000</v>
      </c>
      <c r="H196">
        <f>計算表!H196</f>
        <v>3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輸送帶容量</v>
      </c>
      <c r="E197" t="str">
        <f>計算表!E197</f>
        <v>a（固定上限）</v>
      </c>
      <c r="F197" t="str">
        <f>計算表!F197</f>
        <v>程式實際為固定 20000；超出的新裝備直接丟棄。</v>
      </c>
      <c r="G197">
        <f>計算表!G197</f>
        <v>20000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合成暫存區</v>
      </c>
      <c r="E198" t="str">
        <f>計算表!E198</f>
        <v>a + ⌊負重上限/b⌋</v>
      </c>
      <c r="F198">
        <f>計算表!F198</f>
        <v>0</v>
      </c>
      <c r="G198">
        <f>計算表!G198</f>
        <v>30</v>
      </c>
      <c r="H198">
        <f>計算表!H198</f>
        <v>2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背包容量</v>
      </c>
      <c r="E199" t="str">
        <f>計算表!E199</f>
        <v>a + 背包擴充上限次數b</v>
      </c>
      <c r="F199" t="str">
        <f>計算表!F199</f>
        <v>a=初始格數 b為上限值；滿了自動分解新進裝備。</v>
      </c>
      <c r="G199">
        <f>計算表!G199</f>
        <v>100</v>
      </c>
      <c r="H199">
        <f>計算表!H199</f>
        <v>1000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背包擴充費用</v>
      </c>
      <c r="E200" t="str">
        <f>計算表!E200</f>
        <v>a + b × c^購買次數</v>
      </c>
      <c r="F200" t="str">
        <f>計算表!F200</f>
        <v>a=基值值 b=擴充倍數 c=指數底；達上限後不可再擴充。</v>
      </c>
      <c r="G200">
        <f>計算表!G200</f>
        <v>10000</v>
      </c>
      <c r="H200">
        <f>計算表!H200</f>
        <v>10000</v>
      </c>
      <c r="I200">
        <f>計算表!I200</f>
        <v>1.02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7-容量</v>
      </c>
      <c r="D201" t="str">
        <f>計算表!D201</f>
        <v>生產線處理間隔</v>
      </c>
      <c r="E201" t="str">
        <f>計算表!E201</f>
        <v>a 秒/件</v>
      </c>
      <c r="F201">
        <f>計算表!F201</f>
        <v>0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能力數值(1~5階)</v>
      </c>
      <c r="E202" t="str">
        <f>計算表!E202</f>
        <v>base × 等級 × (1 + a×(等級-1))</v>
      </c>
      <c r="F202" t="str">
        <f>計算表!F202</f>
        <v>base 見「寶石種類表」。Lv1×1 Lv2×2.4 Lv3×4.2 Lv4×6.4 Lv5×9。</v>
      </c>
      <c r="G202">
        <f>計算表!G202</f>
        <v>0.2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能力數值(6~10階神鑄)</v>
      </c>
      <c r="E203" t="str">
        <f>計算表!E203</f>
        <v>五階數值 × a^(階級-5)</v>
      </c>
      <c r="F203" t="str">
        <f>計算表!F203</f>
        <v>每高 1 階能力×a。</v>
      </c>
      <c r="G203">
        <f>計算表!G203</f>
        <v>2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寶石升階(工廠自動)</v>
      </c>
      <c r="E204" t="str">
        <f>計算表!E204</f>
        <v>c 顆同種同級 → 1 顆同種高一級</v>
      </c>
      <c r="F204" t="str">
        <f>計算表!F204</f>
        <v>免費、自動（熔爐合成節點開關）。　※合成功能已停用，本列未生效。</v>
      </c>
      <c r="G204">
        <f>計算表!G204</f>
        <v>3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寶石合成(手動)</v>
      </c>
      <c r="E205" t="str">
        <f>計算表!E205</f>
        <v>2 顆同種同級 → 1 顆同種下一階</v>
      </c>
      <c r="F205" t="str">
        <f>計算表!F205</f>
        <v>金幣費用依素材等級：100/300/900/2700/8100。</v>
      </c>
      <c r="G205">
        <f>計算表!G205</f>
        <v>0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寶石合成金幣</v>
      </c>
      <c r="E206" t="str">
        <f>計算表!E206</f>
        <v>依素材等級 a/b/c/d/e</v>
      </c>
      <c r="F206" t="str">
        <f>計算表!F206</f>
        <v>1級→2級 a、2級→3級 b …。</v>
      </c>
      <c r="G206">
        <f>計算表!G206</f>
        <v>100</v>
      </c>
      <c r="H206">
        <f>計算表!H206</f>
        <v>300</v>
      </c>
      <c r="I206">
        <f>計算表!I206</f>
        <v>900</v>
      </c>
      <c r="J206">
        <f>計算表!J206</f>
        <v>2700</v>
      </c>
      <c r="K206">
        <f>計算表!K206</f>
        <v>8100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寶石轉換(九宮格)</v>
      </c>
      <c r="E207" t="str">
        <f>計算表!E207</f>
        <v>a 格；每格上限 b 顆；同階轉換數量不變（免費）</v>
      </c>
      <c r="F207" t="str">
        <f>計算表!F207</f>
        <v>融合寶石無法轉換。</v>
      </c>
      <c r="G207">
        <f>計算表!G207</f>
        <v>9</v>
      </c>
      <c r="H207">
        <f>計算表!H207</f>
        <v>1000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寶石拆解(一般)</v>
      </c>
      <c r="E208" t="str">
        <f>計算表!E208</f>
        <v>⌊2^(N-1) × a⌋ 顆同種 1 級</v>
      </c>
      <c r="F208" t="str">
        <f>計算表!F208</f>
        <v>a=保留比例（損失 30%）。2級→1 3級→2 4級→5 5級→11。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寶石拆解(融合)</v>
      </c>
      <c r="E209" t="str">
        <f>計算表!E209</f>
        <v>⌊16×leaves × a⌋ 顆 1 級（依屬性均分）</v>
      </c>
      <c r="F209" t="str">
        <f>計算表!F209</f>
        <v>leaves=素材 5 階總數（融合時雙方相加）。　※與「寶石拆解(一般)」共用保留率，本列不生效。</v>
      </c>
      <c r="G209">
        <f>計算表!G209</f>
        <v>0.7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寶石融合成功率</v>
      </c>
      <c r="E210" t="str">
        <f>計算表!E210</f>
        <v>max(a%, b% - c%×雙方融合次數和)</v>
      </c>
      <c r="F210" t="str">
        <f>計算表!F210</f>
        <v>僅 5 階；產出雙屬性。</v>
      </c>
      <c r="G210">
        <f>計算表!G210</f>
        <v>10</v>
      </c>
      <c r="H210">
        <f>計算表!H210</f>
        <v>60</v>
      </c>
      <c r="I210">
        <f>計算表!I210</f>
        <v>10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</v>
      </c>
      <c r="D211" t="str">
        <f>計算表!D211</f>
        <v>寶石融合數值</v>
      </c>
      <c r="E211" t="str">
        <f>計算表!E211</f>
        <v>同屬性 rnd(較小值,較大值×2)；異屬性 原值×rnd(0.5,1.5)</v>
      </c>
      <c r="F211" t="str">
        <f>計算表!F211</f>
        <v>失敗：較弱一方降解為 50% 機率 4~8 顆 Lv1 / 50% 機率 2~4 顆 Lv2。　※結構寫死：同屬性 rnd(小,大×2)、異屬性 原值×rnd(0.5,1.5)。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升級費用</v>
      </c>
      <c r="E212" t="str">
        <f>計算表!E212</f>
        <v>a + 商店等級^b × c</v>
      </c>
      <c r="F212" t="str">
        <f>計算表!F212</f>
        <v>Lv.1~20；Lv.20 滿級。</v>
      </c>
      <c r="G212">
        <f>計算表!G212</f>
        <v>10000</v>
      </c>
      <c r="H212">
        <f>計算表!H212</f>
        <v>3</v>
      </c>
      <c r="I212">
        <f>計算表!I212</f>
        <v>4000000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手動刷新費用</v>
      </c>
      <c r="E213" t="str">
        <f>計算表!E213</f>
        <v>a × (下一次重置序號^b)</v>
      </c>
      <c r="F213" t="str">
        <f>計算表!F213</f>
        <v>第一次刷新序號為 1。</v>
      </c>
      <c r="G213">
        <f>計算表!G213</f>
        <v>5000</v>
      </c>
      <c r="H213">
        <f>計算表!H213</f>
        <v>2.5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刷新週期</v>
      </c>
      <c r="E214" t="str">
        <f>計算表!E214</f>
        <v>a 小時重置刷新次數</v>
      </c>
      <c r="F214">
        <f>計算表!F214</f>
        <v>0</v>
      </c>
      <c r="G214">
        <f>計算表!G214</f>
        <v>8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8-寶石商店</v>
      </c>
      <c r="D215" t="str">
        <f>計算表!D215</f>
        <v>寶石標價(Lv1~10)</v>
      </c>
      <c r="E215" t="str">
        <f>計算表!E215</f>
        <v>各階價格</v>
      </c>
      <c r="F215" t="str">
        <f>計算表!F215</f>
        <v>a=Lv1 … j=Lv10。</v>
      </c>
      <c r="G215">
        <f>計算表!G215</f>
        <v>10000</v>
      </c>
      <c r="H215">
        <f>計算表!H215</f>
        <v>100000</v>
      </c>
      <c r="I215">
        <f>計算表!I215</f>
        <v>500000</v>
      </c>
      <c r="J215">
        <f>計算表!J215</f>
        <v>2000000</v>
      </c>
      <c r="K215">
        <f>計算表!K215</f>
        <v>10000000</v>
      </c>
      <c r="L215">
        <f>計算表!L215</f>
        <v>50000000</v>
      </c>
      <c r="M215">
        <f>計算表!M215</f>
        <v>200000000</v>
      </c>
      <c r="N215">
        <f>計算表!N215</f>
        <v>1000000000</v>
      </c>
      <c r="O215">
        <f>計算表!O215</f>
        <v>10000000000</v>
      </c>
      <c r="P215">
        <f>計算表!P215</f>
        <v>1000000000000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Lv.1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6=50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Lv.2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6=40</v>
      </c>
      <c r="I217" t="str">
        <f>計算表!I217</f>
        <v>7=10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Lv.3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5=50</v>
      </c>
      <c r="H218" t="str">
        <f>計算表!H218</f>
        <v>6=30</v>
      </c>
      <c r="I218" t="str">
        <f>計算表!I218</f>
        <v>7=10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Lv.4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5=45</v>
      </c>
      <c r="H219" t="str">
        <f>計算表!H219</f>
        <v>6=30</v>
      </c>
      <c r="I219" t="str">
        <f>計算表!I219</f>
        <v>7=15</v>
      </c>
      <c r="J219" t="str">
        <f>計算表!J219</f>
        <v>8=10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Lv.5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5=40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Lv.6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5=35</v>
      </c>
      <c r="H221" t="str">
        <f>計算表!H221</f>
        <v>6=30</v>
      </c>
      <c r="I221" t="str">
        <f>計算表!I221</f>
        <v>7=15</v>
      </c>
      <c r="J221" t="str">
        <f>計算表!J221</f>
        <v>8=15</v>
      </c>
      <c r="K221" t="str">
        <f>計算表!K221</f>
        <v>9=5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Lv.7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6=35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10=5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Lv.8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6=30</v>
      </c>
      <c r="H223" t="str">
        <f>計算表!H223</f>
        <v>7=30</v>
      </c>
      <c r="I223" t="str">
        <f>計算表!I223</f>
        <v>8=15</v>
      </c>
      <c r="J223" t="str">
        <f>計算表!J223</f>
        <v>9=15</v>
      </c>
      <c r="K223" t="str">
        <f>計算表!K223</f>
        <v>10=10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Lv.9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7=30</v>
      </c>
      <c r="H224" t="str">
        <f>計算表!H224</f>
        <v>8=30</v>
      </c>
      <c r="I224" t="str">
        <f>計算表!I224</f>
        <v>9=15</v>
      </c>
      <c r="J224" t="str">
        <f>計算表!J224</f>
        <v>10=15</v>
      </c>
      <c r="K224" t="str">
        <f>計算表!K224</f>
        <v>11=10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Lv.10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8=30</v>
      </c>
      <c r="H225" t="str">
        <f>計算表!H225</f>
        <v>9=30</v>
      </c>
      <c r="I225" t="str">
        <f>計算表!I225</f>
        <v>10=15</v>
      </c>
      <c r="J225" t="str">
        <f>計算表!J225</f>
        <v>11=15</v>
      </c>
      <c r="K225" t="str">
        <f>計算表!K225</f>
        <v>12=10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Lv.11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9=30</v>
      </c>
      <c r="H226" t="str">
        <f>計算表!H226</f>
        <v>10=30</v>
      </c>
      <c r="I226" t="str">
        <f>計算表!I226</f>
        <v>11=15</v>
      </c>
      <c r="J226" t="str">
        <f>計算表!J226</f>
        <v>12=15</v>
      </c>
      <c r="K226" t="str">
        <f>計算表!K226</f>
        <v>13=10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Lv.12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10=30</v>
      </c>
      <c r="H227" t="str">
        <f>計算表!H227</f>
        <v>11=30</v>
      </c>
      <c r="I227" t="str">
        <f>計算表!I227</f>
        <v>12=15</v>
      </c>
      <c r="J227" t="str">
        <f>計算表!J227</f>
        <v>13=15</v>
      </c>
      <c r="K227" t="str">
        <f>計算表!K227</f>
        <v>14=10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Lv.13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11=30</v>
      </c>
      <c r="H228" t="str">
        <f>計算表!H228</f>
        <v>12=30</v>
      </c>
      <c r="I228" t="str">
        <f>計算表!I228</f>
        <v>13=15</v>
      </c>
      <c r="J228" t="str">
        <f>計算表!J228</f>
        <v>14=15</v>
      </c>
      <c r="K228" t="str">
        <f>計算表!K228</f>
        <v>15=10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Lv.14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12=30</v>
      </c>
      <c r="H229" t="str">
        <f>計算表!H229</f>
        <v>13=30</v>
      </c>
      <c r="I229" t="str">
        <f>計算表!I229</f>
        <v>14=15</v>
      </c>
      <c r="J229" t="str">
        <f>計算表!J229</f>
        <v>15=15</v>
      </c>
      <c r="K229" t="str">
        <f>計算表!K229</f>
        <v>16=10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Lv.15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13=30</v>
      </c>
      <c r="H230" t="str">
        <f>計算表!H230</f>
        <v>14=30</v>
      </c>
      <c r="I230" t="str">
        <f>計算表!I230</f>
        <v>15=15</v>
      </c>
      <c r="J230" t="str">
        <f>計算表!J230</f>
        <v>16=15</v>
      </c>
      <c r="K230" t="str">
        <f>計算表!K230</f>
        <v>17=10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Lv.16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14=30</v>
      </c>
      <c r="H231" t="str">
        <f>計算表!H231</f>
        <v>15=30</v>
      </c>
      <c r="I231" t="str">
        <f>計算表!I231</f>
        <v>16=15</v>
      </c>
      <c r="J231" t="str">
        <f>計算表!J231</f>
        <v>17=15</v>
      </c>
      <c r="K231" t="str">
        <f>計算表!K231</f>
        <v>18=10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Lv.17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15=30</v>
      </c>
      <c r="H232" t="str">
        <f>計算表!H232</f>
        <v>16=30</v>
      </c>
      <c r="I232" t="str">
        <f>計算表!I232</f>
        <v>17=15</v>
      </c>
      <c r="J232" t="str">
        <f>計算表!J232</f>
        <v>18=15</v>
      </c>
      <c r="K232" t="str">
        <f>計算表!K232</f>
        <v>19=10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Lv.18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Lv.19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8-寶店刷出數量</v>
      </c>
      <c r="D235" t="str">
        <f>計算表!D235</f>
        <v>商店 Lv.20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15=10</v>
      </c>
      <c r="H235" t="str">
        <f>計算表!H235</f>
        <v>16=20</v>
      </c>
      <c r="I235" t="str">
        <f>計算表!I235</f>
        <v>17=30</v>
      </c>
      <c r="J235" t="str">
        <f>計算表!J235</f>
        <v>18=15</v>
      </c>
      <c r="K235" t="str">
        <f>計算表!K235</f>
        <v>19=15</v>
      </c>
      <c r="L235" t="str">
        <f>計算表!L235</f>
        <v>20=10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Lv.1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1=75</v>
      </c>
      <c r="H236" t="str">
        <f>計算表!H236</f>
        <v>2=20</v>
      </c>
      <c r="I236" t="str">
        <f>計算表!I236</f>
        <v>3=4</v>
      </c>
      <c r="J236" t="str">
        <f>計算表!J236</f>
        <v>4=1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Lv.2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1=73</v>
      </c>
      <c r="H237" t="str">
        <f>計算表!H237</f>
        <v>2=20</v>
      </c>
      <c r="I237" t="str">
        <f>計算表!I237</f>
        <v>3=5</v>
      </c>
      <c r="J237" t="str">
        <f>計算表!J237</f>
        <v>4=2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Lv.3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1=71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Lv.4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1=70.5</v>
      </c>
      <c r="H239" t="str">
        <f>計算表!H239</f>
        <v>2=20</v>
      </c>
      <c r="I239" t="str">
        <f>計算表!I239</f>
        <v>3=6</v>
      </c>
      <c r="J239" t="str">
        <f>計算表!J239</f>
        <v>4=3</v>
      </c>
      <c r="K239" t="str">
        <f>計算表!K239</f>
        <v>5=0.5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Lv.5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1=69</v>
      </c>
      <c r="H240" t="str">
        <f>計算表!H240</f>
        <v>2=20</v>
      </c>
      <c r="I240" t="str">
        <f>計算表!I240</f>
        <v>3=6</v>
      </c>
      <c r="J240" t="str">
        <f>計算表!J240</f>
        <v>4=4</v>
      </c>
      <c r="K240" t="str">
        <f>計算表!K240</f>
        <v>5=1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Lv.6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1=67.5</v>
      </c>
      <c r="H241" t="str">
        <f>計算表!H241</f>
        <v>2=20</v>
      </c>
      <c r="I241" t="str">
        <f>計算表!I241</f>
        <v>3=6</v>
      </c>
      <c r="J241" t="str">
        <f>計算表!J241</f>
        <v>4=5</v>
      </c>
      <c r="K241" t="str">
        <f>計算表!K241</f>
        <v>5=1.5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Lv.7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1=64</v>
      </c>
      <c r="H242" t="str">
        <f>計算表!H242</f>
        <v>2=20</v>
      </c>
      <c r="I242" t="str">
        <f>計算表!I242</f>
        <v>3=8</v>
      </c>
      <c r="J242" t="str">
        <f>計算表!J242</f>
        <v>4=6</v>
      </c>
      <c r="K242" t="str">
        <f>計算表!K242</f>
        <v>5=2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Lv.8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1=61.5</v>
      </c>
      <c r="H243" t="str">
        <f>計算表!H243</f>
        <v>2=20</v>
      </c>
      <c r="I243" t="str">
        <f>計算表!I243</f>
        <v>3=9</v>
      </c>
      <c r="J243" t="str">
        <f>計算表!J243</f>
        <v>4=7</v>
      </c>
      <c r="K243" t="str">
        <f>計算表!K243</f>
        <v>5=2.5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Lv.9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1=59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Lv.10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1=58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5=3.5</v>
      </c>
      <c r="L245" t="str">
        <f>計算表!L245</f>
        <v>6=0.5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Lv.11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1=57.25</v>
      </c>
      <c r="H246" t="str">
        <f>計算表!H246</f>
        <v>2=20</v>
      </c>
      <c r="I246" t="str">
        <f>計算表!I246</f>
        <v>3=10</v>
      </c>
      <c r="J246" t="str">
        <f>計算表!J246</f>
        <v>4=8</v>
      </c>
      <c r="K246" t="str">
        <f>計算表!K246</f>
        <v>5=4</v>
      </c>
      <c r="L246" t="str">
        <f>計算表!L246</f>
        <v>6=0.75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Lv.12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Lv.13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1=53.25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6=1.25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Lv.14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1=53</v>
      </c>
      <c r="H249" t="str">
        <f>計算表!H249</f>
        <v>2=20</v>
      </c>
      <c r="I249" t="str">
        <f>計算表!I249</f>
        <v>3=12</v>
      </c>
      <c r="J249" t="str">
        <f>計算表!J249</f>
        <v>4=9</v>
      </c>
      <c r="K249" t="str">
        <f>計算表!K249</f>
        <v>5=4.5</v>
      </c>
      <c r="L249" t="str">
        <f>計算表!L249</f>
        <v>6=1.5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Lv.15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1=51.5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</v>
      </c>
      <c r="M250" t="str">
        <f>計算表!M250</f>
        <v>7=0.5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Lv.16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1=50.75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Lv.17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1=50.5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Lv.18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1=50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8=0.5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Lv.19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1=49.65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8=0.75</v>
      </c>
      <c r="O254" t="str">
        <f>計算表!O254</f>
        <v>9=0.1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8-寶店刷出階級</v>
      </c>
      <c r="D255" t="str">
        <f>計算表!D255</f>
        <v>商店 Lv.20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1=48.9</v>
      </c>
      <c r="H255" t="str">
        <f>計算表!H255</f>
        <v>2=20</v>
      </c>
      <c r="I255" t="str">
        <f>計算表!I255</f>
        <v>3=12</v>
      </c>
      <c r="J255" t="str">
        <f>計算表!J255</f>
        <v>4=10</v>
      </c>
      <c r="K255" t="str">
        <f>計算表!K255</f>
        <v>5=5</v>
      </c>
      <c r="L255" t="str">
        <f>計算表!L255</f>
        <v>6=1.25</v>
      </c>
      <c r="M255" t="str">
        <f>計算表!M255</f>
        <v>7=1.25</v>
      </c>
      <c r="N255" t="str">
        <f>計算表!N255</f>
        <v>8=1</v>
      </c>
      <c r="O255" t="str">
        <f>計算表!O255</f>
        <v>9=0.5</v>
      </c>
      <c r="P255" t="str">
        <f>計算表!P255</f>
        <v>10=0.1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技能原始傷害</v>
      </c>
      <c r="E256" t="str">
        <f>計算表!E256</f>
        <v>(base + per×(等級-1))% × 攻擊力</v>
      </c>
      <c r="F256" t="str">
        <f>計算表!F256</f>
        <v>各技能 base/per 見 skills.js 的 SKILLS 表（未納入本表）。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一般技能法力消耗</v>
      </c>
      <c r="E257" t="str">
        <f>計算表!E257</f>
        <v>round(原始消耗 × (1 + a×(技能等級-1)))</v>
      </c>
      <c r="F257" t="str">
        <f>計算表!F257</f>
        <v>非複利。a=每級增幅。</v>
      </c>
      <c r="G257">
        <f>計算表!G257</f>
        <v>0.1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多敵人技能傷害</v>
      </c>
      <c r="E258" t="str">
        <f>計算表!E258</f>
        <v>原始傷害 × (1+範圍傷害%) ÷ 目標數</v>
      </c>
      <c r="F258" t="str">
        <f>計算表!F258</f>
        <v>單一目標不套用範圍傷害、也不除以目標數。　※規則寫死：原始傷害×(1+範圍傷害%)÷目標數。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實際冷卻</v>
      </c>
      <c r="E259" t="str">
        <f>計算表!E259</f>
        <v>技能冷卻 × (1 - 冷卻縮減%)</v>
      </c>
      <c r="F259" t="str">
        <f>計算表!F259</f>
        <v>規則寫死：技能CD×(1-冷卻縮減%)。</v>
      </c>
      <c r="G259">
        <f>計算表!G259</f>
        <v>0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施放硬直</v>
      </c>
      <c r="E260" t="str">
        <f>計算表!E260</f>
        <v>a 秒 × (1 - 施法速度%)</v>
      </c>
      <c r="F260" t="str">
        <f>計算表!F260</f>
        <v>延後下一次普攻。</v>
      </c>
      <c r="G260">
        <f>計算表!G260</f>
        <v>0.5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技能共用冷卻(GCD)</v>
      </c>
      <c r="E261" t="str">
        <f>計算表!E261</f>
        <v>a 秒（固定，不受冷卻縮減影響）</v>
      </c>
      <c r="F261">
        <f>計算表!F261</f>
        <v>0</v>
      </c>
      <c r="G261">
        <f>計算表!G261</f>
        <v>0.4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升級費用</v>
      </c>
      <c r="E262" t="str">
        <f>計算表!E262</f>
        <v>⌊a×當前等級 + b^(1 + 當前等級/c)⌋</v>
      </c>
      <c r="F262" t="str">
        <f>計算表!F262</f>
        <v>上限 5,000,000；降級全額退還。</v>
      </c>
      <c r="G262">
        <f>計算表!G262</f>
        <v>5000</v>
      </c>
      <c r="H262">
        <f>計算表!H262</f>
        <v>20</v>
      </c>
      <c r="I262">
        <f>計算表!I262</f>
        <v>10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技能樹門檻</v>
      </c>
      <c r="E263" t="str">
        <f>計算表!E263</f>
        <v>第 N 階需在該系投入 N×a 點</v>
      </c>
      <c r="F263" t="str">
        <f>計算表!F263</f>
        <v>a=每階門檻點數。</v>
      </c>
      <c r="G263">
        <f>計算表!G263</f>
        <v>3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等級上限</v>
      </c>
      <c r="E264" t="str">
        <f>計算表!E264</f>
        <v>一般 20+轉生×10；被動 30+轉生×10；融合 素材加總+20+轉生×20</v>
      </c>
      <c r="F264" t="str">
        <f>計算表!F264</f>
        <v>見「轉生對照表」。　※寫死：一般 20+轉生×10、被動 30+轉生×10、融合 素材加總+轉生×20。</v>
      </c>
      <c r="G264">
        <f>計算表!G264</f>
        <v>0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9-技能</v>
      </c>
      <c r="D265" t="str">
        <f>計算表!D265</f>
        <v>奧術衝擊(基礎技能)</v>
      </c>
      <c r="E265" t="str">
        <f>計算表!E265</f>
        <v>MP a／冷卻 b 秒／施法 c 秒／魔攻×d＋物攻×e</v>
      </c>
      <c r="F265" t="str">
        <f>計算表!F265</f>
        <v>固定自動施放技能常數。</v>
      </c>
      <c r="G265">
        <f>計算表!G265</f>
        <v>30</v>
      </c>
      <c r="H265">
        <f>計算表!H265</f>
        <v>10</v>
      </c>
      <c r="I265">
        <f>計算表!I265</f>
        <v>0.8</v>
      </c>
      <c r="J265">
        <f>計算表!J265</f>
        <v>1.5</v>
      </c>
      <c r="K265">
        <f>計算表!K265</f>
        <v>0.3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素材繼承比例</v>
      </c>
      <c r="E266" t="str">
        <f>計算表!E266</f>
        <v>各素材 base/per × a 後加總</v>
      </c>
      <c r="F266" t="str">
        <f>計算表!F266</f>
        <v>a=FUSE_FACTOR。</v>
      </c>
      <c r="G266">
        <f>計算表!G266</f>
        <v>0.75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融合冷卻</v>
      </c>
      <c r="E267" t="str">
        <f>計算表!E267</f>
        <v>素材最長冷卻 × a</v>
      </c>
      <c r="F267">
        <f>計算表!F267</f>
        <v>0</v>
      </c>
      <c r="G267">
        <f>計算表!G267</f>
        <v>1.25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變異觸發率</v>
      </c>
      <c r="E268" t="str">
        <f>計算表!E268</f>
        <v>a% + 幸運值/b</v>
      </c>
      <c r="F268" t="str">
        <f>計算表!F268</f>
        <v>8 種變異，至多 1 種。</v>
      </c>
      <c r="G268">
        <f>計算表!G268</f>
        <v>45</v>
      </c>
      <c r="H268">
        <f>計算表!H268</f>
        <v>3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DoT/控場/增益合併</v>
      </c>
      <c r="E269" t="str">
        <f>計算表!E269</f>
        <v>DoT×0.7 同名取高最多2種；控場取最大×0.8；增益 base×0.8 最多2種</v>
      </c>
      <c r="F269" t="str">
        <f>計算表!F269</f>
        <v>結構寫死：DoT×0.7、控場×0.8、增益×0.8，增益/減益各最多2種。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9-融合</v>
      </c>
      <c r="D270" t="str">
        <f>計算表!D270</f>
        <v>融合技能法力消耗</v>
      </c>
      <c r="E270" t="str">
        <f>計算表!E270</f>
        <v>round(素材原始消耗總和 × (1 + a×(融合技等級-1)))</v>
      </c>
      <c r="F270" t="str">
        <f>計算表!F270</f>
        <v>a=每級增幅。　※與「9-技能/一般技能法力消耗」共用公式，本列不生效。</v>
      </c>
      <c r="G270">
        <f>計算表!G270</f>
        <v>0.1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有效離線時間</v>
      </c>
      <c r="E271" t="str">
        <f>計算表!E271</f>
        <v>min(實際離線秒數, a 小時)</v>
      </c>
      <c r="F271" t="str">
        <f>計算表!F271</f>
        <v>1 分鐘內不計。</v>
      </c>
      <c r="G271">
        <f>計算表!G271</f>
        <v>24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計算等級</v>
      </c>
      <c r="E272" t="str">
        <f>計算表!E272</f>
        <v>捨去((目前地圖最高階段 - a) ÷ 10) × 10（下限 1）</v>
      </c>
      <c r="F272" t="str">
        <f>計算表!F272</f>
        <v>a=等級扣減；以此等級的當前場景菁英怪計算離線收益（例：沼澤最高 256 → 246 捨去個位數 → 240 級沼澤菁英）。</v>
      </c>
      <c r="G272">
        <f>計算表!G272</f>
        <v>10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10-離線</v>
      </c>
      <c r="D273" t="str">
        <f>計算表!D273</f>
        <v>擊殺速率</v>
      </c>
      <c r="E273" t="str">
        <f>計算表!E273</f>
        <v>每 a 秒擊殺 1 隻菁英怪</v>
      </c>
      <c r="F273" t="str">
        <f>計算表!F273</f>
        <v>a=擊殺間隔秒數；擊殺數 = ⌊有效離線秒數 ÷ a⌋，每隻菁英怪及其掉落單獨擲骰。</v>
      </c>
      <c r="G273">
        <f>計算表!G273</f>
        <v>20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普通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精良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1.35</v>
      </c>
      <c r="H275">
        <f>計算表!H275</f>
        <v>1</v>
      </c>
      <c r="I275">
        <f>計算表!I275</f>
        <v>2</v>
      </c>
      <c r="J275">
        <f>計算表!J275</f>
        <v>1</v>
      </c>
      <c r="K275">
        <f>計算表!K275</f>
        <v>1</v>
      </c>
      <c r="L275">
        <f>計算表!L275</f>
        <v>1.7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稀有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1.75</v>
      </c>
      <c r="H276">
        <f>計算表!H276</f>
        <v>2</v>
      </c>
      <c r="I276">
        <f>計算表!I276</f>
        <v>3</v>
      </c>
      <c r="J276">
        <f>計算表!J276</f>
        <v>2</v>
      </c>
      <c r="K276">
        <f>計算表!K276</f>
        <v>1</v>
      </c>
      <c r="L276">
        <f>計算表!L276</f>
        <v>2.8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獨特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2.2999999999999998</v>
      </c>
      <c r="H277">
        <f>計算表!H277</f>
        <v>3</v>
      </c>
      <c r="I277">
        <f>計算表!I277</f>
        <v>4</v>
      </c>
      <c r="J277">
        <f>計算表!J277</f>
        <v>2</v>
      </c>
      <c r="K277">
        <f>計算表!K277</f>
        <v>2</v>
      </c>
      <c r="L277">
        <f>計算表!L277</f>
        <v>4.5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史詩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3</v>
      </c>
      <c r="H278">
        <f>計算表!H278</f>
        <v>4</v>
      </c>
      <c r="I278">
        <f>計算表!I278</f>
        <v>5</v>
      </c>
      <c r="J278">
        <f>計算表!J278</f>
        <v>3</v>
      </c>
      <c r="K278">
        <f>計算表!K278</f>
        <v>2</v>
      </c>
      <c r="L278">
        <f>計算表!L278</f>
        <v>7.5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傳說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4</v>
      </c>
      <c r="H279">
        <f>計算表!H279</f>
        <v>4</v>
      </c>
      <c r="I279">
        <f>計算表!I279</f>
        <v>5</v>
      </c>
      <c r="J279">
        <f>計算表!J279</f>
        <v>4</v>
      </c>
      <c r="K279">
        <f>計算表!K279</f>
        <v>2</v>
      </c>
      <c r="L279">
        <f>計算表!L279</f>
        <v>12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神話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5.2</v>
      </c>
      <c r="H280">
        <f>計算表!H280</f>
        <v>6</v>
      </c>
      <c r="I280">
        <f>計算表!I280</f>
        <v>6</v>
      </c>
      <c r="J280">
        <f>計算表!J280</f>
        <v>5</v>
      </c>
      <c r="K280">
        <f>計算表!K280</f>
        <v>3</v>
      </c>
      <c r="L280">
        <f>計算表!L280</f>
        <v>19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6.8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30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表-稀有度</v>
      </c>
      <c r="D282" t="str">
        <f>計算表!D282</f>
        <v>神鑄創世</v>
      </c>
      <c r="E282" t="str">
        <f>計算表!E282</f>
        <v>（查表）</v>
      </c>
      <c r="F282" t="str">
        <f>計算表!F282</f>
        <v>a=詞條數值倍率 b=詞條數下限 c=詞條數上限 d=寶石插槽 e=附魔欄位 f=分解係數。</v>
      </c>
      <c r="G282">
        <f>計算表!G282</f>
        <v>10.199999999999999</v>
      </c>
      <c r="H282">
        <f>計算表!H282</f>
        <v>7</v>
      </c>
      <c r="I282">
        <f>計算表!I282</f>
        <v>7</v>
      </c>
      <c r="J282">
        <f>計算表!J282</f>
        <v>6</v>
      </c>
      <c r="K282">
        <f>計算表!K282</f>
        <v>3</v>
      </c>
      <c r="L282">
        <f>計算表!L282</f>
        <v>45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表-自動機組零件</v>
      </c>
      <c r="D283" t="str">
        <f>計算表!D283</f>
        <v>加速齒輪</v>
      </c>
      <c r="E283" t="str">
        <f>計算表!E283</f>
        <v>效果值 = a × 階級(T1~T7)</v>
      </c>
      <c r="F283" t="str">
        <f>計算表!F283</f>
        <v>節點=b。分解速度 +v%/階（另固定+50 個百分點）（掉寶類零件效果實際×0.5）。</v>
      </c>
      <c r="G283">
        <f>計算表!G283</f>
        <v>25</v>
      </c>
      <c r="H283" t="str">
        <f>計算表!H283</f>
        <v>salvage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表-自動機組零件</v>
      </c>
      <c r="D284" t="str">
        <f>計算表!D284</f>
        <v>碎片熔煉爐</v>
      </c>
      <c r="E284" t="str">
        <f>計算表!E284</f>
        <v>效果值 = a × 階級(T1~T7)</v>
      </c>
      <c r="F284" t="str">
        <f>計算表!F284</f>
        <v>節點=b。分解碎片產量 +v%/階（掉寶類零件效果實際×0.5）。</v>
      </c>
      <c r="G284">
        <f>計算表!G284</f>
        <v>20</v>
      </c>
      <c r="H284" t="str">
        <f>計算表!H284</f>
        <v>salvage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表-自動機組零件</v>
      </c>
      <c r="D285" t="str">
        <f>計算表!D285</f>
        <v>淘金濾網</v>
      </c>
      <c r="E285" t="str">
        <f>計算表!E285</f>
        <v>效果值 = a × 階級(T1~T7)</v>
      </c>
      <c r="F285" t="str">
        <f>計算表!F285</f>
        <v>節點=b。分解金幣產量 +v%/階（掉寶類零件效果實際×0.5）。</v>
      </c>
      <c r="G285">
        <f>計算表!G285</f>
        <v>25</v>
      </c>
      <c r="H285" t="str">
        <f>計算表!H285</f>
        <v>salvage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表-自動機組零件</v>
      </c>
      <c r="D286" t="str">
        <f>計算表!D286</f>
        <v>精粹透鏡</v>
      </c>
      <c r="E286" t="str">
        <f>計算表!E286</f>
        <v>效果值 = a × 階級(T1~T7)</v>
      </c>
      <c r="F286" t="str">
        <f>計算表!F286</f>
        <v>節點=b。附魔精華拆解產出率 +v%/階（掉寶類零件效果實際×0.5）。</v>
      </c>
      <c r="G286">
        <f>計算表!G286</f>
        <v>20</v>
      </c>
      <c r="H286" t="str">
        <f>計算表!H286</f>
        <v>salvage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表-自動機組零件</v>
      </c>
      <c r="D287" t="str">
        <f>計算表!D287</f>
        <v>拓本回收臂</v>
      </c>
      <c r="E287" t="str">
        <f>計算表!E287</f>
        <v>效果值 = a × 階級(T1~T7)</v>
      </c>
      <c r="F287" t="str">
        <f>計算表!F287</f>
        <v>節點=b。分解 v%/階 機率回收 1 本附魔書（掉寶類零件效果實際×0.5）。</v>
      </c>
      <c r="G287">
        <f>計算表!G287</f>
        <v>0.4</v>
      </c>
      <c r="H287" t="str">
        <f>計算表!H287</f>
        <v>salvage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表-自動機組零件</v>
      </c>
      <c r="D288" t="str">
        <f>計算表!D288</f>
        <v>複製處理艙</v>
      </c>
      <c r="E288" t="str">
        <f>計算表!E288</f>
        <v>效果值 = a × 階級(T1~T7)</v>
      </c>
      <c r="F288" t="str">
        <f>計算表!F288</f>
        <v>節點=b。分解 v%/階 機率碎片+金幣翻倍（掉寶類零件效果實際×0.5）。</v>
      </c>
      <c r="G288">
        <f>計算表!G288</f>
        <v>3</v>
      </c>
      <c r="H288" t="str">
        <f>計算表!H288</f>
        <v>salvage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表-自動機組零件</v>
      </c>
      <c r="D289" t="str">
        <f>計算表!D289</f>
        <v>知識回收器</v>
      </c>
      <c r="E289" t="str">
        <f>計算表!E289</f>
        <v>效果值 = a × 階級(T1~T7)</v>
      </c>
      <c r="F289" t="str">
        <f>計算表!F289</f>
        <v>節點=b。分解 v%/階 機率獲得經驗(裝備等級×25)（掉寶類零件效果實際×0.5）。</v>
      </c>
      <c r="G289">
        <f>計算表!G289</f>
        <v>1.5</v>
      </c>
      <c r="H289" t="str">
        <f>計算表!H289</f>
        <v>salvage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表-自動機組零件</v>
      </c>
      <c r="D290" t="str">
        <f>計算表!D290</f>
        <v>探礦核心</v>
      </c>
      <c r="E290" t="str">
        <f>計算表!E290</f>
        <v>效果值 = a × 階級(T1~T7)</v>
      </c>
      <c r="F290" t="str">
        <f>計算表!F290</f>
        <v>節點=b。分解 v%/階 機率額外掉一個零件（掉寶類零件效果實際×0.5）。</v>
      </c>
      <c r="G290">
        <f>計算表!G290</f>
        <v>0.15</v>
      </c>
      <c r="H290" t="str">
        <f>計算表!H290</f>
        <v>salvage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表-自動機組零件</v>
      </c>
      <c r="D291" t="str">
        <f>計算表!D291</f>
        <v>幸運晶片</v>
      </c>
      <c r="E291" t="str">
        <f>計算表!E291</f>
        <v>效果值 = a × 階級(T1~T7)</v>
      </c>
      <c r="F291" t="str">
        <f>計算表!F291</f>
        <v>節點=b。分解 v%/階 機率大豐收(碎片/金幣/精華×3)（掉寶類零件效果實際×0.5）。</v>
      </c>
      <c r="G291">
        <f>計算表!G291</f>
        <v>0.5</v>
      </c>
      <c r="H291" t="str">
        <f>計算表!H291</f>
        <v>salvage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表-自動機組零件</v>
      </c>
      <c r="D292" t="str">
        <f>計算表!D292</f>
        <v>太古精華萃取器</v>
      </c>
      <c r="E292" t="str">
        <f>計算表!E292</f>
        <v>效果值 = a × 階級(T1~T7)</v>
      </c>
      <c r="F292" t="str">
        <f>計算表!F292</f>
        <v>節點=b。分解太古精華掉落率 +v%/階（掉寶類零件效果實際×0.5）。</v>
      </c>
      <c r="G292">
        <f>計算表!G292</f>
        <v>25</v>
      </c>
      <c r="H292" t="str">
        <f>計算表!H292</f>
        <v>salvage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表-自動機組零件</v>
      </c>
      <c r="D293" t="str">
        <f>計算表!D293</f>
        <v>幸運核心</v>
      </c>
      <c r="E293" t="str">
        <f>計算表!E293</f>
        <v>效果值 = a × 階級(T1~T7)</v>
      </c>
      <c r="F293" t="str">
        <f>計算表!F293</f>
        <v>節點=b。合成大成功率 +v%/階（掉寶類零件效果實際×0.5）。</v>
      </c>
      <c r="G293">
        <f>計算表!G293</f>
        <v>8</v>
      </c>
      <c r="H293" t="str">
        <f>計算表!H293</f>
        <v>synth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表-自動機組零件</v>
      </c>
      <c r="D294" t="str">
        <f>計算表!D294</f>
        <v>重骰模組</v>
      </c>
      <c r="E294" t="str">
        <f>計算表!E294</f>
        <v>效果值 = a × 階級(T1~T7)</v>
      </c>
      <c r="F294" t="str">
        <f>計算表!F294</f>
        <v>節點=b。合成詞條重骰機率 +v%/階（掉寶類零件效果實際×0.5）。</v>
      </c>
      <c r="G294">
        <f>計算表!G294</f>
        <v>15</v>
      </c>
      <c r="H294" t="str">
        <f>計算表!H294</f>
        <v>synth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表-固定參數</v>
      </c>
      <c r="D295" t="str">
        <f>計算表!D295</f>
        <v>出怪間隔</v>
      </c>
      <c r="E295" t="str">
        <f>計算表!E295</f>
        <v>a 秒 × (1-移動速度%)</v>
      </c>
      <c r="F295" t="str">
        <f>計算表!F295</f>
        <v>RESPAWN_DELAY。</v>
      </c>
      <c r="G295">
        <f>計算表!G295</f>
        <v>0.8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表-固定參數</v>
      </c>
      <c r="D296" t="str">
        <f>計算表!D296</f>
        <v>死亡復活時間</v>
      </c>
      <c r="E296" t="str">
        <f>計算表!E296</f>
        <v>a 秒</v>
      </c>
      <c r="F296" t="str">
        <f>計算表!F296</f>
        <v>REVIVE_DELAY。</v>
      </c>
      <c r="G296">
        <f>計算表!G296</f>
        <v>3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表-固定參數</v>
      </c>
      <c r="D297" t="str">
        <f>計算表!D297</f>
        <v>零件階級上限</v>
      </c>
      <c r="E297" t="str">
        <f>計算表!E297</f>
        <v>T a</v>
      </c>
      <c r="F297" t="str">
        <f>計算表!F297</f>
        <v>PART_MAX_TIER。</v>
      </c>
      <c r="G297">
        <f>計算表!G297</f>
        <v>7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表-固定參數</v>
      </c>
      <c r="D298" t="str">
        <f>計算表!D298</f>
        <v>零件庫存保留</v>
      </c>
      <c r="E298" t="str">
        <f>計算表!E298</f>
        <v>每種未安裝最多保留 a 顆</v>
      </c>
      <c r="F298" t="str">
        <f>計算表!F298</f>
        <v>PART_KEEP_PER_KEY，多餘自動分解。</v>
      </c>
      <c r="G298">
        <f>計算表!G298</f>
        <v>10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表-固定參數</v>
      </c>
      <c r="D299" t="str">
        <f>計算表!D299</f>
        <v>合成節點槽位</v>
      </c>
      <c r="E299" t="str">
        <f>計算表!E299</f>
        <v>a 格</v>
      </c>
      <c r="F299" t="str">
        <f>計算表!F299</f>
        <v>分解槽為金幣解鎖 10~20 格。　※合成功能已停用，本列未生效。</v>
      </c>
      <c r="G299">
        <f>計算表!G299</f>
        <v>2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表-固定參數</v>
      </c>
      <c r="D300" t="str">
        <f>計算表!D300</f>
        <v>寶石一般上限 / 神鑄上限</v>
      </c>
      <c r="E300" t="str">
        <f>計算表!E300</f>
        <v>一般 a 階；神鑄可到 b 階</v>
      </c>
      <c r="F300" t="str">
        <f>計算表!F300</f>
        <v>GEM_MAX_LEVEL / GEM_FORGE_MAX_LEVEL。</v>
      </c>
      <c r="G300">
        <f>計算表!G300</f>
        <v>5</v>
      </c>
      <c r="H300">
        <f>計算表!H300</f>
        <v>10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表-固定參數</v>
      </c>
      <c r="D301" t="str">
        <f>計算表!D301</f>
        <v>詞條數硬上限</v>
      </c>
      <c r="E301" t="str">
        <f>計算表!E301</f>
        <v>a 條</v>
      </c>
      <c r="F301" t="str">
        <f>計算表!F301</f>
        <v>MAX_AFFIXES = 創世 7 條 + 詞條上限率突破 1 條。單件裝備可堆疊的最大詞條數。</v>
      </c>
      <c r="G301">
        <f>計算表!G301</f>
        <v>8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表-戰力權重</v>
      </c>
      <c r="D302" t="str">
        <f>計算表!D302</f>
        <v>物理攻擊</v>
      </c>
      <c r="E302" t="str">
        <f>計算表!E302</f>
        <v>評分權重 = a</v>
      </c>
      <c r="F302" t="str">
        <f>計算表!F302</f>
        <v>「戰力評分」中該詞條/對應寶石屬性的權重；未列出者以 1 計。</v>
      </c>
      <c r="G302">
        <f>計算表!G302</f>
        <v>1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表-戰力權重</v>
      </c>
      <c r="D303" t="str">
        <f>計算表!D303</f>
        <v>物理攻擊%</v>
      </c>
      <c r="E303" t="str">
        <f>計算表!E303</f>
        <v>評分權重 = a</v>
      </c>
      <c r="F303" t="str">
        <f>計算表!F303</f>
        <v>「戰力評分」中該詞條/對應寶石屬性的權重；未列出者以 1 計。</v>
      </c>
      <c r="G303">
        <f>計算表!G303</f>
        <v>2.6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表-戰力權重</v>
      </c>
      <c r="D304" t="str">
        <f>計算表!D304</f>
        <v>魔法攻擊</v>
      </c>
      <c r="E304" t="str">
        <f>計算表!E304</f>
        <v>評分權重 = a</v>
      </c>
      <c r="F304" t="str">
        <f>計算表!F304</f>
        <v>「戰力評分」中該詞條/對應寶石屬性的權重；未列出者以 1 計。</v>
      </c>
      <c r="G304">
        <f>計算表!G304</f>
        <v>1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表-戰力權重</v>
      </c>
      <c r="D305" t="str">
        <f>計算表!D305</f>
        <v>魔法攻擊%</v>
      </c>
      <c r="E305" t="str">
        <f>計算表!E305</f>
        <v>評分權重 = a</v>
      </c>
      <c r="F305" t="str">
        <f>計算表!F305</f>
        <v>「戰力評分」中該詞條/對應寶石屬性的權重；未列出者以 1 計。</v>
      </c>
      <c r="G305">
        <f>計算表!G305</f>
        <v>2.6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表-戰力權重</v>
      </c>
      <c r="D306" t="str">
        <f>計算表!D306</f>
        <v>生命值</v>
      </c>
      <c r="E306" t="str">
        <f>計算表!E306</f>
        <v>評分權重 = a</v>
      </c>
      <c r="F306" t="str">
        <f>計算表!F306</f>
        <v>「戰力評分」中該詞條/對應寶石屬性的權重；未列出者以 1 計。</v>
      </c>
      <c r="G306">
        <f>計算表!G306</f>
        <v>0.16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表-戰力權重</v>
      </c>
      <c r="D307" t="str">
        <f>計算表!D307</f>
        <v>生命值%</v>
      </c>
      <c r="E307" t="str">
        <f>計算表!E307</f>
        <v>評分權重 = a</v>
      </c>
      <c r="F307" t="str">
        <f>計算表!F307</f>
        <v>「戰力評分」中該詞條/對應寶石屬性的權重；未列出者以 1 計。</v>
      </c>
      <c r="G307">
        <f>計算表!G307</f>
        <v>2.2000000000000002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表-戰力權重</v>
      </c>
      <c r="D308" t="str">
        <f>計算表!D308</f>
        <v>生命恢復/秒</v>
      </c>
      <c r="E308" t="str">
        <f>計算表!E308</f>
        <v>評分權重 = a</v>
      </c>
      <c r="F308" t="str">
        <f>計算表!F308</f>
        <v>「戰力評分」中該詞條/對應寶石屬性的權重；未列出者以 1 計。</v>
      </c>
      <c r="G308">
        <f>計算表!G308</f>
        <v>0.6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表-戰力權重</v>
      </c>
      <c r="D309" t="str">
        <f>計算表!D309</f>
        <v>物理防禦</v>
      </c>
      <c r="E309" t="str">
        <f>計算表!E309</f>
        <v>評分權重 = a</v>
      </c>
      <c r="F309" t="str">
        <f>計算表!F309</f>
        <v>「戰力評分」中該詞條/對應寶石屬性的權重；未列出者以 1 計。</v>
      </c>
      <c r="G309">
        <f>計算表!G309</f>
        <v>0.9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表-戰力權重</v>
      </c>
      <c r="D310" t="str">
        <f>計算表!D310</f>
        <v>物理防禦%</v>
      </c>
      <c r="E310" t="str">
        <f>計算表!E310</f>
        <v>評分權重 = a</v>
      </c>
      <c r="F310" t="str">
        <f>計算表!F310</f>
        <v>「戰力評分」中該詞條/對應寶石屬性的權重；未列出者以 1 計。</v>
      </c>
      <c r="G310">
        <f>計算表!G310</f>
        <v>1.8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表-戰力權重</v>
      </c>
      <c r="D311" t="str">
        <f>計算表!D311</f>
        <v>魔法防禦</v>
      </c>
      <c r="E311" t="str">
        <f>計算表!E311</f>
        <v>評分權重 = a</v>
      </c>
      <c r="F311" t="str">
        <f>計算表!F311</f>
        <v>「戰力評分」中該詞條/對應寶石屬性的權重；未列出者以 1 計。</v>
      </c>
      <c r="G311">
        <f>計算表!G311</f>
        <v>0.9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表-戰力權重</v>
      </c>
      <c r="D312" t="str">
        <f>計算表!D312</f>
        <v>法力值</v>
      </c>
      <c r="E312" t="str">
        <f>計算表!E312</f>
        <v>評分權重 = a</v>
      </c>
      <c r="F312" t="str">
        <f>計算表!F312</f>
        <v>「戰力評分」中該詞條/對應寶石屬性的權重；未列出者以 1 計。</v>
      </c>
      <c r="G312">
        <f>計算表!G312</f>
        <v>0.25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表-戰力權重</v>
      </c>
      <c r="D313" t="str">
        <f>計算表!D313</f>
        <v>法力恢復/秒</v>
      </c>
      <c r="E313" t="str">
        <f>計算表!E313</f>
        <v>評分權重 = a</v>
      </c>
      <c r="F313" t="str">
        <f>計算表!F313</f>
        <v>「戰力評分」中該詞條/對應寶石屬性的權重；未列出者以 1 計。</v>
      </c>
      <c r="G313">
        <f>計算表!G313</f>
        <v>2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表-戰力權重</v>
      </c>
      <c r="D314" t="str">
        <f>計算表!D314</f>
        <v>力量</v>
      </c>
      <c r="E314" t="str">
        <f>計算表!E314</f>
        <v>評分權重 = a</v>
      </c>
      <c r="F314" t="str">
        <f>計算表!F314</f>
        <v>「戰力評分」中該詞條/對應寶石屬性的權重；未列出者以 1 計。</v>
      </c>
      <c r="G314">
        <f>計算表!G314</f>
        <v>1.8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表-戰力權重</v>
      </c>
      <c r="D315" t="str">
        <f>計算表!D315</f>
        <v>敏捷</v>
      </c>
      <c r="E315" t="str">
        <f>計算表!E315</f>
        <v>評分權重 = a</v>
      </c>
      <c r="F315" t="str">
        <f>計算表!F315</f>
        <v>「戰力評分」中該詞條/對應寶石屬性的權重；未列出者以 1 計。</v>
      </c>
      <c r="G315">
        <f>計算表!G315</f>
        <v>1.8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表-戰力權重</v>
      </c>
      <c r="D316" t="str">
        <f>計算表!D316</f>
        <v>智力</v>
      </c>
      <c r="E316" t="str">
        <f>計算表!E316</f>
        <v>評分權重 = a</v>
      </c>
      <c r="F316" t="str">
        <f>計算表!F316</f>
        <v>「戰力評分」中該詞條/對應寶石屬性的權重；未列出者以 1 計。</v>
      </c>
      <c r="G316">
        <f>計算表!G316</f>
        <v>1.8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表-戰力權重</v>
      </c>
      <c r="D317" t="str">
        <f>計算表!D317</f>
        <v>耐力</v>
      </c>
      <c r="E317" t="str">
        <f>計算表!E317</f>
        <v>評分權重 = a</v>
      </c>
      <c r="F317" t="str">
        <f>計算表!F317</f>
        <v>「戰力評分」中該詞條/對應寶石屬性的權重；未列出者以 1 計。</v>
      </c>
      <c r="G317">
        <f>計算表!G317</f>
        <v>1.8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表-戰力權重</v>
      </c>
      <c r="D318" t="str">
        <f>計算表!D318</f>
        <v>攻擊速度%</v>
      </c>
      <c r="E318" t="str">
        <f>計算表!E318</f>
        <v>評分權重 = a</v>
      </c>
      <c r="F318" t="str">
        <f>計算表!F318</f>
        <v>「戰力評分」中該詞條/對應寶石屬性的權重；未列出者以 1 計。</v>
      </c>
      <c r="G318">
        <f>計算表!G318</f>
        <v>2.8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表-戰力權重</v>
      </c>
      <c r="D319" t="str">
        <f>計算表!D319</f>
        <v>暴擊率%</v>
      </c>
      <c r="E319" t="str">
        <f>計算表!E319</f>
        <v>評分權重 = a</v>
      </c>
      <c r="F319" t="str">
        <f>計算表!F319</f>
        <v>「戰力評分」中該詞條/對應寶石屬性的權重；未列出者以 1 計。</v>
      </c>
      <c r="G319">
        <f>計算表!G319</f>
        <v>2.4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表-戰力權重</v>
      </c>
      <c r="D320" t="str">
        <f>計算表!D320</f>
        <v>暴擊傷害%</v>
      </c>
      <c r="E320" t="str">
        <f>計算表!E320</f>
        <v>評分權重 = a</v>
      </c>
      <c r="F320" t="str">
        <f>計算表!F320</f>
        <v>「戰力評分」中該詞條/對應寶石屬性的權重；未列出者以 1 計。</v>
      </c>
      <c r="G320">
        <f>計算表!G320</f>
        <v>0.9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表-戰力權重</v>
      </c>
      <c r="D321" t="str">
        <f>計算表!D321</f>
        <v>物理穿透%</v>
      </c>
      <c r="E321" t="str">
        <f>計算表!E321</f>
        <v>評分權重 = a</v>
      </c>
      <c r="F321" t="str">
        <f>計算表!F321</f>
        <v>「戰力評分」中該詞條/對應寶石屬性的權重；未列出者以 1 計。</v>
      </c>
      <c r="G321">
        <f>計算表!G321</f>
        <v>2.2000000000000002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表-戰力權重</v>
      </c>
      <c r="D322" t="str">
        <f>計算表!D322</f>
        <v>魔法穿透%</v>
      </c>
      <c r="E322" t="str">
        <f>計算表!E322</f>
        <v>評分權重 = a</v>
      </c>
      <c r="F322" t="str">
        <f>計算表!F322</f>
        <v>「戰力評分」中該詞條/對應寶石屬性的權重；未列出者以 1 計。</v>
      </c>
      <c r="G322">
        <f>計算表!G322</f>
        <v>2.2000000000000002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表-戰力權重</v>
      </c>
      <c r="D323" t="str">
        <f>計算表!D323</f>
        <v>命中率%</v>
      </c>
      <c r="E323" t="str">
        <f>計算表!E323</f>
        <v>評分權重 = a</v>
      </c>
      <c r="F323" t="str">
        <f>計算表!F323</f>
        <v>「戰力評分」中該詞條/對應寶石屬性的權重；未列出者以 1 計。</v>
      </c>
      <c r="G323">
        <f>計算表!G323</f>
        <v>1.2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表-戰力權重</v>
      </c>
      <c r="D324" t="str">
        <f>計算表!D324</f>
        <v>冷卻縮減%</v>
      </c>
      <c r="E324" t="str">
        <f>計算表!E324</f>
        <v>評分權重 = a</v>
      </c>
      <c r="F324" t="str">
        <f>計算表!F324</f>
        <v>「戰力評分」中該詞條/對應寶石屬性的權重；未列出者以 1 計。</v>
      </c>
      <c r="G324">
        <f>計算表!G324</f>
        <v>2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表-戰力權重</v>
      </c>
      <c r="D325" t="str">
        <f>計算表!D325</f>
        <v>施法速度%</v>
      </c>
      <c r="E325" t="str">
        <f>計算表!E325</f>
        <v>評分權重 = a</v>
      </c>
      <c r="F325" t="str">
        <f>計算表!F325</f>
        <v>「戰力評分」中該詞條/對應寶石屬性的權重；未列出者以 1 計。</v>
      </c>
      <c r="G325">
        <f>計算表!G325</f>
        <v>1.4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表-戰力權重</v>
      </c>
      <c r="D326" t="str">
        <f>計算表!D326</f>
        <v>吸血%</v>
      </c>
      <c r="E326" t="str">
        <f>計算表!E326</f>
        <v>評分權重 = a</v>
      </c>
      <c r="F326" t="str">
        <f>計算表!F326</f>
        <v>「戰力評分」中該詞條/對應寶石屬性的權重；未列出者以 1 計。</v>
      </c>
      <c r="G326">
        <f>計算表!G326</f>
        <v>2.2000000000000002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表-戰力權重</v>
      </c>
      <c r="D327" t="str">
        <f>計算表!D327</f>
        <v>吸魔%</v>
      </c>
      <c r="E327" t="str">
        <f>計算表!E327</f>
        <v>評分權重 = a</v>
      </c>
      <c r="F327" t="str">
        <f>計算表!F327</f>
        <v>「戰力評分」中該詞條/對應寶石屬性的權重；未列出者以 1 計。</v>
      </c>
      <c r="G327">
        <f>計算表!G327</f>
        <v>1.4</v>
      </c>
      <c r="H327">
        <f>計算表!H327</f>
        <v>0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表-戰力權重</v>
      </c>
      <c r="D328" t="str">
        <f>計算表!D328</f>
        <v>對菁英傷害%</v>
      </c>
      <c r="E328" t="str">
        <f>計算表!E328</f>
        <v>評分權重 = a</v>
      </c>
      <c r="F328" t="str">
        <f>計算表!F328</f>
        <v>「戰力評分」中該詞條/對應寶石屬性的權重；未列出者以 1 計。</v>
      </c>
      <c r="G328">
        <f>計算表!G328</f>
        <v>1.2</v>
      </c>
      <c r="H328">
        <f>計算表!H328</f>
        <v>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表-戰力權重</v>
      </c>
      <c r="D329" t="str">
        <f>計算表!D329</f>
        <v>對BOSS傷害%</v>
      </c>
      <c r="E329" t="str">
        <f>計算表!E329</f>
        <v>評分權重 = a</v>
      </c>
      <c r="F329" t="str">
        <f>計算表!F329</f>
        <v>「戰力評分」中該詞條/對應寶石屬性的權重；未列出者以 1 計。</v>
      </c>
      <c r="G329">
        <f>計算表!G329</f>
        <v>1.2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表-戰力權重</v>
      </c>
      <c r="D330" t="str">
        <f>計算表!D330</f>
        <v>對普通敵人傷害%</v>
      </c>
      <c r="E330" t="str">
        <f>計算表!E330</f>
        <v>評分權重 = a</v>
      </c>
      <c r="F330" t="str">
        <f>計算表!F330</f>
        <v>「戰力評分」中該詞條/對應寶石屬性的權重；未列出者以 1 計。</v>
      </c>
      <c r="G330">
        <f>計算表!G330</f>
        <v>1.2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表-戰力權重</v>
      </c>
      <c r="D331" t="str">
        <f>計算表!D331</f>
        <v>範圍傷害%</v>
      </c>
      <c r="E331" t="str">
        <f>計算表!E331</f>
        <v>評分權重 = a</v>
      </c>
      <c r="F331" t="str">
        <f>計算表!F331</f>
        <v>「戰力評分」中該詞條/對應寶石屬性的權重；未列出者以 1 計。</v>
      </c>
      <c r="G331">
        <f>計算表!G331</f>
        <v>1.4</v>
      </c>
      <c r="H331">
        <f>計算表!H331</f>
        <v>0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表-戰力權重</v>
      </c>
      <c r="D332" t="str">
        <f>計算表!D332</f>
        <v>全局減傷</v>
      </c>
      <c r="E332" t="str">
        <f>計算表!E332</f>
        <v>評分權重 = a</v>
      </c>
      <c r="F332" t="str">
        <f>計算表!F332</f>
        <v>「戰力評分」中該詞條/對應寶石屬性的權重；未列出者以 1 計。</v>
      </c>
      <c r="G332">
        <f>計算表!G332</f>
        <v>1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表-戰力權重</v>
      </c>
      <c r="D333" t="str">
        <f>計算表!D333</f>
        <v>普通敵人傷害抗性</v>
      </c>
      <c r="E333" t="str">
        <f>計算表!E333</f>
        <v>評分權重 = a</v>
      </c>
      <c r="F333" t="str">
        <f>計算表!F333</f>
        <v>「戰力評分」中該詞條/對應寶石屬性的權重；未列出者以 1 計。</v>
      </c>
      <c r="G333">
        <f>計算表!G333</f>
        <v>1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表-戰力權重</v>
      </c>
      <c r="D334" t="str">
        <f>計算表!D334</f>
        <v>菁英傷害抗性</v>
      </c>
      <c r="E334" t="str">
        <f>計算表!E334</f>
        <v>評分權重 = a</v>
      </c>
      <c r="F334" t="str">
        <f>計算表!F334</f>
        <v>「戰力評分」中該詞條/對應寶石屬性的權重；未列出者以 1 計。</v>
      </c>
      <c r="G334">
        <f>計算表!G334</f>
        <v>1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表-戰力權重</v>
      </c>
      <c r="D335" t="str">
        <f>計算表!D335</f>
        <v>BOSS傷害抗性</v>
      </c>
      <c r="E335" t="str">
        <f>計算表!E335</f>
        <v>評分權重 = a</v>
      </c>
      <c r="F335" t="str">
        <f>計算表!F335</f>
        <v>「戰力評分」中該詞條/對應寶石屬性的權重；未列出者以 1 計。</v>
      </c>
      <c r="G335">
        <f>計算表!G335</f>
        <v>1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表-戰力權重</v>
      </c>
      <c r="D336" t="str">
        <f>計算表!D336</f>
        <v>格擋率%</v>
      </c>
      <c r="E336" t="str">
        <f>計算表!E336</f>
        <v>評分權重 = a</v>
      </c>
      <c r="F336" t="str">
        <f>計算表!F336</f>
        <v>「戰力評分」中該詞條/對應寶石屬性的權重；未列出者以 1 計。</v>
      </c>
      <c r="G336">
        <f>計算表!G336</f>
        <v>2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表-戰力權重</v>
      </c>
      <c r="D337" t="str">
        <f>計算表!D337</f>
        <v>格擋減傷%</v>
      </c>
      <c r="E337" t="str">
        <f>計算表!E337</f>
        <v>評分權重 = a</v>
      </c>
      <c r="F337" t="str">
        <f>計算表!F337</f>
        <v>「戰力評分」中該詞條/對應寶石屬性的權重；未列出者以 1 計。</v>
      </c>
      <c r="G337">
        <f>計算表!G337</f>
        <v>1.2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表-戰力權重</v>
      </c>
      <c r="D338" t="str">
        <f>計算表!D338</f>
        <v>閃避率%</v>
      </c>
      <c r="E338" t="str">
        <f>計算表!E338</f>
        <v>評分權重 = a</v>
      </c>
      <c r="F338" t="str">
        <f>計算表!F338</f>
        <v>「戰力評分」中該詞條/對應寶石屬性的權重；未列出者以 1 計。</v>
      </c>
      <c r="G338">
        <f>計算表!G338</f>
        <v>2.2000000000000002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表-戰力權重</v>
      </c>
      <c r="D339" t="str">
        <f>計算表!D339</f>
        <v>韌性%</v>
      </c>
      <c r="E339" t="str">
        <f>計算表!E339</f>
        <v>評分權重 = a</v>
      </c>
      <c r="F339" t="str">
        <f>計算表!F339</f>
        <v>「戰力評分」中該詞條/對應寶石屬性的權重；未列出者以 1 計。</v>
      </c>
      <c r="G339">
        <f>計算表!G339</f>
        <v>1.2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表-戰力權重</v>
      </c>
      <c r="D340" t="str">
        <f>計算表!D340</f>
        <v>護盾效率%</v>
      </c>
      <c r="E340" t="str">
        <f>計算表!E340</f>
        <v>評分權重 = a</v>
      </c>
      <c r="F340" t="str">
        <f>計算表!F340</f>
        <v>「戰力評分」中該詞條/對應寶石屬性的權重；未列出者以 1 計。</v>
      </c>
      <c r="G340">
        <f>計算表!G340</f>
        <v>1</v>
      </c>
      <c r="H340">
        <f>計算表!H340</f>
        <v>0</v>
      </c>
      <c r="I340">
        <f>計算表!I340</f>
        <v>0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表-戰力權重</v>
      </c>
      <c r="D341" t="str">
        <f>計算表!D341</f>
        <v>物理抗性%</v>
      </c>
      <c r="E341" t="str">
        <f>計算表!E341</f>
        <v>評分權重 = a</v>
      </c>
      <c r="F341" t="str">
        <f>計算表!F341</f>
        <v>「戰力評分」中該詞條/對應寶石屬性的權重；未列出者以 1 計。</v>
      </c>
      <c r="G341">
        <f>計算表!G341</f>
        <v>2</v>
      </c>
      <c r="H341">
        <f>計算表!H341</f>
        <v>0</v>
      </c>
      <c r="I341">
        <f>計算表!I341</f>
        <v>0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表-戰力權重</v>
      </c>
      <c r="D342" t="str">
        <f>計算表!D342</f>
        <v>魔法抗性%</v>
      </c>
      <c r="E342" t="str">
        <f>計算表!E342</f>
        <v>評分權重 = a</v>
      </c>
      <c r="F342" t="str">
        <f>計算表!F342</f>
        <v>「戰力評分」中該詞條/對應寶石屬性的權重；未列出者以 1 計。</v>
      </c>
      <c r="G342">
        <f>計算表!G342</f>
        <v>2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表-戰力權重</v>
      </c>
      <c r="D343" t="str">
        <f>計算表!D343</f>
        <v>火焰抗性%</v>
      </c>
      <c r="E343" t="str">
        <f>計算表!E343</f>
        <v>評分權重 = a</v>
      </c>
      <c r="F343" t="str">
        <f>計算表!F343</f>
        <v>「戰力評分」中該詞條/對應寶石屬性的權重；未列出者以 1 計。</v>
      </c>
      <c r="G343">
        <f>計算表!G343</f>
        <v>0.8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表-戰力權重</v>
      </c>
      <c r="D344" t="str">
        <f>計算表!D344</f>
        <v>冰霜抗性%</v>
      </c>
      <c r="E344" t="str">
        <f>計算表!E344</f>
        <v>評分權重 = a</v>
      </c>
      <c r="F344" t="str">
        <f>計算表!F344</f>
        <v>「戰力評分」中該詞條/對應寶石屬性的權重；未列出者以 1 計。</v>
      </c>
      <c r="G344">
        <f>計算表!G344</f>
        <v>0.8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表-戰力權重</v>
      </c>
      <c r="D345" t="str">
        <f>計算表!D345</f>
        <v>雷電抗性%</v>
      </c>
      <c r="E345" t="str">
        <f>計算表!E345</f>
        <v>評分權重 = a</v>
      </c>
      <c r="F345" t="str">
        <f>計算表!F345</f>
        <v>「戰力評分」中該詞條/對應寶石屬性的權重；未列出者以 1 計。</v>
      </c>
      <c r="G345">
        <f>計算表!G345</f>
        <v>0.8</v>
      </c>
      <c r="H345">
        <f>計算表!H345</f>
        <v>0</v>
      </c>
      <c r="I345">
        <f>計算表!I345</f>
        <v>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表-戰力權重</v>
      </c>
      <c r="D346" t="str">
        <f>計算表!D346</f>
        <v>劇毒抗性%</v>
      </c>
      <c r="E346" t="str">
        <f>計算表!E346</f>
        <v>評分權重 = a</v>
      </c>
      <c r="F346" t="str">
        <f>計算表!F346</f>
        <v>「戰力評分」中該詞條/對應寶石屬性的權重；未列出者以 1 計。</v>
      </c>
      <c r="G346">
        <f>計算表!G346</f>
        <v>0.8</v>
      </c>
      <c r="H346">
        <f>計算表!H346</f>
        <v>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表-戰力權重</v>
      </c>
      <c r="D347" t="str">
        <f>計算表!D347</f>
        <v>聖光抗性%</v>
      </c>
      <c r="E347" t="str">
        <f>計算表!E347</f>
        <v>評分權重 = a</v>
      </c>
      <c r="F347" t="str">
        <f>計算表!F347</f>
        <v>「戰力評分」中該詞條/對應寶石屬性的權重；未列出者以 1 計。</v>
      </c>
      <c r="G347">
        <f>計算表!G347</f>
        <v>0.8</v>
      </c>
      <c r="H347">
        <f>計算表!H347</f>
        <v>0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表-戰力權重</v>
      </c>
      <c r="D348" t="str">
        <f>計算表!D348</f>
        <v>暗影抗性%</v>
      </c>
      <c r="E348" t="str">
        <f>計算表!E348</f>
        <v>評分權重 = a</v>
      </c>
      <c r="F348" t="str">
        <f>計算表!F348</f>
        <v>「戰力評分」中該詞條/對應寶石屬性的權重；未列出者以 1 計。</v>
      </c>
      <c r="G348">
        <f>計算表!G348</f>
        <v>0.8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表-戰力權重</v>
      </c>
      <c r="D349" t="str">
        <f>計算表!D349</f>
        <v>控制時間縮減%</v>
      </c>
      <c r="E349" t="str">
        <f>計算表!E349</f>
        <v>評分權重 = a</v>
      </c>
      <c r="F349" t="str">
        <f>計算表!F349</f>
        <v>「戰力評分」中該詞條/對應寶石屬性的權重；未列出者以 1 計。</v>
      </c>
      <c r="G349">
        <f>計算表!G349</f>
        <v>1.2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表-戰力權重</v>
      </c>
      <c r="D350" t="str">
        <f>計算表!D350</f>
        <v>移動速度%</v>
      </c>
      <c r="E350" t="str">
        <f>計算表!E350</f>
        <v>評分權重 = a</v>
      </c>
      <c r="F350" t="str">
        <f>計算表!F350</f>
        <v>「戰力評分」中該詞條/對應寶石屬性的權重；未列出者以 1 計。</v>
      </c>
      <c r="G350">
        <f>計算表!G350</f>
        <v>1.5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表-戰力權重</v>
      </c>
      <c r="D351" t="str">
        <f>計算表!D351</f>
        <v>掉寶率%</v>
      </c>
      <c r="E351" t="str">
        <f>計算表!E351</f>
        <v>評分權重 = a</v>
      </c>
      <c r="F351" t="str">
        <f>計算表!F351</f>
        <v>「戰力評分」中該詞條/對應寶石屬性的權重；未列出者以 1 計。</v>
      </c>
      <c r="G351">
        <f>計算表!G351</f>
        <v>0.8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表-戰力權重</v>
      </c>
      <c r="D352" t="str">
        <f>計算表!D352</f>
        <v>經驗加成%</v>
      </c>
      <c r="E352" t="str">
        <f>計算表!E352</f>
        <v>評分權重 = a</v>
      </c>
      <c r="F352" t="str">
        <f>計算表!F352</f>
        <v>「戰力評分」中該詞條/對應寶石屬性的權重；未列出者以 1 計。</v>
      </c>
      <c r="G352">
        <f>計算表!G352</f>
        <v>0.8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表-戰力權重</v>
      </c>
      <c r="D353" t="str">
        <f>計算表!D353</f>
        <v>金幣加成%</v>
      </c>
      <c r="E353" t="str">
        <f>計算表!E353</f>
        <v>評分權重 = a</v>
      </c>
      <c r="F353" t="str">
        <f>計算表!F353</f>
        <v>「戰力評分」中該詞條/對應寶石屬性的權重；未列出者以 1 計。</v>
      </c>
      <c r="G353">
        <f>計算表!G353</f>
        <v>0.8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表-戰力權重</v>
      </c>
      <c r="D354" t="str">
        <f>計算表!D354</f>
        <v>幸運值</v>
      </c>
      <c r="E354" t="str">
        <f>計算表!E354</f>
        <v>評分權重 = a</v>
      </c>
      <c r="F354" t="str">
        <f>計算表!F354</f>
        <v>「戰力評分」中該詞條/對應寶石屬性的權重；未列出者以 1 計。</v>
      </c>
      <c r="G354">
        <f>計算表!G354</f>
        <v>1.5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表-戰力權重</v>
      </c>
      <c r="D355" t="str">
        <f>計算表!D355</f>
        <v>負重上限</v>
      </c>
      <c r="E355" t="str">
        <f>計算表!E355</f>
        <v>評分權重 = a</v>
      </c>
      <c r="F355" t="str">
        <f>計算表!F355</f>
        <v>「戰力評分」中該詞條/對應寶石屬性的權重；未列出者以 1 計。</v>
      </c>
      <c r="G355">
        <f>計算表!G355</f>
        <v>0.8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表-戰力權重</v>
      </c>
      <c r="D356" t="str">
        <f>計算表!D356</f>
        <v>強化成功率%</v>
      </c>
      <c r="E356" t="str">
        <f>計算表!E356</f>
        <v>評分權重 = a</v>
      </c>
      <c r="F356" t="str">
        <f>計算表!F356</f>
        <v>「戰力評分」中該詞條/對應寶石屬性的權重；未列出者以 1 計。</v>
      </c>
      <c r="G356">
        <f>計算表!G356</f>
        <v>0.8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表-戰力權重</v>
      </c>
      <c r="D357" t="str">
        <f>計算表!D357</f>
        <v>分解高產率%</v>
      </c>
      <c r="E357" t="str">
        <f>計算表!E357</f>
        <v>評分權重 = a</v>
      </c>
      <c r="F357" t="str">
        <f>計算表!F357</f>
        <v>「戰力評分」中該詞條/對應寶石屬性的權重；未列出者以 1 計。</v>
      </c>
      <c r="G357">
        <f>計算表!G357</f>
        <v>0.8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表-戰力權重</v>
      </c>
      <c r="D358" t="str">
        <f>計算表!D358</f>
        <v>合成變異率%</v>
      </c>
      <c r="E358" t="str">
        <f>計算表!E358</f>
        <v>評分權重 = a</v>
      </c>
      <c r="F358" t="str">
        <f>計算表!F358</f>
        <v>「戰力評分」中該詞條/對應寶石屬性的權重；未列出者以 1 計。</v>
      </c>
      <c r="G358">
        <f>計算表!G358</f>
        <v>1.2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表-戰力權重</v>
      </c>
      <c r="D359" t="str">
        <f>計算表!D359</f>
        <v>狂暴閾值+</v>
      </c>
      <c r="E359" t="str">
        <f>計算表!E359</f>
        <v>評分權重 = a</v>
      </c>
      <c r="F359" t="str">
        <f>計算表!F359</f>
        <v>「戰力評分」中該詞條/對應寶石屬性的權重；未列出者以 1 計。</v>
      </c>
      <c r="G359">
        <f>計算表!G359</f>
        <v>1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表-戰力權重</v>
      </c>
      <c r="D360" t="str">
        <f>計算表!D360</f>
        <v>詞條上限率%</v>
      </c>
      <c r="E360" t="str">
        <f>計算表!E360</f>
        <v>評分權重 = a</v>
      </c>
      <c r="F360" t="str">
        <f>計算表!F360</f>
        <v>「戰力評分」中該詞條/對應寶石屬性的權重；未列出者以 1 計。</v>
      </c>
      <c r="G360">
        <f>計算表!G360</f>
        <v>1.2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表-戰力權重</v>
      </c>
      <c r="D361" t="str">
        <f>計算表!D361</f>
        <v>寶石鑲嵌效率%</v>
      </c>
      <c r="E361" t="str">
        <f>計算表!E361</f>
        <v>評分權重 = a</v>
      </c>
      <c r="F361" t="str">
        <f>計算表!F361</f>
        <v>「戰力評分」中該詞條/對應寶石屬性的權重；未列出者以 1 計。</v>
      </c>
      <c r="G361">
        <f>計算表!G361</f>
        <v>1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B362" s="2"/>
    </row>
    <row r="363" spans="1:18" x14ac:dyDescent="0.25">
      <c r="B363" s="2"/>
    </row>
    <row r="364" spans="1:18" x14ac:dyDescent="0.25">
      <c r="B364" s="2"/>
    </row>
    <row r="365" spans="1:18" x14ac:dyDescent="0.25">
      <c r="B365" s="2"/>
    </row>
    <row r="366" spans="1:18" x14ac:dyDescent="0.25">
      <c r="B366" s="2"/>
    </row>
    <row r="367" spans="1:18" x14ac:dyDescent="0.25">
      <c r="B367" s="2"/>
    </row>
    <row r="368" spans="1:18" x14ac:dyDescent="0.25">
      <c r="B368" s="2"/>
    </row>
    <row r="369" spans="2:2" x14ac:dyDescent="0.25">
      <c r="B369" s="2"/>
    </row>
    <row r="370" spans="2:2" x14ac:dyDescent="0.25">
      <c r="B370" s="2"/>
    </row>
    <row r="371" spans="2:2" x14ac:dyDescent="0.25">
      <c r="B371" s="2"/>
    </row>
    <row r="372" spans="2:2" x14ac:dyDescent="0.25">
      <c r="B372" s="2"/>
    </row>
    <row r="373" spans="2:2" x14ac:dyDescent="0.25">
      <c r="B373" s="2"/>
    </row>
    <row r="374" spans="2:2" x14ac:dyDescent="0.25">
      <c r="B374" s="2"/>
    </row>
    <row r="375" spans="2:2" x14ac:dyDescent="0.25">
      <c r="B375" s="2"/>
    </row>
    <row r="376" spans="2:2" x14ac:dyDescent="0.25">
      <c r="B376" s="2"/>
    </row>
    <row r="377" spans="2:2" x14ac:dyDescent="0.25">
      <c r="B377" s="2"/>
    </row>
    <row r="378" spans="2:2" x14ac:dyDescent="0.25">
      <c r="B378" s="2"/>
    </row>
    <row r="379" spans="2:2" x14ac:dyDescent="0.25">
      <c r="B379" s="2"/>
    </row>
    <row r="380" spans="2:2" x14ac:dyDescent="0.25">
      <c r="B380" s="2"/>
    </row>
    <row r="381" spans="2:2" x14ac:dyDescent="0.25">
      <c r="B381" s="2"/>
    </row>
    <row r="382" spans="2:2" x14ac:dyDescent="0.25">
      <c r="B382" s="2"/>
    </row>
    <row r="383" spans="2:2" x14ac:dyDescent="0.25">
      <c r="B383" s="2"/>
    </row>
    <row r="384" spans="2:2" x14ac:dyDescent="0.25">
      <c r="B384" s="2"/>
    </row>
    <row r="385" spans="2:2" x14ac:dyDescent="0.25">
      <c r="B385" s="2"/>
    </row>
    <row r="386" spans="2:2" x14ac:dyDescent="0.25">
      <c r="B386" s="2"/>
    </row>
    <row r="387" spans="2:2" x14ac:dyDescent="0.25">
      <c r="B387" s="2"/>
    </row>
    <row r="388" spans="2:2" x14ac:dyDescent="0.25">
      <c r="B388" s="2"/>
    </row>
    <row r="389" spans="2:2" x14ac:dyDescent="0.25">
      <c r="B389" s="2"/>
    </row>
    <row r="390" spans="2:2" x14ac:dyDescent="0.25">
      <c r="B390" s="2"/>
    </row>
    <row r="391" spans="2:2" x14ac:dyDescent="0.25">
      <c r="B391" s="2"/>
    </row>
    <row r="392" spans="2:2" x14ac:dyDescent="0.25">
      <c r="B392" s="2"/>
    </row>
    <row r="393" spans="2:2" x14ac:dyDescent="0.25">
      <c r="B393" s="2"/>
    </row>
    <row r="394" spans="2:2" x14ac:dyDescent="0.25">
      <c r="B394" s="2"/>
    </row>
    <row r="395" spans="2:2" x14ac:dyDescent="0.25">
      <c r="B395" s="2"/>
    </row>
    <row r="396" spans="2:2" x14ac:dyDescent="0.25">
      <c r="B396" s="2"/>
    </row>
    <row r="397" spans="2:2" x14ac:dyDescent="0.25">
      <c r="B397" s="2"/>
    </row>
    <row r="398" spans="2:2" x14ac:dyDescent="0.25">
      <c r="B398" s="2"/>
    </row>
    <row r="399" spans="2:2" x14ac:dyDescent="0.25">
      <c r="B399" s="2"/>
    </row>
    <row r="400" spans="2:2" x14ac:dyDescent="0.25">
      <c r="B400" s="2"/>
    </row>
    <row r="401" spans="2:2" x14ac:dyDescent="0.25">
      <c r="B401" s="2"/>
    </row>
    <row r="402" spans="2:2" x14ac:dyDescent="0.25">
      <c r="B402" s="2"/>
    </row>
    <row r="403" spans="2:2" x14ac:dyDescent="0.25">
      <c r="B403" s="2"/>
    </row>
    <row r="404" spans="2:2" x14ac:dyDescent="0.25">
      <c r="B404" s="2"/>
    </row>
    <row r="405" spans="2:2" x14ac:dyDescent="0.25">
      <c r="B405" s="2"/>
    </row>
    <row r="406" spans="2:2" x14ac:dyDescent="0.25">
      <c r="B406" s="2"/>
    </row>
    <row r="407" spans="2:2" x14ac:dyDescent="0.25">
      <c r="B407" s="2"/>
    </row>
    <row r="408" spans="2:2" x14ac:dyDescent="0.25">
      <c r="B408" s="2"/>
    </row>
    <row r="409" spans="2:2" x14ac:dyDescent="0.25">
      <c r="B409" s="2"/>
    </row>
    <row r="410" spans="2:2" x14ac:dyDescent="0.25">
      <c r="B410" s="2"/>
    </row>
    <row r="411" spans="2:2" x14ac:dyDescent="0.25">
      <c r="B411" s="2"/>
    </row>
    <row r="412" spans="2:2" x14ac:dyDescent="0.25">
      <c r="B412" s="2"/>
    </row>
    <row r="413" spans="2:2" x14ac:dyDescent="0.25">
      <c r="B413" s="2"/>
    </row>
    <row r="414" spans="2:2" x14ac:dyDescent="0.25">
      <c r="B414" s="2"/>
    </row>
    <row r="415" spans="2:2" x14ac:dyDescent="0.25">
      <c r="B415" s="2"/>
    </row>
    <row r="416" spans="2:2" x14ac:dyDescent="0.25">
      <c r="B416" s="2"/>
    </row>
    <row r="417" spans="2:2" x14ac:dyDescent="0.25">
      <c r="B417" s="2"/>
    </row>
    <row r="418" spans="2:2" x14ac:dyDescent="0.25">
      <c r="B418" s="2"/>
    </row>
    <row r="419" spans="2:2" x14ac:dyDescent="0.25">
      <c r="B419" s="2"/>
    </row>
    <row r="420" spans="2:2" x14ac:dyDescent="0.25">
      <c r="B420" s="2"/>
    </row>
    <row r="421" spans="2:2" x14ac:dyDescent="0.25">
      <c r="B421" s="2"/>
    </row>
    <row r="422" spans="2:2" x14ac:dyDescent="0.25">
      <c r="B422" s="2"/>
    </row>
    <row r="423" spans="2:2" x14ac:dyDescent="0.25">
      <c r="B423" s="2"/>
    </row>
    <row r="424" spans="2:2" x14ac:dyDescent="0.25">
      <c r="B424" s="2"/>
    </row>
    <row r="425" spans="2:2" x14ac:dyDescent="0.25">
      <c r="B425" s="2"/>
    </row>
    <row r="426" spans="2:2" x14ac:dyDescent="0.25">
      <c r="B426" s="2"/>
    </row>
    <row r="427" spans="2:2" x14ac:dyDescent="0.25">
      <c r="B427" s="2"/>
    </row>
    <row r="428" spans="2:2" x14ac:dyDescent="0.25">
      <c r="B428" s="2"/>
    </row>
    <row r="429" spans="2:2" x14ac:dyDescent="0.25">
      <c r="B429" s="2"/>
    </row>
    <row r="430" spans="2:2" x14ac:dyDescent="0.25">
      <c r="B430" s="2"/>
    </row>
    <row r="431" spans="2:2" x14ac:dyDescent="0.25">
      <c r="B431" s="2"/>
    </row>
    <row r="432" spans="2:2" x14ac:dyDescent="0.25">
      <c r="B432" s="2"/>
    </row>
    <row r="433" spans="2:2" x14ac:dyDescent="0.25">
      <c r="B433" s="2"/>
    </row>
    <row r="434" spans="2:2" x14ac:dyDescent="0.25">
      <c r="B434" s="2"/>
    </row>
    <row r="435" spans="2:2" x14ac:dyDescent="0.25">
      <c r="B435" s="2"/>
    </row>
    <row r="436" spans="2:2" x14ac:dyDescent="0.25">
      <c r="B436" s="2"/>
    </row>
    <row r="437" spans="2:2" x14ac:dyDescent="0.25">
      <c r="B437" s="2"/>
    </row>
    <row r="438" spans="2:2" x14ac:dyDescent="0.25">
      <c r="B438" s="2"/>
    </row>
    <row r="439" spans="2:2" x14ac:dyDescent="0.25">
      <c r="B439" s="2"/>
    </row>
    <row r="440" spans="2:2" x14ac:dyDescent="0.25">
      <c r="B440" s="2"/>
    </row>
    <row r="441" spans="2:2" x14ac:dyDescent="0.25">
      <c r="B441" s="2"/>
    </row>
    <row r="442" spans="2:2" x14ac:dyDescent="0.25">
      <c r="B442" s="2"/>
    </row>
    <row r="443" spans="2:2" x14ac:dyDescent="0.25">
      <c r="B443" s="2"/>
    </row>
    <row r="444" spans="2:2" x14ac:dyDescent="0.25">
      <c r="B444" s="2"/>
    </row>
    <row r="445" spans="2:2" x14ac:dyDescent="0.25">
      <c r="B445" s="2"/>
    </row>
    <row r="446" spans="2:2" x14ac:dyDescent="0.25">
      <c r="B446" s="2"/>
    </row>
    <row r="447" spans="2:2" x14ac:dyDescent="0.25">
      <c r="B447" s="2"/>
    </row>
    <row r="448" spans="2:2" x14ac:dyDescent="0.25">
      <c r="B448" s="2"/>
    </row>
    <row r="449" spans="2:2" x14ac:dyDescent="0.25">
      <c r="B449" s="2"/>
    </row>
    <row r="450" spans="2:2" x14ac:dyDescent="0.25">
      <c r="B450" s="2"/>
    </row>
    <row r="451" spans="2:2" x14ac:dyDescent="0.25">
      <c r="B451" s="2"/>
    </row>
    <row r="452" spans="2:2" x14ac:dyDescent="0.25">
      <c r="B452" s="2"/>
    </row>
    <row r="453" spans="2:2" x14ac:dyDescent="0.25">
      <c r="B453" s="2"/>
    </row>
    <row r="454" spans="2:2" x14ac:dyDescent="0.25">
      <c r="B454" s="2"/>
    </row>
    <row r="455" spans="2:2" x14ac:dyDescent="0.25">
      <c r="B455" s="2"/>
    </row>
    <row r="456" spans="2:2" x14ac:dyDescent="0.25">
      <c r="B456" s="2"/>
    </row>
    <row r="457" spans="2:2" x14ac:dyDescent="0.25">
      <c r="B457" s="2"/>
    </row>
    <row r="458" spans="2:2" x14ac:dyDescent="0.25">
      <c r="B458" s="2"/>
    </row>
    <row r="459" spans="2:2" x14ac:dyDescent="0.25">
      <c r="B459" s="2"/>
    </row>
    <row r="460" spans="2:2" x14ac:dyDescent="0.25">
      <c r="B460" s="2"/>
    </row>
    <row r="461" spans="2:2" x14ac:dyDescent="0.25">
      <c r="B461" s="2"/>
    </row>
    <row r="462" spans="2:2" x14ac:dyDescent="0.25">
      <c r="B462" s="2"/>
    </row>
    <row r="463" spans="2:2" x14ac:dyDescent="0.25">
      <c r="B463" s="2"/>
    </row>
    <row r="464" spans="2:2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  <row r="469" spans="2:2" x14ac:dyDescent="0.25">
      <c r="B469" s="2"/>
    </row>
    <row r="470" spans="2:2" x14ac:dyDescent="0.25">
      <c r="B470" s="2"/>
    </row>
    <row r="471" spans="2:2" x14ac:dyDescent="0.25">
      <c r="B471" s="2"/>
    </row>
    <row r="472" spans="2:2" x14ac:dyDescent="0.25">
      <c r="B472" s="2"/>
    </row>
    <row r="473" spans="2:2" x14ac:dyDescent="0.25">
      <c r="B473" s="2"/>
    </row>
    <row r="474" spans="2:2" x14ac:dyDescent="0.25">
      <c r="B474" s="2"/>
    </row>
    <row r="475" spans="2:2" x14ac:dyDescent="0.25">
      <c r="B475" s="2"/>
    </row>
    <row r="476" spans="2:2" x14ac:dyDescent="0.25">
      <c r="B476" s="2"/>
    </row>
    <row r="477" spans="2:2" x14ac:dyDescent="0.25">
      <c r="B477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61"/>
  <sheetViews>
    <sheetView workbookViewId="0">
      <pane xSplit="4" ySplit="1" topLeftCell="E76" activePane="bottomRight" state="frozen"/>
      <selection pane="topRight" activeCell="E1" sqref="E1"/>
      <selection pane="bottomLeft" activeCell="A2" sqref="A2"/>
      <selection pane="bottomRight" activeCell="D97" sqref="D97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7.8554687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907</v>
      </c>
      <c r="F7" s="3" t="s">
        <v>908</v>
      </c>
      <c r="G7" s="3">
        <v>10</v>
      </c>
      <c r="H7" s="3">
        <v>10</v>
      </c>
      <c r="I7" s="3">
        <v>10</v>
      </c>
      <c r="J7" s="3">
        <v>10</v>
      </c>
      <c r="K7" s="3">
        <v>10</v>
      </c>
      <c r="L7" s="3">
        <v>10</v>
      </c>
      <c r="M7" s="3">
        <v>10</v>
      </c>
      <c r="N7" s="3">
        <v>10</v>
      </c>
      <c r="O7" s="3">
        <v>10</v>
      </c>
      <c r="P7" s="3">
        <v>100</v>
      </c>
    </row>
    <row r="8" spans="1:18" x14ac:dyDescent="0.25">
      <c r="A8" s="3">
        <f t="shared" si="0"/>
        <v>7</v>
      </c>
      <c r="C8" s="3" t="s">
        <v>18</v>
      </c>
      <c r="D8" s="3" t="s">
        <v>35</v>
      </c>
      <c r="E8" s="3" t="s">
        <v>36</v>
      </c>
      <c r="F8" s="3" t="s">
        <v>37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38</v>
      </c>
      <c r="D9" s="3" t="s">
        <v>39</v>
      </c>
      <c r="E9" s="3" t="s">
        <v>40</v>
      </c>
      <c r="F9" s="3" t="s">
        <v>41</v>
      </c>
      <c r="G9" s="3">
        <v>1</v>
      </c>
      <c r="H9" s="3" t="s">
        <v>42</v>
      </c>
      <c r="I9" s="3">
        <v>0</v>
      </c>
      <c r="J9" s="3" t="s">
        <v>43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38</v>
      </c>
      <c r="D10" s="3" t="s">
        <v>44</v>
      </c>
      <c r="E10" s="3" t="s">
        <v>40</v>
      </c>
      <c r="F10" s="3" t="s">
        <v>45</v>
      </c>
      <c r="G10" s="3">
        <v>10</v>
      </c>
      <c r="H10" s="3" t="s">
        <v>46</v>
      </c>
      <c r="I10" s="4">
        <v>100000</v>
      </c>
      <c r="J10" s="3" t="s">
        <v>47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38</v>
      </c>
      <c r="D11" s="3" t="s">
        <v>48</v>
      </c>
      <c r="E11" s="3" t="s">
        <v>40</v>
      </c>
      <c r="F11" s="3" t="s">
        <v>45</v>
      </c>
      <c r="G11" s="3">
        <v>20</v>
      </c>
      <c r="H11" s="3" t="s">
        <v>49</v>
      </c>
      <c r="I11" s="4">
        <f>I10*3</f>
        <v>300000</v>
      </c>
      <c r="J11" s="3" t="s">
        <v>50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38</v>
      </c>
      <c r="D12" s="3" t="s">
        <v>51</v>
      </c>
      <c r="E12" s="3" t="s">
        <v>40</v>
      </c>
      <c r="F12" s="3" t="s">
        <v>45</v>
      </c>
      <c r="G12" s="3">
        <v>40</v>
      </c>
      <c r="H12" s="3" t="s">
        <v>52</v>
      </c>
      <c r="I12" s="4">
        <f t="shared" ref="I12:I19" si="1">I11*3</f>
        <v>900000</v>
      </c>
      <c r="J12" s="3" t="s">
        <v>53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38</v>
      </c>
      <c r="D13" s="3" t="s">
        <v>54</v>
      </c>
      <c r="E13" s="3" t="s">
        <v>40</v>
      </c>
      <c r="F13" s="3" t="s">
        <v>45</v>
      </c>
      <c r="G13" s="3">
        <v>80</v>
      </c>
      <c r="H13" s="3" t="s">
        <v>55</v>
      </c>
      <c r="I13" s="4">
        <f t="shared" si="1"/>
        <v>2700000</v>
      </c>
      <c r="J13" s="3" t="s">
        <v>56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38</v>
      </c>
      <c r="D14" s="3" t="s">
        <v>57</v>
      </c>
      <c r="E14" s="3" t="s">
        <v>40</v>
      </c>
      <c r="F14" s="3" t="s">
        <v>45</v>
      </c>
      <c r="G14" s="3">
        <v>160</v>
      </c>
      <c r="H14" s="3" t="s">
        <v>58</v>
      </c>
      <c r="I14" s="4">
        <f t="shared" si="1"/>
        <v>8100000</v>
      </c>
      <c r="J14" s="3" t="s">
        <v>59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38</v>
      </c>
      <c r="D15" s="3" t="s">
        <v>60</v>
      </c>
      <c r="E15" s="3" t="s">
        <v>40</v>
      </c>
      <c r="F15" s="3" t="s">
        <v>45</v>
      </c>
      <c r="G15" s="3">
        <v>320</v>
      </c>
      <c r="H15" s="3" t="s">
        <v>61</v>
      </c>
      <c r="I15" s="4">
        <f t="shared" si="1"/>
        <v>24300000</v>
      </c>
      <c r="J15" s="3" t="s">
        <v>62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38</v>
      </c>
      <c r="D16" s="3" t="s">
        <v>63</v>
      </c>
      <c r="E16" s="3" t="s">
        <v>40</v>
      </c>
      <c r="F16" s="3" t="s">
        <v>45</v>
      </c>
      <c r="G16" s="3">
        <v>640</v>
      </c>
      <c r="H16" s="3" t="s">
        <v>64</v>
      </c>
      <c r="I16" s="4">
        <f t="shared" si="1"/>
        <v>72900000</v>
      </c>
      <c r="J16" s="3" t="s">
        <v>65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38</v>
      </c>
      <c r="D17" s="3" t="s">
        <v>66</v>
      </c>
      <c r="E17" s="3" t="s">
        <v>40</v>
      </c>
      <c r="F17" s="3" t="s">
        <v>45</v>
      </c>
      <c r="G17" s="3">
        <v>1280</v>
      </c>
      <c r="H17" s="3" t="s">
        <v>67</v>
      </c>
      <c r="I17" s="4">
        <f t="shared" si="1"/>
        <v>218700000</v>
      </c>
      <c r="J17" s="3" t="s">
        <v>68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38</v>
      </c>
      <c r="D18" s="3" t="s">
        <v>69</v>
      </c>
      <c r="E18" s="3" t="s">
        <v>40</v>
      </c>
      <c r="F18" s="3" t="s">
        <v>45</v>
      </c>
      <c r="G18" s="3">
        <v>2560</v>
      </c>
      <c r="H18" s="3" t="s">
        <v>70</v>
      </c>
      <c r="I18" s="4">
        <f t="shared" si="1"/>
        <v>656100000</v>
      </c>
      <c r="J18" s="3" t="s">
        <v>71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38</v>
      </c>
      <c r="D19" s="3" t="s">
        <v>72</v>
      </c>
      <c r="E19" s="3" t="s">
        <v>40</v>
      </c>
      <c r="F19" s="3" t="s">
        <v>45</v>
      </c>
      <c r="G19" s="3">
        <v>5120</v>
      </c>
      <c r="H19" s="3" t="s">
        <v>73</v>
      </c>
      <c r="I19" s="4">
        <f t="shared" si="1"/>
        <v>1968300000</v>
      </c>
      <c r="J19" s="3" t="s">
        <v>74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75</v>
      </c>
      <c r="D20" s="3" t="s">
        <v>76</v>
      </c>
      <c r="E20" s="3" t="s">
        <v>77</v>
      </c>
      <c r="F20" s="3" t="s">
        <v>78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75</v>
      </c>
      <c r="D21" s="3" t="s">
        <v>79</v>
      </c>
      <c r="E21" s="3" t="s">
        <v>80</v>
      </c>
      <c r="F21" s="3" t="s">
        <v>81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75</v>
      </c>
      <c r="D22" s="3" t="s">
        <v>82</v>
      </c>
      <c r="E22" s="3" t="s">
        <v>83</v>
      </c>
      <c r="F22" s="3" t="s">
        <v>84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75</v>
      </c>
      <c r="D23" s="3" t="s">
        <v>85</v>
      </c>
      <c r="E23" s="3" t="s">
        <v>899</v>
      </c>
      <c r="F23" s="3" t="s">
        <v>901</v>
      </c>
      <c r="G23" s="3">
        <v>8</v>
      </c>
      <c r="H23" s="3">
        <v>1.2</v>
      </c>
      <c r="I23" s="3">
        <v>2.5</v>
      </c>
      <c r="J23" s="3">
        <v>1</v>
      </c>
    </row>
    <row r="24" spans="1:12" x14ac:dyDescent="0.25">
      <c r="A24" s="3">
        <f t="shared" si="0"/>
        <v>23</v>
      </c>
      <c r="C24" s="3" t="s">
        <v>75</v>
      </c>
      <c r="D24" s="3" t="s">
        <v>86</v>
      </c>
      <c r="E24" s="3" t="s">
        <v>900</v>
      </c>
      <c r="F24" s="3" t="s">
        <v>902</v>
      </c>
      <c r="G24" s="3">
        <v>6</v>
      </c>
      <c r="H24" s="3">
        <v>1.2</v>
      </c>
      <c r="I24" s="3">
        <v>2.5</v>
      </c>
      <c r="J24" s="3">
        <v>1</v>
      </c>
    </row>
    <row r="25" spans="1:12" x14ac:dyDescent="0.25">
      <c r="A25" s="3">
        <f t="shared" si="0"/>
        <v>24</v>
      </c>
      <c r="C25" s="3" t="s">
        <v>75</v>
      </c>
      <c r="D25" s="3" t="s">
        <v>897</v>
      </c>
      <c r="E25" s="3" t="s">
        <v>905</v>
      </c>
      <c r="F25" s="3" t="s">
        <v>903</v>
      </c>
      <c r="G25" s="3">
        <v>3</v>
      </c>
      <c r="H25" s="3">
        <v>0.75</v>
      </c>
      <c r="I25" s="3">
        <v>2.4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75</v>
      </c>
      <c r="D26" s="3" t="s">
        <v>898</v>
      </c>
      <c r="E26" s="3" t="s">
        <v>906</v>
      </c>
      <c r="F26" s="3" t="s">
        <v>904</v>
      </c>
      <c r="G26" s="3">
        <v>2</v>
      </c>
      <c r="H26" s="3">
        <v>0.75</v>
      </c>
      <c r="I26" s="3">
        <v>2.4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75</v>
      </c>
      <c r="D27" s="3" t="s">
        <v>89</v>
      </c>
      <c r="E27" s="3" t="s">
        <v>90</v>
      </c>
      <c r="F27" s="3" t="s">
        <v>91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75</v>
      </c>
      <c r="D28" s="3" t="s">
        <v>92</v>
      </c>
      <c r="E28" s="3" t="s">
        <v>93</v>
      </c>
      <c r="F28" s="3" t="s">
        <v>94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75</v>
      </c>
      <c r="D29" s="3" t="s">
        <v>95</v>
      </c>
      <c r="E29" s="3" t="s">
        <v>96</v>
      </c>
      <c r="F29" s="3" t="s">
        <v>97</v>
      </c>
      <c r="G29" s="3">
        <v>150</v>
      </c>
    </row>
    <row r="30" spans="1:12" x14ac:dyDescent="0.25">
      <c r="A30" s="3">
        <f t="shared" si="0"/>
        <v>29</v>
      </c>
      <c r="C30" s="3" t="s">
        <v>75</v>
      </c>
      <c r="D30" s="3" t="s">
        <v>98</v>
      </c>
      <c r="E30" s="3" t="s">
        <v>99</v>
      </c>
      <c r="F30" s="3" t="s">
        <v>100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75</v>
      </c>
      <c r="D31" s="3" t="s">
        <v>101</v>
      </c>
      <c r="E31" s="3" t="s">
        <v>102</v>
      </c>
      <c r="F31" s="3" t="s">
        <v>103</v>
      </c>
      <c r="G31" s="3">
        <v>0</v>
      </c>
    </row>
    <row r="32" spans="1:12" x14ac:dyDescent="0.25">
      <c r="A32" s="3">
        <f t="shared" si="0"/>
        <v>31</v>
      </c>
      <c r="C32" s="3" t="s">
        <v>75</v>
      </c>
      <c r="D32" s="3" t="s">
        <v>104</v>
      </c>
      <c r="E32" s="3" t="s">
        <v>102</v>
      </c>
      <c r="F32" s="3" t="s">
        <v>105</v>
      </c>
      <c r="G32" s="3">
        <v>3.4999999999999999E-6</v>
      </c>
    </row>
    <row r="33" spans="1:8" x14ac:dyDescent="0.25">
      <c r="A33" s="3">
        <f t="shared" si="0"/>
        <v>32</v>
      </c>
      <c r="C33" s="3" t="s">
        <v>75</v>
      </c>
      <c r="D33" s="3" t="s">
        <v>106</v>
      </c>
      <c r="E33" s="3" t="s">
        <v>107</v>
      </c>
      <c r="F33" s="3" t="s">
        <v>108</v>
      </c>
      <c r="G33" s="3">
        <v>0.5</v>
      </c>
    </row>
    <row r="34" spans="1:8" x14ac:dyDescent="0.25">
      <c r="A34" s="3">
        <f t="shared" si="0"/>
        <v>33</v>
      </c>
      <c r="C34" s="3" t="s">
        <v>75</v>
      </c>
      <c r="D34" s="3" t="s">
        <v>109</v>
      </c>
      <c r="E34" s="3" t="s">
        <v>110</v>
      </c>
      <c r="F34" s="3" t="s">
        <v>111</v>
      </c>
      <c r="G34" s="3">
        <v>1.5</v>
      </c>
    </row>
    <row r="35" spans="1:8" x14ac:dyDescent="0.25">
      <c r="A35" s="3">
        <f t="shared" si="0"/>
        <v>34</v>
      </c>
      <c r="C35" s="3" t="s">
        <v>75</v>
      </c>
      <c r="D35" s="3" t="s">
        <v>112</v>
      </c>
      <c r="E35" s="3" t="s">
        <v>113</v>
      </c>
      <c r="F35" s="3" t="s">
        <v>114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115</v>
      </c>
      <c r="D36" s="3" t="s">
        <v>116</v>
      </c>
      <c r="E36" s="3" t="s">
        <v>117</v>
      </c>
      <c r="F36" s="3" t="s">
        <v>118</v>
      </c>
      <c r="G36" s="3">
        <v>0</v>
      </c>
    </row>
    <row r="37" spans="1:8" x14ac:dyDescent="0.25">
      <c r="A37" s="3">
        <f t="shared" si="0"/>
        <v>36</v>
      </c>
      <c r="C37" s="3" t="s">
        <v>115</v>
      </c>
      <c r="D37" s="3" t="s">
        <v>119</v>
      </c>
      <c r="E37" s="3" t="s">
        <v>117</v>
      </c>
      <c r="F37" s="3" t="s">
        <v>120</v>
      </c>
      <c r="G37" s="3">
        <v>80</v>
      </c>
    </row>
    <row r="38" spans="1:8" x14ac:dyDescent="0.25">
      <c r="A38" s="3">
        <f t="shared" si="0"/>
        <v>37</v>
      </c>
      <c r="C38" s="3" t="s">
        <v>115</v>
      </c>
      <c r="D38" s="3" t="s">
        <v>121</v>
      </c>
      <c r="E38" s="3" t="s">
        <v>117</v>
      </c>
      <c r="F38" s="3" t="s">
        <v>122</v>
      </c>
      <c r="G38" s="3">
        <v>80</v>
      </c>
    </row>
    <row r="39" spans="1:8" x14ac:dyDescent="0.25">
      <c r="A39" s="3">
        <f t="shared" si="0"/>
        <v>38</v>
      </c>
      <c r="C39" s="3" t="s">
        <v>115</v>
      </c>
      <c r="D39" s="3" t="s">
        <v>123</v>
      </c>
      <c r="E39" s="3" t="s">
        <v>117</v>
      </c>
      <c r="F39" s="3" t="s">
        <v>124</v>
      </c>
      <c r="G39" s="3">
        <v>60</v>
      </c>
    </row>
    <row r="40" spans="1:8" x14ac:dyDescent="0.25">
      <c r="A40" s="3">
        <f t="shared" si="0"/>
        <v>39</v>
      </c>
      <c r="C40" s="3" t="s">
        <v>115</v>
      </c>
      <c r="D40" s="3" t="s">
        <v>125</v>
      </c>
      <c r="E40" s="3" t="s">
        <v>117</v>
      </c>
      <c r="F40" s="3" t="s">
        <v>126</v>
      </c>
      <c r="G40" s="3">
        <v>50</v>
      </c>
    </row>
    <row r="41" spans="1:8" x14ac:dyDescent="0.25">
      <c r="A41" s="3">
        <f t="shared" si="0"/>
        <v>40</v>
      </c>
      <c r="C41" s="3" t="s">
        <v>115</v>
      </c>
      <c r="D41" s="3" t="s">
        <v>127</v>
      </c>
      <c r="E41" s="3" t="s">
        <v>117</v>
      </c>
      <c r="F41" s="3" t="s">
        <v>128</v>
      </c>
      <c r="G41" s="3">
        <v>60</v>
      </c>
    </row>
    <row r="42" spans="1:8" x14ac:dyDescent="0.25">
      <c r="A42" s="3">
        <f t="shared" si="0"/>
        <v>41</v>
      </c>
      <c r="C42" s="3" t="s">
        <v>115</v>
      </c>
      <c r="D42" s="3" t="s">
        <v>129</v>
      </c>
      <c r="E42" s="3" t="s">
        <v>117</v>
      </c>
      <c r="F42" s="3" t="s">
        <v>130</v>
      </c>
      <c r="G42" s="3">
        <v>30</v>
      </c>
    </row>
    <row r="43" spans="1:8" x14ac:dyDescent="0.25">
      <c r="A43" s="3">
        <f t="shared" si="0"/>
        <v>42</v>
      </c>
      <c r="C43" s="3" t="s">
        <v>115</v>
      </c>
      <c r="D43" s="3" t="s">
        <v>131</v>
      </c>
      <c r="E43" s="3" t="s">
        <v>117</v>
      </c>
      <c r="F43" s="3" t="s">
        <v>132</v>
      </c>
      <c r="G43" s="3">
        <v>50</v>
      </c>
    </row>
    <row r="44" spans="1:8" x14ac:dyDescent="0.25">
      <c r="A44" s="3">
        <f t="shared" si="0"/>
        <v>43</v>
      </c>
      <c r="C44" s="3" t="s">
        <v>115</v>
      </c>
      <c r="D44" s="3" t="s">
        <v>133</v>
      </c>
      <c r="E44" s="3" t="s">
        <v>117</v>
      </c>
      <c r="F44" s="3" t="s">
        <v>134</v>
      </c>
      <c r="G44" s="3">
        <v>50</v>
      </c>
    </row>
    <row r="45" spans="1:8" x14ac:dyDescent="0.25">
      <c r="A45" s="3">
        <f t="shared" si="0"/>
        <v>44</v>
      </c>
      <c r="C45" s="3" t="s">
        <v>115</v>
      </c>
      <c r="D45" s="3" t="s">
        <v>135</v>
      </c>
      <c r="E45" s="3" t="s">
        <v>117</v>
      </c>
      <c r="F45" s="3" t="s">
        <v>136</v>
      </c>
      <c r="G45" s="3">
        <v>0</v>
      </c>
    </row>
    <row r="46" spans="1:8" x14ac:dyDescent="0.25">
      <c r="A46" s="3">
        <f t="shared" si="0"/>
        <v>45</v>
      </c>
      <c r="C46" s="3" t="s">
        <v>115</v>
      </c>
      <c r="D46" s="3" t="s">
        <v>137</v>
      </c>
      <c r="E46" s="3" t="s">
        <v>117</v>
      </c>
      <c r="F46" s="3" t="s">
        <v>138</v>
      </c>
      <c r="G46" s="3">
        <v>60</v>
      </c>
    </row>
    <row r="47" spans="1:8" x14ac:dyDescent="0.25">
      <c r="A47" s="3">
        <f t="shared" si="0"/>
        <v>46</v>
      </c>
      <c r="C47" s="3" t="s">
        <v>115</v>
      </c>
      <c r="D47" s="3" t="s">
        <v>139</v>
      </c>
      <c r="E47" s="3" t="s">
        <v>117</v>
      </c>
      <c r="F47" s="3" t="s">
        <v>140</v>
      </c>
      <c r="G47" s="3">
        <v>80</v>
      </c>
    </row>
    <row r="48" spans="1:8" x14ac:dyDescent="0.25">
      <c r="A48" s="3">
        <f t="shared" si="0"/>
        <v>47</v>
      </c>
      <c r="C48" s="3" t="s">
        <v>115</v>
      </c>
      <c r="D48" s="3" t="s">
        <v>141</v>
      </c>
      <c r="E48" s="3" t="s">
        <v>117</v>
      </c>
      <c r="F48" s="3" t="s">
        <v>142</v>
      </c>
      <c r="G48" s="3">
        <v>60</v>
      </c>
    </row>
    <row r="49" spans="1:9" x14ac:dyDescent="0.25">
      <c r="A49" s="3">
        <f t="shared" si="0"/>
        <v>48</v>
      </c>
      <c r="C49" s="3" t="s">
        <v>115</v>
      </c>
      <c r="D49" s="3" t="s">
        <v>143</v>
      </c>
      <c r="E49" s="3" t="s">
        <v>117</v>
      </c>
      <c r="F49" s="3" t="s">
        <v>144</v>
      </c>
      <c r="G49" s="3">
        <v>50</v>
      </c>
    </row>
    <row r="50" spans="1:9" x14ac:dyDescent="0.25">
      <c r="A50" s="3">
        <f t="shared" si="0"/>
        <v>49</v>
      </c>
      <c r="C50" s="3" t="s">
        <v>115</v>
      </c>
      <c r="D50" s="3" t="s">
        <v>145</v>
      </c>
      <c r="E50" s="3" t="s">
        <v>117</v>
      </c>
      <c r="F50" s="3" t="s">
        <v>146</v>
      </c>
      <c r="G50" s="3">
        <v>100</v>
      </c>
    </row>
    <row r="51" spans="1:9" x14ac:dyDescent="0.25">
      <c r="A51" s="3">
        <f t="shared" si="0"/>
        <v>50</v>
      </c>
      <c r="C51" s="3" t="s">
        <v>115</v>
      </c>
      <c r="D51" s="3" t="s">
        <v>147</v>
      </c>
      <c r="E51" s="3" t="s">
        <v>117</v>
      </c>
      <c r="F51" s="3" t="s">
        <v>148</v>
      </c>
      <c r="G51" s="3">
        <v>60</v>
      </c>
    </row>
    <row r="52" spans="1:9" x14ac:dyDescent="0.25">
      <c r="A52" s="3">
        <f t="shared" si="0"/>
        <v>51</v>
      </c>
      <c r="C52" s="3" t="s">
        <v>115</v>
      </c>
      <c r="D52" s="3" t="s">
        <v>149</v>
      </c>
      <c r="E52" s="3" t="s">
        <v>117</v>
      </c>
      <c r="F52" s="3" t="s">
        <v>150</v>
      </c>
      <c r="G52" s="3">
        <v>30</v>
      </c>
    </row>
    <row r="53" spans="1:9" x14ac:dyDescent="0.25">
      <c r="A53" s="3">
        <f t="shared" si="0"/>
        <v>52</v>
      </c>
      <c r="C53" s="3" t="s">
        <v>115</v>
      </c>
      <c r="D53" s="3" t="s">
        <v>151</v>
      </c>
      <c r="E53" s="3" t="s">
        <v>117</v>
      </c>
      <c r="F53" s="3" t="s">
        <v>152</v>
      </c>
      <c r="G53" s="3">
        <v>100</v>
      </c>
    </row>
    <row r="54" spans="1:9" x14ac:dyDescent="0.25">
      <c r="A54" s="3">
        <f t="shared" si="0"/>
        <v>53</v>
      </c>
      <c r="C54" s="3" t="s">
        <v>115</v>
      </c>
      <c r="D54" s="3" t="s">
        <v>153</v>
      </c>
      <c r="E54" s="3" t="s">
        <v>117</v>
      </c>
      <c r="F54" s="3" t="s">
        <v>154</v>
      </c>
      <c r="G54" s="3">
        <v>45</v>
      </c>
    </row>
    <row r="55" spans="1:9" x14ac:dyDescent="0.25">
      <c r="A55" s="3">
        <f t="shared" si="0"/>
        <v>54</v>
      </c>
      <c r="C55" s="3" t="s">
        <v>115</v>
      </c>
      <c r="D55" s="3" t="s">
        <v>155</v>
      </c>
      <c r="E55" s="3" t="s">
        <v>117</v>
      </c>
      <c r="F55" s="3" t="s">
        <v>156</v>
      </c>
      <c r="G55" s="3">
        <v>30</v>
      </c>
    </row>
    <row r="56" spans="1:9" x14ac:dyDescent="0.25">
      <c r="A56" s="3">
        <f t="shared" si="0"/>
        <v>55</v>
      </c>
      <c r="C56" s="3" t="s">
        <v>157</v>
      </c>
      <c r="D56" s="3" t="s">
        <v>158</v>
      </c>
      <c r="E56" s="3" t="s">
        <v>159</v>
      </c>
      <c r="F56" s="3" t="s">
        <v>160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157</v>
      </c>
      <c r="D57" s="3" t="s">
        <v>161</v>
      </c>
      <c r="E57" s="3" t="s">
        <v>162</v>
      </c>
      <c r="F57" s="3" t="s">
        <v>163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157</v>
      </c>
      <c r="D58" s="3" t="s">
        <v>891</v>
      </c>
      <c r="E58" s="3" t="s">
        <v>894</v>
      </c>
      <c r="F58" s="3" t="s">
        <v>895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157</v>
      </c>
      <c r="D59" s="3" t="s">
        <v>892</v>
      </c>
      <c r="E59" s="3" t="s">
        <v>894</v>
      </c>
      <c r="F59" s="3" t="s">
        <v>895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157</v>
      </c>
      <c r="D60" s="3" t="s">
        <v>893</v>
      </c>
      <c r="E60" s="3" t="s">
        <v>894</v>
      </c>
      <c r="F60" s="3" t="s">
        <v>896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157</v>
      </c>
      <c r="D61" s="3" t="s">
        <v>164</v>
      </c>
      <c r="E61" s="3" t="s">
        <v>165</v>
      </c>
      <c r="F61" s="3" t="s">
        <v>166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157</v>
      </c>
      <c r="D62" s="3" t="s">
        <v>167</v>
      </c>
      <c r="E62" s="3" t="s">
        <v>168</v>
      </c>
      <c r="F62" s="3" t="s">
        <v>169</v>
      </c>
      <c r="G62" s="3">
        <v>1</v>
      </c>
    </row>
    <row r="63" spans="1:9" x14ac:dyDescent="0.25">
      <c r="A63" s="3">
        <f t="shared" si="0"/>
        <v>62</v>
      </c>
      <c r="C63" s="3" t="s">
        <v>157</v>
      </c>
      <c r="D63" s="3" t="s">
        <v>170</v>
      </c>
      <c r="E63" s="3" t="s">
        <v>171</v>
      </c>
      <c r="F63" s="3" t="s">
        <v>172</v>
      </c>
      <c r="G63" s="3">
        <v>0.7</v>
      </c>
    </row>
    <row r="64" spans="1:9" x14ac:dyDescent="0.25">
      <c r="A64" s="3">
        <f t="shared" si="0"/>
        <v>63</v>
      </c>
      <c r="C64" s="3" t="s">
        <v>157</v>
      </c>
      <c r="D64" s="3" t="s">
        <v>888</v>
      </c>
      <c r="E64" s="3" t="s">
        <v>889</v>
      </c>
      <c r="F64" s="3" t="s">
        <v>890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157</v>
      </c>
      <c r="D65" s="3" t="s">
        <v>173</v>
      </c>
      <c r="E65" s="3" t="s">
        <v>174</v>
      </c>
      <c r="F65" s="3" t="s">
        <v>175</v>
      </c>
      <c r="G65" s="3">
        <v>12</v>
      </c>
    </row>
    <row r="66" spans="1:10" x14ac:dyDescent="0.25">
      <c r="A66" s="3">
        <f t="shared" si="0"/>
        <v>65</v>
      </c>
      <c r="C66" s="3" t="s">
        <v>157</v>
      </c>
      <c r="D66" s="3" t="s">
        <v>176</v>
      </c>
      <c r="E66" s="3" t="s">
        <v>177</v>
      </c>
      <c r="F66" s="3" t="s">
        <v>178</v>
      </c>
      <c r="G66" s="3">
        <v>1</v>
      </c>
    </row>
    <row r="67" spans="1:10" x14ac:dyDescent="0.25">
      <c r="A67" s="3">
        <f t="shared" si="0"/>
        <v>66</v>
      </c>
      <c r="C67" s="3" t="s">
        <v>157</v>
      </c>
      <c r="D67" s="3" t="s">
        <v>179</v>
      </c>
      <c r="E67" s="3" t="s">
        <v>180</v>
      </c>
      <c r="F67" s="3" t="s">
        <v>181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157</v>
      </c>
      <c r="D68" s="3" t="s">
        <v>182</v>
      </c>
      <c r="E68" s="3" t="s">
        <v>174</v>
      </c>
      <c r="F68" s="3" t="s">
        <v>183</v>
      </c>
      <c r="G68" s="3">
        <v>10000</v>
      </c>
    </row>
    <row r="69" spans="1:10" x14ac:dyDescent="0.25">
      <c r="A69" s="3">
        <f t="shared" si="2"/>
        <v>68</v>
      </c>
      <c r="C69" s="3" t="s">
        <v>157</v>
      </c>
      <c r="D69" s="3" t="s">
        <v>184</v>
      </c>
      <c r="E69" s="3" t="s">
        <v>185</v>
      </c>
      <c r="F69" s="3" t="s">
        <v>186</v>
      </c>
      <c r="G69" s="3">
        <v>50</v>
      </c>
    </row>
    <row r="70" spans="1:10" x14ac:dyDescent="0.25">
      <c r="A70" s="3">
        <f t="shared" si="2"/>
        <v>69</v>
      </c>
      <c r="C70" s="3" t="s">
        <v>157</v>
      </c>
      <c r="D70" s="3" t="s">
        <v>187</v>
      </c>
      <c r="E70" s="3" t="s">
        <v>188</v>
      </c>
      <c r="F70" s="3" t="s">
        <v>189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157</v>
      </c>
      <c r="D71" s="3" t="s">
        <v>190</v>
      </c>
      <c r="E71" s="3" t="s">
        <v>191</v>
      </c>
      <c r="F71" s="3" t="s">
        <v>192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193</v>
      </c>
      <c r="D72" s="3" t="s">
        <v>194</v>
      </c>
      <c r="E72" s="3" t="s">
        <v>195</v>
      </c>
      <c r="F72" s="3" t="s">
        <v>196</v>
      </c>
      <c r="G72" s="3">
        <v>15</v>
      </c>
    </row>
    <row r="73" spans="1:10" x14ac:dyDescent="0.25">
      <c r="A73" s="3">
        <f t="shared" si="2"/>
        <v>72</v>
      </c>
      <c r="C73" s="3" t="s">
        <v>193</v>
      </c>
      <c r="D73" s="3" t="s">
        <v>197</v>
      </c>
      <c r="E73" s="3" t="s">
        <v>195</v>
      </c>
      <c r="F73" s="3" t="s">
        <v>198</v>
      </c>
      <c r="G73" s="3">
        <v>10</v>
      </c>
    </row>
    <row r="74" spans="1:10" x14ac:dyDescent="0.25">
      <c r="A74" s="3">
        <f t="shared" si="2"/>
        <v>73</v>
      </c>
      <c r="C74" s="3" t="s">
        <v>193</v>
      </c>
      <c r="D74" s="3" t="s">
        <v>199</v>
      </c>
      <c r="E74" s="3" t="s">
        <v>195</v>
      </c>
      <c r="F74" s="3" t="s">
        <v>200</v>
      </c>
      <c r="G74" s="3">
        <v>25</v>
      </c>
    </row>
    <row r="75" spans="1:10" x14ac:dyDescent="0.25">
      <c r="A75" s="3">
        <f t="shared" si="2"/>
        <v>74</v>
      </c>
      <c r="C75" s="3" t="s">
        <v>193</v>
      </c>
      <c r="D75" s="3" t="s">
        <v>201</v>
      </c>
      <c r="E75" s="3" t="s">
        <v>195</v>
      </c>
      <c r="F75" s="3" t="s">
        <v>202</v>
      </c>
      <c r="G75" s="3">
        <v>20</v>
      </c>
    </row>
    <row r="76" spans="1:10" x14ac:dyDescent="0.25">
      <c r="A76" s="3">
        <f t="shared" si="2"/>
        <v>75</v>
      </c>
      <c r="C76" s="3" t="s">
        <v>193</v>
      </c>
      <c r="D76" s="3" t="s">
        <v>203</v>
      </c>
      <c r="E76" s="3" t="s">
        <v>195</v>
      </c>
      <c r="F76" s="3" t="s">
        <v>204</v>
      </c>
      <c r="G76" s="3">
        <v>100</v>
      </c>
    </row>
    <row r="77" spans="1:10" x14ac:dyDescent="0.25">
      <c r="A77" s="3">
        <f t="shared" si="2"/>
        <v>76</v>
      </c>
      <c r="C77" s="3" t="s">
        <v>205</v>
      </c>
      <c r="D77" s="3" t="s">
        <v>206</v>
      </c>
      <c r="E77" s="3" t="s">
        <v>207</v>
      </c>
      <c r="F77" s="3" t="s">
        <v>208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205</v>
      </c>
      <c r="D78" s="3" t="s">
        <v>209</v>
      </c>
      <c r="E78" s="3" t="s">
        <v>207</v>
      </c>
      <c r="F78" s="3" t="s">
        <v>208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205</v>
      </c>
      <c r="D79" s="3" t="s">
        <v>87</v>
      </c>
      <c r="E79" s="3" t="s">
        <v>207</v>
      </c>
      <c r="F79" s="3" t="s">
        <v>210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205</v>
      </c>
      <c r="D80" s="3" t="s">
        <v>211</v>
      </c>
      <c r="E80" s="3" t="s">
        <v>207</v>
      </c>
      <c r="F80" s="3" t="s">
        <v>208</v>
      </c>
      <c r="G80" s="3">
        <v>125</v>
      </c>
      <c r="H80" s="3">
        <v>1</v>
      </c>
      <c r="I80" s="3">
        <v>1.02</v>
      </c>
    </row>
    <row r="81" spans="1:13" x14ac:dyDescent="0.25">
      <c r="A81" s="3">
        <f t="shared" si="2"/>
        <v>80</v>
      </c>
      <c r="C81" s="3" t="s">
        <v>205</v>
      </c>
      <c r="D81" s="3" t="s">
        <v>212</v>
      </c>
      <c r="E81" s="3" t="s">
        <v>207</v>
      </c>
      <c r="F81" s="3" t="s">
        <v>208</v>
      </c>
      <c r="G81" s="3">
        <v>16</v>
      </c>
      <c r="H81" s="3">
        <v>1</v>
      </c>
      <c r="I81" s="3">
        <v>1.06</v>
      </c>
    </row>
    <row r="82" spans="1:13" x14ac:dyDescent="0.25">
      <c r="A82" s="3">
        <f t="shared" si="2"/>
        <v>81</v>
      </c>
      <c r="C82" s="3" t="s">
        <v>205</v>
      </c>
      <c r="D82" s="3" t="s">
        <v>98</v>
      </c>
      <c r="E82" s="3" t="s">
        <v>213</v>
      </c>
      <c r="F82" s="3" t="s">
        <v>214</v>
      </c>
      <c r="G82" s="3">
        <v>2</v>
      </c>
    </row>
    <row r="83" spans="1:13" x14ac:dyDescent="0.25">
      <c r="A83" s="3">
        <f t="shared" si="2"/>
        <v>82</v>
      </c>
      <c r="C83" s="3" t="s">
        <v>205</v>
      </c>
      <c r="D83" s="3" t="s">
        <v>101</v>
      </c>
      <c r="E83" s="3" t="s">
        <v>215</v>
      </c>
      <c r="F83" s="3" t="s">
        <v>216</v>
      </c>
      <c r="G83" s="3">
        <v>100</v>
      </c>
      <c r="H83" s="3" t="s">
        <v>954</v>
      </c>
      <c r="I83" s="3" t="s">
        <v>955</v>
      </c>
      <c r="J83" s="3" t="s">
        <v>956</v>
      </c>
      <c r="K83" s="3" t="s">
        <v>959</v>
      </c>
      <c r="L83" s="3" t="s">
        <v>960</v>
      </c>
      <c r="M83" s="3" t="s">
        <v>961</v>
      </c>
    </row>
    <row r="84" spans="1:13" x14ac:dyDescent="0.25">
      <c r="A84" s="3">
        <f t="shared" si="2"/>
        <v>83</v>
      </c>
      <c r="C84" s="3" t="s">
        <v>205</v>
      </c>
      <c r="D84" s="3" t="s">
        <v>104</v>
      </c>
      <c r="E84" s="3" t="s">
        <v>215</v>
      </c>
      <c r="F84" s="3" t="s">
        <v>217</v>
      </c>
      <c r="G84" s="3">
        <v>5</v>
      </c>
      <c r="H84" s="3" t="s">
        <v>954</v>
      </c>
      <c r="I84" s="3" t="s">
        <v>955</v>
      </c>
      <c r="J84" s="3" t="s">
        <v>956</v>
      </c>
      <c r="K84" s="3" t="s">
        <v>957</v>
      </c>
      <c r="L84" s="3" t="s">
        <v>958</v>
      </c>
    </row>
    <row r="85" spans="1:13" x14ac:dyDescent="0.25">
      <c r="A85" s="3">
        <f t="shared" si="2"/>
        <v>84</v>
      </c>
      <c r="C85" s="3" t="s">
        <v>205</v>
      </c>
      <c r="D85" s="3" t="s">
        <v>218</v>
      </c>
      <c r="E85" s="3" t="s">
        <v>219</v>
      </c>
      <c r="F85" s="3" t="s">
        <v>220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3" x14ac:dyDescent="0.25">
      <c r="A86" s="3">
        <f t="shared" si="2"/>
        <v>85</v>
      </c>
      <c r="C86" s="3" t="s">
        <v>205</v>
      </c>
      <c r="D86" s="3" t="s">
        <v>221</v>
      </c>
      <c r="E86" s="3" t="s">
        <v>222</v>
      </c>
      <c r="F86" s="3" t="s">
        <v>223</v>
      </c>
      <c r="G86" s="3">
        <v>1.3</v>
      </c>
    </row>
    <row r="87" spans="1:13" x14ac:dyDescent="0.25">
      <c r="A87" s="3">
        <f t="shared" si="2"/>
        <v>86</v>
      </c>
      <c r="C87" s="3" t="s">
        <v>224</v>
      </c>
      <c r="D87" s="3" t="s">
        <v>225</v>
      </c>
      <c r="E87" s="3" t="s">
        <v>226</v>
      </c>
      <c r="F87" s="3" t="s">
        <v>227</v>
      </c>
      <c r="G87" s="3">
        <v>60</v>
      </c>
    </row>
    <row r="88" spans="1:13" x14ac:dyDescent="0.25">
      <c r="A88" s="3">
        <f t="shared" si="2"/>
        <v>87</v>
      </c>
      <c r="C88" s="3" t="s">
        <v>224</v>
      </c>
      <c r="D88" s="3" t="s">
        <v>228</v>
      </c>
      <c r="E88" s="3" t="s">
        <v>226</v>
      </c>
      <c r="F88" s="3" t="s">
        <v>227</v>
      </c>
      <c r="G88" s="3">
        <v>25</v>
      </c>
    </row>
    <row r="89" spans="1:13" x14ac:dyDescent="0.25">
      <c r="A89" s="3">
        <f t="shared" si="2"/>
        <v>88</v>
      </c>
      <c r="C89" s="3" t="s">
        <v>224</v>
      </c>
      <c r="D89" s="3" t="s">
        <v>229</v>
      </c>
      <c r="E89" s="3" t="s">
        <v>226</v>
      </c>
      <c r="F89" s="3" t="s">
        <v>227</v>
      </c>
      <c r="G89" s="3">
        <v>10</v>
      </c>
    </row>
    <row r="90" spans="1:13" x14ac:dyDescent="0.25">
      <c r="A90" s="3">
        <f t="shared" si="2"/>
        <v>89</v>
      </c>
      <c r="C90" s="3" t="s">
        <v>224</v>
      </c>
      <c r="D90" s="3" t="s">
        <v>230</v>
      </c>
      <c r="E90" s="3" t="s">
        <v>226</v>
      </c>
      <c r="F90" s="3" t="s">
        <v>227</v>
      </c>
      <c r="G90" s="3">
        <v>5</v>
      </c>
    </row>
    <row r="91" spans="1:13" x14ac:dyDescent="0.25">
      <c r="A91" s="3">
        <f t="shared" si="2"/>
        <v>90</v>
      </c>
      <c r="C91" s="3" t="s">
        <v>231</v>
      </c>
      <c r="D91" s="3" t="s">
        <v>232</v>
      </c>
      <c r="E91" s="3" t="s">
        <v>40</v>
      </c>
      <c r="F91" s="3" t="s">
        <v>233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234</v>
      </c>
    </row>
    <row r="92" spans="1:13" x14ac:dyDescent="0.25">
      <c r="A92" s="3">
        <f t="shared" si="2"/>
        <v>91</v>
      </c>
      <c r="C92" s="3" t="s">
        <v>231</v>
      </c>
      <c r="D92" s="3" t="s">
        <v>235</v>
      </c>
      <c r="E92" s="3" t="s">
        <v>40</v>
      </c>
      <c r="F92" s="3" t="s">
        <v>233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236</v>
      </c>
    </row>
    <row r="93" spans="1:13" x14ac:dyDescent="0.25">
      <c r="A93" s="3">
        <f t="shared" si="2"/>
        <v>92</v>
      </c>
      <c r="C93" s="3" t="s">
        <v>231</v>
      </c>
      <c r="D93" s="3" t="s">
        <v>237</v>
      </c>
      <c r="E93" s="3" t="s">
        <v>40</v>
      </c>
      <c r="F93" s="3" t="s">
        <v>233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238</v>
      </c>
    </row>
    <row r="94" spans="1:13" x14ac:dyDescent="0.25">
      <c r="A94" s="3">
        <f t="shared" si="2"/>
        <v>93</v>
      </c>
      <c r="C94" s="3" t="s">
        <v>239</v>
      </c>
      <c r="D94" s="3" t="s">
        <v>240</v>
      </c>
      <c r="E94" s="3" t="s">
        <v>241</v>
      </c>
      <c r="F94" s="3" t="s">
        <v>242</v>
      </c>
      <c r="G94" s="3">
        <v>4</v>
      </c>
      <c r="H94" s="3">
        <v>5</v>
      </c>
    </row>
    <row r="95" spans="1:13" x14ac:dyDescent="0.25">
      <c r="A95" s="3">
        <f t="shared" si="2"/>
        <v>94</v>
      </c>
      <c r="C95" s="3" t="s">
        <v>239</v>
      </c>
      <c r="D95" s="3" t="s">
        <v>243</v>
      </c>
      <c r="E95" s="3" t="s">
        <v>244</v>
      </c>
      <c r="F95" s="3" t="s">
        <v>245</v>
      </c>
      <c r="G95" s="3">
        <v>3</v>
      </c>
    </row>
    <row r="96" spans="1:13" x14ac:dyDescent="0.25">
      <c r="A96" s="3">
        <f t="shared" si="2"/>
        <v>95</v>
      </c>
      <c r="C96" s="3" t="s">
        <v>239</v>
      </c>
      <c r="D96" s="3" t="s">
        <v>101</v>
      </c>
      <c r="E96" s="3" t="s">
        <v>246</v>
      </c>
      <c r="F96" s="3" t="s">
        <v>247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B97" s="3" t="s">
        <v>965</v>
      </c>
      <c r="C97" s="3" t="s">
        <v>239</v>
      </c>
      <c r="D97" s="3" t="s">
        <v>248</v>
      </c>
      <c r="E97" s="3" t="s">
        <v>249</v>
      </c>
      <c r="F97" s="3" t="s">
        <v>250</v>
      </c>
      <c r="G97" s="3" t="s">
        <v>970</v>
      </c>
      <c r="H97" s="3" t="s">
        <v>971</v>
      </c>
      <c r="I97" s="3" t="s">
        <v>972</v>
      </c>
    </row>
    <row r="98" spans="1:18" ht="15.75" x14ac:dyDescent="0.25">
      <c r="A98" s="3">
        <f t="shared" si="2"/>
        <v>97</v>
      </c>
      <c r="B98" s="5"/>
      <c r="C98" s="3" t="s">
        <v>239</v>
      </c>
      <c r="D98" s="3" t="s">
        <v>206</v>
      </c>
      <c r="E98" s="3" t="s">
        <v>875</v>
      </c>
      <c r="F98" s="3" t="s">
        <v>876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239</v>
      </c>
      <c r="D99" s="3" t="s">
        <v>209</v>
      </c>
      <c r="E99" s="3" t="s">
        <v>874</v>
      </c>
      <c r="F99" s="3" t="s">
        <v>876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239</v>
      </c>
      <c r="D100" s="3" t="s">
        <v>252</v>
      </c>
      <c r="E100" s="3" t="s">
        <v>253</v>
      </c>
      <c r="F100" s="3" t="s">
        <v>254</v>
      </c>
      <c r="G100" s="3">
        <v>10</v>
      </c>
    </row>
    <row r="101" spans="1:18" x14ac:dyDescent="0.25">
      <c r="A101" s="3">
        <f t="shared" si="2"/>
        <v>100</v>
      </c>
      <c r="C101" s="3" t="s">
        <v>239</v>
      </c>
      <c r="D101" s="3" t="s">
        <v>255</v>
      </c>
      <c r="E101" s="3" t="s">
        <v>256</v>
      </c>
      <c r="F101" s="3" t="s">
        <v>257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239</v>
      </c>
      <c r="D102" s="3" t="s">
        <v>104</v>
      </c>
      <c r="E102" s="3" t="s">
        <v>258</v>
      </c>
      <c r="F102" s="3" t="s">
        <v>259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239</v>
      </c>
      <c r="D103" s="3" t="s">
        <v>260</v>
      </c>
      <c r="E103" s="3" t="s">
        <v>251</v>
      </c>
      <c r="F103" s="3" t="s">
        <v>261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239</v>
      </c>
      <c r="D104" s="3" t="s">
        <v>212</v>
      </c>
      <c r="E104" s="3" t="s">
        <v>262</v>
      </c>
      <c r="F104" s="3" t="s">
        <v>263</v>
      </c>
      <c r="G104" s="3">
        <v>2</v>
      </c>
    </row>
    <row r="105" spans="1:18" x14ac:dyDescent="0.25">
      <c r="A105" s="3">
        <f t="shared" si="2"/>
        <v>104</v>
      </c>
      <c r="C105" s="3" t="s">
        <v>239</v>
      </c>
      <c r="D105" s="3" t="s">
        <v>264</v>
      </c>
      <c r="E105" s="3" t="s">
        <v>265</v>
      </c>
      <c r="F105" s="3" t="s">
        <v>266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239</v>
      </c>
      <c r="D106" s="3" t="s">
        <v>267</v>
      </c>
      <c r="E106" s="3" t="s">
        <v>268</v>
      </c>
      <c r="F106" s="3" t="s">
        <v>269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239</v>
      </c>
      <c r="D107" s="3" t="s">
        <v>270</v>
      </c>
      <c r="E107" s="3" t="s">
        <v>268</v>
      </c>
      <c r="F107" s="3" t="s">
        <v>271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239</v>
      </c>
      <c r="D108" s="3" t="s">
        <v>272</v>
      </c>
      <c r="E108" s="3" t="s">
        <v>273</v>
      </c>
      <c r="F108" s="3" t="s">
        <v>274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239</v>
      </c>
      <c r="D109" s="3" t="s">
        <v>962</v>
      </c>
      <c r="E109" s="3" t="s">
        <v>963</v>
      </c>
      <c r="F109" s="3" t="s">
        <v>964</v>
      </c>
      <c r="G109" s="3">
        <v>100</v>
      </c>
      <c r="H109" s="3">
        <v>10</v>
      </c>
      <c r="I109" s="3">
        <v>2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</row>
    <row r="110" spans="1:18" x14ac:dyDescent="0.25">
      <c r="A110" s="3">
        <f t="shared" si="2"/>
        <v>109</v>
      </c>
      <c r="C110" s="3" t="s">
        <v>239</v>
      </c>
      <c r="D110" s="3" t="s">
        <v>275</v>
      </c>
      <c r="E110" s="3" t="s">
        <v>276</v>
      </c>
      <c r="F110" s="3" t="s">
        <v>277</v>
      </c>
      <c r="G110" s="3">
        <v>30</v>
      </c>
      <c r="H110" s="3">
        <v>2</v>
      </c>
      <c r="I110" s="3">
        <v>0.2</v>
      </c>
    </row>
    <row r="111" spans="1:18" ht="15.75" x14ac:dyDescent="0.25">
      <c r="A111" s="3">
        <f t="shared" si="2"/>
        <v>110</v>
      </c>
      <c r="B111" s="5"/>
      <c r="C111" s="3" t="s">
        <v>239</v>
      </c>
      <c r="D111" s="5" t="s">
        <v>877</v>
      </c>
      <c r="E111" s="5" t="s">
        <v>878</v>
      </c>
      <c r="F111" t="s">
        <v>271</v>
      </c>
      <c r="G111" s="5" t="s">
        <v>879</v>
      </c>
      <c r="H111" s="5" t="s">
        <v>880</v>
      </c>
      <c r="I111" s="5" t="s">
        <v>881</v>
      </c>
      <c r="J111"/>
      <c r="K111"/>
      <c r="L111"/>
      <c r="M111"/>
      <c r="N111"/>
      <c r="O111"/>
      <c r="P111"/>
      <c r="Q111"/>
      <c r="R111"/>
    </row>
    <row r="112" spans="1:18" x14ac:dyDescent="0.25">
      <c r="A112" s="3">
        <f t="shared" si="2"/>
        <v>111</v>
      </c>
      <c r="C112" s="3" t="s">
        <v>278</v>
      </c>
      <c r="D112" s="3" t="s">
        <v>279</v>
      </c>
      <c r="E112" s="3" t="s">
        <v>280</v>
      </c>
      <c r="F112" s="3" t="s">
        <v>281</v>
      </c>
      <c r="G112" s="3">
        <v>0.5</v>
      </c>
    </row>
    <row r="113" spans="1:13" x14ac:dyDescent="0.25">
      <c r="A113" s="3">
        <f t="shared" si="2"/>
        <v>112</v>
      </c>
      <c r="C113" s="3" t="s">
        <v>278</v>
      </c>
      <c r="D113" s="3" t="s">
        <v>282</v>
      </c>
      <c r="E113" s="3" t="s">
        <v>283</v>
      </c>
      <c r="F113" s="3" t="s">
        <v>284</v>
      </c>
      <c r="G113" s="3">
        <v>50</v>
      </c>
    </row>
    <row r="114" spans="1:13" x14ac:dyDescent="0.25">
      <c r="A114" s="3">
        <f t="shared" si="2"/>
        <v>113</v>
      </c>
      <c r="C114" s="3" t="s">
        <v>278</v>
      </c>
      <c r="D114" s="3" t="s">
        <v>285</v>
      </c>
      <c r="E114" s="3" t="s">
        <v>286</v>
      </c>
      <c r="F114" s="3" t="s">
        <v>287</v>
      </c>
    </row>
    <row r="115" spans="1:13" x14ac:dyDescent="0.25">
      <c r="A115" s="3">
        <f t="shared" si="2"/>
        <v>114</v>
      </c>
      <c r="C115" s="3" t="s">
        <v>288</v>
      </c>
      <c r="D115" s="3" t="s">
        <v>289</v>
      </c>
      <c r="E115" s="3" t="s">
        <v>290</v>
      </c>
      <c r="F115" s="3" t="s">
        <v>291</v>
      </c>
      <c r="G115" s="3">
        <v>200</v>
      </c>
      <c r="H115" s="3">
        <v>6.0000000000000001E-3</v>
      </c>
    </row>
    <row r="116" spans="1:13" x14ac:dyDescent="0.25">
      <c r="A116" s="3">
        <f t="shared" si="2"/>
        <v>115</v>
      </c>
      <c r="C116" s="3" t="s">
        <v>288</v>
      </c>
      <c r="D116" s="3" t="s">
        <v>292</v>
      </c>
      <c r="E116" s="3" t="s">
        <v>293</v>
      </c>
      <c r="F116" s="3" t="s">
        <v>294</v>
      </c>
      <c r="G116" s="3">
        <v>55</v>
      </c>
      <c r="H116" s="3" t="s">
        <v>295</v>
      </c>
      <c r="I116" s="3" t="s">
        <v>296</v>
      </c>
      <c r="J116" s="3" t="s">
        <v>234</v>
      </c>
    </row>
    <row r="117" spans="1:13" x14ac:dyDescent="0.25">
      <c r="A117" s="3">
        <f t="shared" si="2"/>
        <v>116</v>
      </c>
      <c r="C117" s="3" t="s">
        <v>288</v>
      </c>
      <c r="D117" s="3" t="s">
        <v>297</v>
      </c>
      <c r="E117" s="3" t="s">
        <v>293</v>
      </c>
      <c r="F117" s="3" t="s">
        <v>294</v>
      </c>
      <c r="G117" s="3">
        <v>25</v>
      </c>
      <c r="H117" s="3" t="s">
        <v>295</v>
      </c>
      <c r="I117" s="3">
        <v>2</v>
      </c>
      <c r="J117" s="3" t="s">
        <v>234</v>
      </c>
    </row>
    <row r="118" spans="1:13" x14ac:dyDescent="0.25">
      <c r="A118" s="3">
        <f t="shared" si="2"/>
        <v>117</v>
      </c>
      <c r="C118" s="3" t="s">
        <v>288</v>
      </c>
      <c r="D118" s="3" t="s">
        <v>298</v>
      </c>
      <c r="E118" s="3" t="s">
        <v>293</v>
      </c>
      <c r="F118" s="3" t="s">
        <v>294</v>
      </c>
      <c r="G118" s="3">
        <v>12</v>
      </c>
      <c r="H118" s="3" t="s">
        <v>295</v>
      </c>
      <c r="I118" s="3">
        <v>2.5</v>
      </c>
      <c r="J118" s="3" t="s">
        <v>234</v>
      </c>
    </row>
    <row r="119" spans="1:13" x14ac:dyDescent="0.25">
      <c r="A119" s="3">
        <f t="shared" si="2"/>
        <v>118</v>
      </c>
      <c r="C119" s="3" t="s">
        <v>288</v>
      </c>
      <c r="D119" s="3" t="s">
        <v>299</v>
      </c>
      <c r="E119" s="3" t="s">
        <v>293</v>
      </c>
      <c r="F119" s="3" t="s">
        <v>294</v>
      </c>
      <c r="G119" s="3">
        <v>5.5</v>
      </c>
      <c r="H119" s="3" t="s">
        <v>295</v>
      </c>
      <c r="I119" s="3">
        <v>3</v>
      </c>
      <c r="J119" s="3" t="s">
        <v>234</v>
      </c>
    </row>
    <row r="120" spans="1:13" x14ac:dyDescent="0.25">
      <c r="A120" s="3">
        <f t="shared" si="2"/>
        <v>119</v>
      </c>
      <c r="C120" s="3" t="s">
        <v>288</v>
      </c>
      <c r="D120" s="3" t="s">
        <v>300</v>
      </c>
      <c r="E120" s="3" t="s">
        <v>293</v>
      </c>
      <c r="F120" s="3" t="s">
        <v>294</v>
      </c>
      <c r="G120" s="3">
        <v>1.8</v>
      </c>
      <c r="H120" s="3" t="s">
        <v>295</v>
      </c>
      <c r="I120" s="3">
        <v>3.5</v>
      </c>
      <c r="J120" s="3" t="s">
        <v>301</v>
      </c>
    </row>
    <row r="121" spans="1:13" x14ac:dyDescent="0.25">
      <c r="A121" s="3">
        <f t="shared" si="2"/>
        <v>120</v>
      </c>
      <c r="C121" s="3" t="s">
        <v>288</v>
      </c>
      <c r="D121" s="3" t="s">
        <v>302</v>
      </c>
      <c r="E121" s="3" t="s">
        <v>293</v>
      </c>
      <c r="F121" s="3" t="s">
        <v>294</v>
      </c>
      <c r="G121" s="3">
        <v>0.35</v>
      </c>
      <c r="H121" s="3" t="s">
        <v>295</v>
      </c>
      <c r="I121" s="3">
        <v>4</v>
      </c>
      <c r="J121" s="3" t="s">
        <v>303</v>
      </c>
    </row>
    <row r="122" spans="1:13" x14ac:dyDescent="0.25">
      <c r="A122" s="3">
        <f t="shared" si="2"/>
        <v>121</v>
      </c>
      <c r="C122" s="3" t="s">
        <v>288</v>
      </c>
      <c r="D122" s="3" t="s">
        <v>304</v>
      </c>
      <c r="E122" s="3" t="s">
        <v>293</v>
      </c>
      <c r="F122" s="3" t="s">
        <v>294</v>
      </c>
      <c r="G122" s="3">
        <v>0.08</v>
      </c>
      <c r="H122" s="3" t="s">
        <v>295</v>
      </c>
      <c r="I122" s="3">
        <v>4.5</v>
      </c>
      <c r="J122" s="3" t="s">
        <v>305</v>
      </c>
    </row>
    <row r="123" spans="1:13" x14ac:dyDescent="0.25">
      <c r="A123" s="3">
        <f t="shared" si="2"/>
        <v>122</v>
      </c>
      <c r="C123" s="3" t="s">
        <v>288</v>
      </c>
      <c r="D123" s="3" t="s">
        <v>306</v>
      </c>
      <c r="E123" s="3" t="s">
        <v>293</v>
      </c>
      <c r="F123" s="3" t="s">
        <v>294</v>
      </c>
      <c r="G123" s="3">
        <v>1.4999999999999999E-2</v>
      </c>
      <c r="H123" s="3" t="s">
        <v>295</v>
      </c>
      <c r="I123" s="3">
        <v>5</v>
      </c>
      <c r="J123" s="3" t="s">
        <v>307</v>
      </c>
    </row>
    <row r="124" spans="1:13" x14ac:dyDescent="0.25">
      <c r="A124" s="3">
        <f t="shared" si="2"/>
        <v>123</v>
      </c>
      <c r="C124" s="3" t="s">
        <v>308</v>
      </c>
      <c r="D124" s="3" t="s">
        <v>309</v>
      </c>
      <c r="E124" s="3" t="s">
        <v>310</v>
      </c>
      <c r="F124" s="3" t="s">
        <v>311</v>
      </c>
      <c r="G124" s="3" t="s">
        <v>312</v>
      </c>
      <c r="H124" s="3" t="s">
        <v>909</v>
      </c>
      <c r="I124" s="3" t="s">
        <v>910</v>
      </c>
      <c r="J124" s="3" t="s">
        <v>911</v>
      </c>
      <c r="K124" s="3" t="s">
        <v>912</v>
      </c>
      <c r="L124" s="3" t="s">
        <v>913</v>
      </c>
      <c r="M124" s="3" t="s">
        <v>914</v>
      </c>
    </row>
    <row r="125" spans="1:13" x14ac:dyDescent="0.25">
      <c r="A125" s="3">
        <f t="shared" si="2"/>
        <v>124</v>
      </c>
      <c r="C125" s="3" t="s">
        <v>308</v>
      </c>
      <c r="D125" s="3" t="s">
        <v>313</v>
      </c>
      <c r="E125" s="3" t="s">
        <v>310</v>
      </c>
      <c r="F125" s="3" t="s">
        <v>311</v>
      </c>
      <c r="G125" s="3" t="s">
        <v>314</v>
      </c>
      <c r="H125" s="3" t="s">
        <v>915</v>
      </c>
      <c r="I125" s="3" t="s">
        <v>916</v>
      </c>
      <c r="J125" s="3" t="s">
        <v>917</v>
      </c>
      <c r="K125" s="3" t="s">
        <v>918</v>
      </c>
      <c r="L125" s="3" t="s">
        <v>919</v>
      </c>
      <c r="M125" s="3" t="s">
        <v>920</v>
      </c>
    </row>
    <row r="126" spans="1:13" x14ac:dyDescent="0.25">
      <c r="A126" s="3">
        <f t="shared" si="2"/>
        <v>125</v>
      </c>
      <c r="C126" s="3" t="s">
        <v>308</v>
      </c>
      <c r="D126" s="3" t="s">
        <v>315</v>
      </c>
      <c r="E126" s="3" t="s">
        <v>310</v>
      </c>
      <c r="F126" s="3" t="s">
        <v>311</v>
      </c>
      <c r="G126" s="3" t="s">
        <v>316</v>
      </c>
      <c r="H126" s="3" t="s">
        <v>921</v>
      </c>
      <c r="I126" s="3" t="s">
        <v>922</v>
      </c>
      <c r="J126" s="3" t="s">
        <v>923</v>
      </c>
      <c r="K126" s="3" t="s">
        <v>924</v>
      </c>
      <c r="L126" s="3" t="s">
        <v>925</v>
      </c>
      <c r="M126" s="3" t="s">
        <v>926</v>
      </c>
    </row>
    <row r="127" spans="1:13" x14ac:dyDescent="0.25">
      <c r="A127" s="3">
        <f t="shared" si="2"/>
        <v>126</v>
      </c>
      <c r="C127" s="3" t="s">
        <v>308</v>
      </c>
      <c r="D127" s="3" t="s">
        <v>317</v>
      </c>
      <c r="E127" s="3" t="s">
        <v>310</v>
      </c>
      <c r="F127" s="3" t="s">
        <v>311</v>
      </c>
      <c r="G127" s="3" t="s">
        <v>318</v>
      </c>
      <c r="H127" s="3" t="s">
        <v>927</v>
      </c>
      <c r="I127" s="3" t="s">
        <v>928</v>
      </c>
      <c r="J127" s="3" t="s">
        <v>929</v>
      </c>
      <c r="K127" s="3" t="s">
        <v>930</v>
      </c>
      <c r="L127" s="3" t="s">
        <v>931</v>
      </c>
      <c r="M127" s="3" t="s">
        <v>932</v>
      </c>
    </row>
    <row r="128" spans="1:13" x14ac:dyDescent="0.25">
      <c r="A128" s="3">
        <f t="shared" si="2"/>
        <v>127</v>
      </c>
      <c r="C128" s="3" t="s">
        <v>308</v>
      </c>
      <c r="D128" s="3" t="s">
        <v>319</v>
      </c>
      <c r="E128" s="3" t="s">
        <v>310</v>
      </c>
      <c r="F128" s="3" t="s">
        <v>311</v>
      </c>
      <c r="G128" s="3" t="s">
        <v>318</v>
      </c>
      <c r="H128" s="3" t="s">
        <v>933</v>
      </c>
      <c r="I128" s="3" t="s">
        <v>934</v>
      </c>
      <c r="J128" s="3" t="s">
        <v>935</v>
      </c>
      <c r="K128" s="3" t="s">
        <v>936</v>
      </c>
      <c r="L128" s="3" t="s">
        <v>937</v>
      </c>
      <c r="M128" s="3" t="s">
        <v>938</v>
      </c>
    </row>
    <row r="129" spans="1:13" x14ac:dyDescent="0.25">
      <c r="A129" s="3">
        <f t="shared" si="2"/>
        <v>128</v>
      </c>
      <c r="C129" s="3" t="s">
        <v>308</v>
      </c>
      <c r="D129" s="3" t="s">
        <v>320</v>
      </c>
      <c r="E129" s="3" t="s">
        <v>310</v>
      </c>
      <c r="F129" s="3" t="s">
        <v>311</v>
      </c>
      <c r="G129" s="3" t="s">
        <v>318</v>
      </c>
      <c r="H129" s="3" t="s">
        <v>939</v>
      </c>
      <c r="I129" s="3" t="s">
        <v>940</v>
      </c>
      <c r="J129" s="3" t="s">
        <v>941</v>
      </c>
      <c r="K129" s="3" t="s">
        <v>942</v>
      </c>
      <c r="L129" s="3" t="s">
        <v>943</v>
      </c>
      <c r="M129" s="3" t="s">
        <v>944</v>
      </c>
    </row>
    <row r="130" spans="1:13" x14ac:dyDescent="0.25">
      <c r="A130" s="3">
        <f t="shared" si="2"/>
        <v>129</v>
      </c>
      <c r="C130" s="3" t="s">
        <v>308</v>
      </c>
      <c r="D130" s="3" t="s">
        <v>321</v>
      </c>
      <c r="E130" s="3" t="s">
        <v>310</v>
      </c>
      <c r="F130" s="3" t="s">
        <v>311</v>
      </c>
      <c r="G130" s="3" t="s">
        <v>318</v>
      </c>
      <c r="H130" s="3" t="s">
        <v>939</v>
      </c>
      <c r="I130" s="3" t="s">
        <v>945</v>
      </c>
      <c r="J130" s="3" t="s">
        <v>946</v>
      </c>
      <c r="K130" s="3" t="s">
        <v>947</v>
      </c>
      <c r="L130" s="3" t="s">
        <v>948</v>
      </c>
      <c r="M130" s="3" t="s">
        <v>949</v>
      </c>
    </row>
    <row r="131" spans="1:13" x14ac:dyDescent="0.25">
      <c r="A131" s="3">
        <f t="shared" si="2"/>
        <v>130</v>
      </c>
      <c r="C131" s="3" t="s">
        <v>308</v>
      </c>
      <c r="D131" s="3" t="s">
        <v>322</v>
      </c>
      <c r="E131" s="3" t="s">
        <v>310</v>
      </c>
      <c r="F131" s="3" t="s">
        <v>311</v>
      </c>
      <c r="G131" s="3" t="s">
        <v>318</v>
      </c>
      <c r="H131" s="3" t="s">
        <v>939</v>
      </c>
      <c r="I131" s="3" t="s">
        <v>945</v>
      </c>
      <c r="J131" s="3" t="s">
        <v>950</v>
      </c>
      <c r="K131" s="3" t="s">
        <v>951</v>
      </c>
      <c r="L131" s="3" t="s">
        <v>952</v>
      </c>
      <c r="M131" s="3" t="s">
        <v>953</v>
      </c>
    </row>
    <row r="132" spans="1:13" x14ac:dyDescent="0.25">
      <c r="A132" s="3">
        <f t="shared" ref="A132:A195" si="3">A131+1</f>
        <v>131</v>
      </c>
      <c r="C132" s="3" t="s">
        <v>323</v>
      </c>
      <c r="D132" s="3" t="s">
        <v>324</v>
      </c>
      <c r="E132" s="3" t="s">
        <v>325</v>
      </c>
      <c r="F132" s="3" t="s">
        <v>326</v>
      </c>
      <c r="G132" s="3">
        <v>2</v>
      </c>
      <c r="H132" s="3">
        <v>0.5</v>
      </c>
      <c r="I132" s="3">
        <v>0.2</v>
      </c>
      <c r="J132" s="3">
        <v>0</v>
      </c>
      <c r="K132" s="3">
        <v>0</v>
      </c>
    </row>
    <row r="133" spans="1:13" x14ac:dyDescent="0.25">
      <c r="A133" s="3">
        <f t="shared" si="3"/>
        <v>132</v>
      </c>
      <c r="C133" s="3" t="s">
        <v>323</v>
      </c>
      <c r="D133" s="3" t="s">
        <v>327</v>
      </c>
      <c r="E133" s="3" t="s">
        <v>325</v>
      </c>
      <c r="F133" s="3" t="s">
        <v>326</v>
      </c>
      <c r="G133" s="3">
        <v>4</v>
      </c>
      <c r="H133" s="3">
        <v>0.8</v>
      </c>
      <c r="I133" s="3">
        <v>0.3</v>
      </c>
      <c r="J133" s="3">
        <v>0</v>
      </c>
      <c r="K133" s="3">
        <v>0</v>
      </c>
    </row>
    <row r="134" spans="1:13" x14ac:dyDescent="0.25">
      <c r="A134" s="3">
        <f t="shared" si="3"/>
        <v>133</v>
      </c>
      <c r="C134" s="3" t="s">
        <v>323</v>
      </c>
      <c r="D134" s="3" t="s">
        <v>328</v>
      </c>
      <c r="E134" s="3" t="s">
        <v>325</v>
      </c>
      <c r="F134" s="3" t="s">
        <v>326</v>
      </c>
      <c r="G134" s="3">
        <v>6</v>
      </c>
      <c r="H134" s="3">
        <v>1.1000000000000001</v>
      </c>
      <c r="I134" s="3">
        <v>0.4</v>
      </c>
      <c r="J134" s="3">
        <v>0</v>
      </c>
      <c r="K134" s="3">
        <v>0</v>
      </c>
    </row>
    <row r="135" spans="1:13" x14ac:dyDescent="0.25">
      <c r="A135" s="3">
        <f t="shared" si="3"/>
        <v>134</v>
      </c>
      <c r="C135" s="3" t="s">
        <v>323</v>
      </c>
      <c r="D135" s="3" t="s">
        <v>329</v>
      </c>
      <c r="E135" s="3" t="s">
        <v>325</v>
      </c>
      <c r="F135" s="3" t="s">
        <v>326</v>
      </c>
      <c r="G135" s="3">
        <v>8</v>
      </c>
      <c r="H135" s="3">
        <v>1.4</v>
      </c>
      <c r="I135" s="3">
        <v>0.5</v>
      </c>
      <c r="J135" s="3">
        <v>0.1</v>
      </c>
      <c r="K135" s="3">
        <v>0</v>
      </c>
    </row>
    <row r="136" spans="1:13" x14ac:dyDescent="0.25">
      <c r="A136" s="3">
        <f t="shared" si="3"/>
        <v>135</v>
      </c>
      <c r="C136" s="3" t="s">
        <v>323</v>
      </c>
      <c r="D136" s="3" t="s">
        <v>330</v>
      </c>
      <c r="E136" s="3" t="s">
        <v>325</v>
      </c>
      <c r="F136" s="3" t="s">
        <v>326</v>
      </c>
      <c r="G136" s="3">
        <v>10</v>
      </c>
      <c r="H136" s="3">
        <v>1.7</v>
      </c>
      <c r="I136" s="3">
        <v>0.6</v>
      </c>
      <c r="J136" s="3">
        <v>0.2</v>
      </c>
      <c r="K136" s="3">
        <v>0</v>
      </c>
    </row>
    <row r="137" spans="1:13" x14ac:dyDescent="0.25">
      <c r="A137" s="3">
        <f t="shared" si="3"/>
        <v>136</v>
      </c>
      <c r="C137" s="3" t="s">
        <v>323</v>
      </c>
      <c r="D137" s="3" t="s">
        <v>331</v>
      </c>
      <c r="E137" s="3" t="s">
        <v>325</v>
      </c>
      <c r="F137" s="3" t="s">
        <v>326</v>
      </c>
      <c r="G137" s="3">
        <v>12</v>
      </c>
      <c r="H137" s="3">
        <v>2</v>
      </c>
      <c r="I137" s="3">
        <v>0.7</v>
      </c>
      <c r="J137" s="3">
        <v>0.3</v>
      </c>
      <c r="K137" s="3">
        <v>0.2</v>
      </c>
    </row>
    <row r="138" spans="1:13" x14ac:dyDescent="0.25">
      <c r="A138" s="3">
        <f t="shared" si="3"/>
        <v>137</v>
      </c>
      <c r="C138" s="3" t="s">
        <v>323</v>
      </c>
      <c r="D138" s="3" t="s">
        <v>332</v>
      </c>
      <c r="E138" s="3" t="s">
        <v>325</v>
      </c>
      <c r="F138" s="3" t="s">
        <v>326</v>
      </c>
      <c r="G138" s="3">
        <v>14</v>
      </c>
      <c r="H138" s="3">
        <v>2.2999999999999998</v>
      </c>
      <c r="I138" s="3">
        <v>0.8</v>
      </c>
      <c r="J138" s="3">
        <v>0.4</v>
      </c>
      <c r="K138" s="3">
        <v>0.3</v>
      </c>
    </row>
    <row r="139" spans="1:13" x14ac:dyDescent="0.25">
      <c r="A139" s="3">
        <f t="shared" si="3"/>
        <v>138</v>
      </c>
      <c r="C139" s="3" t="s">
        <v>333</v>
      </c>
      <c r="D139" s="3" t="s">
        <v>334</v>
      </c>
      <c r="E139" s="3" t="s">
        <v>335</v>
      </c>
      <c r="F139" s="3" t="s">
        <v>336</v>
      </c>
      <c r="G139" s="3">
        <v>4</v>
      </c>
    </row>
    <row r="140" spans="1:13" x14ac:dyDescent="0.25">
      <c r="A140" s="3">
        <f t="shared" si="3"/>
        <v>139</v>
      </c>
      <c r="C140" s="3" t="s">
        <v>333</v>
      </c>
      <c r="D140" s="3" t="s">
        <v>337</v>
      </c>
      <c r="E140" s="3" t="s">
        <v>338</v>
      </c>
      <c r="F140" s="3" t="s">
        <v>339</v>
      </c>
      <c r="G140" s="3">
        <v>5</v>
      </c>
      <c r="H140" s="3">
        <v>1</v>
      </c>
      <c r="I140" s="3">
        <v>49</v>
      </c>
      <c r="J140" s="3">
        <v>0.1</v>
      </c>
    </row>
    <row r="141" spans="1:13" x14ac:dyDescent="0.25">
      <c r="A141" s="3">
        <f t="shared" si="3"/>
        <v>140</v>
      </c>
      <c r="C141" s="3" t="s">
        <v>333</v>
      </c>
      <c r="D141" s="3" t="s">
        <v>340</v>
      </c>
      <c r="E141" s="3" t="s">
        <v>338</v>
      </c>
      <c r="F141" s="3" t="s">
        <v>341</v>
      </c>
      <c r="G141" s="3">
        <v>10</v>
      </c>
      <c r="H141" s="3">
        <v>1</v>
      </c>
      <c r="I141" s="3">
        <v>49</v>
      </c>
      <c r="J141" s="3">
        <v>0.1</v>
      </c>
    </row>
    <row r="142" spans="1:13" x14ac:dyDescent="0.25">
      <c r="A142" s="3">
        <f t="shared" si="3"/>
        <v>141</v>
      </c>
      <c r="C142" s="3" t="s">
        <v>333</v>
      </c>
      <c r="D142" s="3" t="s">
        <v>342</v>
      </c>
      <c r="E142" s="3" t="s">
        <v>343</v>
      </c>
      <c r="F142" s="3" t="s">
        <v>344</v>
      </c>
      <c r="G142" s="3">
        <v>0.5</v>
      </c>
    </row>
    <row r="143" spans="1:13" x14ac:dyDescent="0.25">
      <c r="A143" s="3">
        <f t="shared" si="3"/>
        <v>142</v>
      </c>
      <c r="C143" s="3" t="s">
        <v>345</v>
      </c>
      <c r="D143" s="3" t="s">
        <v>346</v>
      </c>
      <c r="E143" s="3" t="s">
        <v>338</v>
      </c>
      <c r="F143" s="3" t="s">
        <v>347</v>
      </c>
      <c r="G143" s="3">
        <v>3</v>
      </c>
      <c r="H143" s="3">
        <v>1</v>
      </c>
      <c r="I143" s="3">
        <v>250</v>
      </c>
      <c r="J143" s="3">
        <v>0.1</v>
      </c>
    </row>
    <row r="144" spans="1:13" x14ac:dyDescent="0.25">
      <c r="A144" s="3">
        <f t="shared" si="3"/>
        <v>143</v>
      </c>
      <c r="C144" s="3" t="s">
        <v>345</v>
      </c>
      <c r="D144" s="3" t="s">
        <v>348</v>
      </c>
      <c r="E144" s="3" t="s">
        <v>349</v>
      </c>
      <c r="F144" s="3" t="s">
        <v>350</v>
      </c>
      <c r="G144" s="3">
        <v>100</v>
      </c>
      <c r="H144" s="3">
        <v>5</v>
      </c>
      <c r="I144" s="3">
        <v>40</v>
      </c>
      <c r="J144" s="3">
        <v>0.5</v>
      </c>
    </row>
    <row r="145" spans="1:13" x14ac:dyDescent="0.25">
      <c r="A145" s="3">
        <f t="shared" si="3"/>
        <v>144</v>
      </c>
      <c r="C145" s="3" t="s">
        <v>345</v>
      </c>
      <c r="D145" s="3" t="s">
        <v>351</v>
      </c>
      <c r="E145" s="3" t="s">
        <v>349</v>
      </c>
      <c r="F145" s="3" t="s">
        <v>352</v>
      </c>
      <c r="G145" s="3">
        <v>100</v>
      </c>
      <c r="H145" s="3">
        <v>10</v>
      </c>
      <c r="I145" s="3">
        <v>40</v>
      </c>
      <c r="J145" s="3">
        <v>2</v>
      </c>
    </row>
    <row r="146" spans="1:13" x14ac:dyDescent="0.25">
      <c r="A146" s="3">
        <f t="shared" si="3"/>
        <v>145</v>
      </c>
      <c r="C146" s="3" t="s">
        <v>345</v>
      </c>
      <c r="D146" s="3" t="s">
        <v>353</v>
      </c>
      <c r="E146" s="3" t="s">
        <v>354</v>
      </c>
      <c r="F146" s="3" t="s">
        <v>355</v>
      </c>
      <c r="G146" s="3">
        <v>1.35</v>
      </c>
    </row>
    <row r="147" spans="1:13" x14ac:dyDescent="0.25">
      <c r="A147" s="3">
        <f t="shared" si="3"/>
        <v>146</v>
      </c>
      <c r="C147" s="3" t="s">
        <v>356</v>
      </c>
      <c r="D147" s="3" t="s">
        <v>357</v>
      </c>
      <c r="E147" s="3" t="s">
        <v>358</v>
      </c>
      <c r="F147" s="3" t="s">
        <v>359</v>
      </c>
      <c r="G147" s="3">
        <v>4</v>
      </c>
    </row>
    <row r="148" spans="1:13" x14ac:dyDescent="0.25">
      <c r="A148" s="3">
        <f t="shared" si="3"/>
        <v>147</v>
      </c>
      <c r="C148" s="3" t="s">
        <v>356</v>
      </c>
      <c r="D148" s="3" t="s">
        <v>211</v>
      </c>
      <c r="E148" s="3" t="s">
        <v>360</v>
      </c>
      <c r="F148" s="3" t="s">
        <v>361</v>
      </c>
      <c r="G148" s="3">
        <v>200</v>
      </c>
    </row>
    <row r="149" spans="1:13" x14ac:dyDescent="0.25">
      <c r="A149" s="3">
        <f t="shared" si="3"/>
        <v>148</v>
      </c>
      <c r="C149" s="3" t="s">
        <v>356</v>
      </c>
      <c r="D149" s="3" t="s">
        <v>362</v>
      </c>
      <c r="E149" s="3" t="s">
        <v>363</v>
      </c>
      <c r="F149" s="3" t="s">
        <v>364</v>
      </c>
      <c r="G149" s="3">
        <v>4</v>
      </c>
    </row>
    <row r="150" spans="1:13" x14ac:dyDescent="0.25">
      <c r="A150" s="3">
        <f t="shared" si="3"/>
        <v>149</v>
      </c>
      <c r="C150" s="3" t="s">
        <v>356</v>
      </c>
      <c r="D150" s="3" t="s">
        <v>365</v>
      </c>
      <c r="E150" s="3" t="s">
        <v>366</v>
      </c>
      <c r="F150" s="3" t="s">
        <v>367</v>
      </c>
      <c r="G150" s="3">
        <v>3</v>
      </c>
    </row>
    <row r="151" spans="1:13" x14ac:dyDescent="0.25">
      <c r="A151" s="3">
        <f t="shared" si="3"/>
        <v>150</v>
      </c>
      <c r="C151" s="3" t="s">
        <v>356</v>
      </c>
      <c r="D151" s="3" t="s">
        <v>368</v>
      </c>
      <c r="E151" s="3" t="s">
        <v>241</v>
      </c>
      <c r="F151" s="3" t="s">
        <v>369</v>
      </c>
      <c r="G151" s="3">
        <v>4</v>
      </c>
      <c r="H151" s="3">
        <v>5</v>
      </c>
    </row>
    <row r="152" spans="1:13" x14ac:dyDescent="0.25">
      <c r="A152" s="3">
        <f t="shared" si="3"/>
        <v>151</v>
      </c>
      <c r="C152" s="3" t="s">
        <v>370</v>
      </c>
      <c r="D152" s="3" t="s">
        <v>309</v>
      </c>
      <c r="E152" s="3" t="s">
        <v>371</v>
      </c>
      <c r="F152" s="3" t="s">
        <v>372</v>
      </c>
      <c r="G152" s="3" t="s">
        <v>373</v>
      </c>
      <c r="H152" s="3" t="s">
        <v>374</v>
      </c>
      <c r="I152" s="3" t="s">
        <v>375</v>
      </c>
      <c r="J152" s="3" t="s">
        <v>376</v>
      </c>
      <c r="K152" s="3" t="s">
        <v>377</v>
      </c>
      <c r="L152" s="3" t="s">
        <v>378</v>
      </c>
      <c r="M152" s="3" t="s">
        <v>379</v>
      </c>
    </row>
    <row r="153" spans="1:13" x14ac:dyDescent="0.25">
      <c r="A153" s="3">
        <f t="shared" si="3"/>
        <v>152</v>
      </c>
      <c r="C153" s="3" t="s">
        <v>370</v>
      </c>
      <c r="D153" s="3" t="s">
        <v>313</v>
      </c>
      <c r="E153" s="3" t="s">
        <v>371</v>
      </c>
      <c r="F153" s="3" t="s">
        <v>372</v>
      </c>
      <c r="G153" s="3" t="s">
        <v>373</v>
      </c>
      <c r="H153" s="3" t="s">
        <v>374</v>
      </c>
      <c r="I153" s="3" t="s">
        <v>375</v>
      </c>
      <c r="J153" s="3" t="s">
        <v>376</v>
      </c>
      <c r="K153" s="3" t="s">
        <v>377</v>
      </c>
      <c r="L153" s="3" t="s">
        <v>378</v>
      </c>
      <c r="M153" s="3" t="s">
        <v>379</v>
      </c>
    </row>
    <row r="154" spans="1:13" x14ac:dyDescent="0.25">
      <c r="A154" s="3">
        <f t="shared" si="3"/>
        <v>153</v>
      </c>
      <c r="C154" s="3" t="s">
        <v>370</v>
      </c>
      <c r="D154" s="3" t="s">
        <v>315</v>
      </c>
      <c r="E154" s="3" t="s">
        <v>371</v>
      </c>
      <c r="F154" s="3" t="s">
        <v>372</v>
      </c>
      <c r="G154" s="3" t="s">
        <v>380</v>
      </c>
      <c r="H154" s="3" t="s">
        <v>381</v>
      </c>
      <c r="I154" s="3" t="s">
        <v>375</v>
      </c>
      <c r="J154" s="3" t="s">
        <v>376</v>
      </c>
      <c r="K154" s="3" t="s">
        <v>377</v>
      </c>
      <c r="L154" s="3" t="s">
        <v>378</v>
      </c>
      <c r="M154" s="3" t="s">
        <v>379</v>
      </c>
    </row>
    <row r="155" spans="1:13" x14ac:dyDescent="0.25">
      <c r="A155" s="3">
        <f t="shared" si="3"/>
        <v>154</v>
      </c>
      <c r="C155" s="3" t="s">
        <v>370</v>
      </c>
      <c r="D155" s="3" t="s">
        <v>317</v>
      </c>
      <c r="E155" s="3" t="s">
        <v>371</v>
      </c>
      <c r="F155" s="3" t="s">
        <v>372</v>
      </c>
      <c r="G155" s="3" t="s">
        <v>382</v>
      </c>
      <c r="H155" s="3" t="s">
        <v>381</v>
      </c>
      <c r="I155" s="3" t="s">
        <v>383</v>
      </c>
      <c r="J155" s="3" t="s">
        <v>384</v>
      </c>
      <c r="K155" s="3" t="s">
        <v>385</v>
      </c>
      <c r="L155" s="3" t="s">
        <v>386</v>
      </c>
      <c r="M155" s="3" t="s">
        <v>387</v>
      </c>
    </row>
    <row r="156" spans="1:13" x14ac:dyDescent="0.25">
      <c r="A156" s="3">
        <f t="shared" si="3"/>
        <v>155</v>
      </c>
      <c r="C156" s="3" t="s">
        <v>370</v>
      </c>
      <c r="D156" s="3" t="s">
        <v>319</v>
      </c>
      <c r="E156" s="3" t="s">
        <v>371</v>
      </c>
      <c r="F156" s="3" t="s">
        <v>372</v>
      </c>
      <c r="G156" s="3" t="s">
        <v>388</v>
      </c>
      <c r="H156" s="3" t="s">
        <v>389</v>
      </c>
      <c r="I156" s="3" t="s">
        <v>383</v>
      </c>
      <c r="J156" s="3" t="s">
        <v>390</v>
      </c>
      <c r="K156" s="3" t="s">
        <v>391</v>
      </c>
      <c r="L156" s="3" t="s">
        <v>392</v>
      </c>
      <c r="M156" s="3" t="s">
        <v>393</v>
      </c>
    </row>
    <row r="157" spans="1:13" x14ac:dyDescent="0.25">
      <c r="A157" s="3">
        <f t="shared" si="3"/>
        <v>156</v>
      </c>
      <c r="C157" s="3" t="s">
        <v>370</v>
      </c>
      <c r="D157" s="3" t="s">
        <v>320</v>
      </c>
      <c r="E157" s="3" t="s">
        <v>371</v>
      </c>
      <c r="F157" s="3" t="s">
        <v>372</v>
      </c>
      <c r="G157" s="3" t="s">
        <v>394</v>
      </c>
      <c r="H157" s="3" t="s">
        <v>395</v>
      </c>
      <c r="I157" s="3" t="s">
        <v>396</v>
      </c>
      <c r="J157" s="3" t="s">
        <v>397</v>
      </c>
      <c r="K157" s="3" t="s">
        <v>398</v>
      </c>
      <c r="L157" s="3" t="s">
        <v>399</v>
      </c>
      <c r="M157" s="3" t="s">
        <v>400</v>
      </c>
    </row>
    <row r="158" spans="1:13" x14ac:dyDescent="0.25">
      <c r="A158" s="3">
        <f t="shared" si="3"/>
        <v>157</v>
      </c>
      <c r="C158" s="3" t="s">
        <v>370</v>
      </c>
      <c r="D158" s="3" t="s">
        <v>321</v>
      </c>
      <c r="E158" s="3" t="s">
        <v>371</v>
      </c>
      <c r="F158" s="3" t="s">
        <v>372</v>
      </c>
      <c r="G158" s="3" t="s">
        <v>373</v>
      </c>
      <c r="H158" s="3" t="s">
        <v>401</v>
      </c>
      <c r="I158" s="3" t="s">
        <v>402</v>
      </c>
      <c r="J158" s="3" t="s">
        <v>403</v>
      </c>
      <c r="K158" s="3" t="s">
        <v>404</v>
      </c>
      <c r="L158" s="3" t="s">
        <v>405</v>
      </c>
      <c r="M158" s="3" t="s">
        <v>406</v>
      </c>
    </row>
    <row r="159" spans="1:13" x14ac:dyDescent="0.25">
      <c r="A159" s="3">
        <f t="shared" si="3"/>
        <v>158</v>
      </c>
      <c r="C159" s="3" t="s">
        <v>370</v>
      </c>
      <c r="D159" s="3" t="s">
        <v>322</v>
      </c>
      <c r="E159" s="3" t="s">
        <v>371</v>
      </c>
      <c r="F159" s="3" t="s">
        <v>372</v>
      </c>
      <c r="G159" s="3" t="s">
        <v>373</v>
      </c>
      <c r="H159" s="3" t="s">
        <v>374</v>
      </c>
      <c r="I159" s="3" t="s">
        <v>407</v>
      </c>
      <c r="J159" s="3" t="s">
        <v>408</v>
      </c>
      <c r="K159" s="3" t="s">
        <v>409</v>
      </c>
      <c r="L159" s="3" t="s">
        <v>410</v>
      </c>
      <c r="M159" s="3" t="s">
        <v>411</v>
      </c>
    </row>
    <row r="160" spans="1:13" x14ac:dyDescent="0.25">
      <c r="A160" s="3">
        <f t="shared" si="3"/>
        <v>159</v>
      </c>
      <c r="C160" s="3" t="s">
        <v>412</v>
      </c>
      <c r="D160" s="3" t="s">
        <v>413</v>
      </c>
      <c r="E160" s="3" t="s">
        <v>414</v>
      </c>
      <c r="F160" s="3" t="s">
        <v>415</v>
      </c>
    </row>
    <row r="161" spans="1:15" x14ac:dyDescent="0.25">
      <c r="A161" s="3">
        <f t="shared" si="3"/>
        <v>160</v>
      </c>
      <c r="C161" s="3" t="s">
        <v>412</v>
      </c>
      <c r="D161" s="3" t="s">
        <v>416</v>
      </c>
      <c r="E161" s="3" t="s">
        <v>417</v>
      </c>
      <c r="F161" s="3" t="s">
        <v>418</v>
      </c>
      <c r="G161" s="3">
        <v>1.35</v>
      </c>
    </row>
    <row r="162" spans="1:15" x14ac:dyDescent="0.25">
      <c r="A162" s="3">
        <f t="shared" si="3"/>
        <v>161</v>
      </c>
      <c r="C162" s="3" t="s">
        <v>412</v>
      </c>
      <c r="D162" s="3" t="s">
        <v>419</v>
      </c>
      <c r="E162" s="3" t="s">
        <v>420</v>
      </c>
      <c r="F162" s="3" t="s">
        <v>421</v>
      </c>
      <c r="G162" s="3">
        <v>0.05</v>
      </c>
    </row>
    <row r="163" spans="1:15" x14ac:dyDescent="0.25">
      <c r="A163" s="3">
        <f t="shared" si="3"/>
        <v>162</v>
      </c>
      <c r="C163" s="3" t="s">
        <v>412</v>
      </c>
      <c r="D163" s="3" t="s">
        <v>422</v>
      </c>
      <c r="E163" s="3" t="s">
        <v>423</v>
      </c>
      <c r="F163" s="3" t="s">
        <v>424</v>
      </c>
      <c r="G163" s="3">
        <v>2</v>
      </c>
    </row>
    <row r="164" spans="1:15" x14ac:dyDescent="0.25">
      <c r="A164" s="3">
        <f t="shared" si="3"/>
        <v>163</v>
      </c>
      <c r="C164" s="3" t="s">
        <v>412</v>
      </c>
      <c r="D164" s="3" t="s">
        <v>425</v>
      </c>
      <c r="E164" s="3" t="s">
        <v>426</v>
      </c>
      <c r="F164" s="3" t="s">
        <v>427</v>
      </c>
    </row>
    <row r="165" spans="1:15" x14ac:dyDescent="0.25">
      <c r="A165" s="3">
        <f t="shared" si="3"/>
        <v>164</v>
      </c>
      <c r="C165" s="3" t="s">
        <v>412</v>
      </c>
      <c r="D165" s="3" t="s">
        <v>428</v>
      </c>
      <c r="E165" s="3" t="s">
        <v>429</v>
      </c>
      <c r="F165" s="3" t="s">
        <v>430</v>
      </c>
      <c r="G165" s="3">
        <v>5</v>
      </c>
      <c r="H165" s="3">
        <v>1.2</v>
      </c>
      <c r="I165" s="3">
        <v>0.15</v>
      </c>
    </row>
    <row r="166" spans="1:15" x14ac:dyDescent="0.25">
      <c r="A166" s="3">
        <f t="shared" si="3"/>
        <v>165</v>
      </c>
      <c r="C166" s="3" t="s">
        <v>412</v>
      </c>
      <c r="D166" s="3" t="s">
        <v>431</v>
      </c>
      <c r="E166" s="3" t="s">
        <v>432</v>
      </c>
      <c r="F166" s="3" t="s">
        <v>433</v>
      </c>
      <c r="G166" s="3">
        <v>8</v>
      </c>
      <c r="H166" s="3">
        <v>4</v>
      </c>
      <c r="I166" s="3">
        <v>3</v>
      </c>
      <c r="J166" s="3">
        <v>60</v>
      </c>
    </row>
    <row r="167" spans="1:15" x14ac:dyDescent="0.25">
      <c r="A167" s="3">
        <f t="shared" si="3"/>
        <v>166</v>
      </c>
      <c r="C167" s="3" t="s">
        <v>412</v>
      </c>
      <c r="D167" s="3" t="s">
        <v>434</v>
      </c>
      <c r="E167" s="3" t="s">
        <v>435</v>
      </c>
      <c r="F167" s="3" t="s">
        <v>436</v>
      </c>
      <c r="G167" s="3">
        <v>1</v>
      </c>
      <c r="H167" s="3">
        <v>1</v>
      </c>
    </row>
    <row r="168" spans="1:15" x14ac:dyDescent="0.25">
      <c r="A168" s="3">
        <f t="shared" si="3"/>
        <v>167</v>
      </c>
      <c r="C168" s="3" t="s">
        <v>412</v>
      </c>
      <c r="D168" s="3" t="s">
        <v>437</v>
      </c>
      <c r="E168" s="3" t="s">
        <v>438</v>
      </c>
      <c r="F168" s="3" t="s">
        <v>439</v>
      </c>
      <c r="G168" s="3">
        <v>0.15</v>
      </c>
      <c r="H168" s="3">
        <v>0.06</v>
      </c>
    </row>
    <row r="169" spans="1:15" x14ac:dyDescent="0.25">
      <c r="A169" s="3">
        <f t="shared" si="3"/>
        <v>168</v>
      </c>
      <c r="C169" s="3" t="s">
        <v>412</v>
      </c>
      <c r="D169" s="3" t="s">
        <v>440</v>
      </c>
      <c r="E169" s="3" t="s">
        <v>441</v>
      </c>
      <c r="F169" s="3" t="s">
        <v>442</v>
      </c>
      <c r="G169" s="3">
        <v>2</v>
      </c>
      <c r="H169" s="3">
        <v>0.6</v>
      </c>
    </row>
    <row r="170" spans="1:15" x14ac:dyDescent="0.25">
      <c r="A170" s="3">
        <f t="shared" si="3"/>
        <v>169</v>
      </c>
      <c r="C170" s="3" t="s">
        <v>412</v>
      </c>
      <c r="D170" s="3" t="s">
        <v>443</v>
      </c>
      <c r="E170" s="3" t="s">
        <v>444</v>
      </c>
      <c r="F170" s="3" t="s">
        <v>445</v>
      </c>
      <c r="G170" s="3">
        <v>3</v>
      </c>
      <c r="H170" s="3">
        <v>0.5</v>
      </c>
    </row>
    <row r="171" spans="1:15" x14ac:dyDescent="0.25">
      <c r="A171" s="3">
        <f t="shared" si="3"/>
        <v>170</v>
      </c>
      <c r="C171" s="3" t="s">
        <v>446</v>
      </c>
      <c r="D171" s="3" t="s">
        <v>447</v>
      </c>
      <c r="E171" s="3" t="s">
        <v>448</v>
      </c>
      <c r="F171" s="3" t="s">
        <v>449</v>
      </c>
      <c r="G171" s="3">
        <v>5</v>
      </c>
      <c r="H171" s="3">
        <v>7.5</v>
      </c>
      <c r="I171" s="3">
        <v>10</v>
      </c>
      <c r="J171" s="3">
        <v>15</v>
      </c>
      <c r="K171" s="3">
        <v>20</v>
      </c>
      <c r="L171" s="3">
        <v>25</v>
      </c>
      <c r="M171" s="3">
        <v>30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446</v>
      </c>
      <c r="D172" s="3" t="s">
        <v>450</v>
      </c>
      <c r="E172" s="3" t="s">
        <v>451</v>
      </c>
      <c r="F172" s="3" t="s">
        <v>452</v>
      </c>
      <c r="G172" s="3">
        <v>0</v>
      </c>
      <c r="H172" s="3">
        <v>0</v>
      </c>
      <c r="I172" s="3">
        <v>0</v>
      </c>
      <c r="J172" s="3">
        <v>0.1</v>
      </c>
      <c r="K172" s="3">
        <v>0.5</v>
      </c>
      <c r="L172" s="3">
        <v>1</v>
      </c>
      <c r="M172" s="3">
        <v>10</v>
      </c>
      <c r="N172" s="3">
        <v>100</v>
      </c>
      <c r="O172" s="3">
        <v>100</v>
      </c>
    </row>
    <row r="173" spans="1:15" x14ac:dyDescent="0.25">
      <c r="A173" s="3">
        <f t="shared" si="3"/>
        <v>172</v>
      </c>
      <c r="C173" s="3" t="s">
        <v>453</v>
      </c>
      <c r="D173" s="3" t="s">
        <v>454</v>
      </c>
      <c r="E173" s="3" t="s">
        <v>455</v>
      </c>
      <c r="F173" s="3" t="s">
        <v>456</v>
      </c>
      <c r="G173" s="3">
        <v>5</v>
      </c>
    </row>
    <row r="174" spans="1:15" x14ac:dyDescent="0.25">
      <c r="A174" s="3">
        <f t="shared" si="3"/>
        <v>173</v>
      </c>
      <c r="C174" s="3" t="s">
        <v>453</v>
      </c>
      <c r="D174" s="3" t="s">
        <v>457</v>
      </c>
      <c r="E174" s="3" t="s">
        <v>458</v>
      </c>
      <c r="F174" s="3" t="s">
        <v>459</v>
      </c>
      <c r="G174" s="3">
        <v>55</v>
      </c>
      <c r="H174" s="3">
        <v>40</v>
      </c>
      <c r="I174" s="3">
        <v>25</v>
      </c>
    </row>
    <row r="175" spans="1:15" x14ac:dyDescent="0.25">
      <c r="A175" s="3">
        <f t="shared" si="3"/>
        <v>174</v>
      </c>
      <c r="C175" s="3" t="s">
        <v>453</v>
      </c>
      <c r="D175" s="3" t="s">
        <v>460</v>
      </c>
      <c r="E175" s="3" t="s">
        <v>461</v>
      </c>
      <c r="F175" s="3" t="s">
        <v>462</v>
      </c>
      <c r="G175" s="3">
        <v>5000000</v>
      </c>
      <c r="H175" s="3">
        <v>20000000</v>
      </c>
      <c r="I175" s="3">
        <v>100000000</v>
      </c>
    </row>
    <row r="176" spans="1:15" x14ac:dyDescent="0.25">
      <c r="A176" s="3">
        <f t="shared" si="3"/>
        <v>175</v>
      </c>
      <c r="C176" s="3" t="s">
        <v>453</v>
      </c>
      <c r="D176" s="3" t="s">
        <v>463</v>
      </c>
      <c r="E176" s="3" t="s">
        <v>461</v>
      </c>
      <c r="G176" s="3">
        <v>3</v>
      </c>
      <c r="H176" s="3">
        <v>5</v>
      </c>
      <c r="I176" s="3">
        <v>8</v>
      </c>
    </row>
    <row r="177" spans="1:15" x14ac:dyDescent="0.25">
      <c r="A177" s="3">
        <f t="shared" si="3"/>
        <v>176</v>
      </c>
      <c r="C177" s="3" t="s">
        <v>453</v>
      </c>
      <c r="D177" s="3" t="s">
        <v>464</v>
      </c>
      <c r="E177" s="3" t="s">
        <v>455</v>
      </c>
      <c r="F177" s="3" t="s">
        <v>465</v>
      </c>
      <c r="G177" s="3">
        <v>3</v>
      </c>
    </row>
    <row r="178" spans="1:15" x14ac:dyDescent="0.25">
      <c r="A178" s="3">
        <f t="shared" si="3"/>
        <v>177</v>
      </c>
      <c r="C178" s="3" t="s">
        <v>453</v>
      </c>
      <c r="D178" s="3" t="s">
        <v>466</v>
      </c>
      <c r="E178" s="3" t="s">
        <v>467</v>
      </c>
      <c r="F178" s="3" t="s">
        <v>468</v>
      </c>
      <c r="G178" s="3">
        <v>50</v>
      </c>
      <c r="H178" s="3">
        <v>40</v>
      </c>
      <c r="I178" s="3">
        <v>35</v>
      </c>
      <c r="J178" s="3">
        <v>25</v>
      </c>
      <c r="K178" s="3">
        <v>15</v>
      </c>
    </row>
    <row r="179" spans="1:15" x14ac:dyDescent="0.25">
      <c r="A179" s="3">
        <f t="shared" si="3"/>
        <v>178</v>
      </c>
      <c r="C179" s="3" t="s">
        <v>453</v>
      </c>
      <c r="D179" s="3" t="s">
        <v>469</v>
      </c>
      <c r="E179" s="3" t="s">
        <v>470</v>
      </c>
      <c r="F179" s="3" t="s">
        <v>471</v>
      </c>
      <c r="G179" s="3">
        <v>1000000</v>
      </c>
      <c r="H179" s="3">
        <v>5</v>
      </c>
    </row>
    <row r="180" spans="1:15" x14ac:dyDescent="0.25">
      <c r="A180" s="3">
        <f t="shared" si="3"/>
        <v>179</v>
      </c>
      <c r="C180" s="3" t="s">
        <v>453</v>
      </c>
      <c r="D180" s="3" t="s">
        <v>472</v>
      </c>
      <c r="E180" s="3" t="s">
        <v>473</v>
      </c>
      <c r="G180" s="3">
        <v>1</v>
      </c>
      <c r="H180" s="3">
        <v>2</v>
      </c>
      <c r="I180" s="3">
        <v>3</v>
      </c>
      <c r="J180" s="3">
        <v>4</v>
      </c>
      <c r="K180" s="3">
        <v>6</v>
      </c>
    </row>
    <row r="181" spans="1:15" x14ac:dyDescent="0.25">
      <c r="A181" s="3">
        <f t="shared" si="3"/>
        <v>180</v>
      </c>
      <c r="C181" s="3" t="s">
        <v>453</v>
      </c>
      <c r="D181" s="3" t="s">
        <v>474</v>
      </c>
      <c r="E181" s="3" t="s">
        <v>475</v>
      </c>
      <c r="F181" s="3" t="s">
        <v>476</v>
      </c>
      <c r="G181" s="3">
        <v>3</v>
      </c>
      <c r="H181" s="3">
        <v>3</v>
      </c>
    </row>
    <row r="182" spans="1:15" x14ac:dyDescent="0.25">
      <c r="A182" s="3">
        <f t="shared" si="3"/>
        <v>181</v>
      </c>
      <c r="C182" s="3" t="s">
        <v>453</v>
      </c>
      <c r="D182" s="3" t="s">
        <v>477</v>
      </c>
      <c r="E182" s="3" t="s">
        <v>478</v>
      </c>
      <c r="F182" s="3" t="s">
        <v>479</v>
      </c>
      <c r="G182" s="3">
        <v>6</v>
      </c>
      <c r="H182" s="3">
        <v>6</v>
      </c>
    </row>
    <row r="183" spans="1:15" x14ac:dyDescent="0.25">
      <c r="A183" s="3">
        <f t="shared" si="3"/>
        <v>182</v>
      </c>
      <c r="C183" s="3" t="s">
        <v>480</v>
      </c>
      <c r="D183" s="3" t="s">
        <v>481</v>
      </c>
      <c r="E183" s="3" t="s">
        <v>482</v>
      </c>
      <c r="F183" s="3" t="s">
        <v>483</v>
      </c>
      <c r="G183" s="3">
        <v>30</v>
      </c>
      <c r="H183" s="3">
        <v>6</v>
      </c>
    </row>
    <row r="184" spans="1:15" x14ac:dyDescent="0.25">
      <c r="A184" s="3">
        <f t="shared" si="3"/>
        <v>183</v>
      </c>
      <c r="C184" s="3" t="s">
        <v>480</v>
      </c>
      <c r="D184" s="3" t="s">
        <v>484</v>
      </c>
      <c r="E184" s="3" t="s">
        <v>485</v>
      </c>
      <c r="G184" s="3">
        <v>25</v>
      </c>
      <c r="H184" s="3">
        <v>1.45</v>
      </c>
      <c r="I184" s="3">
        <v>0.08</v>
      </c>
    </row>
    <row r="185" spans="1:15" x14ac:dyDescent="0.25">
      <c r="A185" s="3">
        <f t="shared" si="3"/>
        <v>184</v>
      </c>
      <c r="C185" s="3" t="s">
        <v>480</v>
      </c>
      <c r="D185" s="3" t="s">
        <v>486</v>
      </c>
      <c r="E185" s="3" t="s">
        <v>485</v>
      </c>
      <c r="G185" s="3">
        <v>8</v>
      </c>
      <c r="H185" s="3">
        <v>1.35</v>
      </c>
      <c r="I185" s="3">
        <v>0.04</v>
      </c>
    </row>
    <row r="186" spans="1:15" x14ac:dyDescent="0.25">
      <c r="A186" s="3">
        <f t="shared" si="3"/>
        <v>185</v>
      </c>
      <c r="C186" s="3" t="s">
        <v>480</v>
      </c>
      <c r="D186" s="3" t="s">
        <v>487</v>
      </c>
      <c r="E186" s="3" t="s">
        <v>488</v>
      </c>
      <c r="F186" s="3" t="s">
        <v>489</v>
      </c>
    </row>
    <row r="187" spans="1:15" x14ac:dyDescent="0.25">
      <c r="A187" s="3">
        <f t="shared" si="3"/>
        <v>186</v>
      </c>
      <c r="C187" s="3" t="s">
        <v>490</v>
      </c>
      <c r="D187" s="3" t="s">
        <v>484</v>
      </c>
      <c r="E187" s="3" t="s">
        <v>491</v>
      </c>
      <c r="G187" s="3">
        <v>40</v>
      </c>
      <c r="H187" s="3">
        <v>1.7</v>
      </c>
      <c r="I187" s="3">
        <v>0.15</v>
      </c>
    </row>
    <row r="188" spans="1:15" x14ac:dyDescent="0.25">
      <c r="A188" s="3">
        <f t="shared" si="3"/>
        <v>187</v>
      </c>
      <c r="C188" s="3" t="s">
        <v>490</v>
      </c>
      <c r="D188" s="3" t="s">
        <v>492</v>
      </c>
      <c r="E188" s="3" t="s">
        <v>493</v>
      </c>
      <c r="F188" s="3" t="s">
        <v>494</v>
      </c>
      <c r="G188" s="3">
        <v>9</v>
      </c>
      <c r="H188" s="3">
        <v>14</v>
      </c>
      <c r="I188" s="3">
        <v>20</v>
      </c>
    </row>
    <row r="189" spans="1:15" x14ac:dyDescent="0.25">
      <c r="A189" s="3">
        <f t="shared" si="3"/>
        <v>188</v>
      </c>
      <c r="C189" s="3" t="s">
        <v>490</v>
      </c>
      <c r="D189" s="3" t="s">
        <v>495</v>
      </c>
      <c r="E189" s="3" t="s">
        <v>496</v>
      </c>
      <c r="F189" s="3" t="s">
        <v>497</v>
      </c>
      <c r="G189" s="3">
        <v>30</v>
      </c>
    </row>
    <row r="190" spans="1:15" x14ac:dyDescent="0.25">
      <c r="A190" s="3">
        <f t="shared" si="3"/>
        <v>189</v>
      </c>
      <c r="C190" s="3" t="s">
        <v>490</v>
      </c>
      <c r="D190" s="3" t="s">
        <v>498</v>
      </c>
      <c r="E190" s="3" t="s">
        <v>496</v>
      </c>
      <c r="F190" s="3" t="s">
        <v>499</v>
      </c>
      <c r="G190" s="3">
        <v>1</v>
      </c>
      <c r="H190" s="3">
        <v>1</v>
      </c>
      <c r="I190" s="3">
        <v>1</v>
      </c>
      <c r="J190" s="3">
        <v>1</v>
      </c>
      <c r="K190" s="3">
        <v>1</v>
      </c>
      <c r="L190" s="3">
        <v>1</v>
      </c>
      <c r="M190" s="3">
        <v>2</v>
      </c>
      <c r="N190" s="3">
        <v>3</v>
      </c>
      <c r="O190" s="3">
        <v>4</v>
      </c>
    </row>
    <row r="191" spans="1:15" x14ac:dyDescent="0.25">
      <c r="A191" s="3">
        <f t="shared" si="3"/>
        <v>190</v>
      </c>
      <c r="C191" s="3" t="s">
        <v>500</v>
      </c>
      <c r="D191" s="3" t="s">
        <v>501</v>
      </c>
      <c r="E191" s="3" t="s">
        <v>502</v>
      </c>
      <c r="F191" s="3" t="s">
        <v>503</v>
      </c>
      <c r="G191" s="3">
        <v>5</v>
      </c>
    </row>
    <row r="192" spans="1:15" x14ac:dyDescent="0.25">
      <c r="A192" s="3">
        <f t="shared" si="3"/>
        <v>191</v>
      </c>
      <c r="C192" s="3" t="s">
        <v>500</v>
      </c>
      <c r="D192" s="3" t="s">
        <v>504</v>
      </c>
      <c r="E192" s="3" t="s">
        <v>505</v>
      </c>
      <c r="F192" s="3" t="s">
        <v>506</v>
      </c>
    </row>
    <row r="193" spans="1:11" x14ac:dyDescent="0.25">
      <c r="A193" s="3">
        <f t="shared" si="3"/>
        <v>192</v>
      </c>
      <c r="C193" s="3" t="s">
        <v>500</v>
      </c>
      <c r="D193" s="3" t="s">
        <v>507</v>
      </c>
      <c r="E193" s="3" t="s">
        <v>508</v>
      </c>
      <c r="F193" s="3" t="s">
        <v>509</v>
      </c>
    </row>
    <row r="194" spans="1:11" x14ac:dyDescent="0.25">
      <c r="A194" s="3">
        <f t="shared" si="3"/>
        <v>193</v>
      </c>
      <c r="C194" s="3" t="s">
        <v>500</v>
      </c>
      <c r="D194" s="3" t="s">
        <v>510</v>
      </c>
      <c r="E194" s="3" t="s">
        <v>511</v>
      </c>
      <c r="F194" s="3" t="s">
        <v>509</v>
      </c>
    </row>
    <row r="195" spans="1:11" x14ac:dyDescent="0.25">
      <c r="A195" s="3">
        <f t="shared" si="3"/>
        <v>194</v>
      </c>
      <c r="C195" s="3" t="s">
        <v>512</v>
      </c>
      <c r="D195" s="3" t="s">
        <v>513</v>
      </c>
      <c r="E195" s="3" t="s">
        <v>514</v>
      </c>
      <c r="F195" s="3" t="s">
        <v>515</v>
      </c>
      <c r="G195" s="3">
        <v>2</v>
      </c>
    </row>
    <row r="196" spans="1:11" x14ac:dyDescent="0.25">
      <c r="A196" s="3">
        <f t="shared" ref="A196:A259" si="4">A195+1</f>
        <v>195</v>
      </c>
      <c r="C196" s="3" t="s">
        <v>516</v>
      </c>
      <c r="D196" s="3" t="s">
        <v>517</v>
      </c>
      <c r="E196" s="3" t="s">
        <v>518</v>
      </c>
      <c r="F196" s="3" t="s">
        <v>519</v>
      </c>
      <c r="G196" s="3">
        <v>10000</v>
      </c>
      <c r="H196" s="3">
        <v>3</v>
      </c>
    </row>
    <row r="197" spans="1:11" x14ac:dyDescent="0.25">
      <c r="A197" s="3">
        <f t="shared" si="4"/>
        <v>196</v>
      </c>
      <c r="C197" s="3" t="s">
        <v>520</v>
      </c>
      <c r="D197" s="3" t="s">
        <v>521</v>
      </c>
      <c r="E197" s="3" t="s">
        <v>522</v>
      </c>
      <c r="F197" s="3" t="s">
        <v>523</v>
      </c>
      <c r="G197" s="3">
        <v>20000</v>
      </c>
    </row>
    <row r="198" spans="1:11" x14ac:dyDescent="0.25">
      <c r="A198" s="3">
        <f t="shared" si="4"/>
        <v>197</v>
      </c>
      <c r="C198" s="3" t="s">
        <v>520</v>
      </c>
      <c r="D198" s="3" t="s">
        <v>524</v>
      </c>
      <c r="E198" s="3" t="s">
        <v>525</v>
      </c>
      <c r="G198" s="3">
        <v>30</v>
      </c>
      <c r="H198" s="3">
        <v>2</v>
      </c>
    </row>
    <row r="199" spans="1:11" x14ac:dyDescent="0.25">
      <c r="A199" s="3">
        <f t="shared" si="4"/>
        <v>198</v>
      </c>
      <c r="C199" s="3" t="s">
        <v>520</v>
      </c>
      <c r="D199" s="3" t="s">
        <v>526</v>
      </c>
      <c r="E199" s="3" t="s">
        <v>968</v>
      </c>
      <c r="F199" s="3" t="s">
        <v>966</v>
      </c>
      <c r="G199" s="3">
        <v>100</v>
      </c>
      <c r="H199" s="3">
        <v>1000</v>
      </c>
    </row>
    <row r="200" spans="1:11" x14ac:dyDescent="0.25">
      <c r="A200" s="3">
        <f t="shared" si="4"/>
        <v>199</v>
      </c>
      <c r="C200" s="3" t="s">
        <v>520</v>
      </c>
      <c r="D200" s="3" t="s">
        <v>527</v>
      </c>
      <c r="E200" s="3" t="s">
        <v>967</v>
      </c>
      <c r="F200" s="3" t="s">
        <v>969</v>
      </c>
      <c r="G200" s="3">
        <v>10000</v>
      </c>
      <c r="H200" s="3">
        <v>10000</v>
      </c>
      <c r="I200" s="3">
        <v>1.02</v>
      </c>
    </row>
    <row r="201" spans="1:11" x14ac:dyDescent="0.25">
      <c r="A201" s="3">
        <f t="shared" si="4"/>
        <v>200</v>
      </c>
      <c r="C201" s="3" t="s">
        <v>520</v>
      </c>
      <c r="D201" s="3" t="s">
        <v>528</v>
      </c>
      <c r="E201" s="3" t="s">
        <v>529</v>
      </c>
      <c r="G201" s="3">
        <v>2</v>
      </c>
    </row>
    <row r="202" spans="1:11" x14ac:dyDescent="0.25">
      <c r="A202" s="3">
        <f t="shared" si="4"/>
        <v>201</v>
      </c>
      <c r="C202" s="3" t="s">
        <v>530</v>
      </c>
      <c r="D202" s="3" t="s">
        <v>531</v>
      </c>
      <c r="E202" s="3" t="s">
        <v>532</v>
      </c>
      <c r="F202" s="3" t="s">
        <v>533</v>
      </c>
      <c r="G202" s="3">
        <v>0.2</v>
      </c>
    </row>
    <row r="203" spans="1:11" x14ac:dyDescent="0.25">
      <c r="A203" s="3">
        <f t="shared" si="4"/>
        <v>202</v>
      </c>
      <c r="C203" s="3" t="s">
        <v>530</v>
      </c>
      <c r="D203" s="3" t="s">
        <v>534</v>
      </c>
      <c r="E203" s="3" t="s">
        <v>535</v>
      </c>
      <c r="F203" s="3" t="s">
        <v>536</v>
      </c>
      <c r="G203" s="3">
        <v>2</v>
      </c>
    </row>
    <row r="204" spans="1:11" x14ac:dyDescent="0.25">
      <c r="A204" s="3">
        <f t="shared" si="4"/>
        <v>203</v>
      </c>
      <c r="C204" s="3" t="s">
        <v>530</v>
      </c>
      <c r="D204" s="3" t="s">
        <v>537</v>
      </c>
      <c r="E204" s="3" t="s">
        <v>538</v>
      </c>
      <c r="F204" s="3" t="s">
        <v>539</v>
      </c>
      <c r="G204" s="3">
        <v>3</v>
      </c>
    </row>
    <row r="205" spans="1:11" x14ac:dyDescent="0.25">
      <c r="A205" s="3">
        <f t="shared" si="4"/>
        <v>204</v>
      </c>
      <c r="C205" s="3" t="s">
        <v>530</v>
      </c>
      <c r="D205" s="3" t="s">
        <v>540</v>
      </c>
      <c r="E205" s="3" t="s">
        <v>541</v>
      </c>
      <c r="F205" s="3" t="s">
        <v>542</v>
      </c>
    </row>
    <row r="206" spans="1:11" x14ac:dyDescent="0.25">
      <c r="A206" s="3">
        <f t="shared" si="4"/>
        <v>205</v>
      </c>
      <c r="C206" s="3" t="s">
        <v>530</v>
      </c>
      <c r="D206" s="3" t="s">
        <v>543</v>
      </c>
      <c r="E206" s="3" t="s">
        <v>544</v>
      </c>
      <c r="F206" s="3" t="s">
        <v>545</v>
      </c>
      <c r="G206" s="3">
        <v>100</v>
      </c>
      <c r="H206" s="3">
        <v>300</v>
      </c>
      <c r="I206" s="3">
        <v>900</v>
      </c>
      <c r="J206" s="3">
        <v>2700</v>
      </c>
      <c r="K206" s="3">
        <v>8100</v>
      </c>
    </row>
    <row r="207" spans="1:11" x14ac:dyDescent="0.25">
      <c r="A207" s="3">
        <f t="shared" si="4"/>
        <v>206</v>
      </c>
      <c r="C207" s="3" t="s">
        <v>530</v>
      </c>
      <c r="D207" s="3" t="s">
        <v>546</v>
      </c>
      <c r="E207" s="3" t="s">
        <v>547</v>
      </c>
      <c r="F207" s="3" t="s">
        <v>548</v>
      </c>
      <c r="G207" s="3">
        <v>9</v>
      </c>
      <c r="H207" s="3">
        <v>1000</v>
      </c>
    </row>
    <row r="208" spans="1:11" x14ac:dyDescent="0.25">
      <c r="A208" s="3">
        <f t="shared" si="4"/>
        <v>207</v>
      </c>
      <c r="C208" s="3" t="s">
        <v>530</v>
      </c>
      <c r="D208" s="3" t="s">
        <v>549</v>
      </c>
      <c r="E208" s="3" t="s">
        <v>550</v>
      </c>
      <c r="F208" s="3" t="s">
        <v>551</v>
      </c>
      <c r="G208" s="3">
        <v>0.7</v>
      </c>
    </row>
    <row r="209" spans="1:16" x14ac:dyDescent="0.25">
      <c r="A209" s="3">
        <f t="shared" si="4"/>
        <v>208</v>
      </c>
      <c r="C209" s="3" t="s">
        <v>530</v>
      </c>
      <c r="D209" s="3" t="s">
        <v>552</v>
      </c>
      <c r="E209" s="3" t="s">
        <v>553</v>
      </c>
      <c r="F209" s="3" t="s">
        <v>554</v>
      </c>
      <c r="G209" s="3">
        <v>0.7</v>
      </c>
    </row>
    <row r="210" spans="1:16" x14ac:dyDescent="0.25">
      <c r="A210" s="3">
        <f t="shared" si="4"/>
        <v>209</v>
      </c>
      <c r="C210" s="3" t="s">
        <v>530</v>
      </c>
      <c r="D210" s="3" t="s">
        <v>555</v>
      </c>
      <c r="E210" s="3" t="s">
        <v>556</v>
      </c>
      <c r="F210" s="3" t="s">
        <v>557</v>
      </c>
      <c r="G210" s="3">
        <v>10</v>
      </c>
      <c r="H210" s="3">
        <v>60</v>
      </c>
      <c r="I210" s="3">
        <v>10</v>
      </c>
    </row>
    <row r="211" spans="1:16" x14ac:dyDescent="0.25">
      <c r="A211" s="3">
        <f t="shared" si="4"/>
        <v>210</v>
      </c>
      <c r="C211" s="3" t="s">
        <v>530</v>
      </c>
      <c r="D211" s="3" t="s">
        <v>558</v>
      </c>
      <c r="E211" s="3" t="s">
        <v>559</v>
      </c>
      <c r="F211" s="3" t="s">
        <v>560</v>
      </c>
    </row>
    <row r="212" spans="1:16" x14ac:dyDescent="0.25">
      <c r="A212" s="3">
        <f t="shared" si="4"/>
        <v>211</v>
      </c>
      <c r="C212" s="3" t="s">
        <v>561</v>
      </c>
      <c r="D212" s="3" t="s">
        <v>562</v>
      </c>
      <c r="E212" s="3" t="s">
        <v>563</v>
      </c>
      <c r="F212" s="3" t="s">
        <v>564</v>
      </c>
      <c r="G212" s="3">
        <v>10000</v>
      </c>
      <c r="H212" s="3">
        <v>3</v>
      </c>
      <c r="I212" s="3">
        <v>4000000</v>
      </c>
    </row>
    <row r="213" spans="1:16" x14ac:dyDescent="0.25">
      <c r="A213" s="3">
        <f t="shared" si="4"/>
        <v>212</v>
      </c>
      <c r="C213" s="3" t="s">
        <v>561</v>
      </c>
      <c r="D213" s="3" t="s">
        <v>565</v>
      </c>
      <c r="E213" s="3" t="s">
        <v>566</v>
      </c>
      <c r="F213" s="3" t="s">
        <v>567</v>
      </c>
      <c r="G213" s="3">
        <v>5000</v>
      </c>
      <c r="H213" s="3">
        <v>2.5</v>
      </c>
    </row>
    <row r="214" spans="1:16" x14ac:dyDescent="0.25">
      <c r="A214" s="3">
        <f t="shared" si="4"/>
        <v>213</v>
      </c>
      <c r="C214" s="3" t="s">
        <v>561</v>
      </c>
      <c r="D214" s="3" t="s">
        <v>568</v>
      </c>
      <c r="E214" s="3" t="s">
        <v>569</v>
      </c>
      <c r="G214" s="3">
        <v>8</v>
      </c>
    </row>
    <row r="215" spans="1:16" x14ac:dyDescent="0.25">
      <c r="A215" s="3">
        <f t="shared" si="4"/>
        <v>214</v>
      </c>
      <c r="C215" s="3" t="s">
        <v>561</v>
      </c>
      <c r="D215" s="3" t="s">
        <v>570</v>
      </c>
      <c r="E215" s="3" t="s">
        <v>571</v>
      </c>
      <c r="F215" s="3" t="s">
        <v>572</v>
      </c>
      <c r="G215" s="4">
        <v>10000</v>
      </c>
      <c r="H215" s="4">
        <v>100000</v>
      </c>
      <c r="I215" s="4">
        <v>500000</v>
      </c>
      <c r="J215" s="4">
        <v>2000000</v>
      </c>
      <c r="K215" s="4">
        <v>10000000</v>
      </c>
      <c r="L215" s="4">
        <v>50000000</v>
      </c>
      <c r="M215" s="4">
        <v>200000000</v>
      </c>
      <c r="N215" s="4">
        <v>1000000000</v>
      </c>
      <c r="O215" s="4">
        <v>10000000000</v>
      </c>
      <c r="P215" s="4">
        <v>1000000000000</v>
      </c>
    </row>
    <row r="216" spans="1:16" x14ac:dyDescent="0.25">
      <c r="A216" s="3">
        <f t="shared" si="4"/>
        <v>215</v>
      </c>
      <c r="C216" s="3" t="s">
        <v>573</v>
      </c>
      <c r="D216" s="3" t="s">
        <v>574</v>
      </c>
      <c r="E216" s="3" t="s">
        <v>575</v>
      </c>
      <c r="F216" s="3" t="s">
        <v>576</v>
      </c>
      <c r="G216" s="3" t="s">
        <v>577</v>
      </c>
      <c r="H216" s="3" t="s">
        <v>578</v>
      </c>
    </row>
    <row r="217" spans="1:16" x14ac:dyDescent="0.25">
      <c r="A217" s="3">
        <f t="shared" si="4"/>
        <v>216</v>
      </c>
      <c r="C217" s="3" t="s">
        <v>573</v>
      </c>
      <c r="D217" s="3" t="s">
        <v>579</v>
      </c>
      <c r="E217" s="3" t="s">
        <v>575</v>
      </c>
      <c r="F217" s="3" t="s">
        <v>576</v>
      </c>
      <c r="G217" s="3" t="s">
        <v>577</v>
      </c>
      <c r="H217" s="3" t="s">
        <v>580</v>
      </c>
      <c r="I217" s="3" t="s">
        <v>581</v>
      </c>
    </row>
    <row r="218" spans="1:16" x14ac:dyDescent="0.25">
      <c r="A218" s="3">
        <f t="shared" si="4"/>
        <v>217</v>
      </c>
      <c r="C218" s="3" t="s">
        <v>573</v>
      </c>
      <c r="D218" s="3" t="s">
        <v>582</v>
      </c>
      <c r="E218" s="3" t="s">
        <v>575</v>
      </c>
      <c r="F218" s="3" t="s">
        <v>576</v>
      </c>
      <c r="G218" s="3" t="s">
        <v>577</v>
      </c>
      <c r="H218" s="3" t="s">
        <v>583</v>
      </c>
      <c r="I218" s="3" t="s">
        <v>581</v>
      </c>
      <c r="J218" s="3" t="s">
        <v>584</v>
      </c>
    </row>
    <row r="219" spans="1:16" x14ac:dyDescent="0.25">
      <c r="A219" s="3">
        <f t="shared" si="4"/>
        <v>218</v>
      </c>
      <c r="C219" s="3" t="s">
        <v>573</v>
      </c>
      <c r="D219" s="3" t="s">
        <v>585</v>
      </c>
      <c r="E219" s="3" t="s">
        <v>575</v>
      </c>
      <c r="F219" s="3" t="s">
        <v>576</v>
      </c>
      <c r="G219" s="3" t="s">
        <v>586</v>
      </c>
      <c r="H219" s="3" t="s">
        <v>583</v>
      </c>
      <c r="I219" s="3" t="s">
        <v>587</v>
      </c>
      <c r="J219" s="3" t="s">
        <v>584</v>
      </c>
    </row>
    <row r="220" spans="1:16" x14ac:dyDescent="0.25">
      <c r="A220" s="3">
        <f t="shared" si="4"/>
        <v>219</v>
      </c>
      <c r="C220" s="3" t="s">
        <v>573</v>
      </c>
      <c r="D220" s="3" t="s">
        <v>588</v>
      </c>
      <c r="E220" s="3" t="s">
        <v>575</v>
      </c>
      <c r="F220" s="3" t="s">
        <v>576</v>
      </c>
      <c r="G220" s="3" t="s">
        <v>589</v>
      </c>
      <c r="H220" s="3" t="s">
        <v>583</v>
      </c>
      <c r="I220" s="3" t="s">
        <v>587</v>
      </c>
      <c r="J220" s="3" t="s">
        <v>590</v>
      </c>
    </row>
    <row r="221" spans="1:16" x14ac:dyDescent="0.25">
      <c r="A221" s="3">
        <f t="shared" si="4"/>
        <v>220</v>
      </c>
      <c r="C221" s="3" t="s">
        <v>573</v>
      </c>
      <c r="D221" s="3" t="s">
        <v>591</v>
      </c>
      <c r="E221" s="3" t="s">
        <v>575</v>
      </c>
      <c r="F221" s="3" t="s">
        <v>576</v>
      </c>
      <c r="G221" s="3" t="s">
        <v>592</v>
      </c>
      <c r="H221" s="3" t="s">
        <v>583</v>
      </c>
      <c r="I221" s="3" t="s">
        <v>587</v>
      </c>
      <c r="J221" s="3" t="s">
        <v>590</v>
      </c>
      <c r="K221" s="3" t="s">
        <v>593</v>
      </c>
    </row>
    <row r="222" spans="1:16" x14ac:dyDescent="0.25">
      <c r="A222" s="3">
        <f t="shared" si="4"/>
        <v>221</v>
      </c>
      <c r="C222" s="3" t="s">
        <v>573</v>
      </c>
      <c r="D222" s="3" t="s">
        <v>594</v>
      </c>
      <c r="E222" s="3" t="s">
        <v>575</v>
      </c>
      <c r="F222" s="3" t="s">
        <v>576</v>
      </c>
      <c r="G222" s="3" t="s">
        <v>595</v>
      </c>
      <c r="H222" s="3" t="s">
        <v>596</v>
      </c>
      <c r="I222" s="3" t="s">
        <v>590</v>
      </c>
      <c r="J222" s="3" t="s">
        <v>597</v>
      </c>
      <c r="K222" s="3" t="s">
        <v>598</v>
      </c>
    </row>
    <row r="223" spans="1:16" x14ac:dyDescent="0.25">
      <c r="A223" s="3">
        <f t="shared" si="4"/>
        <v>222</v>
      </c>
      <c r="C223" s="3" t="s">
        <v>573</v>
      </c>
      <c r="D223" s="3" t="s">
        <v>599</v>
      </c>
      <c r="E223" s="3" t="s">
        <v>575</v>
      </c>
      <c r="F223" s="3" t="s">
        <v>576</v>
      </c>
      <c r="G223" s="3" t="s">
        <v>583</v>
      </c>
      <c r="H223" s="3" t="s">
        <v>596</v>
      </c>
      <c r="I223" s="3" t="s">
        <v>590</v>
      </c>
      <c r="J223" s="3" t="s">
        <v>597</v>
      </c>
      <c r="K223" s="3" t="s">
        <v>600</v>
      </c>
    </row>
    <row r="224" spans="1:16" x14ac:dyDescent="0.25">
      <c r="A224" s="3">
        <f t="shared" si="4"/>
        <v>223</v>
      </c>
      <c r="C224" s="3" t="s">
        <v>573</v>
      </c>
      <c r="D224" s="3" t="s">
        <v>601</v>
      </c>
      <c r="E224" s="3" t="s">
        <v>575</v>
      </c>
      <c r="F224" s="3" t="s">
        <v>576</v>
      </c>
      <c r="G224" s="3" t="s">
        <v>596</v>
      </c>
      <c r="H224" s="3" t="s">
        <v>602</v>
      </c>
      <c r="I224" s="3" t="s">
        <v>597</v>
      </c>
      <c r="J224" s="3" t="s">
        <v>603</v>
      </c>
      <c r="K224" s="3" t="s">
        <v>604</v>
      </c>
    </row>
    <row r="225" spans="1:12" x14ac:dyDescent="0.25">
      <c r="A225" s="3">
        <f t="shared" si="4"/>
        <v>224</v>
      </c>
      <c r="C225" s="3" t="s">
        <v>573</v>
      </c>
      <c r="D225" s="3" t="s">
        <v>605</v>
      </c>
      <c r="E225" s="3" t="s">
        <v>575</v>
      </c>
      <c r="F225" s="3" t="s">
        <v>576</v>
      </c>
      <c r="G225" s="3" t="s">
        <v>602</v>
      </c>
      <c r="H225" s="3" t="s">
        <v>606</v>
      </c>
      <c r="I225" s="3" t="s">
        <v>603</v>
      </c>
      <c r="J225" s="3" t="s">
        <v>607</v>
      </c>
      <c r="K225" s="3" t="s">
        <v>608</v>
      </c>
    </row>
    <row r="226" spans="1:12" x14ac:dyDescent="0.25">
      <c r="A226" s="3">
        <f t="shared" si="4"/>
        <v>225</v>
      </c>
      <c r="C226" s="3" t="s">
        <v>573</v>
      </c>
      <c r="D226" s="3" t="s">
        <v>609</v>
      </c>
      <c r="E226" s="3" t="s">
        <v>575</v>
      </c>
      <c r="F226" s="3" t="s">
        <v>576</v>
      </c>
      <c r="G226" s="3" t="s">
        <v>606</v>
      </c>
      <c r="H226" s="3" t="s">
        <v>610</v>
      </c>
      <c r="I226" s="3" t="s">
        <v>607</v>
      </c>
      <c r="J226" s="3" t="s">
        <v>611</v>
      </c>
      <c r="K226" s="3" t="s">
        <v>612</v>
      </c>
    </row>
    <row r="227" spans="1:12" x14ac:dyDescent="0.25">
      <c r="A227" s="3">
        <f t="shared" si="4"/>
        <v>226</v>
      </c>
      <c r="C227" s="3" t="s">
        <v>573</v>
      </c>
      <c r="D227" s="3" t="s">
        <v>613</v>
      </c>
      <c r="E227" s="3" t="s">
        <v>575</v>
      </c>
      <c r="F227" s="3" t="s">
        <v>576</v>
      </c>
      <c r="G227" s="3" t="s">
        <v>610</v>
      </c>
      <c r="H227" s="3" t="s">
        <v>614</v>
      </c>
      <c r="I227" s="3" t="s">
        <v>611</v>
      </c>
      <c r="J227" s="3" t="s">
        <v>615</v>
      </c>
      <c r="K227" s="3" t="s">
        <v>616</v>
      </c>
    </row>
    <row r="228" spans="1:12" x14ac:dyDescent="0.25">
      <c r="A228" s="3">
        <f t="shared" si="4"/>
        <v>227</v>
      </c>
      <c r="C228" s="3" t="s">
        <v>573</v>
      </c>
      <c r="D228" s="3" t="s">
        <v>617</v>
      </c>
      <c r="E228" s="3" t="s">
        <v>575</v>
      </c>
      <c r="F228" s="3" t="s">
        <v>576</v>
      </c>
      <c r="G228" s="3" t="s">
        <v>614</v>
      </c>
      <c r="H228" s="3" t="s">
        <v>618</v>
      </c>
      <c r="I228" s="3" t="s">
        <v>615</v>
      </c>
      <c r="J228" s="3" t="s">
        <v>619</v>
      </c>
      <c r="K228" s="3" t="s">
        <v>620</v>
      </c>
    </row>
    <row r="229" spans="1:12" x14ac:dyDescent="0.25">
      <c r="A229" s="3">
        <f t="shared" si="4"/>
        <v>228</v>
      </c>
      <c r="C229" s="3" t="s">
        <v>573</v>
      </c>
      <c r="D229" s="3" t="s">
        <v>621</v>
      </c>
      <c r="E229" s="3" t="s">
        <v>575</v>
      </c>
      <c r="F229" s="3" t="s">
        <v>576</v>
      </c>
      <c r="G229" s="3" t="s">
        <v>618</v>
      </c>
      <c r="H229" s="3" t="s">
        <v>622</v>
      </c>
      <c r="I229" s="3" t="s">
        <v>619</v>
      </c>
      <c r="J229" s="3" t="s">
        <v>623</v>
      </c>
      <c r="K229" s="3" t="s">
        <v>624</v>
      </c>
    </row>
    <row r="230" spans="1:12" x14ac:dyDescent="0.25">
      <c r="A230" s="3">
        <f t="shared" si="4"/>
        <v>229</v>
      </c>
      <c r="C230" s="3" t="s">
        <v>573</v>
      </c>
      <c r="D230" s="3" t="s">
        <v>625</v>
      </c>
      <c r="E230" s="3" t="s">
        <v>575</v>
      </c>
      <c r="F230" s="3" t="s">
        <v>576</v>
      </c>
      <c r="G230" s="3" t="s">
        <v>622</v>
      </c>
      <c r="H230" s="3" t="s">
        <v>626</v>
      </c>
      <c r="I230" s="3" t="s">
        <v>623</v>
      </c>
      <c r="J230" s="3" t="s">
        <v>627</v>
      </c>
      <c r="K230" s="3" t="s">
        <v>628</v>
      </c>
    </row>
    <row r="231" spans="1:12" x14ac:dyDescent="0.25">
      <c r="A231" s="3">
        <f t="shared" si="4"/>
        <v>230</v>
      </c>
      <c r="C231" s="3" t="s">
        <v>573</v>
      </c>
      <c r="D231" s="3" t="s">
        <v>629</v>
      </c>
      <c r="E231" s="3" t="s">
        <v>575</v>
      </c>
      <c r="F231" s="3" t="s">
        <v>576</v>
      </c>
      <c r="G231" s="3" t="s">
        <v>626</v>
      </c>
      <c r="H231" s="3" t="s">
        <v>630</v>
      </c>
      <c r="I231" s="3" t="s">
        <v>627</v>
      </c>
      <c r="J231" s="3" t="s">
        <v>631</v>
      </c>
      <c r="K231" s="3" t="s">
        <v>632</v>
      </c>
    </row>
    <row r="232" spans="1:12" x14ac:dyDescent="0.25">
      <c r="A232" s="3">
        <f t="shared" si="4"/>
        <v>231</v>
      </c>
      <c r="C232" s="3" t="s">
        <v>573</v>
      </c>
      <c r="D232" s="3" t="s">
        <v>633</v>
      </c>
      <c r="E232" s="3" t="s">
        <v>575</v>
      </c>
      <c r="F232" s="3" t="s">
        <v>576</v>
      </c>
      <c r="G232" s="3" t="s">
        <v>630</v>
      </c>
      <c r="H232" s="3" t="s">
        <v>634</v>
      </c>
      <c r="I232" s="3" t="s">
        <v>631</v>
      </c>
      <c r="J232" s="3" t="s">
        <v>635</v>
      </c>
      <c r="K232" s="3" t="s">
        <v>636</v>
      </c>
    </row>
    <row r="233" spans="1:12" x14ac:dyDescent="0.25">
      <c r="A233" s="3">
        <f t="shared" si="4"/>
        <v>232</v>
      </c>
      <c r="C233" s="3" t="s">
        <v>573</v>
      </c>
      <c r="D233" s="3" t="s">
        <v>637</v>
      </c>
      <c r="E233" s="3" t="s">
        <v>575</v>
      </c>
      <c r="F233" s="3" t="s">
        <v>576</v>
      </c>
      <c r="G233" s="3" t="s">
        <v>620</v>
      </c>
      <c r="H233" s="3" t="s">
        <v>638</v>
      </c>
      <c r="I233" s="3" t="s">
        <v>639</v>
      </c>
      <c r="J233" s="3" t="s">
        <v>635</v>
      </c>
      <c r="K233" s="3" t="s">
        <v>640</v>
      </c>
      <c r="L233" s="3" t="s">
        <v>641</v>
      </c>
    </row>
    <row r="234" spans="1:12" x14ac:dyDescent="0.25">
      <c r="A234" s="3">
        <f t="shared" si="4"/>
        <v>233</v>
      </c>
      <c r="C234" s="3" t="s">
        <v>573</v>
      </c>
      <c r="D234" s="3" t="s">
        <v>642</v>
      </c>
      <c r="E234" s="3" t="s">
        <v>575</v>
      </c>
      <c r="F234" s="3" t="s">
        <v>576</v>
      </c>
      <c r="G234" s="3" t="s">
        <v>620</v>
      </c>
      <c r="H234" s="3" t="s">
        <v>638</v>
      </c>
      <c r="I234" s="3" t="s">
        <v>639</v>
      </c>
      <c r="J234" s="3" t="s">
        <v>635</v>
      </c>
      <c r="K234" s="3" t="s">
        <v>640</v>
      </c>
      <c r="L234" s="3" t="s">
        <v>641</v>
      </c>
    </row>
    <row r="235" spans="1:12" x14ac:dyDescent="0.25">
      <c r="A235" s="3">
        <f t="shared" si="4"/>
        <v>234</v>
      </c>
      <c r="C235" s="3" t="s">
        <v>573</v>
      </c>
      <c r="D235" s="3" t="s">
        <v>643</v>
      </c>
      <c r="E235" s="3" t="s">
        <v>575</v>
      </c>
      <c r="F235" s="3" t="s">
        <v>576</v>
      </c>
      <c r="G235" s="3" t="s">
        <v>620</v>
      </c>
      <c r="H235" s="3" t="s">
        <v>638</v>
      </c>
      <c r="I235" s="3" t="s">
        <v>639</v>
      </c>
      <c r="J235" s="3" t="s">
        <v>635</v>
      </c>
      <c r="K235" s="3" t="s">
        <v>640</v>
      </c>
      <c r="L235" s="3" t="s">
        <v>641</v>
      </c>
    </row>
    <row r="236" spans="1:12" x14ac:dyDescent="0.25">
      <c r="A236" s="3">
        <f t="shared" si="4"/>
        <v>235</v>
      </c>
      <c r="C236" s="3" t="s">
        <v>644</v>
      </c>
      <c r="D236" s="3" t="s">
        <v>574</v>
      </c>
      <c r="E236" s="3" t="s">
        <v>645</v>
      </c>
      <c r="F236" s="3" t="s">
        <v>646</v>
      </c>
      <c r="G236" s="3" t="s">
        <v>647</v>
      </c>
      <c r="H236" s="3" t="s">
        <v>648</v>
      </c>
      <c r="I236" s="3" t="s">
        <v>649</v>
      </c>
      <c r="J236" s="3" t="s">
        <v>650</v>
      </c>
    </row>
    <row r="237" spans="1:12" x14ac:dyDescent="0.25">
      <c r="A237" s="3">
        <f t="shared" si="4"/>
        <v>236</v>
      </c>
      <c r="C237" s="3" t="s">
        <v>644</v>
      </c>
      <c r="D237" s="3" t="s">
        <v>579</v>
      </c>
      <c r="E237" s="3" t="s">
        <v>645</v>
      </c>
      <c r="F237" s="3" t="s">
        <v>646</v>
      </c>
      <c r="G237" s="3" t="s">
        <v>651</v>
      </c>
      <c r="H237" s="3" t="s">
        <v>648</v>
      </c>
      <c r="I237" s="3" t="s">
        <v>652</v>
      </c>
      <c r="J237" s="3" t="s">
        <v>653</v>
      </c>
    </row>
    <row r="238" spans="1:12" x14ac:dyDescent="0.25">
      <c r="A238" s="3">
        <f t="shared" si="4"/>
        <v>237</v>
      </c>
      <c r="C238" s="3" t="s">
        <v>644</v>
      </c>
      <c r="D238" s="3" t="s">
        <v>582</v>
      </c>
      <c r="E238" s="3" t="s">
        <v>645</v>
      </c>
      <c r="F238" s="3" t="s">
        <v>646</v>
      </c>
      <c r="G238" s="3" t="s">
        <v>654</v>
      </c>
      <c r="H238" s="3" t="s">
        <v>648</v>
      </c>
      <c r="I238" s="3" t="s">
        <v>655</v>
      </c>
      <c r="J238" s="3" t="s">
        <v>656</v>
      </c>
    </row>
    <row r="239" spans="1:12" x14ac:dyDescent="0.25">
      <c r="A239" s="3">
        <f t="shared" si="4"/>
        <v>238</v>
      </c>
      <c r="C239" s="3" t="s">
        <v>644</v>
      </c>
      <c r="D239" s="3" t="s">
        <v>585</v>
      </c>
      <c r="E239" s="3" t="s">
        <v>645</v>
      </c>
      <c r="F239" s="3" t="s">
        <v>646</v>
      </c>
      <c r="G239" s="3" t="s">
        <v>657</v>
      </c>
      <c r="H239" s="3" t="s">
        <v>648</v>
      </c>
      <c r="I239" s="3" t="s">
        <v>655</v>
      </c>
      <c r="J239" s="3" t="s">
        <v>656</v>
      </c>
      <c r="K239" s="3" t="s">
        <v>658</v>
      </c>
    </row>
    <row r="240" spans="1:12" x14ac:dyDescent="0.25">
      <c r="A240" s="3">
        <f t="shared" si="4"/>
        <v>239</v>
      </c>
      <c r="C240" s="3" t="s">
        <v>644</v>
      </c>
      <c r="D240" s="3" t="s">
        <v>588</v>
      </c>
      <c r="E240" s="3" t="s">
        <v>645</v>
      </c>
      <c r="F240" s="3" t="s">
        <v>646</v>
      </c>
      <c r="G240" s="3" t="s">
        <v>659</v>
      </c>
      <c r="H240" s="3" t="s">
        <v>648</v>
      </c>
      <c r="I240" s="3" t="s">
        <v>655</v>
      </c>
      <c r="J240" s="3" t="s">
        <v>660</v>
      </c>
      <c r="K240" s="3" t="s">
        <v>661</v>
      </c>
    </row>
    <row r="241" spans="1:16" x14ac:dyDescent="0.25">
      <c r="A241" s="3">
        <f t="shared" si="4"/>
        <v>240</v>
      </c>
      <c r="C241" s="3" t="s">
        <v>644</v>
      </c>
      <c r="D241" s="3" t="s">
        <v>591</v>
      </c>
      <c r="E241" s="3" t="s">
        <v>645</v>
      </c>
      <c r="F241" s="3" t="s">
        <v>646</v>
      </c>
      <c r="G241" s="3" t="s">
        <v>662</v>
      </c>
      <c r="H241" s="3" t="s">
        <v>648</v>
      </c>
      <c r="I241" s="3" t="s">
        <v>655</v>
      </c>
      <c r="J241" s="3" t="s">
        <v>663</v>
      </c>
      <c r="K241" s="3" t="s">
        <v>664</v>
      </c>
    </row>
    <row r="242" spans="1:16" x14ac:dyDescent="0.25">
      <c r="A242" s="3">
        <f t="shared" si="4"/>
        <v>241</v>
      </c>
      <c r="C242" s="3" t="s">
        <v>644</v>
      </c>
      <c r="D242" s="3" t="s">
        <v>594</v>
      </c>
      <c r="E242" s="3" t="s">
        <v>645</v>
      </c>
      <c r="F242" s="3" t="s">
        <v>646</v>
      </c>
      <c r="G242" s="3" t="s">
        <v>665</v>
      </c>
      <c r="H242" s="3" t="s">
        <v>648</v>
      </c>
      <c r="I242" s="3" t="s">
        <v>666</v>
      </c>
      <c r="J242" s="3" t="s">
        <v>667</v>
      </c>
      <c r="K242" s="3" t="s">
        <v>668</v>
      </c>
    </row>
    <row r="243" spans="1:16" x14ac:dyDescent="0.25">
      <c r="A243" s="3">
        <f t="shared" si="4"/>
        <v>242</v>
      </c>
      <c r="C243" s="3" t="s">
        <v>644</v>
      </c>
      <c r="D243" s="3" t="s">
        <v>599</v>
      </c>
      <c r="E243" s="3" t="s">
        <v>645</v>
      </c>
      <c r="F243" s="3" t="s">
        <v>646</v>
      </c>
      <c r="G243" s="3" t="s">
        <v>669</v>
      </c>
      <c r="H243" s="3" t="s">
        <v>648</v>
      </c>
      <c r="I243" s="3" t="s">
        <v>670</v>
      </c>
      <c r="J243" s="3" t="s">
        <v>671</v>
      </c>
      <c r="K243" s="3" t="s">
        <v>672</v>
      </c>
    </row>
    <row r="244" spans="1:16" x14ac:dyDescent="0.25">
      <c r="A244" s="3">
        <f t="shared" si="4"/>
        <v>243</v>
      </c>
      <c r="C244" s="3" t="s">
        <v>644</v>
      </c>
      <c r="D244" s="3" t="s">
        <v>601</v>
      </c>
      <c r="E244" s="3" t="s">
        <v>645</v>
      </c>
      <c r="F244" s="3" t="s">
        <v>646</v>
      </c>
      <c r="G244" s="3" t="s">
        <v>673</v>
      </c>
      <c r="H244" s="3" t="s">
        <v>648</v>
      </c>
      <c r="I244" s="3" t="s">
        <v>674</v>
      </c>
      <c r="J244" s="3" t="s">
        <v>675</v>
      </c>
      <c r="K244" s="3" t="s">
        <v>676</v>
      </c>
    </row>
    <row r="245" spans="1:16" x14ac:dyDescent="0.25">
      <c r="A245" s="3">
        <f t="shared" si="4"/>
        <v>244</v>
      </c>
      <c r="C245" s="3" t="s">
        <v>644</v>
      </c>
      <c r="D245" s="3" t="s">
        <v>605</v>
      </c>
      <c r="E245" s="3" t="s">
        <v>645</v>
      </c>
      <c r="F245" s="3" t="s">
        <v>646</v>
      </c>
      <c r="G245" s="3" t="s">
        <v>677</v>
      </c>
      <c r="H245" s="3" t="s">
        <v>648</v>
      </c>
      <c r="I245" s="3" t="s">
        <v>674</v>
      </c>
      <c r="J245" s="3" t="s">
        <v>675</v>
      </c>
      <c r="K245" s="3" t="s">
        <v>678</v>
      </c>
      <c r="L245" s="3" t="s">
        <v>679</v>
      </c>
    </row>
    <row r="246" spans="1:16" x14ac:dyDescent="0.25">
      <c r="A246" s="3">
        <f t="shared" si="4"/>
        <v>245</v>
      </c>
      <c r="C246" s="3" t="s">
        <v>644</v>
      </c>
      <c r="D246" s="3" t="s">
        <v>609</v>
      </c>
      <c r="E246" s="3" t="s">
        <v>645</v>
      </c>
      <c r="F246" s="3" t="s">
        <v>646</v>
      </c>
      <c r="G246" s="3" t="s">
        <v>680</v>
      </c>
      <c r="H246" s="3" t="s">
        <v>648</v>
      </c>
      <c r="I246" s="3" t="s">
        <v>674</v>
      </c>
      <c r="J246" s="3" t="s">
        <v>675</v>
      </c>
      <c r="K246" s="3" t="s">
        <v>681</v>
      </c>
      <c r="L246" s="3" t="s">
        <v>682</v>
      </c>
    </row>
    <row r="247" spans="1:16" x14ac:dyDescent="0.25">
      <c r="A247" s="3">
        <f t="shared" si="4"/>
        <v>246</v>
      </c>
      <c r="C247" s="3" t="s">
        <v>644</v>
      </c>
      <c r="D247" s="3" t="s">
        <v>613</v>
      </c>
      <c r="E247" s="3" t="s">
        <v>645</v>
      </c>
      <c r="F247" s="3" t="s">
        <v>646</v>
      </c>
      <c r="G247" s="3" t="s">
        <v>683</v>
      </c>
      <c r="H247" s="3" t="s">
        <v>648</v>
      </c>
      <c r="I247" s="3" t="s">
        <v>684</v>
      </c>
      <c r="J247" s="3" t="s">
        <v>685</v>
      </c>
      <c r="K247" s="3" t="s">
        <v>686</v>
      </c>
      <c r="L247" s="3" t="s">
        <v>687</v>
      </c>
    </row>
    <row r="248" spans="1:16" x14ac:dyDescent="0.25">
      <c r="A248" s="3">
        <f t="shared" si="4"/>
        <v>247</v>
      </c>
      <c r="C248" s="3" t="s">
        <v>644</v>
      </c>
      <c r="D248" s="3" t="s">
        <v>617</v>
      </c>
      <c r="E248" s="3" t="s">
        <v>645</v>
      </c>
      <c r="F248" s="3" t="s">
        <v>646</v>
      </c>
      <c r="G248" s="3" t="s">
        <v>688</v>
      </c>
      <c r="H248" s="3" t="s">
        <v>648</v>
      </c>
      <c r="I248" s="3" t="s">
        <v>684</v>
      </c>
      <c r="J248" s="3" t="s">
        <v>685</v>
      </c>
      <c r="K248" s="3" t="s">
        <v>686</v>
      </c>
      <c r="L248" s="3" t="s">
        <v>689</v>
      </c>
    </row>
    <row r="249" spans="1:16" x14ac:dyDescent="0.25">
      <c r="A249" s="3">
        <f t="shared" si="4"/>
        <v>248</v>
      </c>
      <c r="C249" s="3" t="s">
        <v>644</v>
      </c>
      <c r="D249" s="3" t="s">
        <v>621</v>
      </c>
      <c r="E249" s="3" t="s">
        <v>645</v>
      </c>
      <c r="F249" s="3" t="s">
        <v>646</v>
      </c>
      <c r="G249" s="3" t="s">
        <v>690</v>
      </c>
      <c r="H249" s="3" t="s">
        <v>648</v>
      </c>
      <c r="I249" s="3" t="s">
        <v>684</v>
      </c>
      <c r="J249" s="3" t="s">
        <v>685</v>
      </c>
      <c r="K249" s="3" t="s">
        <v>686</v>
      </c>
      <c r="L249" s="3" t="s">
        <v>691</v>
      </c>
    </row>
    <row r="250" spans="1:16" x14ac:dyDescent="0.25">
      <c r="A250" s="3">
        <f t="shared" si="4"/>
        <v>249</v>
      </c>
      <c r="C250" s="3" t="s">
        <v>644</v>
      </c>
      <c r="D250" s="3" t="s">
        <v>625</v>
      </c>
      <c r="E250" s="3" t="s">
        <v>645</v>
      </c>
      <c r="F250" s="3" t="s">
        <v>646</v>
      </c>
      <c r="G250" s="3" t="s">
        <v>692</v>
      </c>
      <c r="H250" s="3" t="s">
        <v>648</v>
      </c>
      <c r="I250" s="3" t="s">
        <v>684</v>
      </c>
      <c r="J250" s="3" t="s">
        <v>693</v>
      </c>
      <c r="K250" s="3" t="s">
        <v>694</v>
      </c>
      <c r="L250" s="3" t="s">
        <v>687</v>
      </c>
      <c r="M250" s="3" t="s">
        <v>695</v>
      </c>
    </row>
    <row r="251" spans="1:16" x14ac:dyDescent="0.25">
      <c r="A251" s="3">
        <f t="shared" si="4"/>
        <v>250</v>
      </c>
      <c r="C251" s="3" t="s">
        <v>644</v>
      </c>
      <c r="D251" s="3" t="s">
        <v>629</v>
      </c>
      <c r="E251" s="3" t="s">
        <v>645</v>
      </c>
      <c r="F251" s="3" t="s">
        <v>646</v>
      </c>
      <c r="G251" s="3" t="s">
        <v>696</v>
      </c>
      <c r="H251" s="3" t="s">
        <v>648</v>
      </c>
      <c r="I251" s="3" t="s">
        <v>684</v>
      </c>
      <c r="J251" s="3" t="s">
        <v>693</v>
      </c>
      <c r="K251" s="3" t="s">
        <v>694</v>
      </c>
      <c r="L251" s="3" t="s">
        <v>689</v>
      </c>
      <c r="M251" s="3" t="s">
        <v>697</v>
      </c>
    </row>
    <row r="252" spans="1:16" x14ac:dyDescent="0.25">
      <c r="A252" s="3">
        <f t="shared" si="4"/>
        <v>251</v>
      </c>
      <c r="C252" s="3" t="s">
        <v>644</v>
      </c>
      <c r="D252" s="3" t="s">
        <v>633</v>
      </c>
      <c r="E252" s="3" t="s">
        <v>645</v>
      </c>
      <c r="F252" s="3" t="s">
        <v>646</v>
      </c>
      <c r="G252" s="3" t="s">
        <v>698</v>
      </c>
      <c r="H252" s="3" t="s">
        <v>648</v>
      </c>
      <c r="I252" s="3" t="s">
        <v>684</v>
      </c>
      <c r="J252" s="3" t="s">
        <v>693</v>
      </c>
      <c r="K252" s="3" t="s">
        <v>694</v>
      </c>
      <c r="L252" s="3" t="s">
        <v>689</v>
      </c>
      <c r="M252" s="3" t="s">
        <v>699</v>
      </c>
    </row>
    <row r="253" spans="1:16" x14ac:dyDescent="0.25">
      <c r="A253" s="3">
        <f t="shared" si="4"/>
        <v>252</v>
      </c>
      <c r="C253" s="3" t="s">
        <v>644</v>
      </c>
      <c r="D253" s="3" t="s">
        <v>637</v>
      </c>
      <c r="E253" s="3" t="s">
        <v>645</v>
      </c>
      <c r="F253" s="3" t="s">
        <v>646</v>
      </c>
      <c r="G253" s="3" t="s">
        <v>700</v>
      </c>
      <c r="H253" s="3" t="s">
        <v>648</v>
      </c>
      <c r="I253" s="3" t="s">
        <v>684</v>
      </c>
      <c r="J253" s="3" t="s">
        <v>693</v>
      </c>
      <c r="K253" s="3" t="s">
        <v>694</v>
      </c>
      <c r="L253" s="3" t="s">
        <v>689</v>
      </c>
      <c r="M253" s="3" t="s">
        <v>699</v>
      </c>
      <c r="N253" s="3" t="s">
        <v>701</v>
      </c>
    </row>
    <row r="254" spans="1:16" x14ac:dyDescent="0.25">
      <c r="A254" s="3">
        <f t="shared" si="4"/>
        <v>253</v>
      </c>
      <c r="C254" s="3" t="s">
        <v>644</v>
      </c>
      <c r="D254" s="3" t="s">
        <v>642</v>
      </c>
      <c r="E254" s="3" t="s">
        <v>645</v>
      </c>
      <c r="F254" s="3" t="s">
        <v>646</v>
      </c>
      <c r="G254" s="3" t="s">
        <v>702</v>
      </c>
      <c r="H254" s="3" t="s">
        <v>648</v>
      </c>
      <c r="I254" s="3" t="s">
        <v>684</v>
      </c>
      <c r="J254" s="3" t="s">
        <v>693</v>
      </c>
      <c r="K254" s="3" t="s">
        <v>694</v>
      </c>
      <c r="L254" s="3" t="s">
        <v>689</v>
      </c>
      <c r="M254" s="3" t="s">
        <v>699</v>
      </c>
      <c r="N254" s="3" t="s">
        <v>703</v>
      </c>
      <c r="O254" s="3" t="s">
        <v>704</v>
      </c>
    </row>
    <row r="255" spans="1:16" x14ac:dyDescent="0.25">
      <c r="A255" s="3">
        <f t="shared" si="4"/>
        <v>254</v>
      </c>
      <c r="C255" s="3" t="s">
        <v>644</v>
      </c>
      <c r="D255" s="3" t="s">
        <v>643</v>
      </c>
      <c r="E255" s="3" t="s">
        <v>645</v>
      </c>
      <c r="F255" s="3" t="s">
        <v>646</v>
      </c>
      <c r="G255" s="3" t="s">
        <v>705</v>
      </c>
      <c r="H255" s="3" t="s">
        <v>648</v>
      </c>
      <c r="I255" s="3" t="s">
        <v>684</v>
      </c>
      <c r="J255" s="3" t="s">
        <v>693</v>
      </c>
      <c r="K255" s="3" t="s">
        <v>694</v>
      </c>
      <c r="L255" s="3" t="s">
        <v>689</v>
      </c>
      <c r="M255" s="3" t="s">
        <v>699</v>
      </c>
      <c r="N255" s="3" t="s">
        <v>706</v>
      </c>
      <c r="O255" s="3" t="s">
        <v>707</v>
      </c>
      <c r="P255" s="3" t="s">
        <v>708</v>
      </c>
    </row>
    <row r="256" spans="1:16" x14ac:dyDescent="0.25">
      <c r="A256" s="3">
        <f t="shared" si="4"/>
        <v>255</v>
      </c>
      <c r="C256" s="3" t="s">
        <v>709</v>
      </c>
      <c r="D256" s="3" t="s">
        <v>710</v>
      </c>
      <c r="E256" s="3" t="s">
        <v>711</v>
      </c>
      <c r="F256" s="3" t="s">
        <v>712</v>
      </c>
    </row>
    <row r="257" spans="1:11" x14ac:dyDescent="0.25">
      <c r="A257" s="3">
        <f t="shared" si="4"/>
        <v>256</v>
      </c>
      <c r="C257" s="3" t="s">
        <v>709</v>
      </c>
      <c r="D257" s="3" t="s">
        <v>713</v>
      </c>
      <c r="E257" s="3" t="s">
        <v>714</v>
      </c>
      <c r="F257" s="3" t="s">
        <v>715</v>
      </c>
      <c r="G257" s="3">
        <v>0.1</v>
      </c>
    </row>
    <row r="258" spans="1:11" x14ac:dyDescent="0.25">
      <c r="A258" s="3">
        <f t="shared" si="4"/>
        <v>257</v>
      </c>
      <c r="C258" s="3" t="s">
        <v>709</v>
      </c>
      <c r="D258" s="3" t="s">
        <v>716</v>
      </c>
      <c r="E258" s="3" t="s">
        <v>717</v>
      </c>
      <c r="F258" s="3" t="s">
        <v>718</v>
      </c>
    </row>
    <row r="259" spans="1:11" x14ac:dyDescent="0.25">
      <c r="A259" s="3">
        <f t="shared" si="4"/>
        <v>258</v>
      </c>
      <c r="C259" s="3" t="s">
        <v>709</v>
      </c>
      <c r="D259" s="3" t="s">
        <v>719</v>
      </c>
      <c r="E259" s="3" t="s">
        <v>720</v>
      </c>
      <c r="F259" s="3" t="s">
        <v>721</v>
      </c>
    </row>
    <row r="260" spans="1:11" x14ac:dyDescent="0.25">
      <c r="A260" s="3">
        <f t="shared" ref="A260:A323" si="5">A259+1</f>
        <v>259</v>
      </c>
      <c r="C260" s="3" t="s">
        <v>709</v>
      </c>
      <c r="D260" s="3" t="s">
        <v>722</v>
      </c>
      <c r="E260" s="3" t="s">
        <v>723</v>
      </c>
      <c r="F260" s="3" t="s">
        <v>724</v>
      </c>
      <c r="G260" s="3">
        <v>0.5</v>
      </c>
    </row>
    <row r="261" spans="1:11" x14ac:dyDescent="0.25">
      <c r="A261" s="3">
        <f t="shared" si="5"/>
        <v>260</v>
      </c>
      <c r="C261" s="3" t="s">
        <v>709</v>
      </c>
      <c r="D261" s="3" t="s">
        <v>725</v>
      </c>
      <c r="E261" s="3" t="s">
        <v>726</v>
      </c>
      <c r="G261" s="3">
        <v>0.4</v>
      </c>
    </row>
    <row r="262" spans="1:11" x14ac:dyDescent="0.25">
      <c r="A262" s="3">
        <f t="shared" si="5"/>
        <v>261</v>
      </c>
      <c r="C262" s="3" t="s">
        <v>709</v>
      </c>
      <c r="D262" s="3" t="s">
        <v>562</v>
      </c>
      <c r="E262" s="3" t="s">
        <v>727</v>
      </c>
      <c r="F262" s="3" t="s">
        <v>728</v>
      </c>
      <c r="G262" s="3">
        <v>5000</v>
      </c>
      <c r="H262" s="3">
        <v>20</v>
      </c>
      <c r="I262" s="3">
        <v>10</v>
      </c>
    </row>
    <row r="263" spans="1:11" x14ac:dyDescent="0.25">
      <c r="A263" s="3">
        <f t="shared" si="5"/>
        <v>262</v>
      </c>
      <c r="C263" s="3" t="s">
        <v>709</v>
      </c>
      <c r="D263" s="3" t="s">
        <v>729</v>
      </c>
      <c r="E263" s="3" t="s">
        <v>730</v>
      </c>
      <c r="F263" s="3" t="s">
        <v>731</v>
      </c>
      <c r="G263" s="3">
        <v>3</v>
      </c>
    </row>
    <row r="264" spans="1:11" x14ac:dyDescent="0.25">
      <c r="A264" s="3">
        <f t="shared" si="5"/>
        <v>263</v>
      </c>
      <c r="C264" s="3" t="s">
        <v>709</v>
      </c>
      <c r="D264" s="3" t="s">
        <v>732</v>
      </c>
      <c r="E264" s="3" t="s">
        <v>733</v>
      </c>
      <c r="F264" s="3" t="s">
        <v>734</v>
      </c>
    </row>
    <row r="265" spans="1:11" x14ac:dyDescent="0.25">
      <c r="A265" s="3">
        <f t="shared" si="5"/>
        <v>264</v>
      </c>
      <c r="C265" s="3" t="s">
        <v>709</v>
      </c>
      <c r="D265" s="3" t="s">
        <v>735</v>
      </c>
      <c r="E265" s="3" t="s">
        <v>736</v>
      </c>
      <c r="F265" s="3" t="s">
        <v>737</v>
      </c>
      <c r="G265" s="3">
        <v>30</v>
      </c>
      <c r="H265" s="3">
        <v>10</v>
      </c>
      <c r="I265" s="3">
        <v>0.8</v>
      </c>
      <c r="J265" s="3">
        <v>1.5</v>
      </c>
      <c r="K265" s="3">
        <v>0.3</v>
      </c>
    </row>
    <row r="266" spans="1:11" x14ac:dyDescent="0.25">
      <c r="A266" s="3">
        <f t="shared" si="5"/>
        <v>265</v>
      </c>
      <c r="C266" s="3" t="s">
        <v>738</v>
      </c>
      <c r="D266" s="3" t="s">
        <v>739</v>
      </c>
      <c r="E266" s="3" t="s">
        <v>740</v>
      </c>
      <c r="F266" s="3" t="s">
        <v>741</v>
      </c>
      <c r="G266" s="3">
        <v>0.75</v>
      </c>
    </row>
    <row r="267" spans="1:11" x14ac:dyDescent="0.25">
      <c r="A267" s="3">
        <f t="shared" si="5"/>
        <v>266</v>
      </c>
      <c r="C267" s="3" t="s">
        <v>738</v>
      </c>
      <c r="D267" s="3" t="s">
        <v>742</v>
      </c>
      <c r="E267" s="3" t="s">
        <v>743</v>
      </c>
      <c r="G267" s="3">
        <v>1.25</v>
      </c>
    </row>
    <row r="268" spans="1:11" x14ac:dyDescent="0.25">
      <c r="A268" s="3">
        <f t="shared" si="5"/>
        <v>267</v>
      </c>
      <c r="C268" s="3" t="s">
        <v>738</v>
      </c>
      <c r="D268" s="3" t="s">
        <v>744</v>
      </c>
      <c r="E268" s="3" t="s">
        <v>745</v>
      </c>
      <c r="F268" s="3" t="s">
        <v>746</v>
      </c>
      <c r="G268" s="3">
        <v>45</v>
      </c>
      <c r="H268" s="3">
        <v>3</v>
      </c>
    </row>
    <row r="269" spans="1:11" x14ac:dyDescent="0.25">
      <c r="A269" s="3">
        <f t="shared" si="5"/>
        <v>268</v>
      </c>
      <c r="C269" s="3" t="s">
        <v>738</v>
      </c>
      <c r="D269" s="3" t="s">
        <v>747</v>
      </c>
      <c r="E269" s="3" t="s">
        <v>748</v>
      </c>
      <c r="F269" s="3" t="s">
        <v>749</v>
      </c>
    </row>
    <row r="270" spans="1:11" x14ac:dyDescent="0.25">
      <c r="A270" s="3">
        <f t="shared" si="5"/>
        <v>269</v>
      </c>
      <c r="C270" s="3" t="s">
        <v>738</v>
      </c>
      <c r="D270" s="3" t="s">
        <v>750</v>
      </c>
      <c r="E270" s="3" t="s">
        <v>751</v>
      </c>
      <c r="F270" s="3" t="s">
        <v>752</v>
      </c>
      <c r="G270" s="3">
        <v>0.1</v>
      </c>
    </row>
    <row r="271" spans="1:11" x14ac:dyDescent="0.25">
      <c r="A271" s="3">
        <f t="shared" si="5"/>
        <v>270</v>
      </c>
      <c r="C271" s="3" t="s">
        <v>753</v>
      </c>
      <c r="D271" s="3" t="s">
        <v>754</v>
      </c>
      <c r="E271" s="3" t="s">
        <v>755</v>
      </c>
      <c r="F271" s="3" t="s">
        <v>756</v>
      </c>
      <c r="G271" s="3">
        <v>24</v>
      </c>
    </row>
    <row r="272" spans="1:11" x14ac:dyDescent="0.25">
      <c r="A272" s="3">
        <f t="shared" si="5"/>
        <v>271</v>
      </c>
      <c r="C272" s="3" t="s">
        <v>753</v>
      </c>
      <c r="D272" s="3" t="s">
        <v>882</v>
      </c>
      <c r="E272" s="3" t="s">
        <v>883</v>
      </c>
      <c r="F272" s="3" t="s">
        <v>884</v>
      </c>
      <c r="G272" s="3">
        <v>10</v>
      </c>
    </row>
    <row r="273" spans="1:12" x14ac:dyDescent="0.25">
      <c r="A273" s="3">
        <f t="shared" si="5"/>
        <v>272</v>
      </c>
      <c r="C273" s="3" t="s">
        <v>753</v>
      </c>
      <c r="D273" s="3" t="s">
        <v>885</v>
      </c>
      <c r="E273" s="3" t="s">
        <v>886</v>
      </c>
      <c r="F273" s="3" t="s">
        <v>887</v>
      </c>
      <c r="G273" s="3">
        <v>20</v>
      </c>
    </row>
    <row r="274" spans="1:12" x14ac:dyDescent="0.25">
      <c r="A274" s="3">
        <f t="shared" si="5"/>
        <v>273</v>
      </c>
      <c r="C274" s="3" t="s">
        <v>757</v>
      </c>
      <c r="D274" s="3" t="s">
        <v>758</v>
      </c>
      <c r="E274" s="3" t="s">
        <v>40</v>
      </c>
      <c r="F274" s="3" t="s">
        <v>759</v>
      </c>
      <c r="G274" s="3">
        <v>1</v>
      </c>
      <c r="H274" s="3">
        <v>1</v>
      </c>
      <c r="I274" s="3">
        <v>2</v>
      </c>
      <c r="J274" s="3">
        <v>1</v>
      </c>
      <c r="K274" s="3">
        <v>1</v>
      </c>
      <c r="L274" s="3">
        <v>1</v>
      </c>
    </row>
    <row r="275" spans="1:12" x14ac:dyDescent="0.25">
      <c r="A275" s="3">
        <f t="shared" si="5"/>
        <v>274</v>
      </c>
      <c r="C275" s="3" t="s">
        <v>757</v>
      </c>
      <c r="D275" s="3" t="s">
        <v>760</v>
      </c>
      <c r="E275" s="3" t="s">
        <v>40</v>
      </c>
      <c r="F275" s="3" t="s">
        <v>759</v>
      </c>
      <c r="G275" s="3">
        <v>1.35</v>
      </c>
      <c r="H275" s="3">
        <v>1</v>
      </c>
      <c r="I275" s="3">
        <v>2</v>
      </c>
      <c r="J275" s="3">
        <v>1</v>
      </c>
      <c r="K275" s="3">
        <v>1</v>
      </c>
      <c r="L275" s="3">
        <v>1.7</v>
      </c>
    </row>
    <row r="276" spans="1:12" x14ac:dyDescent="0.25">
      <c r="A276" s="3">
        <f t="shared" si="5"/>
        <v>275</v>
      </c>
      <c r="C276" s="3" t="s">
        <v>757</v>
      </c>
      <c r="D276" s="3" t="s">
        <v>761</v>
      </c>
      <c r="E276" s="3" t="s">
        <v>40</v>
      </c>
      <c r="F276" s="3" t="s">
        <v>759</v>
      </c>
      <c r="G276" s="3">
        <v>1.75</v>
      </c>
      <c r="H276" s="3">
        <v>2</v>
      </c>
      <c r="I276" s="3">
        <v>3</v>
      </c>
      <c r="J276" s="3">
        <v>2</v>
      </c>
      <c r="K276" s="3">
        <v>1</v>
      </c>
      <c r="L276" s="3">
        <v>2.8</v>
      </c>
    </row>
    <row r="277" spans="1:12" x14ac:dyDescent="0.25">
      <c r="A277" s="3">
        <f t="shared" si="5"/>
        <v>276</v>
      </c>
      <c r="C277" s="3" t="s">
        <v>757</v>
      </c>
      <c r="D277" s="3" t="s">
        <v>762</v>
      </c>
      <c r="E277" s="3" t="s">
        <v>40</v>
      </c>
      <c r="F277" s="3" t="s">
        <v>759</v>
      </c>
      <c r="G277" s="3">
        <v>2.2999999999999998</v>
      </c>
      <c r="H277" s="3">
        <v>3</v>
      </c>
      <c r="I277" s="3">
        <v>4</v>
      </c>
      <c r="J277" s="3">
        <v>2</v>
      </c>
      <c r="K277" s="3">
        <v>2</v>
      </c>
      <c r="L277" s="3">
        <v>4.5</v>
      </c>
    </row>
    <row r="278" spans="1:12" x14ac:dyDescent="0.25">
      <c r="A278" s="3">
        <f t="shared" si="5"/>
        <v>277</v>
      </c>
      <c r="C278" s="3" t="s">
        <v>757</v>
      </c>
      <c r="D278" s="3" t="s">
        <v>763</v>
      </c>
      <c r="E278" s="3" t="s">
        <v>40</v>
      </c>
      <c r="F278" s="3" t="s">
        <v>759</v>
      </c>
      <c r="G278" s="3">
        <v>3</v>
      </c>
      <c r="H278" s="3">
        <v>4</v>
      </c>
      <c r="I278" s="3">
        <v>5</v>
      </c>
      <c r="J278" s="3">
        <v>3</v>
      </c>
      <c r="K278" s="3">
        <v>2</v>
      </c>
      <c r="L278" s="3">
        <v>7.5</v>
      </c>
    </row>
    <row r="279" spans="1:12" x14ac:dyDescent="0.25">
      <c r="A279" s="3">
        <f t="shared" si="5"/>
        <v>278</v>
      </c>
      <c r="C279" s="3" t="s">
        <v>757</v>
      </c>
      <c r="D279" s="3" t="s">
        <v>764</v>
      </c>
      <c r="E279" s="3" t="s">
        <v>40</v>
      </c>
      <c r="F279" s="3" t="s">
        <v>759</v>
      </c>
      <c r="G279" s="3">
        <v>4</v>
      </c>
      <c r="H279" s="3">
        <v>4</v>
      </c>
      <c r="I279" s="3">
        <v>5</v>
      </c>
      <c r="J279" s="3">
        <v>4</v>
      </c>
      <c r="K279" s="3">
        <v>2</v>
      </c>
      <c r="L279" s="3">
        <v>12</v>
      </c>
    </row>
    <row r="280" spans="1:12" x14ac:dyDescent="0.25">
      <c r="A280" s="3">
        <f t="shared" si="5"/>
        <v>279</v>
      </c>
      <c r="C280" s="3" t="s">
        <v>757</v>
      </c>
      <c r="D280" s="3" t="s">
        <v>765</v>
      </c>
      <c r="E280" s="3" t="s">
        <v>40</v>
      </c>
      <c r="F280" s="3" t="s">
        <v>759</v>
      </c>
      <c r="G280" s="3">
        <v>5.2</v>
      </c>
      <c r="H280" s="3">
        <v>6</v>
      </c>
      <c r="I280" s="3">
        <v>6</v>
      </c>
      <c r="J280" s="3">
        <v>5</v>
      </c>
      <c r="K280" s="3">
        <v>3</v>
      </c>
      <c r="L280" s="3">
        <v>19</v>
      </c>
    </row>
    <row r="281" spans="1:12" x14ac:dyDescent="0.25">
      <c r="A281" s="3">
        <f t="shared" si="5"/>
        <v>280</v>
      </c>
      <c r="C281" s="3" t="s">
        <v>757</v>
      </c>
      <c r="D281" s="3" t="s">
        <v>766</v>
      </c>
      <c r="E281" s="3" t="s">
        <v>40</v>
      </c>
      <c r="F281" s="3" t="s">
        <v>759</v>
      </c>
      <c r="G281" s="3">
        <v>6.8</v>
      </c>
      <c r="H281" s="3">
        <v>7</v>
      </c>
      <c r="I281" s="3">
        <v>7</v>
      </c>
      <c r="J281" s="3">
        <v>6</v>
      </c>
      <c r="K281" s="3">
        <v>3</v>
      </c>
      <c r="L281" s="3">
        <v>30</v>
      </c>
    </row>
    <row r="282" spans="1:12" x14ac:dyDescent="0.25">
      <c r="A282" s="3">
        <f t="shared" si="5"/>
        <v>281</v>
      </c>
      <c r="C282" s="3" t="s">
        <v>757</v>
      </c>
      <c r="D282" s="3" t="s">
        <v>767</v>
      </c>
      <c r="E282" s="3" t="s">
        <v>40</v>
      </c>
      <c r="F282" s="3" t="s">
        <v>759</v>
      </c>
      <c r="G282" s="3">
        <v>10.199999999999999</v>
      </c>
      <c r="H282" s="3">
        <v>7</v>
      </c>
      <c r="I282" s="3">
        <v>7</v>
      </c>
      <c r="J282" s="3">
        <v>6</v>
      </c>
      <c r="K282" s="3">
        <v>3</v>
      </c>
      <c r="L282" s="3">
        <v>45</v>
      </c>
    </row>
    <row r="283" spans="1:12" x14ac:dyDescent="0.25">
      <c r="A283" s="3">
        <f t="shared" si="5"/>
        <v>282</v>
      </c>
      <c r="C283" s="3" t="s">
        <v>821</v>
      </c>
      <c r="D283" s="3" t="s">
        <v>822</v>
      </c>
      <c r="E283" s="3" t="s">
        <v>823</v>
      </c>
      <c r="F283" s="3" t="s">
        <v>824</v>
      </c>
      <c r="G283" s="3">
        <v>25</v>
      </c>
      <c r="H283" s="3" t="s">
        <v>825</v>
      </c>
    </row>
    <row r="284" spans="1:12" x14ac:dyDescent="0.25">
      <c r="A284" s="3">
        <f t="shared" si="5"/>
        <v>283</v>
      </c>
      <c r="C284" s="3" t="s">
        <v>821</v>
      </c>
      <c r="D284" s="3" t="s">
        <v>826</v>
      </c>
      <c r="E284" s="3" t="s">
        <v>823</v>
      </c>
      <c r="F284" s="3" t="s">
        <v>827</v>
      </c>
      <c r="G284" s="3">
        <v>20</v>
      </c>
      <c r="H284" s="3" t="s">
        <v>825</v>
      </c>
    </row>
    <row r="285" spans="1:12" x14ac:dyDescent="0.25">
      <c r="A285" s="3">
        <f t="shared" si="5"/>
        <v>284</v>
      </c>
      <c r="C285" s="3" t="s">
        <v>821</v>
      </c>
      <c r="D285" s="3" t="s">
        <v>828</v>
      </c>
      <c r="E285" s="3" t="s">
        <v>823</v>
      </c>
      <c r="F285" s="3" t="s">
        <v>829</v>
      </c>
      <c r="G285" s="3">
        <v>25</v>
      </c>
      <c r="H285" s="3" t="s">
        <v>825</v>
      </c>
    </row>
    <row r="286" spans="1:12" x14ac:dyDescent="0.25">
      <c r="A286" s="3">
        <f t="shared" si="5"/>
        <v>285</v>
      </c>
      <c r="C286" s="3" t="s">
        <v>821</v>
      </c>
      <c r="D286" s="3" t="s">
        <v>830</v>
      </c>
      <c r="E286" s="3" t="s">
        <v>823</v>
      </c>
      <c r="F286" s="3" t="s">
        <v>831</v>
      </c>
      <c r="G286" s="3">
        <v>20</v>
      </c>
      <c r="H286" s="3" t="s">
        <v>825</v>
      </c>
    </row>
    <row r="287" spans="1:12" x14ac:dyDescent="0.25">
      <c r="A287" s="3">
        <f t="shared" si="5"/>
        <v>286</v>
      </c>
      <c r="C287" s="3" t="s">
        <v>821</v>
      </c>
      <c r="D287" s="3" t="s">
        <v>832</v>
      </c>
      <c r="E287" s="3" t="s">
        <v>823</v>
      </c>
      <c r="F287" s="3" t="s">
        <v>833</v>
      </c>
      <c r="G287" s="3">
        <v>0.4</v>
      </c>
      <c r="H287" s="3" t="s">
        <v>825</v>
      </c>
    </row>
    <row r="288" spans="1:12" x14ac:dyDescent="0.25">
      <c r="A288" s="3">
        <f t="shared" si="5"/>
        <v>287</v>
      </c>
      <c r="C288" s="3" t="s">
        <v>821</v>
      </c>
      <c r="D288" s="3" t="s">
        <v>834</v>
      </c>
      <c r="E288" s="3" t="s">
        <v>823</v>
      </c>
      <c r="F288" s="3" t="s">
        <v>835</v>
      </c>
      <c r="G288" s="3">
        <v>3</v>
      </c>
      <c r="H288" s="3" t="s">
        <v>825</v>
      </c>
    </row>
    <row r="289" spans="1:8" x14ac:dyDescent="0.25">
      <c r="A289" s="3">
        <f t="shared" si="5"/>
        <v>288</v>
      </c>
      <c r="C289" s="3" t="s">
        <v>821</v>
      </c>
      <c r="D289" s="3" t="s">
        <v>836</v>
      </c>
      <c r="E289" s="3" t="s">
        <v>823</v>
      </c>
      <c r="F289" s="3" t="s">
        <v>837</v>
      </c>
      <c r="G289" s="3">
        <v>1.5</v>
      </c>
      <c r="H289" s="3" t="s">
        <v>825</v>
      </c>
    </row>
    <row r="290" spans="1:8" x14ac:dyDescent="0.25">
      <c r="A290" s="3">
        <f t="shared" si="5"/>
        <v>289</v>
      </c>
      <c r="C290" s="3" t="s">
        <v>821</v>
      </c>
      <c r="D290" s="3" t="s">
        <v>838</v>
      </c>
      <c r="E290" s="3" t="s">
        <v>823</v>
      </c>
      <c r="F290" s="3" t="s">
        <v>839</v>
      </c>
      <c r="G290" s="3">
        <v>0.15</v>
      </c>
      <c r="H290" s="3" t="s">
        <v>825</v>
      </c>
    </row>
    <row r="291" spans="1:8" x14ac:dyDescent="0.25">
      <c r="A291" s="3">
        <f t="shared" si="5"/>
        <v>290</v>
      </c>
      <c r="C291" s="3" t="s">
        <v>821</v>
      </c>
      <c r="D291" s="3" t="s">
        <v>840</v>
      </c>
      <c r="E291" s="3" t="s">
        <v>823</v>
      </c>
      <c r="F291" s="3" t="s">
        <v>841</v>
      </c>
      <c r="G291" s="3">
        <v>0.5</v>
      </c>
      <c r="H291" s="3" t="s">
        <v>825</v>
      </c>
    </row>
    <row r="292" spans="1:8" x14ac:dyDescent="0.25">
      <c r="A292" s="3">
        <f t="shared" si="5"/>
        <v>291</v>
      </c>
      <c r="C292" s="3" t="s">
        <v>821</v>
      </c>
      <c r="D292" s="3" t="s">
        <v>842</v>
      </c>
      <c r="E292" s="3" t="s">
        <v>823</v>
      </c>
      <c r="F292" s="3" t="s">
        <v>843</v>
      </c>
      <c r="G292" s="3">
        <v>25</v>
      </c>
      <c r="H292" s="3" t="s">
        <v>825</v>
      </c>
    </row>
    <row r="293" spans="1:8" x14ac:dyDescent="0.25">
      <c r="A293" s="3">
        <f t="shared" si="5"/>
        <v>292</v>
      </c>
      <c r="C293" s="3" t="s">
        <v>821</v>
      </c>
      <c r="D293" s="3" t="s">
        <v>844</v>
      </c>
      <c r="E293" s="3" t="s">
        <v>823</v>
      </c>
      <c r="F293" s="3" t="s">
        <v>845</v>
      </c>
      <c r="G293" s="3">
        <v>8</v>
      </c>
      <c r="H293" s="3" t="s">
        <v>846</v>
      </c>
    </row>
    <row r="294" spans="1:8" x14ac:dyDescent="0.25">
      <c r="A294" s="3">
        <f t="shared" si="5"/>
        <v>293</v>
      </c>
      <c r="C294" s="3" t="s">
        <v>821</v>
      </c>
      <c r="D294" s="3" t="s">
        <v>847</v>
      </c>
      <c r="E294" s="3" t="s">
        <v>823</v>
      </c>
      <c r="F294" s="3" t="s">
        <v>848</v>
      </c>
      <c r="G294" s="3">
        <v>15</v>
      </c>
      <c r="H294" s="3" t="s">
        <v>846</v>
      </c>
    </row>
    <row r="295" spans="1:8" x14ac:dyDescent="0.25">
      <c r="A295" s="3">
        <f t="shared" si="5"/>
        <v>294</v>
      </c>
      <c r="C295" s="3" t="s">
        <v>849</v>
      </c>
      <c r="D295" s="3" t="s">
        <v>850</v>
      </c>
      <c r="E295" s="3" t="s">
        <v>851</v>
      </c>
      <c r="F295" s="3" t="s">
        <v>852</v>
      </c>
      <c r="G295" s="3">
        <v>0.8</v>
      </c>
    </row>
    <row r="296" spans="1:8" x14ac:dyDescent="0.25">
      <c r="A296" s="3">
        <f t="shared" si="5"/>
        <v>295</v>
      </c>
      <c r="C296" s="3" t="s">
        <v>849</v>
      </c>
      <c r="D296" s="3" t="s">
        <v>853</v>
      </c>
      <c r="E296" s="3" t="s">
        <v>854</v>
      </c>
      <c r="F296" s="3" t="s">
        <v>855</v>
      </c>
      <c r="G296" s="3">
        <v>3</v>
      </c>
    </row>
    <row r="297" spans="1:8" x14ac:dyDescent="0.25">
      <c r="A297" s="3">
        <f t="shared" si="5"/>
        <v>296</v>
      </c>
      <c r="C297" s="3" t="s">
        <v>849</v>
      </c>
      <c r="D297" s="3" t="s">
        <v>856</v>
      </c>
      <c r="E297" s="3" t="s">
        <v>857</v>
      </c>
      <c r="F297" s="3" t="s">
        <v>858</v>
      </c>
      <c r="G297" s="3">
        <v>7</v>
      </c>
    </row>
    <row r="298" spans="1:8" x14ac:dyDescent="0.25">
      <c r="A298" s="3">
        <f t="shared" si="5"/>
        <v>297</v>
      </c>
      <c r="C298" s="3" t="s">
        <v>849</v>
      </c>
      <c r="D298" s="3" t="s">
        <v>859</v>
      </c>
      <c r="E298" s="3" t="s">
        <v>860</v>
      </c>
      <c r="F298" s="3" t="s">
        <v>861</v>
      </c>
      <c r="G298" s="3">
        <v>10</v>
      </c>
    </row>
    <row r="299" spans="1:8" x14ac:dyDescent="0.25">
      <c r="A299" s="3">
        <f t="shared" si="5"/>
        <v>298</v>
      </c>
      <c r="C299" s="3" t="s">
        <v>849</v>
      </c>
      <c r="D299" s="3" t="s">
        <v>862</v>
      </c>
      <c r="E299" s="3" t="s">
        <v>863</v>
      </c>
      <c r="F299" s="3" t="s">
        <v>864</v>
      </c>
      <c r="G299" s="3">
        <v>2</v>
      </c>
    </row>
    <row r="300" spans="1:8" x14ac:dyDescent="0.25">
      <c r="A300" s="3">
        <f t="shared" si="5"/>
        <v>299</v>
      </c>
      <c r="C300" s="3" t="s">
        <v>849</v>
      </c>
      <c r="D300" s="3" t="s">
        <v>865</v>
      </c>
      <c r="E300" s="3" t="s">
        <v>866</v>
      </c>
      <c r="F300" s="3" t="s">
        <v>867</v>
      </c>
      <c r="G300" s="3">
        <v>5</v>
      </c>
      <c r="H300" s="3">
        <v>10</v>
      </c>
    </row>
    <row r="301" spans="1:8" x14ac:dyDescent="0.25">
      <c r="A301" s="3">
        <f t="shared" si="5"/>
        <v>300</v>
      </c>
      <c r="C301" s="3" t="s">
        <v>849</v>
      </c>
      <c r="D301" s="3" t="s">
        <v>868</v>
      </c>
      <c r="E301" s="3" t="s">
        <v>869</v>
      </c>
      <c r="F301" s="3" t="s">
        <v>870</v>
      </c>
      <c r="G301" s="3">
        <v>8</v>
      </c>
    </row>
    <row r="302" spans="1:8" x14ac:dyDescent="0.25">
      <c r="A302" s="3">
        <f t="shared" si="5"/>
        <v>301</v>
      </c>
      <c r="C302" s="3" t="s">
        <v>871</v>
      </c>
      <c r="D302" s="3" t="s">
        <v>85</v>
      </c>
      <c r="E302" s="3" t="s">
        <v>872</v>
      </c>
      <c r="F302" s="3" t="s">
        <v>873</v>
      </c>
      <c r="G302" s="3">
        <v>1</v>
      </c>
    </row>
    <row r="303" spans="1:8" x14ac:dyDescent="0.25">
      <c r="A303" s="3">
        <f t="shared" si="5"/>
        <v>302</v>
      </c>
      <c r="C303" s="3" t="s">
        <v>871</v>
      </c>
      <c r="D303" s="3" t="s">
        <v>768</v>
      </c>
      <c r="E303" s="3" t="s">
        <v>872</v>
      </c>
      <c r="F303" s="3" t="s">
        <v>873</v>
      </c>
      <c r="G303" s="3">
        <v>2.6</v>
      </c>
    </row>
    <row r="304" spans="1:8" x14ac:dyDescent="0.25">
      <c r="A304" s="3">
        <f t="shared" si="5"/>
        <v>303</v>
      </c>
      <c r="C304" s="3" t="s">
        <v>871</v>
      </c>
      <c r="D304" s="3" t="s">
        <v>86</v>
      </c>
      <c r="E304" s="3" t="s">
        <v>872</v>
      </c>
      <c r="F304" s="3" t="s">
        <v>873</v>
      </c>
      <c r="G304" s="3">
        <v>1</v>
      </c>
    </row>
    <row r="305" spans="1:7" x14ac:dyDescent="0.25">
      <c r="A305" s="3">
        <f t="shared" si="5"/>
        <v>304</v>
      </c>
      <c r="C305" s="3" t="s">
        <v>871</v>
      </c>
      <c r="D305" s="3" t="s">
        <v>769</v>
      </c>
      <c r="E305" s="3" t="s">
        <v>872</v>
      </c>
      <c r="F305" s="3" t="s">
        <v>873</v>
      </c>
      <c r="G305" s="3">
        <v>2.6</v>
      </c>
    </row>
    <row r="306" spans="1:7" x14ac:dyDescent="0.25">
      <c r="A306" s="3">
        <f t="shared" si="5"/>
        <v>305</v>
      </c>
      <c r="C306" s="3" t="s">
        <v>871</v>
      </c>
      <c r="D306" s="3" t="s">
        <v>770</v>
      </c>
      <c r="E306" s="3" t="s">
        <v>872</v>
      </c>
      <c r="F306" s="3" t="s">
        <v>873</v>
      </c>
      <c r="G306" s="3">
        <v>0.16</v>
      </c>
    </row>
    <row r="307" spans="1:7" x14ac:dyDescent="0.25">
      <c r="A307" s="3">
        <f t="shared" si="5"/>
        <v>306</v>
      </c>
      <c r="C307" s="3" t="s">
        <v>871</v>
      </c>
      <c r="D307" s="3" t="s">
        <v>771</v>
      </c>
      <c r="E307" s="3" t="s">
        <v>872</v>
      </c>
      <c r="F307" s="3" t="s">
        <v>873</v>
      </c>
      <c r="G307" s="3">
        <v>2.2000000000000002</v>
      </c>
    </row>
    <row r="308" spans="1:7" x14ac:dyDescent="0.25">
      <c r="A308" s="3">
        <f t="shared" si="5"/>
        <v>307</v>
      </c>
      <c r="C308" s="3" t="s">
        <v>871</v>
      </c>
      <c r="D308" s="3" t="s">
        <v>772</v>
      </c>
      <c r="E308" s="3" t="s">
        <v>872</v>
      </c>
      <c r="F308" s="3" t="s">
        <v>873</v>
      </c>
      <c r="G308" s="3">
        <v>0.6</v>
      </c>
    </row>
    <row r="309" spans="1:7" x14ac:dyDescent="0.25">
      <c r="A309" s="3">
        <f t="shared" si="5"/>
        <v>308</v>
      </c>
      <c r="C309" s="3" t="s">
        <v>871</v>
      </c>
      <c r="D309" s="3" t="s">
        <v>87</v>
      </c>
      <c r="E309" s="3" t="s">
        <v>872</v>
      </c>
      <c r="F309" s="3" t="s">
        <v>873</v>
      </c>
      <c r="G309" s="3">
        <v>0.9</v>
      </c>
    </row>
    <row r="310" spans="1:7" x14ac:dyDescent="0.25">
      <c r="A310" s="3">
        <f t="shared" si="5"/>
        <v>309</v>
      </c>
      <c r="C310" s="3" t="s">
        <v>871</v>
      </c>
      <c r="D310" s="3" t="s">
        <v>778</v>
      </c>
      <c r="E310" s="3" t="s">
        <v>872</v>
      </c>
      <c r="F310" s="3" t="s">
        <v>873</v>
      </c>
      <c r="G310" s="3">
        <v>1.8</v>
      </c>
    </row>
    <row r="311" spans="1:7" x14ac:dyDescent="0.25">
      <c r="A311" s="3">
        <f t="shared" si="5"/>
        <v>310</v>
      </c>
      <c r="C311" s="3" t="s">
        <v>871</v>
      </c>
      <c r="D311" s="3" t="s">
        <v>88</v>
      </c>
      <c r="E311" s="3" t="s">
        <v>872</v>
      </c>
      <c r="F311" s="3" t="s">
        <v>873</v>
      </c>
      <c r="G311" s="3">
        <v>0.9</v>
      </c>
    </row>
    <row r="312" spans="1:7" x14ac:dyDescent="0.25">
      <c r="A312" s="3">
        <f t="shared" si="5"/>
        <v>311</v>
      </c>
      <c r="C312" s="3" t="s">
        <v>871</v>
      </c>
      <c r="D312" s="3" t="s">
        <v>773</v>
      </c>
      <c r="E312" s="3" t="s">
        <v>872</v>
      </c>
      <c r="F312" s="3" t="s">
        <v>873</v>
      </c>
      <c r="G312" s="3">
        <v>0.25</v>
      </c>
    </row>
    <row r="313" spans="1:7" x14ac:dyDescent="0.25">
      <c r="A313" s="3">
        <f t="shared" si="5"/>
        <v>312</v>
      </c>
      <c r="C313" s="3" t="s">
        <v>871</v>
      </c>
      <c r="D313" s="3" t="s">
        <v>82</v>
      </c>
      <c r="E313" s="3" t="s">
        <v>872</v>
      </c>
      <c r="F313" s="3" t="s">
        <v>873</v>
      </c>
      <c r="G313" s="3">
        <v>2</v>
      </c>
    </row>
    <row r="314" spans="1:7" x14ac:dyDescent="0.25">
      <c r="A314" s="3">
        <f t="shared" si="5"/>
        <v>313</v>
      </c>
      <c r="C314" s="3" t="s">
        <v>871</v>
      </c>
      <c r="D314" s="3" t="s">
        <v>774</v>
      </c>
      <c r="E314" s="3" t="s">
        <v>872</v>
      </c>
      <c r="F314" s="3" t="s">
        <v>873</v>
      </c>
      <c r="G314" s="3">
        <v>1.8</v>
      </c>
    </row>
    <row r="315" spans="1:7" x14ac:dyDescent="0.25">
      <c r="A315" s="3">
        <f t="shared" si="5"/>
        <v>314</v>
      </c>
      <c r="C315" s="3" t="s">
        <v>871</v>
      </c>
      <c r="D315" s="3" t="s">
        <v>775</v>
      </c>
      <c r="E315" s="3" t="s">
        <v>872</v>
      </c>
      <c r="F315" s="3" t="s">
        <v>873</v>
      </c>
      <c r="G315" s="3">
        <v>1.8</v>
      </c>
    </row>
    <row r="316" spans="1:7" x14ac:dyDescent="0.25">
      <c r="A316" s="3">
        <f t="shared" si="5"/>
        <v>315</v>
      </c>
      <c r="C316" s="3" t="s">
        <v>871</v>
      </c>
      <c r="D316" s="3" t="s">
        <v>776</v>
      </c>
      <c r="E316" s="3" t="s">
        <v>872</v>
      </c>
      <c r="F316" s="3" t="s">
        <v>873</v>
      </c>
      <c r="G316" s="3">
        <v>1.8</v>
      </c>
    </row>
    <row r="317" spans="1:7" x14ac:dyDescent="0.25">
      <c r="A317" s="3">
        <f t="shared" si="5"/>
        <v>316</v>
      </c>
      <c r="C317" s="3" t="s">
        <v>871</v>
      </c>
      <c r="D317" s="3" t="s">
        <v>777</v>
      </c>
      <c r="E317" s="3" t="s">
        <v>872</v>
      </c>
      <c r="F317" s="3" t="s">
        <v>873</v>
      </c>
      <c r="G317" s="3">
        <v>1.8</v>
      </c>
    </row>
    <row r="318" spans="1:7" x14ac:dyDescent="0.25">
      <c r="A318" s="3">
        <f t="shared" si="5"/>
        <v>317</v>
      </c>
      <c r="C318" s="3" t="s">
        <v>871</v>
      </c>
      <c r="D318" s="3" t="s">
        <v>782</v>
      </c>
      <c r="E318" s="3" t="s">
        <v>872</v>
      </c>
      <c r="F318" s="3" t="s">
        <v>873</v>
      </c>
      <c r="G318" s="3">
        <v>2.8</v>
      </c>
    </row>
    <row r="319" spans="1:7" x14ac:dyDescent="0.25">
      <c r="A319" s="3">
        <f t="shared" si="5"/>
        <v>318</v>
      </c>
      <c r="C319" s="3" t="s">
        <v>871</v>
      </c>
      <c r="D319" s="3" t="s">
        <v>783</v>
      </c>
      <c r="E319" s="3" t="s">
        <v>872</v>
      </c>
      <c r="F319" s="3" t="s">
        <v>873</v>
      </c>
      <c r="G319" s="3">
        <v>2.4</v>
      </c>
    </row>
    <row r="320" spans="1:7" x14ac:dyDescent="0.25">
      <c r="A320" s="3">
        <f t="shared" si="5"/>
        <v>319</v>
      </c>
      <c r="C320" s="3" t="s">
        <v>871</v>
      </c>
      <c r="D320" s="3" t="s">
        <v>784</v>
      </c>
      <c r="E320" s="3" t="s">
        <v>872</v>
      </c>
      <c r="F320" s="3" t="s">
        <v>873</v>
      </c>
      <c r="G320" s="3">
        <v>0.9</v>
      </c>
    </row>
    <row r="321" spans="1:7" x14ac:dyDescent="0.25">
      <c r="A321" s="3">
        <f t="shared" si="5"/>
        <v>320</v>
      </c>
      <c r="C321" s="3" t="s">
        <v>871</v>
      </c>
      <c r="D321" s="3" t="s">
        <v>785</v>
      </c>
      <c r="E321" s="3" t="s">
        <v>872</v>
      </c>
      <c r="F321" s="3" t="s">
        <v>873</v>
      </c>
      <c r="G321" s="3">
        <v>2.2000000000000002</v>
      </c>
    </row>
    <row r="322" spans="1:7" x14ac:dyDescent="0.25">
      <c r="A322" s="3">
        <f t="shared" si="5"/>
        <v>321</v>
      </c>
      <c r="C322" s="3" t="s">
        <v>871</v>
      </c>
      <c r="D322" s="3" t="s">
        <v>786</v>
      </c>
      <c r="E322" s="3" t="s">
        <v>872</v>
      </c>
      <c r="F322" s="3" t="s">
        <v>873</v>
      </c>
      <c r="G322" s="3">
        <v>2.2000000000000002</v>
      </c>
    </row>
    <row r="323" spans="1:7" x14ac:dyDescent="0.25">
      <c r="A323" s="3">
        <f t="shared" si="5"/>
        <v>322</v>
      </c>
      <c r="C323" s="3" t="s">
        <v>871</v>
      </c>
      <c r="D323" s="3" t="s">
        <v>787</v>
      </c>
      <c r="E323" s="3" t="s">
        <v>872</v>
      </c>
      <c r="F323" s="3" t="s">
        <v>873</v>
      </c>
      <c r="G323" s="3">
        <v>1.2</v>
      </c>
    </row>
    <row r="324" spans="1:7" x14ac:dyDescent="0.25">
      <c r="A324" s="3">
        <f t="shared" ref="A324:A361" si="6">A323+1</f>
        <v>323</v>
      </c>
      <c r="C324" s="3" t="s">
        <v>871</v>
      </c>
      <c r="D324" s="3" t="s">
        <v>788</v>
      </c>
      <c r="E324" s="3" t="s">
        <v>872</v>
      </c>
      <c r="F324" s="3" t="s">
        <v>873</v>
      </c>
      <c r="G324" s="3">
        <v>2</v>
      </c>
    </row>
    <row r="325" spans="1:7" x14ac:dyDescent="0.25">
      <c r="A325" s="3">
        <f t="shared" si="6"/>
        <v>324</v>
      </c>
      <c r="C325" s="3" t="s">
        <v>871</v>
      </c>
      <c r="D325" s="3" t="s">
        <v>789</v>
      </c>
      <c r="E325" s="3" t="s">
        <v>872</v>
      </c>
      <c r="F325" s="3" t="s">
        <v>873</v>
      </c>
      <c r="G325" s="3">
        <v>1.4</v>
      </c>
    </row>
    <row r="326" spans="1:7" x14ac:dyDescent="0.25">
      <c r="A326" s="3">
        <f t="shared" si="6"/>
        <v>325</v>
      </c>
      <c r="C326" s="3" t="s">
        <v>871</v>
      </c>
      <c r="D326" s="3" t="s">
        <v>790</v>
      </c>
      <c r="E326" s="3" t="s">
        <v>872</v>
      </c>
      <c r="F326" s="3" t="s">
        <v>873</v>
      </c>
      <c r="G326" s="3">
        <v>2.2000000000000002</v>
      </c>
    </row>
    <row r="327" spans="1:7" x14ac:dyDescent="0.25">
      <c r="A327" s="3">
        <f t="shared" si="6"/>
        <v>326</v>
      </c>
      <c r="C327" s="3" t="s">
        <v>871</v>
      </c>
      <c r="D327" s="3" t="s">
        <v>791</v>
      </c>
      <c r="E327" s="3" t="s">
        <v>872</v>
      </c>
      <c r="F327" s="3" t="s">
        <v>873</v>
      </c>
      <c r="G327" s="3">
        <v>1.4</v>
      </c>
    </row>
    <row r="328" spans="1:7" x14ac:dyDescent="0.25">
      <c r="A328" s="3">
        <f t="shared" si="6"/>
        <v>327</v>
      </c>
      <c r="C328" s="3" t="s">
        <v>871</v>
      </c>
      <c r="D328" s="3" t="s">
        <v>792</v>
      </c>
      <c r="E328" s="3" t="s">
        <v>872</v>
      </c>
      <c r="F328" s="3" t="s">
        <v>873</v>
      </c>
      <c r="G328" s="3">
        <v>1.2</v>
      </c>
    </row>
    <row r="329" spans="1:7" x14ac:dyDescent="0.25">
      <c r="A329" s="3">
        <f t="shared" si="6"/>
        <v>328</v>
      </c>
      <c r="C329" s="3" t="s">
        <v>871</v>
      </c>
      <c r="D329" s="3" t="s">
        <v>793</v>
      </c>
      <c r="E329" s="3" t="s">
        <v>872</v>
      </c>
      <c r="F329" s="3" t="s">
        <v>873</v>
      </c>
      <c r="G329" s="3">
        <v>1.2</v>
      </c>
    </row>
    <row r="330" spans="1:7" x14ac:dyDescent="0.25">
      <c r="A330" s="3">
        <f t="shared" si="6"/>
        <v>329</v>
      </c>
      <c r="C330" s="3" t="s">
        <v>871</v>
      </c>
      <c r="D330" s="3" t="s">
        <v>794</v>
      </c>
      <c r="E330" s="3" t="s">
        <v>872</v>
      </c>
      <c r="F330" s="3" t="s">
        <v>873</v>
      </c>
      <c r="G330" s="3">
        <v>1.2</v>
      </c>
    </row>
    <row r="331" spans="1:7" x14ac:dyDescent="0.25">
      <c r="A331" s="3">
        <f t="shared" si="6"/>
        <v>330</v>
      </c>
      <c r="C331" s="3" t="s">
        <v>871</v>
      </c>
      <c r="D331" s="3" t="s">
        <v>795</v>
      </c>
      <c r="E331" s="3" t="s">
        <v>872</v>
      </c>
      <c r="F331" s="3" t="s">
        <v>873</v>
      </c>
      <c r="G331" s="3">
        <v>1.4</v>
      </c>
    </row>
    <row r="332" spans="1:7" x14ac:dyDescent="0.25">
      <c r="A332" s="3">
        <f t="shared" si="6"/>
        <v>331</v>
      </c>
      <c r="C332" s="3" t="s">
        <v>871</v>
      </c>
      <c r="D332" s="3" t="s">
        <v>112</v>
      </c>
      <c r="E332" s="3" t="s">
        <v>872</v>
      </c>
      <c r="F332" s="3" t="s">
        <v>873</v>
      </c>
      <c r="G332" s="3">
        <v>1</v>
      </c>
    </row>
    <row r="333" spans="1:7" x14ac:dyDescent="0.25">
      <c r="A333" s="3">
        <f t="shared" si="6"/>
        <v>332</v>
      </c>
      <c r="C333" s="3" t="s">
        <v>871</v>
      </c>
      <c r="D333" s="3" t="s">
        <v>779</v>
      </c>
      <c r="E333" s="3" t="s">
        <v>872</v>
      </c>
      <c r="F333" s="3" t="s">
        <v>873</v>
      </c>
      <c r="G333" s="3">
        <v>1</v>
      </c>
    </row>
    <row r="334" spans="1:7" x14ac:dyDescent="0.25">
      <c r="A334" s="3">
        <f t="shared" si="6"/>
        <v>333</v>
      </c>
      <c r="C334" s="3" t="s">
        <v>871</v>
      </c>
      <c r="D334" s="3" t="s">
        <v>780</v>
      </c>
      <c r="E334" s="3" t="s">
        <v>872</v>
      </c>
      <c r="F334" s="3" t="s">
        <v>873</v>
      </c>
      <c r="G334" s="3">
        <v>1</v>
      </c>
    </row>
    <row r="335" spans="1:7" x14ac:dyDescent="0.25">
      <c r="A335" s="3">
        <f t="shared" si="6"/>
        <v>334</v>
      </c>
      <c r="C335" s="3" t="s">
        <v>871</v>
      </c>
      <c r="D335" s="3" t="s">
        <v>781</v>
      </c>
      <c r="E335" s="3" t="s">
        <v>872</v>
      </c>
      <c r="F335" s="3" t="s">
        <v>873</v>
      </c>
      <c r="G335" s="3">
        <v>1</v>
      </c>
    </row>
    <row r="336" spans="1:7" x14ac:dyDescent="0.25">
      <c r="A336" s="3">
        <f t="shared" si="6"/>
        <v>335</v>
      </c>
      <c r="C336" s="3" t="s">
        <v>871</v>
      </c>
      <c r="D336" s="3" t="s">
        <v>796</v>
      </c>
      <c r="E336" s="3" t="s">
        <v>872</v>
      </c>
      <c r="F336" s="3" t="s">
        <v>873</v>
      </c>
      <c r="G336" s="3">
        <v>2</v>
      </c>
    </row>
    <row r="337" spans="1:7" x14ac:dyDescent="0.25">
      <c r="A337" s="3">
        <f t="shared" si="6"/>
        <v>336</v>
      </c>
      <c r="C337" s="3" t="s">
        <v>871</v>
      </c>
      <c r="D337" s="3" t="s">
        <v>797</v>
      </c>
      <c r="E337" s="3" t="s">
        <v>872</v>
      </c>
      <c r="F337" s="3" t="s">
        <v>873</v>
      </c>
      <c r="G337" s="3">
        <v>1.2</v>
      </c>
    </row>
    <row r="338" spans="1:7" x14ac:dyDescent="0.25">
      <c r="A338" s="3">
        <f t="shared" si="6"/>
        <v>337</v>
      </c>
      <c r="C338" s="3" t="s">
        <v>871</v>
      </c>
      <c r="D338" s="3" t="s">
        <v>798</v>
      </c>
      <c r="E338" s="3" t="s">
        <v>872</v>
      </c>
      <c r="F338" s="3" t="s">
        <v>873</v>
      </c>
      <c r="G338" s="3">
        <v>2.2000000000000002</v>
      </c>
    </row>
    <row r="339" spans="1:7" x14ac:dyDescent="0.25">
      <c r="A339" s="3">
        <f t="shared" si="6"/>
        <v>338</v>
      </c>
      <c r="C339" s="3" t="s">
        <v>871</v>
      </c>
      <c r="D339" s="3" t="s">
        <v>799</v>
      </c>
      <c r="E339" s="3" t="s">
        <v>872</v>
      </c>
      <c r="F339" s="3" t="s">
        <v>873</v>
      </c>
      <c r="G339" s="3">
        <v>1.2</v>
      </c>
    </row>
    <row r="340" spans="1:7" x14ac:dyDescent="0.25">
      <c r="A340" s="3">
        <f t="shared" si="6"/>
        <v>339</v>
      </c>
      <c r="C340" s="3" t="s">
        <v>871</v>
      </c>
      <c r="D340" s="3" t="s">
        <v>800</v>
      </c>
      <c r="E340" s="3" t="s">
        <v>872</v>
      </c>
      <c r="F340" s="3" t="s">
        <v>873</v>
      </c>
      <c r="G340" s="3">
        <v>1</v>
      </c>
    </row>
    <row r="341" spans="1:7" x14ac:dyDescent="0.25">
      <c r="A341" s="3">
        <f t="shared" si="6"/>
        <v>340</v>
      </c>
      <c r="C341" s="3" t="s">
        <v>871</v>
      </c>
      <c r="D341" s="3" t="s">
        <v>801</v>
      </c>
      <c r="E341" s="3" t="s">
        <v>872</v>
      </c>
      <c r="F341" s="3" t="s">
        <v>873</v>
      </c>
      <c r="G341" s="3">
        <v>2</v>
      </c>
    </row>
    <row r="342" spans="1:7" x14ac:dyDescent="0.25">
      <c r="A342" s="3">
        <f t="shared" si="6"/>
        <v>341</v>
      </c>
      <c r="C342" s="3" t="s">
        <v>871</v>
      </c>
      <c r="D342" s="3" t="s">
        <v>802</v>
      </c>
      <c r="E342" s="3" t="s">
        <v>872</v>
      </c>
      <c r="F342" s="3" t="s">
        <v>873</v>
      </c>
      <c r="G342" s="3">
        <v>2</v>
      </c>
    </row>
    <row r="343" spans="1:7" x14ac:dyDescent="0.25">
      <c r="A343" s="3">
        <f t="shared" si="6"/>
        <v>342</v>
      </c>
      <c r="C343" s="3" t="s">
        <v>871</v>
      </c>
      <c r="D343" s="3" t="s">
        <v>803</v>
      </c>
      <c r="E343" s="3" t="s">
        <v>872</v>
      </c>
      <c r="F343" s="3" t="s">
        <v>873</v>
      </c>
      <c r="G343" s="3">
        <v>0.8</v>
      </c>
    </row>
    <row r="344" spans="1:7" x14ac:dyDescent="0.25">
      <c r="A344" s="3">
        <f t="shared" si="6"/>
        <v>343</v>
      </c>
      <c r="C344" s="3" t="s">
        <v>871</v>
      </c>
      <c r="D344" s="3" t="s">
        <v>804</v>
      </c>
      <c r="E344" s="3" t="s">
        <v>872</v>
      </c>
      <c r="F344" s="3" t="s">
        <v>873</v>
      </c>
      <c r="G344" s="3">
        <v>0.8</v>
      </c>
    </row>
    <row r="345" spans="1:7" x14ac:dyDescent="0.25">
      <c r="A345" s="3">
        <f t="shared" si="6"/>
        <v>344</v>
      </c>
      <c r="C345" s="3" t="s">
        <v>871</v>
      </c>
      <c r="D345" s="3" t="s">
        <v>805</v>
      </c>
      <c r="E345" s="3" t="s">
        <v>872</v>
      </c>
      <c r="F345" s="3" t="s">
        <v>873</v>
      </c>
      <c r="G345" s="3">
        <v>0.8</v>
      </c>
    </row>
    <row r="346" spans="1:7" x14ac:dyDescent="0.25">
      <c r="A346" s="3">
        <f t="shared" si="6"/>
        <v>345</v>
      </c>
      <c r="C346" s="3" t="s">
        <v>871</v>
      </c>
      <c r="D346" s="3" t="s">
        <v>806</v>
      </c>
      <c r="E346" s="3" t="s">
        <v>872</v>
      </c>
      <c r="F346" s="3" t="s">
        <v>873</v>
      </c>
      <c r="G346" s="3">
        <v>0.8</v>
      </c>
    </row>
    <row r="347" spans="1:7" x14ac:dyDescent="0.25">
      <c r="A347" s="3">
        <f t="shared" si="6"/>
        <v>346</v>
      </c>
      <c r="C347" s="3" t="s">
        <v>871</v>
      </c>
      <c r="D347" s="3" t="s">
        <v>807</v>
      </c>
      <c r="E347" s="3" t="s">
        <v>872</v>
      </c>
      <c r="F347" s="3" t="s">
        <v>873</v>
      </c>
      <c r="G347" s="3">
        <v>0.8</v>
      </c>
    </row>
    <row r="348" spans="1:7" x14ac:dyDescent="0.25">
      <c r="A348" s="3">
        <f t="shared" si="6"/>
        <v>347</v>
      </c>
      <c r="C348" s="3" t="s">
        <v>871</v>
      </c>
      <c r="D348" s="3" t="s">
        <v>808</v>
      </c>
      <c r="E348" s="3" t="s">
        <v>872</v>
      </c>
      <c r="F348" s="3" t="s">
        <v>873</v>
      </c>
      <c r="G348" s="3">
        <v>0.8</v>
      </c>
    </row>
    <row r="349" spans="1:7" x14ac:dyDescent="0.25">
      <c r="A349" s="3">
        <f t="shared" si="6"/>
        <v>348</v>
      </c>
      <c r="C349" s="3" t="s">
        <v>871</v>
      </c>
      <c r="D349" s="3" t="s">
        <v>809</v>
      </c>
      <c r="E349" s="3" t="s">
        <v>872</v>
      </c>
      <c r="F349" s="3" t="s">
        <v>873</v>
      </c>
      <c r="G349" s="3">
        <v>1.2</v>
      </c>
    </row>
    <row r="350" spans="1:7" x14ac:dyDescent="0.25">
      <c r="A350" s="3">
        <f t="shared" si="6"/>
        <v>349</v>
      </c>
      <c r="C350" s="3" t="s">
        <v>871</v>
      </c>
      <c r="D350" s="3" t="s">
        <v>810</v>
      </c>
      <c r="E350" s="3" t="s">
        <v>872</v>
      </c>
      <c r="F350" s="3" t="s">
        <v>873</v>
      </c>
      <c r="G350" s="3">
        <v>1.5</v>
      </c>
    </row>
    <row r="351" spans="1:7" x14ac:dyDescent="0.25">
      <c r="A351" s="3">
        <f t="shared" si="6"/>
        <v>350</v>
      </c>
      <c r="C351" s="3" t="s">
        <v>871</v>
      </c>
      <c r="D351" s="3" t="s">
        <v>811</v>
      </c>
      <c r="E351" s="3" t="s">
        <v>872</v>
      </c>
      <c r="F351" s="3" t="s">
        <v>873</v>
      </c>
      <c r="G351" s="3">
        <v>0.8</v>
      </c>
    </row>
    <row r="352" spans="1:7" x14ac:dyDescent="0.25">
      <c r="A352" s="3">
        <f t="shared" si="6"/>
        <v>351</v>
      </c>
      <c r="C352" s="3" t="s">
        <v>871</v>
      </c>
      <c r="D352" s="3" t="s">
        <v>812</v>
      </c>
      <c r="E352" s="3" t="s">
        <v>872</v>
      </c>
      <c r="F352" s="3" t="s">
        <v>873</v>
      </c>
      <c r="G352" s="3">
        <v>0.8</v>
      </c>
    </row>
    <row r="353" spans="1:7" x14ac:dyDescent="0.25">
      <c r="A353" s="3">
        <f t="shared" si="6"/>
        <v>352</v>
      </c>
      <c r="C353" s="3" t="s">
        <v>871</v>
      </c>
      <c r="D353" s="3" t="s">
        <v>813</v>
      </c>
      <c r="E353" s="3" t="s">
        <v>872</v>
      </c>
      <c r="F353" s="3" t="s">
        <v>873</v>
      </c>
      <c r="G353" s="3">
        <v>0.8</v>
      </c>
    </row>
    <row r="354" spans="1:7" x14ac:dyDescent="0.25">
      <c r="A354" s="3">
        <f t="shared" si="6"/>
        <v>353</v>
      </c>
      <c r="C354" s="3" t="s">
        <v>871</v>
      </c>
      <c r="D354" s="3" t="s">
        <v>814</v>
      </c>
      <c r="E354" s="3" t="s">
        <v>872</v>
      </c>
      <c r="F354" s="3" t="s">
        <v>873</v>
      </c>
      <c r="G354" s="3">
        <v>1.5</v>
      </c>
    </row>
    <row r="355" spans="1:7" x14ac:dyDescent="0.25">
      <c r="A355" s="3">
        <f t="shared" si="6"/>
        <v>354</v>
      </c>
      <c r="C355" s="3" t="s">
        <v>871</v>
      </c>
      <c r="D355" s="3" t="s">
        <v>106</v>
      </c>
      <c r="E355" s="3" t="s">
        <v>872</v>
      </c>
      <c r="F355" s="3" t="s">
        <v>873</v>
      </c>
      <c r="G355" s="3">
        <v>0.8</v>
      </c>
    </row>
    <row r="356" spans="1:7" x14ac:dyDescent="0.25">
      <c r="A356" s="3">
        <f t="shared" si="6"/>
        <v>355</v>
      </c>
      <c r="C356" s="3" t="s">
        <v>871</v>
      </c>
      <c r="D356" s="3" t="s">
        <v>815</v>
      </c>
      <c r="E356" s="3" t="s">
        <v>872</v>
      </c>
      <c r="F356" s="3" t="s">
        <v>873</v>
      </c>
      <c r="G356" s="3">
        <v>0.8</v>
      </c>
    </row>
    <row r="357" spans="1:7" x14ac:dyDescent="0.25">
      <c r="A357" s="3">
        <f t="shared" si="6"/>
        <v>356</v>
      </c>
      <c r="C357" s="3" t="s">
        <v>871</v>
      </c>
      <c r="D357" s="3" t="s">
        <v>816</v>
      </c>
      <c r="E357" s="3" t="s">
        <v>872</v>
      </c>
      <c r="F357" s="3" t="s">
        <v>873</v>
      </c>
      <c r="G357" s="3">
        <v>0.8</v>
      </c>
    </row>
    <row r="358" spans="1:7" x14ac:dyDescent="0.25">
      <c r="A358" s="3">
        <f t="shared" si="6"/>
        <v>357</v>
      </c>
      <c r="C358" s="3" t="s">
        <v>871</v>
      </c>
      <c r="D358" s="3" t="s">
        <v>817</v>
      </c>
      <c r="E358" s="3" t="s">
        <v>872</v>
      </c>
      <c r="F358" s="3" t="s">
        <v>873</v>
      </c>
      <c r="G358" s="3">
        <v>1.2</v>
      </c>
    </row>
    <row r="359" spans="1:7" x14ac:dyDescent="0.25">
      <c r="A359" s="3">
        <f t="shared" si="6"/>
        <v>358</v>
      </c>
      <c r="C359" s="3" t="s">
        <v>871</v>
      </c>
      <c r="D359" s="3" t="s">
        <v>818</v>
      </c>
      <c r="E359" s="3" t="s">
        <v>872</v>
      </c>
      <c r="F359" s="3" t="s">
        <v>873</v>
      </c>
      <c r="G359" s="3">
        <v>1</v>
      </c>
    </row>
    <row r="360" spans="1:7" x14ac:dyDescent="0.25">
      <c r="A360" s="3">
        <f t="shared" si="6"/>
        <v>359</v>
      </c>
      <c r="C360" s="3" t="s">
        <v>871</v>
      </c>
      <c r="D360" s="3" t="s">
        <v>819</v>
      </c>
      <c r="E360" s="3" t="s">
        <v>872</v>
      </c>
      <c r="F360" s="3" t="s">
        <v>873</v>
      </c>
      <c r="G360" s="3">
        <v>1.2</v>
      </c>
    </row>
    <row r="361" spans="1:7" x14ac:dyDescent="0.25">
      <c r="A361" s="3">
        <f t="shared" si="6"/>
        <v>360</v>
      </c>
      <c r="C361" s="3" t="s">
        <v>871</v>
      </c>
      <c r="D361" s="3" t="s">
        <v>820</v>
      </c>
      <c r="E361" s="3" t="s">
        <v>872</v>
      </c>
      <c r="F361" s="3" t="s">
        <v>873</v>
      </c>
      <c r="G361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2026-07-21T03:13:10Z</dcterms:modified>
</cp:coreProperties>
</file>
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7A2C7366-2865-4DAC-BBE8-DF42FE716CD4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A357" i="2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A356" i="2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A355" i="2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A354" i="2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G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G64" i="1"/>
  <c r="H64" i="1"/>
  <c r="I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<sst xmlns="http://schemas.openxmlformats.org/spreadsheetml/2006/main" count="2003" uniqueCount="1193">
  <si>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</si>
  <si>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</si>
  <si>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</si>
  <si>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</si>
  <si>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</si>
  <si>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</si>
  <si>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</si>
  <si>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</si>
  <si>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</si>
  <si>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</si>
  <si>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</si>
  <si>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</si>
  <si>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</si>
  <si>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</si>
  <si>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</si>
  <si>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</si>
  <si>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</si>
  <si>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</si>
  <si>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</si>
  <si>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</si>
  <si>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</si>
  <si>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</si>
  <si>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</si>
  <si>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</si>
  <si>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</si>
  <si>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</si>
  <si>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</si>
  <si>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</si>
  <si>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</si>
  <si>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</si>
  <si>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</si>
  <si>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</si>
  <si>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</si>
  <si>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</si>
  <si>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</si>
  <si>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</si>
  <si>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</si>
  <si>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</si>
  <si>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</si>
  <si>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</si>
  <si>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</si>
  <si>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</si>
  <si>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</si>
  <si>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</si>
  <si>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</si>
  <si>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</si>
  <si>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</si>
  <si>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</si>
  <si>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</si>
  <si>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</si>
  <si>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</si>
  <si>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</si>
  <si>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</si>
  <si>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</si>
  <si>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</si>
  <si>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</si>
  <si>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</si>
  <si>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</si>
  <si>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</si>
  <si>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</si>
  <si>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</si>
  <si>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</si>
  <si>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</si>
  <si>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</si>
  <si>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</si>
  <si>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</si>
  <si>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</si>
  <si>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</si>
  <si>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</si>
  <si>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</si>
  <si>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</si>
  <si>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</si>
  <si>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</si>
  <si>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</si>
  <si>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</si>
  <si>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</si>
  <si>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</si>
  <si>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</si>
  <si>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</si>
  <si>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</si>
  <si>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</si>
  <si>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</si>
  <si>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</si>
  <si>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</si>
  <si>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</si>
  <si>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</si>
  <si>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</si>
  <si>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</si>
  <si>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</si>
  <si>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</si>
  <si>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</si>
  <si>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</si>
  <si>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</si>
  <si>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</si>
  <si>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</si>
  <si>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</si>
  <si>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</si>
  <si>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</si>
  <si>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</si>
  <si>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</si>
  <si>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</si>
  <si>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</si>
  <si>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</si>
  <si>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</si>
  <si>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</si>
  <si>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</si>
  <si>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</si>
  <si>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</si>
  <si>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</si>
  <si>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</si>
  <si>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</si>
  <si>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</si>
  <si>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</si>
  <si>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</si>
  <si>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</si>
  <si>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</si>
  <si>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</si>
  <si>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</si>
  <si>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</si>
  <si>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</si>
  <si>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</si>
  <si>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</si>
  <si>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</si>
  <si>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</si>
  <si>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</si>
  <si>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</si>
  <si>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</si>
  <si>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</si>
  <si>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</si>
  <si>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</si>
  <si>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</si>
  <si>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</si>
  <si>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</si>
  <si>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</si>
  <si>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</si>
  <si>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</si>
  <si>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</si>
  <si>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</si>
  <si>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</si>
  <si>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</si>
  <si>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</si>
  <si>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</si>
  <si>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</si>
  <si>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</si>
  <si>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</si>
  <si>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</si>
  <si>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</si>
  <si>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</si>
  <si>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</si>
  <si>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</si>
  <si>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</si>
  <si>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</si>
  <si>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</si>
  <si>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</si>
  <si>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</si>
  <si>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</si>
  <si>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</si>
  <si>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</si>
  <si>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</si>
  <si>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</si>
  <si>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</si>
  <si>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</si>
  <si>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</si>
  <si>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</si>
  <si>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</si>
  <si>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</si>
  <si>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</si>
  <si>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</si>
  <si>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</si>
  <si>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</si>
  <si>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</si>
  <si>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</si>
  <si>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</si>
  <si>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</si>
  <si>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</si>
  <si>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</si>
  <si>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</si>
  <si>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</si>
  <si>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</si>
  <si>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</si>
  <si>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</si>
  <si>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</si>
  <si>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</si>
  <si>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</si>
  <si>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</si>
  <si>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</si>
  <si>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</si>
  <si>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</si>
  <si>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</si>
  <si>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</si>
  <si>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</si>
  <si>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</si>
  <si>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</si>
  <si>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</si>
  <si>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</si>
  <si>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</si>
  <si>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</si>
  <si>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</si>
  <si>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</si>
  <si>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</si>
  <si>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</si>
  <si>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</si>
  <si>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</si>
  <si>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</si>
  <si>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</si>
  <si>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</si>
  <si>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</si>
  <si>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</si>
  <si>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</si>
  <si>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</si>
  <si>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</si>
  <si>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</si>
  <si>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</si>
  <si>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</si>
  <si>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</si>
  <si>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</si>
  <si>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</si>
  <si>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</si>
  <si>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</si>
  <si>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</si>
  <si>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</si>
  <si>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</si>
  <si>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</si>
  <si>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</si>
  <si>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</si>
  <si>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</si>
  <si>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</si>
  <si>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</si>
  <si>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</si>
  <si>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</si>
  <si>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</si>
  <si>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</si>
  <si>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</si>
  <si>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</si>
  <si>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</si>
  <si>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</si>
  <si>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</si>
  <si>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</si>
  <si>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</si>
  <si>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</si>
  <si>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</si>
  <si>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</si>
  <si>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</si>
  <si>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</si>
  <si>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</si>
  <si>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</si>
  <si>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</si>
  <si>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</si>
  <si>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</si>
  <si>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</si>
  <si>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</si>
  <si>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</si>
  <si>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</si>
  <si>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</si>
  <si>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</si>
  <si>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</si>
  <si>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</si>
  <si>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</si>
  <si>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</si>
  <si>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</si>
  <si>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</si>
  <si>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</si>
  <si>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</si>
  <si>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</si>
  <si>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</si>
  <si>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</si>
  <si>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</si>
  <si>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</si>
  <si>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</si>
  <si>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</si>
  <si>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</si>
  <si>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</si>
  <si>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</si>
  <si>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</si>
  <si>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</si>
  <si>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</si>
  <si>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</si>
  <si>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</si>
  <si>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</si>
  <si>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</si>
  <si>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</si>
  <si>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</si>
  <si>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</si>
  <si>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</si>
  <si>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</si>
  <si>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</si>
  <si>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</si>
  <si>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</si>
  <si>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</si>
  <si>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</si>
  <si>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</si>
  <si>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</si>
  <si>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</si>
  <si>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</si>
  <si>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</si>
  <si>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</si>
  <si>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</si>
  <si>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</si>
  <si>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</si>
  <si>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</si>
  <si>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</si>
  <si>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</si>
  <si>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</si>
  <si>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</si>
  <si>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</si>
  <si>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</si>
  <si>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</si>
  <si>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</si>
  <si>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</si>
  <si>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</si>
  <si>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</si>
  <si>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</si>
  <si>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</si>
  <si>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</si>
  <si>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</si>
  <si>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</si>
  <si>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</si>
  <si>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</si>
  <si>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</si>
  <si>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</si>
  <si>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</si>
  <si>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</si>
  <si>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</si>
  <si>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</si>
  <si>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</si>
  <si>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</si>
  <si>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</si>
  <si>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</si>
  <si>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</si>
  <si>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</si>
  <si>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</si>
  <si>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</si>
  <si>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</si>
  <si>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</si>
  <si>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</si>
  <si>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</si>
  <si>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</si>
  <si>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</si>
  <si>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</si>
  <si>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</si>
  <si>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</si>
  <si>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</si>
  <si>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</si>
  <si>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</si>
  <si>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</si>
  <si>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</si>
  <si>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</si>
  <si>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</si>
  <si>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</si>
  <si>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</si>
  <si>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</si>
  <si>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</si>
  <si>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</si>
  <si>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</si>
  <si>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</si>
  <si>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</si>
  <si>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</si>
  <si>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</si>
  <si>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</si>
  <si>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</si>
  <si>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</si>
  <si>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</si>
  <si>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</si>
  <si>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</si>
  <si>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</si>
  <si>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</si>
  <si>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</si>
  <si>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</si>
  <si>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</si>
  <si>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</si>
  <si>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</si>
  <si>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</si>
  <si>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</si>
  <si>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</si>
  <si>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</si>
  <si>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</si>
  <si>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</si>
  <si>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</si>
  <si>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</si>
  <si>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</si>
  <si>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</si>
  <si>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</si>
  <si>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</si>
  <si>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</si>
  <si>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</si>
  <si>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</si>
  <si>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</si>
  <si>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</si>
  <si>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</si>
  <si>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</si>
  <si>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</si>
  <si>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</si>
  <si>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</si>
  <si>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</si>
  <si>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</si>
  <si>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</si>
  <si>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</si>
  <si>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</si>
  <si>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</si>
  <si>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</si>
  <si>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</si>
  <si>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</si>
  <si>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</si>
  <si>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</si>
  <si>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</si>
  <si>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</si>
  <si>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</si>
  <si>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</si>
  <si>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</si>
  <si>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</si>
  <si>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</si>
  <si>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</si>
  <si>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</si>
  <si>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</si>
  <si>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</si>
  <si>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</si>
  <si>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</si>
  <si>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</si>
  <si>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</si>
  <si>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</si>
  <si>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</si>
  <si>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</si>
  <si>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</si>
  <si>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</si>
  <si>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</si>
  <si>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</si>
  <si>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</si>
  <si>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</si>
  <si>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</si>
  <si>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</si>
  <si>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</si>
  <si>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</si>
  <si>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</si>
  <si>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</si>
  <si>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</si>
  <si>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</si>
  <si>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</si>
  <si>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</si>
  <si>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</si>
  <si>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</si>
  <si>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</si>
  <si>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</si>
  <si>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</si>
  <si>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</si>
  <si>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</si>
  <si>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</si>
  <si>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</si>
  <si>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</si>
  <si>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</si>
  <si>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</si>
  <si>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</si>
  <si>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</si>
  <si>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</si>
  <si>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</si>
  <si>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</si>
  <si>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</si>
  <si>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</si>
  <si>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</si>
  <si>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</si>
  <si>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</si>
  <si>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</si>
  <si>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</si>
  <si>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</si>
  <si>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</si>
  <si>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</si>
  <si>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</si>
  <si>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</si>
  <si>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</si>
  <si>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</si>
  <si>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</si>
  <si>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</si>
  <si>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</si>
  <si>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</si>
  <si>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</si>
  <si>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</si>
  <si>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</si>
  <si>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</si>
  <si>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</si>
  <si>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</si>
  <si>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</si>
  <si>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</si>
  <si>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</si>
  <si>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</si>
  <si>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</si>
  <si>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</si>
  <si>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</si>
  <si>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</si>
  <si>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</si>
  <si>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</si>
  <si>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</si>
  <si>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</si>
  <si>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</si>
  <si>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</si>
  <si>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</si>
  <si>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</si>
  <si>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</si>
  <si>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</si>
  <si>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</si>
  <si>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</si>
  <si>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</si>
  <si>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</si>
  <si>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</si>
  <si>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</si>
  <si>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</si>
  <si>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</si>
  <si>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</si>
  <si>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</si>
  <si>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</si>
  <si>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</si>
  <si>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</si>
  <si>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</si>
  <si>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</si>
  <si>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</si>
  <si>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</si>
  <si>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</si>
  <si>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</si>
  <si>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</si>
  <si>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</si>
  <si>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</si>
  <si>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</si>
  <si>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</si>
  <si>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</si>
  <si>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</si>
  <si>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</si>
  <si>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</si>
  <si>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</si>
  <si>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</si>
  <si>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</si>
  <si>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</si>
  <si>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</si>
  <si>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</si>
  <si>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</si>
  <si>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</si>
  <si>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</si>
  <si>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</si>
  <si>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</si>
  <si>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</si>
  <si>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</si>
  <si>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</si>
  <si>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</si>
  <si>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</si>
  <si>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</si>
  <si>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</si>
  <si>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</si>
  <si>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</si>
  <si>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</si>
  <si>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</si>
  <si>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</si>
  <si>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</si>
  <si>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</si>
  <si>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</si>
  <si>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</si>
  <si>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</si>
  <si>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</si>
  <si>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</si>
  <si>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</si>
  <si>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</si>
  <si>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</si>
  <si>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</si>
  <si>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</si>
  <si>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</si>
  <si>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</si>
  <si>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</si>
  <si>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</si>
  <si>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</si>
  <si>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</si>
  <si>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</si>
  <si>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</si>
  <si>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</si>
  <si>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</si>
  <si>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</si>
  <si>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</si>
  <si>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</si>
  <si>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</si>
  <si>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</si>
  <si>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</si>
  <si>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</si>
  <si>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</si>
  <si>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</si>
  <si>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</si>
  <si>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</si>
  <si>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</si>
  <si>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</si>
  <si>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</si>
  <si>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</si>
  <si>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</si>
  <si>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</si>
  <si>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</si>
  <si>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</si>
  <si>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</si>
  <si>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</si>
  <si>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</si>
  <si>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</si>
  <si>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</si>
  <si>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</si>
  <si>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</si>
  <si>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</si>
  <si>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</si>
  <si>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</si>
  <si>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</si>
  <si>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</si>
  <si>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</si>
  <si>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</si>
  <si>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</si>
  <si>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</si>
  <si>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</si>
  <si>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</si>
  <si>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</si>
  <si>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</si>
  <si>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</si>
  <si>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</si>
  <si>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</si>
  <si>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</si>
  <si>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</si>
  <si>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</si>
  <si>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</si>
  <si>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</si>
  <si>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</si>
  <si>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</si>
  <si>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</si>
  <si>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</si>
  <si>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</si>
  <si>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</si>
  <si>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</si>
  <si>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</si>
  <si>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</si>
  <si>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</si>
  <si>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</si>
  <si>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</si>
  <si>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</si>
  <si>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</si>
  <si>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</si>
  <si>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</si>
  <si>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</si>
  <si>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</si>
  <si>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</si>
  <si>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</si>
  <si>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</si>
  <si>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</si>
  <si>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</si>
  <si>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</si>
  <si>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</si>
  <si>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</si>
  <si>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</si>
  <si>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</si>
  <si>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</si>
  <si>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</si>
  <si>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</si>
  <si>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</si>
  <si>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</si>
  <si>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</si>
  <si>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</si>
  <si>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</si>
  <si>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</si>
  <si>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</si>
  <si>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</si>
  <si>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</si>
  <si>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</si>
  <si>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</si>
  <si>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</si>
  <si>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</si>
  <si>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</si>
  <si>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</si>
  <si>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</si>
  <si>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</si>
  <si>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</si>
  <si>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</si>
  <si>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</si>
  <si>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</si>
  <si>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</si>
  <si>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</si>
  <si>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</si>
  <si>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</si>
  <si>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</si>
  <si>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</si>
  <si>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</si>
  <si>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</si>
  <si>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</si>
  <si>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</si>
  <si>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</si>
  <si>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</si>
  <si>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</si>
  <si>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</si>
  <si>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</si>
  <si>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</si>
  <si>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</si>
  <si>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</si>
  <si>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</si>
  <si>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</si>
  <si>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</si>
  <si>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</si>
  <si>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</si>
  <si>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</si>
  <si>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</si>
  <si>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</si>
  <si>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</si>
  <si>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</si>
  <si>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</si>
  <si>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</si>
  <si>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</si>
  <si>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</si>
  <si>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</si>
  <si>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</si>
  <si>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</si>
  <si>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</si>
  <si>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</si>
  <si>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</si>
  <si>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</si>
  <si>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</si>
  <si>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</si>
  <si>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</si>
  <si>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</si>
  <si>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</si>
  <si>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</si>
  <si>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</si>
  <si>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</si>
  <si>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</si>
  <si>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</si>
  <si>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</si>
  <si>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</si>
  <si>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</si>
  <si>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</si>
  <si>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</si>
  <si>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</si>
  <si>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</si>
  <si>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</si>
  <si>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</si>
  <si>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</si>
  <si>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</si>
  <si>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</si>
  <si>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</si>
  <si>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</si>
  <si>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</si>
  <si>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</si>
  <si>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</si>
  <si>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</si>
  <si>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</si>
  <si>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</si>
  <si>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</si>
  <si>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</si>
  <si>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</si>
  <si>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</si>
  <si>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</si>
  <si>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</si>
  <si>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</si>
  <si>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</si>
  <si>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</si>
  <si>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</si>
  <si>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</si>
  <si>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</si>
  <si>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</si>
  <si>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</si>
  <si>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</si>
  <si>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</si>
  <si>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</si>
  <si>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</si>
  <si>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</si>
  <si>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</si>
  <si>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</si>
  <si>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</si>
  <si>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</si>
  <si>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</si>
  <si>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</si>
  <si>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</si>
  <si>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</si>
  <si>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</si>
  <si>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</si>
  <si>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</si>
  <si>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</si>
  <si>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</si>
  <si>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</si>
  <si>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</si>
  <si>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</si>
  <si>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</si>
  <si>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</si>
  <si>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</si>
  <si>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</si>
  <si>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</si>
  <si>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</si>
  <si>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</si>
  <si>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</si>
  <si>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</si>
  <si>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</si>
  <si>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</si>
  <si>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</si>
  <si>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</si>
  <si>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</si>
  <si>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</si>
  <si>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</si>
  <si>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</si>
  <si>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</si>
  <si>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</si>
  <si>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</si>
  <si>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</si>
  <si>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</si>
  <si>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</si>
  <si>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</si>
  <si>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</si>
  <si>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</si>
  <si>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</si>
  <si>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</si>
  <si>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</si>
  <si>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</si>
  <si>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</si>
  <si>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</si>
  <si>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</si>
  <si>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</si>
  <si>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</si>
  <si>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</si>
  <si>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</si>
  <si>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</si>
  <si>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</si>
  <si>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</si>
  <si>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</si>
  <si>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</si>
  <si>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</si>
  <si>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</si>
  <si>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</si>
  <si>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</si>
  <si>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</si>
  <si>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</si>
  <si>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</si>
  <si>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</si>
  <si>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</si>
  <si>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</si>
  <si>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</si>
  <si>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</si>
  <si>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</si>
  <si>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</si>
  <si>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</si>
  <si>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</si>
  <si>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</si>
  <si>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</si>
  <si>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</si>
  <si>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</si>
  <si>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</si>
  <si>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</si>
  <si>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</si>
  <si>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</si>
  <si>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</si>
  <si>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</si>
  <si>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</si>
  <si>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</si>
  <si>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</si>
  <si>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</si>
  <si>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</si>
  <si>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</si>
  <si>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</si>
  <si>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</si>
  <si>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</si>
  <si>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</si>
  <si>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</si>
  <si>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</si>
  <si>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</si>
  <si>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</si>
  <si>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</si>
  <si>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</si>
  <si>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</si>
  <si>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</si>
  <si>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</si>
  <si>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</si>
  <si>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</si>
  <si>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</si>
  <si>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</si>
  <si>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</si>
  <si>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</si>
  <si>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</si>
  <si>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</si>
  <si>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</si>
  <si>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</si>
  <si>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</si>
  <si>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</si>
  <si>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</si>
  <si>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</si>
  <si>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</si>
  <si>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</si>
  <si>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</si>
  <si>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</si>
  <si>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</si>
  <si>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</si>
  <si>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</si>
  <si>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</si>
  <si>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</si>
  <si>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</si>
  <si>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</si>
  <si>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</si>
  <si>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</si>
  <si>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</si>
  <si>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</si>
  <si>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</si>
  <si>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</si>
  <si>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</si>
  <si>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</si>
  <si>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</si>
  <si>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</si>
  <si>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</si>
  <si>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</si>
  <si>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</si>
  <si>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</si>
  <si>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</si>
  <si>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</si>
  <si>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</si>
  <si>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</si>
  <si>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</si>
  <si>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</si>
  <si>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</si>
  <si>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</si>
  <si>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</si>
  <si>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</si>
  <si>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</si>
  <si>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</si>
  <si>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</si>
  <si>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</si>
  <si>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</si>
  <si>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</si>
  <si>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</si>
  <si>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</si>
  <si>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</si>
  <si>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</si>
  <si>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</si>
  <si>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</si>
  <si>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</si>
  <si>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</si>
  <si>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</si>
  <si>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</si>
  <si>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</si>
  <si>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</si>
  <si>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</si>
  <si>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</si>
  <si>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</si>
  <si>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</si>
  <si>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</si>
  <si>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</si>
  <si>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</si>
  <si>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</si>
  <si>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</si>
  <si>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</si>
  <si>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</si>
  <si>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</si>
  <si>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</si>
  <si>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</si>
  <si>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</si>
  <si>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</si>
  <si>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</si>
  <si>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</si>
  <si>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</si>
  <si>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</si>
  <si>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</si>
  <si>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</si>
  <si>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</si>
  <si>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</si>
  <si>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</si>
  <si>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</si>
  <si>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</si>
  <si>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</si>
  <si>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</si>
  <si>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</si>
  <si>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</si>
  <si>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</si>
  <si>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</si>
  <si>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</si>
  <si>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</si>
  <si>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</si>
  <si>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</si>
  <si>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</si>
  <si>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</si>
  <si>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</si>
  <si>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</si>
  <si>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</si>
  <si>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</si>
  <si>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</si>
  <si>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</si>
  <si>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</si>
  <si>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</si>
  <si>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</si>
  <si>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</si>
  <si>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</si>
  <si>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</si>
  <si>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</si>
  <si>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</si>
  <si>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</si>
  <si>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</si>
  <si>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</si>
  <si>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</si>
  <si>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</si>
  <si>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</si>
  <si>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</si>
  <si>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</si>
  <si>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</si>
  <si>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</si>
  <si>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</si>
  <si>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</si>
  <si>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</si>
  <si>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</si>
  <si>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</si>
  <si>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</si>
  <si>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</si>
  <si>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</si>
  <si>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</si>
  <si>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</si>
  <si>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</si>
  <si>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</si>
  <si>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</si>
  <si>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</si>
  <si>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</si>
  <si>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</si>
  <si>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</si>
  <si>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</si>
  <si>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</si>
  <si>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</si>
  <si>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</si>
  <si>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</si>
  <si>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</si>
  <si>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</si>
  <si>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</si>
  <si>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</si>
  <si>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2.5000000000000001E-3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</si>
  <si>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</si>
  <si>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</si>
  <si>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</si>
  <si>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</si>
  <si>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</si>
  <si>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</si>
  <si>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</si>
  <si>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</si>
  <si>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</si>
  <si>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</si>
  <si>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</si>
  <si>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</si>
  <si>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</si>
  <si>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</si>
  <si>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</si>
  <si>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</si>
  <si>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</si>
  <si>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</si>
  <si>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</si>
  <si>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</si>
  <si>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</si>
  <si>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</si>
  <si>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</si>
  <si>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</si>
  <si>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</si>
  <si>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</si>
  <si>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</si>
  <si>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</si>
  <si>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</si>
  <si>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</si>
  <si>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</si>
  <si>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</si>
  <si>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</si>
  <si>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</si>
  <si>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</si>
  <si>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</si>
  <si>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</si>
  <si>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</si>
  <si>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</si>
  <si>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</si>
  <si>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</si>
  <si>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</si>
  <si>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</si>
  <si>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</si>
  <si>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</si>
  <si>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</si>
  <si>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</si>
  <si>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</si>
  <si>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</si>
  <si>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</si>
  <si>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</si>
  <si>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</si>
  <si>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</si>
  <si>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</si>
  <si>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</si>
  <si>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</si>
  <si>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</si>
  <si>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</si>
  <si>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</si>
  <si>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</si>
  <si>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</si>
  <si>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</si>
  <si>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</si>
  <si>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</si>
  <si>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</si>
  <si>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</si>
  <si>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</si>
  <si>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</si>
  <si>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</si>
  <si>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</si>
  <si>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</si>
  <si>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</si>
  <si>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</si>
  <si>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</si>
  <si>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</si>
  <si>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</si>
  <si>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</si>
  <si>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</si>
  <si>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</si>
  <si>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</si>
  <si>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</si>
  <si>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</si>
  <si>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</si>
  <si>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</si>
  <si>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</si>
  <si>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</si>
  <si>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</si>
  <si>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</si>
  <si>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</si>
  <si>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</si>
  <si>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</si>
  <si>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</si>
  <si>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</si>
  <si>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</si>
  <si>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</si>
  <si>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</si>
  <si>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</si>
  <si>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</si>
  <si>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</si>
  <si>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</si>
  <si>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</si>
  <si>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</si>
  <si>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</si>
  <si>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</si>
  <si>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</si>
  <si>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</si>
  <si>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</si>
  <si>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</si>
  <si>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</si>
  <si>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</si>
  <si>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</si>
  <si>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</si>
  <si>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</si>
  <si>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</si>
  <si>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</si>
  <si>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</si>
  <si>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</si>
  <si>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</si>
  <si>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</si>
  <si>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</si>
  <si>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</si>
  <si>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</si>
  <si>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</si>
  <si>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</si>
  <si>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</si>
  <si>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</si>
  <si>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</si>
  <si>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</si>
  <si>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</si>
  <si>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</si>
  <si>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</si>
  <si>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</si>
  <si>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</si>
  <si>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</si>
  <si>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</si>
  <si>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</si>
  <si>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</si>
  <si>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</si>
  <si>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</si>
  <si>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</si>
  <si>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</si>
  <si>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</si>
  <si>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</si>
  <si>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</si>
  <si>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</si>
  <si>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</si>
  <si>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</si>
  <si>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</si>
  <si>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</si>
  <si>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</si>
  <si>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</si>
  <si>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個別技能（火鏈、瘟疫、秘法加持…）有自己的跑位節奏，寫在 Skills2 敵人技能的效果參數裡。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</si>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</sst>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s="7" t="s">
        <v>1171</v>
      </c>
      <c r="F58" s="7" t="s">
        <v>1172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s="7" t="s">
        <v>1173</v>
      </c>
      <c r="F60" s="7" t="s">
        <v>1174</v>
      </c>
      <c r="G60">
        <f>計算表!G60</f>
        <v>1</v>
      </c>
      <c r="H60" s="7" t="s">
        <v>1175</v>
      </c>
      <c r="I60" s="7" t="s">
        <v>1176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s="7" t="s">
        <v>1177</v>
      </c>
      <c r="F63" s="7" t="s">
        <v>1178</v>
      </c>
      <c r="G63">
        <f>計算表!G63</f>
        <v>3</v>
      </c>
      <c r="H63">
        <f>計算表!H63</f>
        <v>0.75</v>
      </c>
      <c r="I63">
        <f>計算表!I63</f>
        <v>2.4</v>
      </c>
      <c r="J63" s="7" t="s">
        <v>1179</v>
      </c>
      <c r="K63" s="7" t="s">
        <v>1180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s="7" t="s">
        <v>1181</v>
      </c>
      <c r="F64" s="7" t="s">
        <v>1182</v>
      </c>
      <c r="G64">
        <f>計算表!G64</f>
        <v>2</v>
      </c>
      <c r="H64">
        <f>計算表!H64</f>
        <v>0.75</v>
      </c>
      <c r="I64">
        <f>計算表!I64</f>
        <v>2.4</v>
      </c>
      <c r="J64" s="7" t="s">
        <v>1183</v>
      </c>
      <c r="K64" s="7" t="s">
        <v>1180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1184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1016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s="7" t="s">
        <v>126</v>
      </c>
      <c r="F67" s="7" t="s">
        <v>1185</v>
      </c>
      <c r="G67">
        <f>計算表!G67</f>
        <v>150</v>
      </c>
      <c r="H67" s="7" t="s">
        <v>1180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 s="7" t="s">
        <v>1183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 s="7" t="s">
        <v>1176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1186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s="7" t="s">
        <v>1187</v>
      </c>
      <c r="E71" s="7" t="s">
        <v>1188</v>
      </c>
      <c r="F71" s="7" t="s">
        <v>1189</v>
      </c>
      <c r="G71" s="7" t="s">
        <v>1190</v>
      </c>
      <c r="H71" s="7" t="s">
        <v>1191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1017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1018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1019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1020</v>
      </c>
      <c r="H147" s="7" t="s">
        <v>1021</v>
      </c>
      <c r="I147" s="7" t="s">
        <v>1022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1023</v>
      </c>
      <c r="H148" s="7" t="s">
        <v>1024</v>
      </c>
      <c r="I148">
        <f>計算表!I148</f>
        <v>9.11754</v>
      </c>
      <c r="J148" s="7" t="s">
        <v>1025</v>
      </c>
      <c r="K148" s="7" t="s">
        <v>1026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1027</v>
      </c>
      <c r="H149" s="7" t="s">
        <v>1028</v>
      </c>
      <c r="I149" s="7" t="s">
        <v>1029</v>
      </c>
      <c r="J149" s="7" t="s">
        <v>1030</v>
      </c>
      <c r="K149" s="7" t="s">
        <v>1031</v>
      </c>
      <c r="L149" s="7" t="s">
        <v>1032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1033</v>
      </c>
      <c r="H150" s="7" t="s">
        <v>1034</v>
      </c>
      <c r="I150" s="7" t="s">
        <v>1035</v>
      </c>
      <c r="J150" s="7" t="s">
        <v>1036</v>
      </c>
      <c r="K150" s="7" t="s">
        <v>1037</v>
      </c>
      <c r="L150" s="7" t="s">
        <v>1038</v>
      </c>
      <c r="M150" s="7" t="s">
        <v>1039</v>
      </c>
      <c r="N150" s="7" t="s">
        <v>1040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1041</v>
      </c>
      <c r="H151" s="7" t="s">
        <v>1042</v>
      </c>
      <c r="I151" s="7" t="s">
        <v>1043</v>
      </c>
      <c r="J151" s="7" t="s">
        <v>1044</v>
      </c>
      <c r="K151" s="7" t="s">
        <v>1045</v>
      </c>
      <c r="L151" s="7" t="s">
        <v>1046</v>
      </c>
      <c r="M151" s="7" t="s">
        <v>1047</v>
      </c>
      <c r="N151" s="7" t="s">
        <v>1048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1049</v>
      </c>
      <c r="H152" s="7" t="s">
        <v>1050</v>
      </c>
      <c r="I152" s="7" t="s">
        <v>1051</v>
      </c>
      <c r="J152" s="7" t="s">
        <v>1052</v>
      </c>
      <c r="K152" s="7" t="s">
        <v>1053</v>
      </c>
      <c r="L152" s="7" t="s">
        <v>1054</v>
      </c>
      <c r="M152" s="7" t="s">
        <v>1055</v>
      </c>
      <c r="N152" s="7" t="s">
        <v>1056</v>
      </c>
      <c r="O152" s="7" t="s">
        <v>1057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1058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1059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1060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1061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s="7" t="s">
        <v>611</v>
      </c>
      <c r="F221" s="7" t="s">
        <v>1192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1062</v>
      </c>
      <c r="F287" s="7" t="s">
        <v>1063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1064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1065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48</v>
      </c>
      <c r="K336">
        <f>計算表!K352</f>
        <v>10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353</v>
      </c>
      <c r="B338">
        <f>計算表!B354</f>
        <v>0</v>
      </c>
      <c r="C338" t="str">
        <f>計算表!C354</f>
        <v>4-菁英群組</v>
      </c>
      <c r="D338" t="str">
        <f>計算表!D354</f>
        <v>高級菁英機率</v>
      </c>
      <c r="E338" t="str">
        <f>計算表!E354</f>
        <v>每隻菁英有 a% 機率升級成高級菁英（普通關）；菁英關 b%</v>
      </c>
      <c r="F338" t="str">
        <f>計算表!F354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8">
        <f>計算表!G354</f>
        <v>6</v>
      </c>
      <c r="H338">
        <f>計算表!H354</f>
        <v>20</v>
      </c>
      <c r="I338">
        <f>計算表!I354</f>
        <v>0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>
        <f>計算表!A355</f>
        <v>354</v>
      </c>
      <c r="B339">
        <f>計算表!B355</f>
        <v>0</v>
      </c>
      <c r="C339" t="str">
        <f>計算表!C355</f>
        <v>4-菁英群組</v>
      </c>
      <c r="D339" t="str">
        <f>計算表!D355</f>
        <v>高級菁英倍率</v>
      </c>
      <c r="E339" t="str">
        <f>計算表!E355</f>
        <v>生命×a 攻擊×b 金幣經驗×c（相對同階段普通怪）</v>
      </c>
      <c r="F339" t="str">
        <f>計算表!F355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9">
        <f>計算表!G355</f>
        <v>8</v>
      </c>
      <c r="H339">
        <f>計算表!H355</f>
        <v>3</v>
      </c>
      <c r="I339">
        <f>計算表!I355</f>
        <v>4</v>
      </c>
      <c r="J339">
        <f>計算表!J355</f>
        <v>0</v>
      </c>
      <c r="K339">
        <f>計算表!K355</f>
        <v>0</v>
      </c>
      <c r="L339">
        <f>計算表!L355</f>
        <v>0</v>
      </c>
      <c r="M339">
        <f>計算表!M355</f>
        <v>0</v>
      </c>
      <c r="N339">
        <f>計算表!N355</f>
        <v>0</v>
      </c>
      <c r="O339">
        <f>計算表!O355</f>
        <v>0</v>
      </c>
      <c r="P339">
        <f>計算表!P355</f>
        <v>0</v>
      </c>
      <c r="Q339">
        <f>計算表!Q355</f>
        <v>0</v>
      </c>
      <c r="R339">
        <f>計算表!R355</f>
        <v>0</v>
      </c>
    </row>
    <row r="340" spans="1:18" x14ac:dyDescent="0.25">
      <c r="A340">
        <f>計算表!A356</f>
        <v>355</v>
      </c>
      <c r="B340">
        <f>計算表!B356</f>
        <v>0</v>
      </c>
      <c r="C340" t="str">
        <f>計算表!C356</f>
        <v>4-菁英群組</v>
      </c>
      <c r="D340" t="str">
        <f>計算表!D356</f>
        <v>敵人體型倍率</v>
      </c>
      <c r="E340" t="str">
        <f>計算表!E356</f>
        <v>菁英×a 高級菁英×b 野外BOSS×c 封魔塔BOSS d~e（相對普通敵人）</v>
      </c>
      <c r="F340" t="str">
        <f>計算表!F356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40">
        <f>計算表!G356</f>
        <v>1.6</v>
      </c>
      <c r="H340">
        <f>計算表!H356</f>
        <v>2.2000000000000002</v>
      </c>
      <c r="I340">
        <f>計算表!I356</f>
        <v>3.4</v>
      </c>
      <c r="J340">
        <f>計算表!J356</f>
        <v>5</v>
      </c>
      <c r="K340">
        <f>計算表!K356</f>
        <v>7</v>
      </c>
      <c r="L340">
        <f>計算表!L356</f>
        <v>0</v>
      </c>
      <c r="M340">
        <f>計算表!M356</f>
        <v>0</v>
      </c>
      <c r="N340">
        <f>計算表!N356</f>
        <v>0</v>
      </c>
      <c r="O340">
        <f>計算表!O356</f>
        <v>0</v>
      </c>
      <c r="P340">
        <f>計算表!P356</f>
        <v>0</v>
      </c>
      <c r="Q340">
        <f>計算表!Q356</f>
        <v>0</v>
      </c>
      <c r="R340">
        <f>計算表!R356</f>
        <v>0</v>
      </c>
    </row>
    <row r="341" spans="1:18" x14ac:dyDescent="0.25">
      <c r="A341">
        <f>計算表!A357</f>
        <v>356</v>
      </c>
      <c r="B341">
        <f>計算表!B357</f>
        <v>0</v>
      </c>
      <c r="C341" t="str">
        <f>計算表!C357</f>
        <v>4-菁英群組</v>
      </c>
      <c r="D341" t="str">
        <f>計算表!D357</f>
        <v>跑位設定</v>
      </c>
      <c r="E341" t="str">
        <f>計算表!E357</f>
        <v>菁英、高級菁英、野外 BOSS、封魔塔 BOSS 每 a~b 秒換一次位置</v>
      </c>
      <c r="F341" t="str">
        <f>計算表!F357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個別技能（火鏈、瘟疫、秘法加持…）有自己的跑位節奏，寫在 Skills2 敵人技能的效果參數裡。</v>
      </c>
      <c r="G341">
        <f>計算表!G357</f>
        <v>4</v>
      </c>
      <c r="H341">
        <f>計算表!H357</f>
        <v>8</v>
      </c>
      <c r="I341">
        <f>計算表!I357</f>
        <v>0</v>
      </c>
      <c r="J341">
        <f>計算表!J357</f>
        <v>0</v>
      </c>
      <c r="K341">
        <f>計算表!K357</f>
        <v>0</v>
      </c>
      <c r="L341">
        <f>計算表!L357</f>
        <v>0</v>
      </c>
      <c r="M341">
        <f>計算表!M357</f>
        <v>0</v>
      </c>
      <c r="N341">
        <f>計算表!N357</f>
        <v>0</v>
      </c>
      <c r="O341">
        <f>計算表!O357</f>
        <v>0</v>
      </c>
      <c r="P341">
        <f>計算表!P357</f>
        <v>0</v>
      </c>
      <c r="Q341">
        <f>計算表!Q357</f>
        <v>0</v>
      </c>
      <c r="R341">
        <f>計算表!R357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1067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1068</v>
      </c>
      <c r="F72" t="s">
        <v>1069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1074</v>
      </c>
      <c r="F87" s="7" t="s">
        <v>1075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1152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1151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1151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1151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1151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1151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1077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1077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1077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1077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1077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1077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1077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1077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1077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1078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1078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1070</v>
      </c>
      <c r="D333" t="s">
        <v>1071</v>
      </c>
      <c r="E333" t="s">
        <v>1072</v>
      </c>
      <c r="F333" t="s">
        <v>1073</v>
      </c>
      <c r="G333">
        <v>200</v>
      </c>
      <c r="H333" s="3" t="s">
        <v>1076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1079</v>
      </c>
      <c r="D334" s="2" t="s">
        <v>1080</v>
      </c>
      <c r="E334" t="s">
        <v>1081</v>
      </c>
      <c r="F334" t="s">
        <v>1082</v>
      </c>
      <c r="G334" s="7" t="s">
        <v>1083</v>
      </c>
      <c r="H334" s="7" t="s">
        <v>1084</v>
      </c>
      <c r="I334" s="7" t="s">
        <v>1085</v>
      </c>
      <c r="J334" s="7" t="s">
        <v>1086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1079</v>
      </c>
      <c r="D335" s="2" t="s">
        <v>1087</v>
      </c>
      <c r="E335" t="s">
        <v>1081</v>
      </c>
      <c r="F335" t="s">
        <v>1082</v>
      </c>
      <c r="G335" s="7" t="s">
        <v>1088</v>
      </c>
      <c r="H335" s="7" t="s">
        <v>1089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1079</v>
      </c>
      <c r="D336" s="2" t="s">
        <v>1090</v>
      </c>
      <c r="E336" t="s">
        <v>1081</v>
      </c>
      <c r="F336" t="s">
        <v>1082</v>
      </c>
      <c r="G336" s="7" t="s">
        <v>1091</v>
      </c>
      <c r="H336" s="7" t="s">
        <v>1092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1079</v>
      </c>
      <c r="D337" s="2" t="s">
        <v>1093</v>
      </c>
      <c r="E337" t="s">
        <v>1081</v>
      </c>
      <c r="F337" t="s">
        <v>1082</v>
      </c>
      <c r="G337" s="7" t="s">
        <v>1094</v>
      </c>
      <c r="H337" s="7" t="s">
        <v>1095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1079</v>
      </c>
      <c r="D338" s="2" t="s">
        <v>1096</v>
      </c>
      <c r="E338" t="s">
        <v>1081</v>
      </c>
      <c r="F338" t="s">
        <v>1082</v>
      </c>
      <c r="G338" s="7" t="s">
        <v>1097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1079</v>
      </c>
      <c r="D339" s="2" t="s">
        <v>1098</v>
      </c>
      <c r="E339" t="s">
        <v>1099</v>
      </c>
      <c r="F339" t="s">
        <v>1100</v>
      </c>
      <c r="G339" s="7" t="s">
        <v>1101</v>
      </c>
      <c r="H339" s="7" t="s">
        <v>1102</v>
      </c>
      <c r="I339" s="7" t="s">
        <v>1103</v>
      </c>
      <c r="J339" s="7" t="s">
        <v>1104</v>
      </c>
      <c r="K339" s="7" t="s">
        <v>1105</v>
      </c>
      <c r="L339" s="7" t="s">
        <v>1106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1079</v>
      </c>
      <c r="D340" s="2" t="s">
        <v>1107</v>
      </c>
      <c r="E340" t="s">
        <v>1099</v>
      </c>
      <c r="F340" t="s">
        <v>1100</v>
      </c>
      <c r="G340" s="7" t="s">
        <v>1108</v>
      </c>
      <c r="H340" s="7" t="s">
        <v>1109</v>
      </c>
      <c r="I340" s="7" t="s">
        <v>1110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1079</v>
      </c>
      <c r="D341" s="2" t="s">
        <v>1111</v>
      </c>
      <c r="E341" t="s">
        <v>1099</v>
      </c>
      <c r="F341" t="s">
        <v>1100</v>
      </c>
      <c r="G341" s="7" t="s">
        <v>1112</v>
      </c>
      <c r="H341" s="7" t="s">
        <v>1113</v>
      </c>
      <c r="I341" s="7" t="s">
        <v>1114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1079</v>
      </c>
      <c r="D342" s="2" t="s">
        <v>1115</v>
      </c>
      <c r="E342" t="s">
        <v>1099</v>
      </c>
      <c r="F342" t="s">
        <v>1100</v>
      </c>
      <c r="G342" s="7" t="s">
        <v>1116</v>
      </c>
      <c r="H342" s="7" t="s">
        <v>1113</v>
      </c>
      <c r="I342" s="7" t="s">
        <v>1117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1079</v>
      </c>
      <c r="D343" s="2" t="s">
        <v>1118</v>
      </c>
      <c r="E343" t="s">
        <v>1099</v>
      </c>
      <c r="F343" t="s">
        <v>1100</v>
      </c>
      <c r="G343" s="7" t="s">
        <v>1119</v>
      </c>
      <c r="H343" s="7" t="s">
        <v>1113</v>
      </c>
      <c r="I343" s="7" t="s">
        <v>1120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1079</v>
      </c>
      <c r="D344" s="2" t="s">
        <v>1121</v>
      </c>
      <c r="E344" t="s">
        <v>1122</v>
      </c>
      <c r="F344" t="s">
        <v>1123</v>
      </c>
      <c r="G344" s="7" t="s">
        <v>1124</v>
      </c>
      <c r="H344" s="7" t="s">
        <v>1125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1079</v>
      </c>
      <c r="D345" s="2" t="s">
        <v>1126</v>
      </c>
      <c r="E345" t="s">
        <v>1122</v>
      </c>
      <c r="F345" t="s">
        <v>1123</v>
      </c>
      <c r="G345" s="7" t="s">
        <v>1127</v>
      </c>
      <c r="H345" s="7" t="s">
        <v>1128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1079</v>
      </c>
      <c r="D346" s="2" t="s">
        <v>1129</v>
      </c>
      <c r="E346" t="s">
        <v>1122</v>
      </c>
      <c r="F346" t="s">
        <v>1123</v>
      </c>
      <c r="G346" s="7" t="s">
        <v>1130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1079</v>
      </c>
      <c r="D347" s="2" t="s">
        <v>1131</v>
      </c>
      <c r="E347" t="s">
        <v>1122</v>
      </c>
      <c r="F347" t="s">
        <v>1123</v>
      </c>
      <c r="G347" s="7" t="s">
        <v>1132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1079</v>
      </c>
      <c r="D348" s="2" t="s">
        <v>1133</v>
      </c>
      <c r="E348" t="s">
        <v>1122</v>
      </c>
      <c r="F348" t="s">
        <v>1123</v>
      </c>
      <c r="G348" s="7" t="s">
        <v>1134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1079</v>
      </c>
      <c r="D349" s="2" t="s">
        <v>1135</v>
      </c>
      <c r="E349" t="s">
        <v>1136</v>
      </c>
      <c r="F349" t="s">
        <v>1137</v>
      </c>
      <c r="G349" s="7" t="s">
        <v>1138</v>
      </c>
      <c r="H349" s="7" t="s">
        <v>1139</v>
      </c>
      <c r="I349" s="7" t="s">
        <v>1140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1079</v>
      </c>
      <c r="D350" s="2" t="s">
        <v>1141</v>
      </c>
      <c r="E350" t="s">
        <v>1142</v>
      </c>
      <c r="F350" t="s">
        <v>1170</v>
      </c>
      <c r="G350" s="7" t="s">
        <v>1143</v>
      </c>
      <c r="H350" s="7" t="s">
        <v>1144</v>
      </c>
      <c r="I350" s="7" t="s">
        <v>1145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1079</v>
      </c>
      <c r="D351" s="2" t="s">
        <v>1146</v>
      </c>
      <c r="E351" t="s">
        <v>1147</v>
      </c>
      <c r="F351" t="s">
        <v>1148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1079</v>
      </c>
      <c r="D352" s="2" t="s">
        <v>1149</v>
      </c>
      <c r="E352" t="s">
        <v>1150</v>
      </c>
      <c r="F352" t="s">
        <v>1169</v>
      </c>
      <c r="G352">
        <v>100</v>
      </c>
      <c r="H352">
        <v>100</v>
      </c>
      <c r="I352">
        <v>3.5</v>
      </c>
      <c r="J352">
        <v>48</v>
      </c>
      <c r="K352">
        <v>10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1153</v>
      </c>
      <c r="D353" s="2" t="s">
        <v>1154</v>
      </c>
      <c r="E353" t="s">
        <v>1155</v>
      </c>
      <c r="F353" t="s">
        <v>1156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353</v>
      </c>
      <c r="B354">
        <v>0</v>
      </c>
      <c r="C354" t="s">
        <v>1079</v>
      </c>
      <c r="D354" s="2" t="s">
        <v>1157</v>
      </c>
      <c r="E354" t="s">
        <v>1158</v>
      </c>
      <c r="F354" t="s">
        <v>1159</v>
      </c>
      <c r="G354">
        <v>6</v>
      </c>
      <c r="H354">
        <v>20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>A354+1</f>
        <v>354</v>
      </c>
      <c r="B355">
        <v>0</v>
      </c>
      <c r="C355" t="s">
        <v>1079</v>
      </c>
      <c r="D355" s="2" t="s">
        <v>1160</v>
      </c>
      <c r="E355" t="s">
        <v>1161</v>
      </c>
      <c r="F355" t="s">
        <v>1162</v>
      </c>
      <c r="G355">
        <v>8</v>
      </c>
      <c r="H355">
        <v>3</v>
      </c>
      <c r="I355">
        <v>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>A355+1</f>
        <v>355</v>
      </c>
      <c r="B356">
        <v>0</v>
      </c>
      <c r="C356" t="s">
        <v>1079</v>
      </c>
      <c r="D356" s="2" t="s">
        <v>1163</v>
      </c>
      <c r="E356" t="s">
        <v>1164</v>
      </c>
      <c r="F356" t="s">
        <v>1165</v>
      </c>
      <c r="G356">
        <v>1.6</v>
      </c>
      <c r="H356">
        <v>2.2000000000000002</v>
      </c>
      <c r="I356">
        <v>3.4</v>
      </c>
      <c r="J356">
        <v>5</v>
      </c>
      <c r="K356">
        <v>7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>A356+1</f>
        <v>356</v>
      </c>
      <c r="B357">
        <v>0</v>
      </c>
      <c r="C357" t="s">
        <v>1079</v>
      </c>
      <c r="D357" s="2" t="s">
        <v>1166</v>
      </c>
      <c r="E357" t="s">
        <v>1167</v>
      </c>
      <c r="F357" t="s">
        <v>1168</v>
      </c>
      <c r="G357">
        <v>4</v>
      </c>
      <c r="H357">
        <v>8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2026-10-14T11:34:27Z</dcterms:modified>
</cp:coreProperties>
</file>
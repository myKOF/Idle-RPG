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Game\Idle-RPG\codex\config\Excel\"/>
    </mc:Choice>
  </mc:AlternateContent>
  <xr:revisionPtr revIDLastSave="0" documentId="13_ncr:1_{B88488D8-CF3B-4165-A858-C39ED0C96B56}" xr6:coauthVersionLast="47" xr6:coauthVersionMax="47" xr10:uidLastSave="{00000000-0000-0000-0000-000000000000}"/>
  <bookViews>
    <workbookView xWindow="-120" yWindow="-120" windowWidth="29040" windowHeight="15720" xr2:uid="{648605E2-5E5E-4DEA-9FC5-F079B19D8924}"/>
  </bookViews>
  <sheets>
    <sheet name="Gem_resonance" sheetId="1" r:id="rId1"/>
  </sheets>
  <definedNames>
    <definedName name="_xlnm._FilterDatabase" localSheetId="0" hidden="1">Gem_resonance!$A$1:$K$20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1" l="1"/>
  <c r="G14" i="1" s="1"/>
  <c r="G15" i="1" s="1"/>
  <c r="G16" i="1" s="1"/>
  <c r="G17" i="1" s="1"/>
  <c r="G18" i="1" s="1"/>
  <c r="G19" i="1" s="1"/>
  <c r="G20" i="1" s="1"/>
  <c r="G12" i="1"/>
</calcChain>
</file>

<file path=xl/sharedStrings.xml><?xml version="1.0" encoding="utf-8"?>
<sst xmlns="http://schemas.openxmlformats.org/spreadsheetml/2006/main" count="210" uniqueCount="58">
  <si>
    <t>類型</t>
  </si>
  <si>
    <t>id</t>
  </si>
  <si>
    <t>名稱</t>
  </si>
  <si>
    <t>可鑲寶石</t>
  </si>
  <si>
    <t>中心容量</t>
  </si>
  <si>
    <t>孔位最低階</t>
  </si>
  <si>
    <t>金幣</t>
  </si>
  <si>
    <t>寶石階級</t>
  </si>
  <si>
    <t>寶石數量</t>
  </si>
  <si>
    <t>設定值</t>
  </si>
  <si>
    <t>備註</t>
  </si>
  <si>
    <t>設定</t>
  </si>
  <si>
    <t>perLevelPct</t>
  </si>
  <si>
    <t/>
  </si>
  <si>
    <t>3</t>
  </si>
  <si>
    <t>孔每升 1 級，相鄰孔裡每顆寶石的能力多算這個 %（加成＝孔等級 × 此值，不超過上限）。</t>
  </si>
  <si>
    <t>maxPct</t>
  </si>
  <si>
    <t>30</t>
  </si>
  <si>
    <t>孔等級帶來的相鄰加成上限 %。</t>
  </si>
  <si>
    <t>區域</t>
  </si>
  <si>
    <t>magic</t>
  </si>
  <si>
    <t>魔法傷害</t>
  </si>
  <si>
    <t>2</t>
  </si>
  <si>
    <t>6;4;4;5;5;5;4</t>
  </si>
  <si>
    <t>defense</t>
  </si>
  <si>
    <t>防禦</t>
  </si>
  <si>
    <t>diamond;lapis;topaz;moonstone;jade;pearl;malachite;fluorite</t>
  </si>
  <si>
    <t>6;4;4;4;5;5;5</t>
  </si>
  <si>
    <t>elemRes</t>
  </si>
  <si>
    <t>元素抗性</t>
  </si>
  <si>
    <t>wardFire;wardIce;wardLightning;wardPoison;wardDark;wardLight;wardEarth;wardWind;wardAll</t>
  </si>
  <si>
    <t>6;5;4;4;4;5;5</t>
  </si>
  <si>
    <t>elemDmg</t>
  </si>
  <si>
    <t>屬性傷害</t>
  </si>
  <si>
    <t>spinel;aquamarine;amazonite;peridot;citrine;tourmaline;tigerEye;moldavite;coreFire;coreIce;coreLightning;corePoison;coreLight;coreDark;coreEarth;coreWind</t>
  </si>
  <si>
    <t>6;5;5;4;4;4;5</t>
  </si>
  <si>
    <t>recover</t>
  </si>
  <si>
    <t>回復</t>
  </si>
  <si>
    <t>emerald;kyanite;onyx;manastone</t>
  </si>
  <si>
    <t>6;5;5;5;4;4;4</t>
  </si>
  <si>
    <t>phys</t>
  </si>
  <si>
    <t>物理傷害</t>
  </si>
  <si>
    <t>6;4;5;5;5;4;4</t>
  </si>
  <si>
    <t>core</t>
  </si>
  <si>
    <t>任意</t>
  </si>
  <si>
    <t>*</t>
  </si>
  <si>
    <t>6</t>
  </si>
  <si>
    <t>10;8;8;8;8;8;8</t>
  </si>
  <si>
    <t>升級</t>
  </si>
  <si>
    <t>1</t>
  </si>
  <si>
    <t>4</t>
  </si>
  <si>
    <t>5</t>
  </si>
  <si>
    <t>7</t>
  </si>
  <si>
    <t>8</t>
  </si>
  <si>
    <t>9</t>
  </si>
  <si>
    <t>10</t>
  </si>
  <si>
    <t>sapphire;pierceMagic;iolite;amethyst</t>
    <phoneticPr fontId="1" type="noConversion"/>
  </si>
  <si>
    <t>ruby;piercePhys;opal;catseye;garnet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</si>
</sst>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0" formatCode="_-* #,##0_-;\-* #,##0_-;_-* &quot;-&quot;??_-;_-@_-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49" fontId="2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/>
    </xf>
    <xf numFmtId="180" fontId="0" fillId="0" borderId="0" xfId="1" applyNumberFormat="1" applyFont="1" applyAlignment="1">
      <alignment vertical="top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E88C-0836-453A-9A17-7C0CD54834D2}">
  <dimension ref="A1:K2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12" sqref="G12"/>
    </sheetView>
  </sheetViews>
  <sheetFormatPr defaultRowHeight="16.5" x14ac:dyDescent="0.25"/>
  <cols>
    <col min="1" max="11" width="14.75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14</v>
      </c>
      <c r="K2" s="3" t="s">
        <v>15</v>
      </c>
    </row>
    <row r="3" spans="1:11" x14ac:dyDescent="0.25">
      <c r="A3" s="3" t="s">
        <v>11</v>
      </c>
      <c r="B3" s="3" t="s">
        <v>16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17</v>
      </c>
      <c r="K3" s="3" t="s">
        <v>18</v>
      </c>
    </row>
    <row r="4" spans="1:11" x14ac:dyDescent="0.25">
      <c r="A4" s="3" t="s">
        <v>19</v>
      </c>
      <c r="B4" s="3" t="s">
        <v>20</v>
      </c>
      <c r="C4" s="3" t="s">
        <v>21</v>
      </c>
      <c r="D4" s="3" t="s">
        <v>56</v>
      </c>
      <c r="E4" s="3" t="s">
        <v>22</v>
      </c>
      <c r="F4" s="3" t="s">
        <v>23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</row>
    <row r="5" spans="1:11" x14ac:dyDescent="0.25">
      <c r="A5" s="3" t="s">
        <v>19</v>
      </c>
      <c r="B5" s="3" t="s">
        <v>24</v>
      </c>
      <c r="C5" s="3" t="s">
        <v>25</v>
      </c>
      <c r="D5" s="3" t="s">
        <v>26</v>
      </c>
      <c r="E5" s="3" t="s">
        <v>22</v>
      </c>
      <c r="F5" s="3" t="s">
        <v>27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</row>
    <row r="6" spans="1:11" x14ac:dyDescent="0.25">
      <c r="A6" s="3" t="s">
        <v>19</v>
      </c>
      <c r="B6" s="3" t="s">
        <v>28</v>
      </c>
      <c r="C6" s="3" t="s">
        <v>29</v>
      </c>
      <c r="D6" s="3" t="s">
        <v>30</v>
      </c>
      <c r="E6" s="3" t="s">
        <v>22</v>
      </c>
      <c r="F6" s="3" t="s">
        <v>31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</row>
    <row r="7" spans="1:11" x14ac:dyDescent="0.25">
      <c r="A7" s="3" t="s">
        <v>19</v>
      </c>
      <c r="B7" s="3" t="s">
        <v>32</v>
      </c>
      <c r="C7" s="3" t="s">
        <v>33</v>
      </c>
      <c r="D7" s="3" t="s">
        <v>34</v>
      </c>
      <c r="E7" s="3" t="s">
        <v>22</v>
      </c>
      <c r="F7" s="3" t="s">
        <v>35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</row>
    <row r="8" spans="1:11" x14ac:dyDescent="0.25">
      <c r="A8" s="3" t="s">
        <v>19</v>
      </c>
      <c r="B8" s="3" t="s">
        <v>36</v>
      </c>
      <c r="C8" s="3" t="s">
        <v>37</v>
      </c>
      <c r="D8" s="3" t="s">
        <v>38</v>
      </c>
      <c r="E8" s="3" t="s">
        <v>22</v>
      </c>
      <c r="F8" s="3" t="s">
        <v>39</v>
      </c>
      <c r="G8" s="3" t="s">
        <v>13</v>
      </c>
      <c r="H8" s="3" t="s">
        <v>13</v>
      </c>
      <c r="I8" s="3" t="s">
        <v>13</v>
      </c>
      <c r="J8" s="3" t="s">
        <v>13</v>
      </c>
      <c r="K8" s="3" t="s">
        <v>13</v>
      </c>
    </row>
    <row r="9" spans="1:11" x14ac:dyDescent="0.25">
      <c r="A9" s="3" t="s">
        <v>19</v>
      </c>
      <c r="B9" s="3" t="s">
        <v>40</v>
      </c>
      <c r="C9" s="3" t="s">
        <v>41</v>
      </c>
      <c r="D9" s="3" t="s">
        <v>57</v>
      </c>
      <c r="E9" s="3" t="s">
        <v>22</v>
      </c>
      <c r="F9" s="3" t="s">
        <v>42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</row>
    <row r="10" spans="1:11" x14ac:dyDescent="0.25">
      <c r="A10" s="3" t="s">
        <v>19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</row>
    <row r="11" spans="1:11" x14ac:dyDescent="0.25">
      <c r="A11" s="3" t="s">
        <v>48</v>
      </c>
      <c r="B11" s="3" t="s">
        <v>49</v>
      </c>
      <c r="C11" s="3" t="s">
        <v>13</v>
      </c>
      <c r="D11" s="3" t="s">
        <v>13</v>
      </c>
      <c r="E11" s="3" t="s">
        <v>13</v>
      </c>
      <c r="F11" s="3" t="s">
        <v>13</v>
      </c>
      <c r="G11" s="4">
        <v>5000</v>
      </c>
      <c r="H11" s="3" t="s">
        <v>49</v>
      </c>
      <c r="I11" s="3" t="s">
        <v>14</v>
      </c>
      <c r="J11" s="3" t="s">
        <v>13</v>
      </c>
      <c r="K11" s="3" t="s">
        <v>13</v>
      </c>
    </row>
    <row r="12" spans="1:11" x14ac:dyDescent="0.25">
      <c r="A12" s="3" t="s">
        <v>48</v>
      </c>
      <c r="B12" s="3" t="s">
        <v>22</v>
      </c>
      <c r="C12" s="3" t="s">
        <v>13</v>
      </c>
      <c r="D12" s="3" t="s">
        <v>13</v>
      </c>
      <c r="E12" s="3" t="s">
        <v>13</v>
      </c>
      <c r="F12" s="3" t="s">
        <v>13</v>
      </c>
      <c r="G12" s="4">
        <f>ROUND(G11*4.5,-3)</f>
        <v>23000</v>
      </c>
      <c r="H12" s="3" t="s">
        <v>22</v>
      </c>
      <c r="I12" s="3" t="s">
        <v>14</v>
      </c>
      <c r="J12" s="3" t="s">
        <v>13</v>
      </c>
      <c r="K12" s="3" t="s">
        <v>13</v>
      </c>
    </row>
    <row r="13" spans="1:11" x14ac:dyDescent="0.25">
      <c r="A13" s="3" t="s">
        <v>48</v>
      </c>
      <c r="B13" s="3" t="s">
        <v>14</v>
      </c>
      <c r="C13" s="3" t="s">
        <v>13</v>
      </c>
      <c r="D13" s="3" t="s">
        <v>13</v>
      </c>
      <c r="E13" s="3" t="s">
        <v>13</v>
      </c>
      <c r="F13" s="3" t="s">
        <v>13</v>
      </c>
      <c r="G13" s="4">
        <f t="shared" ref="G13:G20" si="0">ROUND(G12*4.5,-3)</f>
        <v>104000</v>
      </c>
      <c r="H13" s="3" t="s">
        <v>14</v>
      </c>
      <c r="I13" s="3" t="s">
        <v>14</v>
      </c>
      <c r="J13" s="3" t="s">
        <v>13</v>
      </c>
      <c r="K13" s="3" t="s">
        <v>13</v>
      </c>
    </row>
    <row r="14" spans="1:11" x14ac:dyDescent="0.25">
      <c r="A14" s="3" t="s">
        <v>48</v>
      </c>
      <c r="B14" s="3" t="s">
        <v>50</v>
      </c>
      <c r="C14" s="3" t="s">
        <v>13</v>
      </c>
      <c r="D14" s="3" t="s">
        <v>13</v>
      </c>
      <c r="E14" s="3" t="s">
        <v>13</v>
      </c>
      <c r="F14" s="3" t="s">
        <v>13</v>
      </c>
      <c r="G14" s="4">
        <f t="shared" si="0"/>
        <v>468000</v>
      </c>
      <c r="H14" s="3" t="s">
        <v>50</v>
      </c>
      <c r="I14" s="3" t="s">
        <v>14</v>
      </c>
      <c r="J14" s="3" t="s">
        <v>13</v>
      </c>
      <c r="K14" s="3" t="s">
        <v>13</v>
      </c>
    </row>
    <row r="15" spans="1:11" x14ac:dyDescent="0.25">
      <c r="A15" s="3" t="s">
        <v>48</v>
      </c>
      <c r="B15" s="3" t="s">
        <v>51</v>
      </c>
      <c r="C15" s="3" t="s">
        <v>13</v>
      </c>
      <c r="D15" s="3" t="s">
        <v>13</v>
      </c>
      <c r="E15" s="3" t="s">
        <v>13</v>
      </c>
      <c r="F15" s="3" t="s">
        <v>13</v>
      </c>
      <c r="G15" s="4">
        <f t="shared" si="0"/>
        <v>2106000</v>
      </c>
      <c r="H15" s="3" t="s">
        <v>51</v>
      </c>
      <c r="I15" s="3" t="s">
        <v>14</v>
      </c>
      <c r="J15" s="3" t="s">
        <v>13</v>
      </c>
      <c r="K15" s="3" t="s">
        <v>13</v>
      </c>
    </row>
    <row r="16" spans="1:11" x14ac:dyDescent="0.25">
      <c r="A16" s="3" t="s">
        <v>48</v>
      </c>
      <c r="B16" s="3" t="s">
        <v>46</v>
      </c>
      <c r="C16" s="3" t="s">
        <v>13</v>
      </c>
      <c r="D16" s="3" t="s">
        <v>13</v>
      </c>
      <c r="E16" s="3" t="s">
        <v>13</v>
      </c>
      <c r="F16" s="3" t="s">
        <v>13</v>
      </c>
      <c r="G16" s="4">
        <f t="shared" si="0"/>
        <v>9477000</v>
      </c>
      <c r="H16" s="3" t="s">
        <v>46</v>
      </c>
      <c r="I16" s="3" t="s">
        <v>49</v>
      </c>
      <c r="J16" s="3" t="s">
        <v>13</v>
      </c>
      <c r="K16" s="3" t="s">
        <v>13</v>
      </c>
    </row>
    <row r="17" spans="1:11" x14ac:dyDescent="0.25">
      <c r="A17" s="3" t="s">
        <v>48</v>
      </c>
      <c r="B17" s="3" t="s">
        <v>52</v>
      </c>
      <c r="C17" s="3" t="s">
        <v>13</v>
      </c>
      <c r="D17" s="3" t="s">
        <v>13</v>
      </c>
      <c r="E17" s="3" t="s">
        <v>13</v>
      </c>
      <c r="F17" s="3" t="s">
        <v>13</v>
      </c>
      <c r="G17" s="4">
        <f t="shared" si="0"/>
        <v>42647000</v>
      </c>
      <c r="H17" s="3" t="s">
        <v>52</v>
      </c>
      <c r="I17" s="3" t="s">
        <v>49</v>
      </c>
      <c r="J17" s="3" t="s">
        <v>13</v>
      </c>
      <c r="K17" s="3" t="s">
        <v>13</v>
      </c>
    </row>
    <row r="18" spans="1:11" x14ac:dyDescent="0.25">
      <c r="A18" s="3" t="s">
        <v>48</v>
      </c>
      <c r="B18" s="3" t="s">
        <v>53</v>
      </c>
      <c r="C18" s="3" t="s">
        <v>13</v>
      </c>
      <c r="D18" s="3" t="s">
        <v>13</v>
      </c>
      <c r="E18" s="3" t="s">
        <v>13</v>
      </c>
      <c r="F18" s="3" t="s">
        <v>13</v>
      </c>
      <c r="G18" s="4">
        <f t="shared" si="0"/>
        <v>191912000</v>
      </c>
      <c r="H18" s="3" t="s">
        <v>53</v>
      </c>
      <c r="I18" s="3" t="s">
        <v>49</v>
      </c>
      <c r="J18" s="3" t="s">
        <v>13</v>
      </c>
      <c r="K18" s="3" t="s">
        <v>13</v>
      </c>
    </row>
    <row r="19" spans="1:11" x14ac:dyDescent="0.25">
      <c r="A19" s="3" t="s">
        <v>48</v>
      </c>
      <c r="B19" s="3" t="s">
        <v>54</v>
      </c>
      <c r="C19" s="3" t="s">
        <v>13</v>
      </c>
      <c r="D19" s="3" t="s">
        <v>13</v>
      </c>
      <c r="E19" s="3" t="s">
        <v>13</v>
      </c>
      <c r="F19" s="3" t="s">
        <v>13</v>
      </c>
      <c r="G19" s="4">
        <f t="shared" si="0"/>
        <v>863604000</v>
      </c>
      <c r="H19" s="3" t="s">
        <v>54</v>
      </c>
      <c r="I19" s="3" t="s">
        <v>49</v>
      </c>
      <c r="J19" s="3" t="s">
        <v>13</v>
      </c>
      <c r="K19" s="3" t="s">
        <v>13</v>
      </c>
    </row>
    <row r="20" spans="1:11" x14ac:dyDescent="0.25">
      <c r="A20" s="3" t="s">
        <v>48</v>
      </c>
      <c r="B20" s="3" t="s">
        <v>55</v>
      </c>
      <c r="C20" s="3" t="s">
        <v>13</v>
      </c>
      <c r="D20" s="3" t="s">
        <v>13</v>
      </c>
      <c r="E20" s="3" t="s">
        <v>13</v>
      </c>
      <c r="F20" s="3" t="s">
        <v>13</v>
      </c>
      <c r="G20" s="4">
        <f t="shared" si="0"/>
        <v>3886218000</v>
      </c>
      <c r="H20" s="3" t="s">
        <v>55</v>
      </c>
      <c r="I20" s="3" t="s">
        <v>49</v>
      </c>
      <c r="J20" s="3" t="s">
        <v>13</v>
      </c>
      <c r="K20" s="3" t="s">
        <v>13</v>
      </c>
    </row>
  </sheetData>
  <autoFilter ref="A1:K20" xr:uid="{AE38E88C-0836-453A-9A17-7C0CD54834D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Gem_resonance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心情好 王任</dc:creator>
  <cp:lastModifiedBy>心情好 王任</cp:lastModifiedBy>
  <dcterms:created xsi:type="dcterms:W3CDTF">2026-10-17T14:54:20Z</dcterms:created>
  <dcterms:modified xsi:type="dcterms:W3CDTF">2026-10-19T07:06:32Z</dcterms:modified>
</cp:coreProperties>
</file>